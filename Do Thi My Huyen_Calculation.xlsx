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myhuyen/Library/Mobile Documents/com~apple~CloudDocs/"/>
    </mc:Choice>
  </mc:AlternateContent>
  <xr:revisionPtr revIDLastSave="0" documentId="13_ncr:1_{E4DCC6E7-0A16-B646-835D-83B00CCB448E}" xr6:coauthVersionLast="47" xr6:coauthVersionMax="47" xr10:uidLastSave="{00000000-0000-0000-0000-000000000000}"/>
  <bookViews>
    <workbookView xWindow="0" yWindow="760" windowWidth="28800" windowHeight="16820" firstSheet="12" activeTab="21" xr2:uid="{00000000-000D-0000-FFFF-FFFF00000000}"/>
  </bookViews>
  <sheets>
    <sheet name="1. Assumptions " sheetId="1" r:id="rId1"/>
    <sheet name="2. Financial goals " sheetId="2" r:id="rId2"/>
    <sheet name="3. Financial drivers " sheetId="3" r:id="rId3"/>
    <sheet name="4. Balance sheet " sheetId="4" r:id="rId4"/>
    <sheet name="5. Cash Flow" sheetId="5" r:id="rId5"/>
    <sheet name="6. Salary" sheetId="6" r:id="rId6"/>
    <sheet name="7. Human capital &amp; pension valu" sheetId="7" r:id="rId7"/>
    <sheet name="8. Budget Estimate" sheetId="8" r:id="rId8"/>
    <sheet name="9. Child living expense" sheetId="9" r:id="rId9"/>
    <sheet name="10. Mortgage payment " sheetId="10" r:id="rId10"/>
    <sheet name="Car payment" sheetId="11" state="hidden" r:id="rId11"/>
    <sheet name="11. Motorbike insurance" sheetId="12" r:id="rId12"/>
    <sheet name="12. Car insurance " sheetId="13" r:id="rId13"/>
    <sheet name="13. Health insurance " sheetId="14" r:id="rId14"/>
    <sheet name="14. Life insurance" sheetId="15" r:id="rId15"/>
    <sheet name="15. Travel tour" sheetId="16" r:id="rId16"/>
    <sheet name="16. Retirement " sheetId="17" r:id="rId17"/>
    <sheet name="18. Investment assumption" sheetId="18" r:id="rId18"/>
    <sheet name="19. Funds " sheetId="19" r:id="rId19"/>
    <sheet name="20. Balance " sheetId="20" r:id="rId20"/>
    <sheet name="20. Market return " sheetId="21" r:id="rId21"/>
    <sheet name="21. Monte Carlo Simulation " sheetId="22" r:id="rId22"/>
  </sheets>
  <externalReferences>
    <externalReference r:id="rId23"/>
  </externalReferenc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6" i="8" l="1"/>
  <c r="AC36" i="8"/>
  <c r="AB36" i="8"/>
  <c r="AA36" i="8"/>
  <c r="L35" i="8"/>
  <c r="K35" i="8"/>
  <c r="C29" i="7"/>
  <c r="C29" i="8"/>
  <c r="C24" i="8"/>
  <c r="C18" i="8"/>
  <c r="D29" i="7"/>
  <c r="E29" i="7"/>
  <c r="F29" i="7"/>
  <c r="G29" i="7"/>
  <c r="H29" i="7"/>
  <c r="I29" i="7"/>
  <c r="J29" i="7"/>
  <c r="K29" i="7"/>
  <c r="L29" i="7"/>
  <c r="M29" i="7"/>
  <c r="N29" i="7"/>
  <c r="O29" i="7"/>
  <c r="P29" i="7"/>
  <c r="Q29" i="7"/>
  <c r="R29" i="7"/>
  <c r="S29" i="7"/>
  <c r="T29" i="7"/>
  <c r="U29" i="7"/>
  <c r="V29" i="7"/>
  <c r="W29" i="7"/>
  <c r="X29" i="7"/>
  <c r="Y29" i="7"/>
  <c r="Z29" i="7"/>
  <c r="AA29" i="7"/>
  <c r="AB29" i="7"/>
  <c r="AC29" i="7"/>
  <c r="AD29" i="7"/>
  <c r="AE29" i="7"/>
  <c r="AF29" i="7"/>
  <c r="AG29" i="7"/>
  <c r="AH29" i="7"/>
  <c r="AI29" i="7"/>
  <c r="AJ29" i="7"/>
  <c r="AK29" i="7"/>
  <c r="AL29" i="7"/>
  <c r="AM29" i="7"/>
  <c r="AN29" i="7"/>
  <c r="AO29" i="7"/>
  <c r="AP29" i="7"/>
  <c r="AQ29" i="7"/>
  <c r="C16" i="7"/>
  <c r="D18" i="7"/>
  <c r="N66" i="22"/>
  <c r="O66" i="22" s="1"/>
  <c r="L66" i="22"/>
  <c r="M66" i="22" s="1"/>
  <c r="N65" i="22"/>
  <c r="O65" i="22" s="1"/>
  <c r="L65" i="22"/>
  <c r="M65" i="22" s="1"/>
  <c r="N64" i="22"/>
  <c r="O64" i="22" s="1"/>
  <c r="L64" i="22"/>
  <c r="M64" i="22" s="1"/>
  <c r="N63" i="22"/>
  <c r="O63" i="22" s="1"/>
  <c r="L63" i="22"/>
  <c r="M63" i="22" s="1"/>
  <c r="N62" i="22"/>
  <c r="O62" i="22" s="1"/>
  <c r="L62" i="22"/>
  <c r="N61" i="22"/>
  <c r="O61" i="22" s="1"/>
  <c r="L61" i="22"/>
  <c r="M61" i="22" s="1"/>
  <c r="N60" i="22"/>
  <c r="O60" i="22" s="1"/>
  <c r="L60" i="22"/>
  <c r="M60" i="22" s="1"/>
  <c r="N59" i="22"/>
  <c r="O59" i="22" s="1"/>
  <c r="L59" i="22"/>
  <c r="M59" i="22" s="1"/>
  <c r="N58" i="22"/>
  <c r="O58" i="22" s="1"/>
  <c r="L58" i="22"/>
  <c r="M58" i="22" s="1"/>
  <c r="N57" i="22"/>
  <c r="O57" i="22" s="1"/>
  <c r="L57" i="22"/>
  <c r="N56" i="22"/>
  <c r="O56" i="22" s="1"/>
  <c r="L56" i="22"/>
  <c r="M56" i="22" s="1"/>
  <c r="N55" i="22"/>
  <c r="O55" i="22" s="1"/>
  <c r="L55" i="22"/>
  <c r="M55" i="22" s="1"/>
  <c r="N54" i="22"/>
  <c r="O54" i="22" s="1"/>
  <c r="L54" i="22"/>
  <c r="M54" i="22" s="1"/>
  <c r="N53" i="22"/>
  <c r="O53" i="22" s="1"/>
  <c r="L53" i="22"/>
  <c r="M53" i="22" s="1"/>
  <c r="N52" i="22"/>
  <c r="O52" i="22" s="1"/>
  <c r="L52" i="22"/>
  <c r="N51" i="22"/>
  <c r="O51" i="22" s="1"/>
  <c r="L51" i="22"/>
  <c r="M51" i="22" s="1"/>
  <c r="N50" i="22"/>
  <c r="O50" i="22" s="1"/>
  <c r="L50" i="22"/>
  <c r="M50" i="22" s="1"/>
  <c r="N49" i="22"/>
  <c r="O49" i="22" s="1"/>
  <c r="L49" i="22"/>
  <c r="M49" i="22" s="1"/>
  <c r="N48" i="22"/>
  <c r="O48" i="22" s="1"/>
  <c r="L48" i="22"/>
  <c r="M48" i="22" s="1"/>
  <c r="N47" i="22"/>
  <c r="O47" i="22" s="1"/>
  <c r="L47" i="22"/>
  <c r="M47" i="22" s="1"/>
  <c r="N46" i="22"/>
  <c r="O46" i="22" s="1"/>
  <c r="L46" i="22"/>
  <c r="M46" i="22" s="1"/>
  <c r="N45" i="22"/>
  <c r="O45" i="22" s="1"/>
  <c r="L45" i="22"/>
  <c r="M45" i="22" s="1"/>
  <c r="N44" i="22"/>
  <c r="O44" i="22" s="1"/>
  <c r="L44" i="22"/>
  <c r="M44" i="22" s="1"/>
  <c r="N43" i="22"/>
  <c r="O43" i="22" s="1"/>
  <c r="L43" i="22"/>
  <c r="M43" i="22" s="1"/>
  <c r="N42" i="22"/>
  <c r="O42" i="22" s="1"/>
  <c r="L42" i="22"/>
  <c r="M42" i="22" s="1"/>
  <c r="N41" i="22"/>
  <c r="L41" i="22"/>
  <c r="M41" i="22" s="1"/>
  <c r="N40" i="22"/>
  <c r="O40" i="22" s="1"/>
  <c r="L40" i="22"/>
  <c r="M40" i="22" s="1"/>
  <c r="N39" i="22"/>
  <c r="O39" i="22" s="1"/>
  <c r="L39" i="22"/>
  <c r="M39" i="22" s="1"/>
  <c r="N38" i="22"/>
  <c r="O38" i="22" s="1"/>
  <c r="L38" i="22"/>
  <c r="M38" i="22" s="1"/>
  <c r="N37" i="22"/>
  <c r="O37" i="22" s="1"/>
  <c r="L37" i="22"/>
  <c r="M37" i="22" s="1"/>
  <c r="N36" i="22"/>
  <c r="O36" i="22" s="1"/>
  <c r="L36" i="22"/>
  <c r="M36" i="22" s="1"/>
  <c r="N35" i="22"/>
  <c r="O35" i="22" s="1"/>
  <c r="L35" i="22"/>
  <c r="M35" i="22" s="1"/>
  <c r="N34" i="22"/>
  <c r="O34" i="22" s="1"/>
  <c r="L34" i="22"/>
  <c r="M34" i="22" s="1"/>
  <c r="N33" i="22"/>
  <c r="O33" i="22" s="1"/>
  <c r="L33" i="22"/>
  <c r="M33" i="22" s="1"/>
  <c r="N32" i="22"/>
  <c r="L32" i="22"/>
  <c r="N31" i="22"/>
  <c r="O31" i="22" s="1"/>
  <c r="L31" i="22"/>
  <c r="M31" i="22" s="1"/>
  <c r="N30" i="22"/>
  <c r="O30" i="22" s="1"/>
  <c r="L30" i="22"/>
  <c r="M30" i="22" s="1"/>
  <c r="N29" i="22"/>
  <c r="O29" i="22" s="1"/>
  <c r="L29" i="22"/>
  <c r="M29" i="22" s="1"/>
  <c r="N28" i="22"/>
  <c r="O28" i="22" s="1"/>
  <c r="L28" i="22"/>
  <c r="M28" i="22" s="1"/>
  <c r="N27" i="22"/>
  <c r="O27" i="22" s="1"/>
  <c r="L27" i="22"/>
  <c r="M27" i="22" s="1"/>
  <c r="N26" i="22"/>
  <c r="O26" i="22" s="1"/>
  <c r="L26" i="22"/>
  <c r="M26" i="22" s="1"/>
  <c r="N25" i="22"/>
  <c r="O25" i="22" s="1"/>
  <c r="L25" i="22"/>
  <c r="M25" i="22" s="1"/>
  <c r="N24" i="22"/>
  <c r="O24" i="22" s="1"/>
  <c r="L24" i="22"/>
  <c r="M24" i="22" s="1"/>
  <c r="N23" i="22"/>
  <c r="O23" i="22" s="1"/>
  <c r="L23" i="22"/>
  <c r="M23" i="22" s="1"/>
  <c r="N22" i="22"/>
  <c r="O22" i="22" s="1"/>
  <c r="L22" i="22"/>
  <c r="M22" i="22" s="1"/>
  <c r="N21" i="22"/>
  <c r="O21" i="22" s="1"/>
  <c r="L21" i="22"/>
  <c r="M21" i="22" s="1"/>
  <c r="D21" i="22"/>
  <c r="D22" i="22"/>
  <c r="D23" i="22"/>
  <c r="D24" i="22"/>
  <c r="D25" i="22"/>
  <c r="D26" i="22"/>
  <c r="D27" i="22"/>
  <c r="D28" i="22"/>
  <c r="D29" i="22"/>
  <c r="D30" i="22"/>
  <c r="D31" i="22"/>
  <c r="D32" i="22"/>
  <c r="D33" i="22"/>
  <c r="D34" i="22"/>
  <c r="D35" i="22"/>
  <c r="D36" i="22"/>
  <c r="D37" i="22"/>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D64" i="22"/>
  <c r="D65" i="22"/>
  <c r="D66" i="22"/>
  <c r="N20" i="22"/>
  <c r="O20" i="22" s="1"/>
  <c r="L20" i="22"/>
  <c r="M20" i="22" s="1"/>
  <c r="N19" i="22"/>
  <c r="O19" i="22" s="1"/>
  <c r="L19" i="22"/>
  <c r="M19" i="22" s="1"/>
  <c r="N18" i="22"/>
  <c r="O18" i="22" s="1"/>
  <c r="L18" i="22"/>
  <c r="M18" i="22" s="1"/>
  <c r="N17" i="22"/>
  <c r="O17" i="22" s="1"/>
  <c r="L17" i="22"/>
  <c r="M17" i="22" s="1"/>
  <c r="N16" i="22"/>
  <c r="O16" i="22" s="1"/>
  <c r="L16" i="22"/>
  <c r="M16" i="22" s="1"/>
  <c r="N15" i="22"/>
  <c r="O15" i="22" s="1"/>
  <c r="L15" i="22"/>
  <c r="N14" i="22"/>
  <c r="O14" i="22" s="1"/>
  <c r="L14" i="22"/>
  <c r="M14" i="22" s="1"/>
  <c r="N13" i="22"/>
  <c r="O13" i="22" s="1"/>
  <c r="L13" i="22"/>
  <c r="M13" i="22" s="1"/>
  <c r="D13" i="22"/>
  <c r="D14" i="22"/>
  <c r="D15" i="22"/>
  <c r="D16" i="22"/>
  <c r="D17" i="22"/>
  <c r="D18" i="22"/>
  <c r="D19" i="22"/>
  <c r="D20" i="22"/>
  <c r="N12" i="22"/>
  <c r="O12" i="22" s="1"/>
  <c r="L12" i="22"/>
  <c r="M12" i="22" s="1"/>
  <c r="N11" i="22"/>
  <c r="O11" i="22" s="1"/>
  <c r="L11" i="22"/>
  <c r="M11" i="22" s="1"/>
  <c r="N10" i="22"/>
  <c r="O10" i="22" s="1"/>
  <c r="L10" i="22"/>
  <c r="M10" i="22" s="1"/>
  <c r="N9" i="22"/>
  <c r="O9" i="22" s="1"/>
  <c r="L9" i="22"/>
  <c r="M9" i="22" s="1"/>
  <c r="X8" i="22"/>
  <c r="N8" i="22"/>
  <c r="O8" i="22" s="1"/>
  <c r="L8" i="22"/>
  <c r="M8" i="22" s="1"/>
  <c r="X7" i="22"/>
  <c r="N7" i="22"/>
  <c r="O7" i="22" s="1"/>
  <c r="L7" i="22"/>
  <c r="M7" i="22" s="1"/>
  <c r="H7" i="22"/>
  <c r="E7" i="22"/>
  <c r="E8" i="22"/>
  <c r="E9" i="22"/>
  <c r="E10" i="22"/>
  <c r="E11" i="22"/>
  <c r="E12" i="22"/>
  <c r="E13" i="22"/>
  <c r="E14" i="22"/>
  <c r="E15" i="22"/>
  <c r="E16" i="22"/>
  <c r="E17" i="22"/>
  <c r="E18" i="22"/>
  <c r="E19" i="22"/>
  <c r="E20" i="22"/>
  <c r="E21" i="22"/>
  <c r="E22" i="22"/>
  <c r="E23" i="22"/>
  <c r="E24" i="22"/>
  <c r="E25" i="22"/>
  <c r="E26" i="22"/>
  <c r="E27" i="22"/>
  <c r="E28" i="22"/>
  <c r="E29" i="22"/>
  <c r="E30" i="22"/>
  <c r="E31" i="22"/>
  <c r="E32" i="22"/>
  <c r="E33" i="22"/>
  <c r="E34" i="22"/>
  <c r="E35" i="22"/>
  <c r="E36" i="22"/>
  <c r="E37" i="22"/>
  <c r="E38" i="22"/>
  <c r="E39" i="22"/>
  <c r="E40" i="22"/>
  <c r="E41" i="22"/>
  <c r="E42" i="22"/>
  <c r="E43" i="22"/>
  <c r="E44" i="22"/>
  <c r="E45" i="22"/>
  <c r="E46" i="22"/>
  <c r="E47" i="22"/>
  <c r="E48" i="22"/>
  <c r="E49" i="22"/>
  <c r="E50" i="22"/>
  <c r="E51" i="22"/>
  <c r="E52" i="22"/>
  <c r="E53" i="22"/>
  <c r="E54" i="22"/>
  <c r="E55" i="22"/>
  <c r="E56" i="22"/>
  <c r="E57" i="22"/>
  <c r="E58" i="22"/>
  <c r="E59" i="22"/>
  <c r="E60" i="22"/>
  <c r="E61" i="22"/>
  <c r="E62" i="22"/>
  <c r="E63" i="22"/>
  <c r="E64" i="22"/>
  <c r="E65" i="22"/>
  <c r="E66" i="22"/>
  <c r="X6" i="22"/>
  <c r="N6" i="22"/>
  <c r="O6" i="22" s="1"/>
  <c r="L6" i="22"/>
  <c r="H6" i="22"/>
  <c r="X5" i="22"/>
  <c r="N5" i="22"/>
  <c r="O5" i="22" s="1"/>
  <c r="L5" i="22"/>
  <c r="M5" i="22" s="1"/>
  <c r="H5" i="22"/>
  <c r="E5" i="22"/>
  <c r="E6" i="22"/>
  <c r="X4" i="22"/>
  <c r="N4" i="22"/>
  <c r="O4" i="22" s="1"/>
  <c r="L4" i="22"/>
  <c r="M4" i="22" s="1"/>
  <c r="J4" i="22"/>
  <c r="H4" i="22"/>
  <c r="E4" i="22"/>
  <c r="D4" i="22"/>
  <c r="D5" i="22"/>
  <c r="D6" i="22"/>
  <c r="D7" i="22"/>
  <c r="D8" i="22"/>
  <c r="D9" i="22"/>
  <c r="D10" i="22"/>
  <c r="D11" i="22"/>
  <c r="D12" i="22"/>
  <c r="X3" i="22"/>
  <c r="N3" i="22"/>
  <c r="O3" i="22" s="1"/>
  <c r="L3" i="22"/>
  <c r="M3" i="22" s="1"/>
  <c r="H3" i="22"/>
  <c r="I3" i="22"/>
  <c r="C16" i="21"/>
  <c r="B6" i="22"/>
  <c r="C15" i="21"/>
  <c r="B7" i="22"/>
  <c r="G12" i="21"/>
  <c r="G11" i="21"/>
  <c r="G10" i="21"/>
  <c r="G9" i="21"/>
  <c r="G8" i="21"/>
  <c r="G7" i="21"/>
  <c r="G6" i="21"/>
  <c r="G5" i="21"/>
  <c r="G4" i="21"/>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8" i="20"/>
  <c r="B9" i="20"/>
  <c r="B10" i="20"/>
  <c r="B11" i="20"/>
  <c r="B12" i="20"/>
  <c r="B6" i="20"/>
  <c r="B7" i="20"/>
  <c r="B5" i="20"/>
  <c r="B4" i="20"/>
  <c r="D3" i="20"/>
  <c r="C3" i="20"/>
  <c r="F3" i="20"/>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AS3" i="19"/>
  <c r="F3" i="19"/>
  <c r="E83" i="18"/>
  <c r="H66" i="22"/>
  <c r="E82" i="18"/>
  <c r="H65" i="22"/>
  <c r="E81" i="18"/>
  <c r="H64" i="22"/>
  <c r="E80" i="18"/>
  <c r="H63" i="22"/>
  <c r="E79" i="18"/>
  <c r="H62" i="22"/>
  <c r="E78" i="18"/>
  <c r="H61" i="22"/>
  <c r="F77" i="18"/>
  <c r="E77" i="18"/>
  <c r="H60" i="22"/>
  <c r="E76" i="18"/>
  <c r="H59" i="22"/>
  <c r="E75" i="18"/>
  <c r="H58" i="22"/>
  <c r="F74" i="18"/>
  <c r="E74" i="18"/>
  <c r="H57" i="22"/>
  <c r="E73" i="18"/>
  <c r="H56" i="22"/>
  <c r="E72" i="18"/>
  <c r="H55" i="22"/>
  <c r="E71" i="18"/>
  <c r="H54" i="22"/>
  <c r="E70" i="18"/>
  <c r="H53" i="22"/>
  <c r="E69" i="18"/>
  <c r="H52" i="22"/>
  <c r="E68" i="18"/>
  <c r="E67" i="18"/>
  <c r="H50" i="22"/>
  <c r="E66" i="18"/>
  <c r="E65" i="18"/>
  <c r="H48" i="22"/>
  <c r="F64" i="18"/>
  <c r="E64" i="18"/>
  <c r="H47" i="22"/>
  <c r="E63" i="18"/>
  <c r="H46" i="22"/>
  <c r="E62" i="18"/>
  <c r="E61" i="18"/>
  <c r="H44" i="22"/>
  <c r="E60" i="18"/>
  <c r="H43" i="22"/>
  <c r="F59" i="18"/>
  <c r="E59" i="18"/>
  <c r="H42" i="22"/>
  <c r="J42" i="22"/>
  <c r="E58" i="18"/>
  <c r="E57" i="18"/>
  <c r="H40" i="22"/>
  <c r="E56" i="18"/>
  <c r="H39" i="22"/>
  <c r="E55" i="18"/>
  <c r="H38" i="22"/>
  <c r="J38" i="22"/>
  <c r="E54" i="18"/>
  <c r="E53" i="18"/>
  <c r="E52" i="18"/>
  <c r="H35" i="22"/>
  <c r="E51" i="18"/>
  <c r="H34" i="22"/>
  <c r="E50" i="18"/>
  <c r="E49" i="18"/>
  <c r="H32" i="22"/>
  <c r="E48" i="18"/>
  <c r="E47" i="18"/>
  <c r="H30" i="22"/>
  <c r="E46" i="18"/>
  <c r="E45" i="18"/>
  <c r="E44" i="18"/>
  <c r="E43" i="18"/>
  <c r="H26" i="22"/>
  <c r="E42" i="18"/>
  <c r="E41" i="18"/>
  <c r="H24" i="22"/>
  <c r="E40" i="18"/>
  <c r="H23" i="22"/>
  <c r="E39" i="18"/>
  <c r="H22" i="22"/>
  <c r="E38" i="18"/>
  <c r="E37" i="18"/>
  <c r="H20" i="22"/>
  <c r="E36" i="18"/>
  <c r="E35" i="18"/>
  <c r="H18" i="22"/>
  <c r="E34" i="18"/>
  <c r="E33" i="18"/>
  <c r="H16" i="22"/>
  <c r="E32" i="18"/>
  <c r="H15" i="22"/>
  <c r="F31" i="18"/>
  <c r="E31" i="18"/>
  <c r="H14" i="22"/>
  <c r="E30" i="18"/>
  <c r="E29" i="18"/>
  <c r="H12" i="22"/>
  <c r="E28" i="18"/>
  <c r="H11" i="22"/>
  <c r="E27" i="18"/>
  <c r="E26" i="18"/>
  <c r="F25" i="18"/>
  <c r="E25" i="18"/>
  <c r="H8" i="22"/>
  <c r="F24" i="18"/>
  <c r="F23" i="18"/>
  <c r="F22" i="18"/>
  <c r="F21" i="18"/>
  <c r="F20" i="18"/>
  <c r="B26" i="17"/>
  <c r="B25" i="17"/>
  <c r="C2" i="17"/>
  <c r="D2" i="17"/>
  <c r="E2" i="17"/>
  <c r="F2" i="17"/>
  <c r="G2" i="17"/>
  <c r="H2" i="17"/>
  <c r="I2" i="17"/>
  <c r="J2" i="17"/>
  <c r="K2" i="17"/>
  <c r="L2" i="17"/>
  <c r="M2" i="17"/>
  <c r="N2" i="17"/>
  <c r="O2" i="17"/>
  <c r="P2" i="17"/>
  <c r="Q2" i="17"/>
  <c r="R2" i="17"/>
  <c r="S2" i="17"/>
  <c r="T2" i="17"/>
  <c r="U2" i="17"/>
  <c r="V2" i="17"/>
  <c r="W2" i="17"/>
  <c r="X2" i="17"/>
  <c r="G1" i="17"/>
  <c r="H1" i="17"/>
  <c r="I1" i="17"/>
  <c r="J1" i="17"/>
  <c r="K1" i="17"/>
  <c r="L1" i="17"/>
  <c r="M1" i="17"/>
  <c r="N1" i="17"/>
  <c r="O1" i="17"/>
  <c r="P1" i="17"/>
  <c r="Q1" i="17"/>
  <c r="R1" i="17"/>
  <c r="S1" i="17"/>
  <c r="T1" i="17"/>
  <c r="U1" i="17"/>
  <c r="V1" i="17"/>
  <c r="W1" i="17"/>
  <c r="X1" i="17"/>
  <c r="C1" i="17"/>
  <c r="D1" i="17"/>
  <c r="E1" i="17"/>
  <c r="F1" i="17"/>
  <c r="D7" i="16"/>
  <c r="E7" i="16"/>
  <c r="F7" i="16"/>
  <c r="G7" i="16"/>
  <c r="H7" i="16"/>
  <c r="D6" i="16"/>
  <c r="E6" i="16"/>
  <c r="F6" i="16"/>
  <c r="H3" i="16"/>
  <c r="G3" i="16"/>
  <c r="F3" i="16"/>
  <c r="E3" i="16"/>
  <c r="D3" i="16"/>
  <c r="D15" i="16"/>
  <c r="E15" i="16"/>
  <c r="F15" i="16"/>
  <c r="C3" i="16"/>
  <c r="O2" i="16"/>
  <c r="P2" i="16"/>
  <c r="Q2" i="16"/>
  <c r="R2" i="16"/>
  <c r="S2" i="16"/>
  <c r="T2" i="16"/>
  <c r="U2" i="16"/>
  <c r="V2" i="16"/>
  <c r="W2" i="16"/>
  <c r="X2" i="16"/>
  <c r="Y2" i="16"/>
  <c r="Z2" i="16"/>
  <c r="AA2" i="16"/>
  <c r="AB2" i="16"/>
  <c r="AC2" i="16"/>
  <c r="AD2" i="16"/>
  <c r="AE2" i="16"/>
  <c r="AF2" i="16"/>
  <c r="AG2" i="16"/>
  <c r="AH2" i="16"/>
  <c r="AI2" i="16"/>
  <c r="AJ2" i="16"/>
  <c r="AK2" i="16"/>
  <c r="AL2" i="16"/>
  <c r="AM2" i="16"/>
  <c r="AN2" i="16"/>
  <c r="AO2" i="16"/>
  <c r="AP2" i="16"/>
  <c r="AQ2" i="16"/>
  <c r="AR2" i="16"/>
  <c r="AS2" i="16"/>
  <c r="AT2" i="16"/>
  <c r="AU2" i="16"/>
  <c r="AV2" i="16"/>
  <c r="AW2" i="16"/>
  <c r="AX2" i="16"/>
  <c r="AY2" i="16"/>
  <c r="AZ2" i="16"/>
  <c r="BA2" i="16"/>
  <c r="BB2" i="16"/>
  <c r="BC2" i="16"/>
  <c r="BD2" i="16"/>
  <c r="BE2" i="16"/>
  <c r="BF2" i="16"/>
  <c r="BG2" i="16"/>
  <c r="BH2" i="16"/>
  <c r="BI2" i="16"/>
  <c r="BJ2" i="16"/>
  <c r="BK2" i="16"/>
  <c r="BL2" i="16"/>
  <c r="BM2" i="16"/>
  <c r="BN2" i="16"/>
  <c r="E2" i="16"/>
  <c r="F2" i="16"/>
  <c r="G2" i="16"/>
  <c r="H2" i="16"/>
  <c r="I2" i="16"/>
  <c r="J2" i="16"/>
  <c r="K2" i="16"/>
  <c r="L2" i="16"/>
  <c r="M2" i="16"/>
  <c r="N2" i="16"/>
  <c r="H1" i="16"/>
  <c r="I1" i="16"/>
  <c r="J1" i="16"/>
  <c r="K1" i="16"/>
  <c r="L1" i="16"/>
  <c r="M1" i="16"/>
  <c r="N1" i="16"/>
  <c r="O1" i="16"/>
  <c r="P1" i="16"/>
  <c r="Q1" i="16"/>
  <c r="R1" i="16"/>
  <c r="S1" i="16"/>
  <c r="T1" i="16"/>
  <c r="U1" i="16"/>
  <c r="V1" i="16"/>
  <c r="W1" i="16"/>
  <c r="X1" i="16"/>
  <c r="Y1" i="16"/>
  <c r="Z1" i="16"/>
  <c r="AA1" i="16"/>
  <c r="AB1" i="16"/>
  <c r="AC1" i="16"/>
  <c r="AD1" i="16"/>
  <c r="AE1" i="16"/>
  <c r="AF1" i="16"/>
  <c r="AG1" i="16"/>
  <c r="AH1" i="16"/>
  <c r="AI1" i="16"/>
  <c r="AJ1" i="16"/>
  <c r="AK1" i="16"/>
  <c r="AL1" i="16"/>
  <c r="AM1" i="16"/>
  <c r="AN1" i="16"/>
  <c r="AO1" i="16"/>
  <c r="AP1" i="16"/>
  <c r="AQ1" i="16"/>
  <c r="AR1" i="16"/>
  <c r="AS1" i="16"/>
  <c r="AT1" i="16"/>
  <c r="AU1" i="16"/>
  <c r="AV1" i="16"/>
  <c r="AW1" i="16"/>
  <c r="AX1" i="16"/>
  <c r="AY1" i="16"/>
  <c r="AZ1" i="16"/>
  <c r="BA1" i="16"/>
  <c r="BB1" i="16"/>
  <c r="BC1" i="16"/>
  <c r="BD1" i="16"/>
  <c r="BE1" i="16"/>
  <c r="BF1" i="16"/>
  <c r="BG1" i="16"/>
  <c r="BH1" i="16"/>
  <c r="BI1" i="16"/>
  <c r="BJ1" i="16"/>
  <c r="BK1" i="16"/>
  <c r="BL1" i="16"/>
  <c r="BM1" i="16"/>
  <c r="BN1" i="16"/>
  <c r="F1" i="16"/>
  <c r="G1" i="16"/>
  <c r="D1" i="16"/>
  <c r="E1" i="16"/>
  <c r="K17" i="14"/>
  <c r="K15" i="14"/>
  <c r="C36" i="13"/>
  <c r="G33" i="13"/>
  <c r="K31" i="13"/>
  <c r="F15" i="11"/>
  <c r="E15" i="11"/>
  <c r="D15" i="11"/>
  <c r="C15" i="11"/>
  <c r="D9" i="11"/>
  <c r="H3" i="11"/>
  <c r="G3" i="11"/>
  <c r="F3" i="11"/>
  <c r="E3" i="11"/>
  <c r="D3" i="11"/>
  <c r="C3" i="11"/>
  <c r="F2" i="11"/>
  <c r="G2" i="11"/>
  <c r="H2" i="11"/>
  <c r="I2" i="11"/>
  <c r="J2" i="11"/>
  <c r="K2" i="11"/>
  <c r="L2" i="11"/>
  <c r="M2" i="11"/>
  <c r="N2" i="11"/>
  <c r="O2" i="11"/>
  <c r="P2" i="11"/>
  <c r="Q2" i="11"/>
  <c r="R2" i="11"/>
  <c r="S2" i="11"/>
  <c r="T2" i="11"/>
  <c r="U2" i="11"/>
  <c r="V2" i="11"/>
  <c r="W2" i="11"/>
  <c r="X2" i="11"/>
  <c r="Y2" i="11"/>
  <c r="Z2" i="11"/>
  <c r="AA2" i="11"/>
  <c r="AB2" i="11"/>
  <c r="AC2" i="11"/>
  <c r="AD2" i="11"/>
  <c r="AE2" i="11"/>
  <c r="AF2" i="11"/>
  <c r="AG2" i="11"/>
  <c r="AH2" i="11"/>
  <c r="AI2" i="11"/>
  <c r="AJ2" i="11"/>
  <c r="AK2" i="11"/>
  <c r="AL2" i="11"/>
  <c r="AM2" i="11"/>
  <c r="AN2" i="11"/>
  <c r="AO2" i="11"/>
  <c r="AP2" i="11"/>
  <c r="AQ2" i="11"/>
  <c r="AR2" i="11"/>
  <c r="AS2" i="11"/>
  <c r="AT2" i="11"/>
  <c r="AU2" i="11"/>
  <c r="AV2" i="11"/>
  <c r="AW2" i="11"/>
  <c r="AX2" i="11"/>
  <c r="AY2" i="11"/>
  <c r="AZ2" i="11"/>
  <c r="BA2" i="11"/>
  <c r="BB2" i="11"/>
  <c r="BC2" i="11"/>
  <c r="BD2" i="11"/>
  <c r="BE2" i="11"/>
  <c r="BF2" i="11"/>
  <c r="BG2" i="11"/>
  <c r="BH2" i="11"/>
  <c r="BI2" i="11"/>
  <c r="BJ2" i="11"/>
  <c r="BK2" i="11"/>
  <c r="BL2" i="11"/>
  <c r="BM2" i="11"/>
  <c r="BN2" i="11"/>
  <c r="E2" i="11"/>
  <c r="F1" i="11"/>
  <c r="G1" i="11"/>
  <c r="H1" i="11"/>
  <c r="I1" i="11"/>
  <c r="J1" i="11"/>
  <c r="K1" i="11"/>
  <c r="L1" i="11"/>
  <c r="M1" i="11"/>
  <c r="N1" i="11"/>
  <c r="O1" i="11"/>
  <c r="P1" i="11"/>
  <c r="Q1" i="11"/>
  <c r="R1" i="11"/>
  <c r="S1" i="11"/>
  <c r="T1" i="11"/>
  <c r="U1" i="11"/>
  <c r="V1" i="11"/>
  <c r="W1" i="11"/>
  <c r="X1" i="11"/>
  <c r="Y1" i="11"/>
  <c r="Z1" i="11"/>
  <c r="AA1" i="11"/>
  <c r="AB1" i="11"/>
  <c r="AC1" i="11"/>
  <c r="AD1" i="11"/>
  <c r="AE1" i="11"/>
  <c r="AF1" i="11"/>
  <c r="AG1" i="11"/>
  <c r="AH1" i="11"/>
  <c r="AI1" i="11"/>
  <c r="AJ1" i="11"/>
  <c r="AK1" i="11"/>
  <c r="AL1" i="11"/>
  <c r="AM1" i="11"/>
  <c r="AN1" i="11"/>
  <c r="AO1" i="11"/>
  <c r="AP1" i="11"/>
  <c r="AQ1" i="11"/>
  <c r="AR1" i="11"/>
  <c r="AS1" i="11"/>
  <c r="AT1" i="11"/>
  <c r="AU1" i="11"/>
  <c r="AV1" i="11"/>
  <c r="AW1" i="11"/>
  <c r="AX1" i="11"/>
  <c r="AY1" i="11"/>
  <c r="AZ1" i="11"/>
  <c r="BA1" i="11"/>
  <c r="BB1" i="11"/>
  <c r="BC1" i="11"/>
  <c r="BD1" i="11"/>
  <c r="BE1" i="11"/>
  <c r="BF1" i="11"/>
  <c r="BG1" i="11"/>
  <c r="BH1" i="11"/>
  <c r="BI1" i="11"/>
  <c r="BJ1" i="11"/>
  <c r="BK1" i="11"/>
  <c r="BL1" i="11"/>
  <c r="BM1" i="11"/>
  <c r="BN1" i="11"/>
  <c r="D1" i="11"/>
  <c r="E1" i="11"/>
  <c r="R13" i="10"/>
  <c r="AB3" i="10"/>
  <c r="H3" i="10"/>
  <c r="G3" i="10"/>
  <c r="F3" i="10"/>
  <c r="E3" i="10"/>
  <c r="D3" i="10"/>
  <c r="D9" i="10"/>
  <c r="E9" i="10"/>
  <c r="C3" i="10"/>
  <c r="F2" i="10"/>
  <c r="G2" i="10"/>
  <c r="H2" i="10"/>
  <c r="I2" i="10"/>
  <c r="J2" i="10"/>
  <c r="K2" i="10"/>
  <c r="L2" i="10"/>
  <c r="M2" i="10"/>
  <c r="N2" i="10"/>
  <c r="O2" i="10"/>
  <c r="P2" i="10"/>
  <c r="Q2" i="10"/>
  <c r="R2" i="10"/>
  <c r="S2" i="10"/>
  <c r="T2" i="10"/>
  <c r="U2" i="10"/>
  <c r="V2" i="10"/>
  <c r="W2" i="10"/>
  <c r="X2" i="10"/>
  <c r="Y2" i="10"/>
  <c r="Z2" i="10"/>
  <c r="AA2" i="10"/>
  <c r="AB2" i="10"/>
  <c r="AC2" i="10"/>
  <c r="AD2" i="10"/>
  <c r="AE2" i="10"/>
  <c r="AF2" i="10"/>
  <c r="AG2" i="10"/>
  <c r="AH2" i="10"/>
  <c r="AI2" i="10"/>
  <c r="AJ2" i="10"/>
  <c r="AK2" i="10"/>
  <c r="AL2" i="10"/>
  <c r="AM2" i="10"/>
  <c r="AN2" i="10"/>
  <c r="AO2" i="10"/>
  <c r="AP2" i="10"/>
  <c r="AQ2" i="10"/>
  <c r="AR2" i="10"/>
  <c r="AS2" i="10"/>
  <c r="AT2" i="10"/>
  <c r="AU2" i="10"/>
  <c r="AV2" i="10"/>
  <c r="AW2" i="10"/>
  <c r="AX2" i="10"/>
  <c r="AY2" i="10"/>
  <c r="AZ2" i="10"/>
  <c r="BA2" i="10"/>
  <c r="BB2" i="10"/>
  <c r="BC2" i="10"/>
  <c r="BD2" i="10"/>
  <c r="BE2" i="10"/>
  <c r="BF2" i="10"/>
  <c r="BG2" i="10"/>
  <c r="BH2" i="10"/>
  <c r="BI2" i="10"/>
  <c r="BJ2" i="10"/>
  <c r="BK2" i="10"/>
  <c r="BL2" i="10"/>
  <c r="BM2" i="10"/>
  <c r="BN2" i="10"/>
  <c r="E2" i="10"/>
  <c r="G1" i="10"/>
  <c r="H1" i="10"/>
  <c r="I1" i="10"/>
  <c r="J1" i="10"/>
  <c r="K1" i="10"/>
  <c r="L1" i="10"/>
  <c r="M1" i="10"/>
  <c r="N1" i="10"/>
  <c r="O1" i="10"/>
  <c r="P1" i="10"/>
  <c r="Q1" i="10"/>
  <c r="R1" i="10"/>
  <c r="S1" i="10"/>
  <c r="T1" i="10"/>
  <c r="U1" i="10"/>
  <c r="V1" i="10"/>
  <c r="W1" i="10"/>
  <c r="X1" i="10"/>
  <c r="Y1" i="10"/>
  <c r="Z1" i="10"/>
  <c r="AA1" i="10"/>
  <c r="AB1" i="10"/>
  <c r="AC1" i="10"/>
  <c r="AD1" i="10"/>
  <c r="AE1" i="10"/>
  <c r="AF1" i="10"/>
  <c r="AG1" i="10"/>
  <c r="AH1" i="10"/>
  <c r="AI1" i="10"/>
  <c r="AJ1" i="10"/>
  <c r="AK1" i="10"/>
  <c r="AL1" i="10"/>
  <c r="AM1" i="10"/>
  <c r="AN1" i="10"/>
  <c r="AO1" i="10"/>
  <c r="AP1" i="10"/>
  <c r="AQ1" i="10"/>
  <c r="AR1" i="10"/>
  <c r="AS1" i="10"/>
  <c r="AT1" i="10"/>
  <c r="AU1" i="10"/>
  <c r="AV1" i="10"/>
  <c r="AW1" i="10"/>
  <c r="AX1" i="10"/>
  <c r="AY1" i="10"/>
  <c r="AZ1" i="10"/>
  <c r="BA1" i="10"/>
  <c r="BB1" i="10"/>
  <c r="BC1" i="10"/>
  <c r="BD1" i="10"/>
  <c r="BE1" i="10"/>
  <c r="BF1" i="10"/>
  <c r="BG1" i="10"/>
  <c r="BH1" i="10"/>
  <c r="BI1" i="10"/>
  <c r="BJ1" i="10"/>
  <c r="BK1" i="10"/>
  <c r="BL1" i="10"/>
  <c r="BM1" i="10"/>
  <c r="BN1" i="10"/>
  <c r="D1" i="10"/>
  <c r="E1" i="10"/>
  <c r="F1" i="10"/>
  <c r="E9" i="9"/>
  <c r="E8" i="9"/>
  <c r="E7" i="9"/>
  <c r="E6" i="9"/>
  <c r="E5" i="9"/>
  <c r="E4" i="9"/>
  <c r="E3" i="9"/>
  <c r="AQ36" i="8"/>
  <c r="AP36" i="8"/>
  <c r="AO36" i="8"/>
  <c r="AN36" i="8"/>
  <c r="AM36" i="8"/>
  <c r="AL36" i="8"/>
  <c r="AK36" i="8"/>
  <c r="AJ36" i="8"/>
  <c r="AI36" i="8"/>
  <c r="AH36" i="8"/>
  <c r="AG36" i="8"/>
  <c r="AF36" i="8"/>
  <c r="AE36" i="8"/>
  <c r="Z36" i="8"/>
  <c r="Y36" i="8"/>
  <c r="X36" i="8"/>
  <c r="W36" i="8"/>
  <c r="V36" i="8"/>
  <c r="U36" i="8"/>
  <c r="T36" i="8"/>
  <c r="S36" i="8"/>
  <c r="R36" i="8"/>
  <c r="Q36" i="8"/>
  <c r="P36" i="8"/>
  <c r="O36" i="8"/>
  <c r="N36" i="8"/>
  <c r="M36" i="8"/>
  <c r="L36" i="8"/>
  <c r="K36" i="8"/>
  <c r="J36" i="8"/>
  <c r="I36" i="8"/>
  <c r="M35" i="8"/>
  <c r="N35" i="8"/>
  <c r="O35" i="8"/>
  <c r="P35" i="8"/>
  <c r="Q35" i="8"/>
  <c r="R35" i="8"/>
  <c r="S35" i="8"/>
  <c r="T35" i="8"/>
  <c r="U35" i="8"/>
  <c r="V35" i="8"/>
  <c r="W35" i="8"/>
  <c r="X35" i="8"/>
  <c r="Y35" i="8"/>
  <c r="Z35" i="8"/>
  <c r="AA35" i="8"/>
  <c r="AB35" i="8"/>
  <c r="AC35" i="8"/>
  <c r="AD35" i="8"/>
  <c r="AE35" i="8"/>
  <c r="AF35" i="8"/>
  <c r="AG35" i="8"/>
  <c r="AH35" i="8"/>
  <c r="AI35" i="8"/>
  <c r="AJ35" i="8"/>
  <c r="AK35" i="8"/>
  <c r="AL35" i="8"/>
  <c r="AM35" i="8"/>
  <c r="AN35" i="8"/>
  <c r="AO35" i="8"/>
  <c r="AQ33" i="8"/>
  <c r="S29" i="17"/>
  <c r="AP33" i="8"/>
  <c r="AO33" i="8"/>
  <c r="AN33" i="8"/>
  <c r="AM33" i="8"/>
  <c r="AL33" i="8"/>
  <c r="AK33" i="8"/>
  <c r="AJ33" i="8"/>
  <c r="AI33" i="8"/>
  <c r="AH33" i="8"/>
  <c r="AG33" i="8"/>
  <c r="AF33" i="8"/>
  <c r="AE33" i="8"/>
  <c r="AD33" i="8"/>
  <c r="AC33" i="8"/>
  <c r="AB33" i="8"/>
  <c r="AA33" i="8"/>
  <c r="Z33" i="8"/>
  <c r="Y33" i="8"/>
  <c r="X33" i="8"/>
  <c r="W33" i="8"/>
  <c r="V33" i="8"/>
  <c r="U33" i="8"/>
  <c r="T33" i="8"/>
  <c r="S33" i="8"/>
  <c r="R33" i="8"/>
  <c r="Q33" i="8"/>
  <c r="P33" i="8"/>
  <c r="O33" i="8"/>
  <c r="N33" i="8"/>
  <c r="M33" i="8"/>
  <c r="L33" i="8"/>
  <c r="K33" i="8"/>
  <c r="J33" i="8"/>
  <c r="I33" i="8"/>
  <c r="H33" i="8"/>
  <c r="G33" i="8"/>
  <c r="F33" i="8"/>
  <c r="E33" i="8"/>
  <c r="D33" i="8"/>
  <c r="C33" i="8"/>
  <c r="C39" i="8"/>
  <c r="AQ32" i="8"/>
  <c r="AP32" i="8"/>
  <c r="D30" i="8"/>
  <c r="E30" i="8"/>
  <c r="F30" i="8"/>
  <c r="G30" i="8"/>
  <c r="H30" i="8"/>
  <c r="C30" i="8"/>
  <c r="D29" i="8"/>
  <c r="E29" i="8"/>
  <c r="F29" i="8"/>
  <c r="G29" i="8"/>
  <c r="H29" i="8"/>
  <c r="H28" i="8"/>
  <c r="C26" i="8"/>
  <c r="D26" i="8"/>
  <c r="E26" i="8"/>
  <c r="F26" i="8"/>
  <c r="G26" i="8"/>
  <c r="H26" i="8"/>
  <c r="E25" i="8"/>
  <c r="F25" i="8"/>
  <c r="G25" i="8"/>
  <c r="H25" i="8"/>
  <c r="C25" i="8"/>
  <c r="D23" i="8"/>
  <c r="E23" i="8"/>
  <c r="F23" i="8"/>
  <c r="G23" i="8"/>
  <c r="H23" i="8"/>
  <c r="C23" i="8"/>
  <c r="C22" i="8"/>
  <c r="D22" i="8"/>
  <c r="E22" i="8"/>
  <c r="F22" i="8"/>
  <c r="G22" i="8"/>
  <c r="H22" i="8"/>
  <c r="D21" i="8"/>
  <c r="E21" i="8"/>
  <c r="F21" i="8"/>
  <c r="G21" i="8"/>
  <c r="H21" i="8"/>
  <c r="C21" i="8"/>
  <c r="G20" i="8"/>
  <c r="H20" i="8"/>
  <c r="C20" i="8"/>
  <c r="D20" i="8"/>
  <c r="E20" i="8"/>
  <c r="F20" i="8"/>
  <c r="C19" i="8"/>
  <c r="D19" i="8"/>
  <c r="E19" i="8"/>
  <c r="F19" i="8"/>
  <c r="G19" i="8"/>
  <c r="H19" i="8"/>
  <c r="D18" i="8"/>
  <c r="E18" i="8"/>
  <c r="F18" i="8"/>
  <c r="G18" i="8"/>
  <c r="H18" i="8"/>
  <c r="I18" i="8"/>
  <c r="J18" i="8"/>
  <c r="K18" i="8"/>
  <c r="L18" i="8"/>
  <c r="M18" i="8"/>
  <c r="D17" i="8"/>
  <c r="C17" i="8"/>
  <c r="BE3" i="8"/>
  <c r="AO3" i="8"/>
  <c r="Y3" i="8"/>
  <c r="I3" i="8"/>
  <c r="H3" i="8"/>
  <c r="G3" i="8"/>
  <c r="F3" i="8"/>
  <c r="E3" i="8"/>
  <c r="D3" i="8"/>
  <c r="D25" i="8"/>
  <c r="C3" i="8"/>
  <c r="Q2" i="8"/>
  <c r="R2" i="8"/>
  <c r="S2" i="8"/>
  <c r="T2" i="8"/>
  <c r="U2" i="8"/>
  <c r="V2" i="8"/>
  <c r="W2" i="8"/>
  <c r="X2" i="8"/>
  <c r="Y2" i="8"/>
  <c r="Z2" i="8"/>
  <c r="AA2" i="8"/>
  <c r="AB2" i="8"/>
  <c r="AC2" i="8"/>
  <c r="AD2" i="8"/>
  <c r="AE2" i="8"/>
  <c r="AF2" i="8"/>
  <c r="AG2" i="8"/>
  <c r="AH2" i="8"/>
  <c r="AI2" i="8"/>
  <c r="AJ2" i="8"/>
  <c r="AK2" i="8"/>
  <c r="AL2" i="8"/>
  <c r="AM2" i="8"/>
  <c r="AN2" i="8"/>
  <c r="AO2" i="8"/>
  <c r="AP2" i="8"/>
  <c r="AQ2" i="8"/>
  <c r="AR2" i="8"/>
  <c r="AS2" i="8"/>
  <c r="AT2" i="8"/>
  <c r="AU2" i="8"/>
  <c r="AV2" i="8"/>
  <c r="AW2" i="8"/>
  <c r="AX2" i="8"/>
  <c r="AY2" i="8"/>
  <c r="AZ2" i="8"/>
  <c r="BA2" i="8"/>
  <c r="BB2" i="8"/>
  <c r="BC2" i="8"/>
  <c r="BD2" i="8"/>
  <c r="BE2" i="8"/>
  <c r="BF2" i="8"/>
  <c r="BG2" i="8"/>
  <c r="BH2" i="8"/>
  <c r="BI2" i="8"/>
  <c r="BJ2" i="8"/>
  <c r="BK2" i="8"/>
  <c r="BL2" i="8"/>
  <c r="BM2" i="8"/>
  <c r="BN2" i="8"/>
  <c r="F2" i="8"/>
  <c r="G2" i="8"/>
  <c r="H2" i="8"/>
  <c r="I2" i="8"/>
  <c r="J2" i="8"/>
  <c r="K2" i="8"/>
  <c r="L2" i="8"/>
  <c r="M2" i="8"/>
  <c r="N2" i="8"/>
  <c r="O2" i="8"/>
  <c r="P2" i="8"/>
  <c r="E2" i="8"/>
  <c r="Q1" i="8"/>
  <c r="R1" i="8"/>
  <c r="S1" i="8"/>
  <c r="T1" i="8"/>
  <c r="U1" i="8"/>
  <c r="V1" i="8"/>
  <c r="W1" i="8"/>
  <c r="X1" i="8"/>
  <c r="Y1" i="8"/>
  <c r="Z1" i="8"/>
  <c r="AA1" i="8"/>
  <c r="AB1" i="8"/>
  <c r="AC1" i="8"/>
  <c r="AD1" i="8"/>
  <c r="AE1" i="8"/>
  <c r="AF1" i="8"/>
  <c r="AG1" i="8"/>
  <c r="AH1" i="8"/>
  <c r="AI1" i="8"/>
  <c r="AJ1" i="8"/>
  <c r="AK1" i="8"/>
  <c r="AL1" i="8"/>
  <c r="AM1" i="8"/>
  <c r="AN1" i="8"/>
  <c r="AO1" i="8"/>
  <c r="AP1" i="8"/>
  <c r="AQ1" i="8"/>
  <c r="AR1" i="8"/>
  <c r="AS1" i="8"/>
  <c r="AT1" i="8"/>
  <c r="AU1" i="8"/>
  <c r="AV1" i="8"/>
  <c r="AW1" i="8"/>
  <c r="AX1" i="8"/>
  <c r="AY1" i="8"/>
  <c r="AZ1" i="8"/>
  <c r="BA1" i="8"/>
  <c r="BB1" i="8"/>
  <c r="BC1" i="8"/>
  <c r="BD1" i="8"/>
  <c r="BE1" i="8"/>
  <c r="BF1" i="8"/>
  <c r="BG1" i="8"/>
  <c r="BH1" i="8"/>
  <c r="BI1" i="8"/>
  <c r="BJ1" i="8"/>
  <c r="BK1" i="8"/>
  <c r="BL1" i="8"/>
  <c r="BM1" i="8"/>
  <c r="BN1" i="8"/>
  <c r="D1" i="8"/>
  <c r="E1" i="8"/>
  <c r="F1" i="8"/>
  <c r="G1" i="8"/>
  <c r="H1" i="8"/>
  <c r="I1" i="8"/>
  <c r="J1" i="8"/>
  <c r="K1" i="8"/>
  <c r="L1" i="8"/>
  <c r="M1" i="8"/>
  <c r="N1" i="8"/>
  <c r="O1" i="8"/>
  <c r="P1" i="8"/>
  <c r="C64" i="7"/>
  <c r="BN50" i="7"/>
  <c r="BM50" i="7"/>
  <c r="BL50" i="7"/>
  <c r="BK50" i="7"/>
  <c r="BJ50" i="7"/>
  <c r="BI50" i="7"/>
  <c r="BH50" i="7"/>
  <c r="BG50" i="7"/>
  <c r="BF50" i="7"/>
  <c r="BE50" i="7"/>
  <c r="BD50" i="7"/>
  <c r="BC50" i="7"/>
  <c r="BB50" i="7"/>
  <c r="BA50" i="7"/>
  <c r="AZ50" i="7"/>
  <c r="AY50" i="7"/>
  <c r="AX50" i="7"/>
  <c r="AW50" i="7"/>
  <c r="AV50" i="7"/>
  <c r="AU50" i="7"/>
  <c r="AT50" i="7"/>
  <c r="AS50" i="7"/>
  <c r="AR50" i="7"/>
  <c r="AS49" i="7"/>
  <c r="AT49" i="7"/>
  <c r="AU49" i="7"/>
  <c r="AV49" i="7"/>
  <c r="AW49" i="7"/>
  <c r="AX49" i="7"/>
  <c r="AY49" i="7"/>
  <c r="AZ49" i="7"/>
  <c r="BA49" i="7"/>
  <c r="BB49" i="7"/>
  <c r="BC49" i="7"/>
  <c r="BD49" i="7"/>
  <c r="BE49" i="7"/>
  <c r="BF49" i="7"/>
  <c r="BG49" i="7"/>
  <c r="BH49" i="7"/>
  <c r="BI49" i="7"/>
  <c r="BJ49" i="7"/>
  <c r="BK49" i="7"/>
  <c r="BL49" i="7"/>
  <c r="BM49" i="7"/>
  <c r="BN49" i="7"/>
  <c r="BN42" i="7"/>
  <c r="BM42" i="7"/>
  <c r="BL42" i="7"/>
  <c r="BK42" i="7"/>
  <c r="BJ42" i="7"/>
  <c r="BI42" i="7"/>
  <c r="BH42" i="7"/>
  <c r="BG42" i="7"/>
  <c r="BF42" i="7"/>
  <c r="BE42" i="7"/>
  <c r="BD42" i="7"/>
  <c r="BC42" i="7"/>
  <c r="BB42" i="7"/>
  <c r="BA42" i="7"/>
  <c r="AZ42" i="7"/>
  <c r="AY42" i="7"/>
  <c r="AX42" i="7"/>
  <c r="AW42" i="7"/>
  <c r="AV42" i="7"/>
  <c r="AU42" i="7"/>
  <c r="AT42" i="7"/>
  <c r="AS42" i="7"/>
  <c r="AR42" i="7"/>
  <c r="AQ42" i="7"/>
  <c r="AP42" i="7"/>
  <c r="AR41" i="7"/>
  <c r="AS41" i="7"/>
  <c r="AT41" i="7"/>
  <c r="AU41" i="7"/>
  <c r="AV41" i="7"/>
  <c r="AW41" i="7"/>
  <c r="AX41" i="7"/>
  <c r="AY41" i="7"/>
  <c r="AZ41" i="7"/>
  <c r="BA41" i="7"/>
  <c r="BB41" i="7"/>
  <c r="BC41" i="7"/>
  <c r="BD41" i="7"/>
  <c r="BE41" i="7"/>
  <c r="BF41" i="7"/>
  <c r="BG41" i="7"/>
  <c r="BH41" i="7"/>
  <c r="BI41" i="7"/>
  <c r="BJ41" i="7"/>
  <c r="BK41" i="7"/>
  <c r="BL41" i="7"/>
  <c r="BM41" i="7"/>
  <c r="BN41" i="7"/>
  <c r="AQ41" i="7"/>
  <c r="AQ33" i="7"/>
  <c r="AP33" i="7"/>
  <c r="AO33" i="7"/>
  <c r="AN33" i="7"/>
  <c r="AM33" i="7"/>
  <c r="AL33" i="7"/>
  <c r="AK33" i="7"/>
  <c r="AJ33" i="7"/>
  <c r="AI33" i="7"/>
  <c r="AH33" i="7"/>
  <c r="AG33" i="7"/>
  <c r="AF33" i="7"/>
  <c r="AE33" i="7"/>
  <c r="AD33" i="7"/>
  <c r="AC33" i="7"/>
  <c r="AB33" i="7"/>
  <c r="AA33" i="7"/>
  <c r="Z33" i="7"/>
  <c r="Y33" i="7"/>
  <c r="X33" i="7"/>
  <c r="W33" i="7"/>
  <c r="V33" i="7"/>
  <c r="U33" i="7"/>
  <c r="T33" i="7"/>
  <c r="S33" i="7"/>
  <c r="R33" i="7"/>
  <c r="Q33" i="7"/>
  <c r="P33" i="7"/>
  <c r="O33" i="7"/>
  <c r="N33" i="7"/>
  <c r="M33" i="7"/>
  <c r="L33" i="7"/>
  <c r="K33" i="7"/>
  <c r="J33" i="7"/>
  <c r="I33" i="7"/>
  <c r="H33" i="7"/>
  <c r="G33" i="7"/>
  <c r="F33" i="7"/>
  <c r="E33" i="7"/>
  <c r="D33" i="7"/>
  <c r="C33" i="7"/>
  <c r="S32" i="7"/>
  <c r="T32" i="7"/>
  <c r="U32" i="7"/>
  <c r="V32" i="7"/>
  <c r="W32" i="7"/>
  <c r="X32" i="7"/>
  <c r="Y32" i="7"/>
  <c r="Z32" i="7"/>
  <c r="AA32" i="7"/>
  <c r="AB32" i="7"/>
  <c r="AC32" i="7"/>
  <c r="AD32" i="7"/>
  <c r="AE32" i="7"/>
  <c r="AF32" i="7"/>
  <c r="AG32" i="7"/>
  <c r="AH32" i="7"/>
  <c r="AI32" i="7"/>
  <c r="AJ32" i="7"/>
  <c r="AK32" i="7"/>
  <c r="AL32" i="7"/>
  <c r="AM32" i="7"/>
  <c r="AN32" i="7"/>
  <c r="AO32" i="7"/>
  <c r="AP32" i="7"/>
  <c r="AQ32" i="7"/>
  <c r="H32" i="7"/>
  <c r="I32" i="7"/>
  <c r="J32" i="7"/>
  <c r="K32" i="7"/>
  <c r="L32" i="7"/>
  <c r="M32" i="7"/>
  <c r="N32" i="7"/>
  <c r="O32" i="7"/>
  <c r="P32" i="7"/>
  <c r="Q32" i="7"/>
  <c r="R32" i="7"/>
  <c r="D32" i="7"/>
  <c r="E32" i="7"/>
  <c r="F32" i="7"/>
  <c r="G32" i="7"/>
  <c r="AQ26" i="7"/>
  <c r="AP26" i="7"/>
  <c r="AO26" i="7"/>
  <c r="AN26" i="7"/>
  <c r="AM26" i="7"/>
  <c r="AL26" i="7"/>
  <c r="AK26" i="7"/>
  <c r="AJ26" i="7"/>
  <c r="AI26" i="7"/>
  <c r="AH26" i="7"/>
  <c r="AG26" i="7"/>
  <c r="AF26" i="7"/>
  <c r="AE26" i="7"/>
  <c r="AD26" i="7"/>
  <c r="AC26" i="7"/>
  <c r="AB26" i="7"/>
  <c r="AA26" i="7"/>
  <c r="Z26" i="7"/>
  <c r="Y26" i="7"/>
  <c r="X26" i="7"/>
  <c r="W26" i="7"/>
  <c r="V26" i="7"/>
  <c r="U26" i="7"/>
  <c r="T26" i="7"/>
  <c r="S26" i="7"/>
  <c r="R26" i="7"/>
  <c r="Q26" i="7"/>
  <c r="P26" i="7"/>
  <c r="O26" i="7"/>
  <c r="N26" i="7"/>
  <c r="M26" i="7"/>
  <c r="L26" i="7"/>
  <c r="K26" i="7"/>
  <c r="J26" i="7"/>
  <c r="I26" i="7"/>
  <c r="H26" i="7"/>
  <c r="G26" i="7"/>
  <c r="F26" i="7"/>
  <c r="E26" i="7"/>
  <c r="D26" i="7"/>
  <c r="C26" i="7"/>
  <c r="AO20" i="7"/>
  <c r="AN20" i="7"/>
  <c r="AM20" i="7"/>
  <c r="AL20" i="7"/>
  <c r="AK20" i="7"/>
  <c r="AJ20" i="7"/>
  <c r="AI20" i="7"/>
  <c r="AH20" i="7"/>
  <c r="AG20" i="7"/>
  <c r="AF20" i="7"/>
  <c r="AE20" i="7"/>
  <c r="AD20" i="7"/>
  <c r="AC20" i="7"/>
  <c r="AB20" i="7"/>
  <c r="AA20" i="7"/>
  <c r="Z20" i="7"/>
  <c r="Y20" i="7"/>
  <c r="X20" i="7"/>
  <c r="W20" i="7"/>
  <c r="V20" i="7"/>
  <c r="U20" i="7"/>
  <c r="T20" i="7"/>
  <c r="S20" i="7"/>
  <c r="R20" i="7"/>
  <c r="Q20" i="7"/>
  <c r="P20" i="7"/>
  <c r="O20" i="7"/>
  <c r="N20" i="7"/>
  <c r="M20" i="7"/>
  <c r="L20" i="7"/>
  <c r="K20" i="7"/>
  <c r="J20" i="7"/>
  <c r="I20" i="7"/>
  <c r="H20" i="7"/>
  <c r="G20" i="7"/>
  <c r="F20" i="7"/>
  <c r="E20" i="7"/>
  <c r="D20" i="7"/>
  <c r="C20" i="7"/>
  <c r="E19" i="7"/>
  <c r="F19" i="7"/>
  <c r="G19" i="7"/>
  <c r="H19" i="7"/>
  <c r="I19" i="7"/>
  <c r="J19" i="7"/>
  <c r="K19" i="7"/>
  <c r="L19" i="7"/>
  <c r="M19" i="7"/>
  <c r="N19" i="7"/>
  <c r="O19" i="7"/>
  <c r="P19" i="7"/>
  <c r="Q19" i="7"/>
  <c r="R19" i="7"/>
  <c r="S19" i="7"/>
  <c r="T19" i="7"/>
  <c r="U19" i="7"/>
  <c r="V19" i="7"/>
  <c r="W19" i="7"/>
  <c r="X19" i="7"/>
  <c r="Y19" i="7"/>
  <c r="Z19" i="7"/>
  <c r="AA19" i="7"/>
  <c r="AB19" i="7"/>
  <c r="AC19" i="7"/>
  <c r="AD19" i="7"/>
  <c r="AE19" i="7"/>
  <c r="AF19" i="7"/>
  <c r="AG19" i="7"/>
  <c r="AH19" i="7"/>
  <c r="AI19" i="7"/>
  <c r="AJ19" i="7"/>
  <c r="AK19" i="7"/>
  <c r="AL19" i="7"/>
  <c r="AM19" i="7"/>
  <c r="AN19" i="7"/>
  <c r="AO19" i="7"/>
  <c r="D19" i="7"/>
  <c r="L14" i="7"/>
  <c r="AO13" i="7"/>
  <c r="AN13" i="7"/>
  <c r="AM13" i="7"/>
  <c r="AL13" i="7"/>
  <c r="AK13" i="7"/>
  <c r="AJ13" i="7"/>
  <c r="AI13" i="7"/>
  <c r="AH13" i="7"/>
  <c r="AG13" i="7"/>
  <c r="AF13" i="7"/>
  <c r="AE13" i="7"/>
  <c r="AD13" i="7"/>
  <c r="AC13" i="7"/>
  <c r="AB13" i="7"/>
  <c r="AA13" i="7"/>
  <c r="Z13" i="7"/>
  <c r="Y13" i="7"/>
  <c r="X13" i="7"/>
  <c r="W13" i="7"/>
  <c r="V13" i="7"/>
  <c r="U13" i="7"/>
  <c r="T13" i="7"/>
  <c r="S13" i="7"/>
  <c r="R13" i="7"/>
  <c r="Q13" i="7"/>
  <c r="P13" i="7"/>
  <c r="O13" i="7"/>
  <c r="N13" i="7"/>
  <c r="M13" i="7"/>
  <c r="L13" i="7"/>
  <c r="K13" i="7"/>
  <c r="J13" i="7"/>
  <c r="I13" i="7"/>
  <c r="H13" i="7"/>
  <c r="G13" i="7"/>
  <c r="F13" i="7"/>
  <c r="E13" i="7"/>
  <c r="D13" i="7"/>
  <c r="C13" i="7"/>
  <c r="L12" i="7"/>
  <c r="BI3" i="7"/>
  <c r="AU3" i="7"/>
  <c r="AJ3" i="7"/>
  <c r="V3" i="7"/>
  <c r="J3" i="7"/>
  <c r="H3" i="7"/>
  <c r="G3" i="7"/>
  <c r="F3" i="7"/>
  <c r="E3" i="7"/>
  <c r="D3" i="7"/>
  <c r="C3" i="7"/>
  <c r="Z2" i="7"/>
  <c r="AA2" i="7"/>
  <c r="AB2" i="7"/>
  <c r="AC2" i="7"/>
  <c r="AD2" i="7"/>
  <c r="AE2" i="7"/>
  <c r="AF2" i="7"/>
  <c r="AG2" i="7"/>
  <c r="AH2" i="7"/>
  <c r="AI2" i="7"/>
  <c r="AJ2" i="7"/>
  <c r="AK2" i="7"/>
  <c r="AL2" i="7"/>
  <c r="AM2" i="7"/>
  <c r="AN2" i="7"/>
  <c r="AO2" i="7"/>
  <c r="AP2" i="7"/>
  <c r="AQ2" i="7"/>
  <c r="AR2" i="7"/>
  <c r="AS2" i="7"/>
  <c r="AT2" i="7"/>
  <c r="AU2" i="7"/>
  <c r="AV2" i="7"/>
  <c r="AW2" i="7"/>
  <c r="AX2" i="7"/>
  <c r="AY2" i="7"/>
  <c r="AZ2" i="7"/>
  <c r="BA2" i="7"/>
  <c r="BB2" i="7"/>
  <c r="BC2" i="7"/>
  <c r="BD2" i="7"/>
  <c r="BE2" i="7"/>
  <c r="BF2" i="7"/>
  <c r="BG2" i="7"/>
  <c r="BH2" i="7"/>
  <c r="BI2" i="7"/>
  <c r="BJ2" i="7"/>
  <c r="BK2" i="7"/>
  <c r="BL2" i="7"/>
  <c r="BM2" i="7"/>
  <c r="BN2" i="7"/>
  <c r="M2" i="7"/>
  <c r="N2" i="7"/>
  <c r="O2" i="7"/>
  <c r="P2" i="7"/>
  <c r="Q2" i="7"/>
  <c r="R2" i="7"/>
  <c r="S2" i="7"/>
  <c r="T2" i="7"/>
  <c r="U2" i="7"/>
  <c r="V2" i="7"/>
  <c r="W2" i="7"/>
  <c r="X2" i="7"/>
  <c r="Y2" i="7"/>
  <c r="E2" i="7"/>
  <c r="F2" i="7"/>
  <c r="G2" i="7"/>
  <c r="H2" i="7"/>
  <c r="I2" i="7"/>
  <c r="J2" i="7"/>
  <c r="K2" i="7"/>
  <c r="L2" i="7"/>
  <c r="E1" i="7"/>
  <c r="F1" i="7"/>
  <c r="G1" i="7"/>
  <c r="H1" i="7"/>
  <c r="I1" i="7"/>
  <c r="J1" i="7"/>
  <c r="K1" i="7"/>
  <c r="L1" i="7"/>
  <c r="M1" i="7"/>
  <c r="N1" i="7"/>
  <c r="O1" i="7"/>
  <c r="P1" i="7"/>
  <c r="Q1" i="7"/>
  <c r="R1" i="7"/>
  <c r="S1" i="7"/>
  <c r="T1" i="7"/>
  <c r="U1" i="7"/>
  <c r="V1" i="7"/>
  <c r="W1" i="7"/>
  <c r="X1" i="7"/>
  <c r="Y1" i="7"/>
  <c r="Z1" i="7"/>
  <c r="AA1" i="7"/>
  <c r="AB1" i="7"/>
  <c r="AC1" i="7"/>
  <c r="AD1" i="7"/>
  <c r="AE1" i="7"/>
  <c r="AF1" i="7"/>
  <c r="AG1" i="7"/>
  <c r="AH1" i="7"/>
  <c r="AI1" i="7"/>
  <c r="AJ1" i="7"/>
  <c r="AK1" i="7"/>
  <c r="AL1" i="7"/>
  <c r="AM1" i="7"/>
  <c r="AN1" i="7"/>
  <c r="AO1" i="7"/>
  <c r="AP1" i="7"/>
  <c r="AQ1" i="7"/>
  <c r="AR1" i="7"/>
  <c r="AS1" i="7"/>
  <c r="AT1" i="7"/>
  <c r="AU1" i="7"/>
  <c r="AV1" i="7"/>
  <c r="AW1" i="7"/>
  <c r="AX1" i="7"/>
  <c r="AY1" i="7"/>
  <c r="AZ1" i="7"/>
  <c r="BA1" i="7"/>
  <c r="BB1" i="7"/>
  <c r="BC1" i="7"/>
  <c r="BD1" i="7"/>
  <c r="BE1" i="7"/>
  <c r="BF1" i="7"/>
  <c r="BG1" i="7"/>
  <c r="BH1" i="7"/>
  <c r="BI1" i="7"/>
  <c r="BJ1" i="7"/>
  <c r="BK1" i="7"/>
  <c r="BL1" i="7"/>
  <c r="BM1" i="7"/>
  <c r="BN1" i="7"/>
  <c r="D1" i="7"/>
  <c r="M45" i="6"/>
  <c r="N45" i="6"/>
  <c r="M44" i="6"/>
  <c r="N44" i="6"/>
  <c r="N43" i="6"/>
  <c r="M43" i="6"/>
  <c r="F43" i="6"/>
  <c r="G43" i="6"/>
  <c r="M42" i="6"/>
  <c r="N42" i="6"/>
  <c r="F42" i="6"/>
  <c r="G42" i="6"/>
  <c r="M41" i="6"/>
  <c r="N41" i="6"/>
  <c r="F41" i="6"/>
  <c r="G41" i="6"/>
  <c r="M40" i="6"/>
  <c r="N40" i="6"/>
  <c r="F40" i="6"/>
  <c r="G40" i="6"/>
  <c r="N39" i="6"/>
  <c r="M39" i="6"/>
  <c r="F39" i="6"/>
  <c r="G39" i="6"/>
  <c r="M38" i="6"/>
  <c r="N38" i="6"/>
  <c r="F38" i="6"/>
  <c r="G38" i="6"/>
  <c r="M37" i="6"/>
  <c r="N37" i="6"/>
  <c r="F37" i="6"/>
  <c r="G37" i="6"/>
  <c r="M36" i="6"/>
  <c r="N36" i="6"/>
  <c r="F36" i="6"/>
  <c r="G36" i="6"/>
  <c r="N35" i="6"/>
  <c r="M35" i="6"/>
  <c r="F35" i="6"/>
  <c r="G35" i="6"/>
  <c r="M34" i="6"/>
  <c r="N34" i="6"/>
  <c r="F34" i="6"/>
  <c r="G34" i="6"/>
  <c r="M33" i="6"/>
  <c r="N33" i="6"/>
  <c r="F33" i="6"/>
  <c r="G33" i="6"/>
  <c r="M32" i="6"/>
  <c r="N32" i="6"/>
  <c r="F32" i="6"/>
  <c r="G32" i="6"/>
  <c r="N31" i="6"/>
  <c r="M31" i="6"/>
  <c r="F31" i="6"/>
  <c r="G31" i="6"/>
  <c r="M30" i="6"/>
  <c r="N30" i="6"/>
  <c r="F30" i="6"/>
  <c r="G30" i="6"/>
  <c r="M29" i="6"/>
  <c r="N29" i="6"/>
  <c r="F29" i="6"/>
  <c r="G29" i="6"/>
  <c r="M28" i="6"/>
  <c r="N28" i="6"/>
  <c r="F28" i="6"/>
  <c r="G28" i="6"/>
  <c r="N27" i="6"/>
  <c r="M27" i="6"/>
  <c r="F27" i="6"/>
  <c r="G27" i="6"/>
  <c r="M26" i="6"/>
  <c r="N26" i="6"/>
  <c r="F26" i="6"/>
  <c r="G26" i="6"/>
  <c r="M25" i="6"/>
  <c r="N25" i="6"/>
  <c r="F25" i="6"/>
  <c r="G25" i="6"/>
  <c r="M24" i="6"/>
  <c r="N24" i="6"/>
  <c r="F24" i="6"/>
  <c r="G24" i="6"/>
  <c r="N23" i="6"/>
  <c r="M23" i="6"/>
  <c r="F23" i="6"/>
  <c r="G23" i="6"/>
  <c r="M22" i="6"/>
  <c r="N22" i="6"/>
  <c r="T25" i="7"/>
  <c r="F22" i="6"/>
  <c r="G22" i="6"/>
  <c r="M21" i="6"/>
  <c r="N21" i="6"/>
  <c r="F21" i="6"/>
  <c r="G21" i="6"/>
  <c r="M20" i="6"/>
  <c r="N20" i="6"/>
  <c r="F20" i="6"/>
  <c r="G20" i="6"/>
  <c r="R12" i="7"/>
  <c r="N19" i="6"/>
  <c r="M19" i="6"/>
  <c r="F19" i="6"/>
  <c r="G19" i="6"/>
  <c r="M18" i="6"/>
  <c r="N18" i="6"/>
  <c r="P25" i="7"/>
  <c r="F18" i="6"/>
  <c r="G18" i="6"/>
  <c r="M17" i="6"/>
  <c r="N17" i="6"/>
  <c r="F17" i="6"/>
  <c r="G17" i="6"/>
  <c r="O12" i="7"/>
  <c r="M16" i="6"/>
  <c r="N16" i="6"/>
  <c r="F16" i="6"/>
  <c r="G16" i="6"/>
  <c r="N15" i="6"/>
  <c r="M15" i="6"/>
  <c r="F15" i="6"/>
  <c r="G15" i="6"/>
  <c r="M14" i="6"/>
  <c r="N14" i="6"/>
  <c r="F14" i="6"/>
  <c r="G14" i="6"/>
  <c r="M13" i="6"/>
  <c r="N13" i="6"/>
  <c r="K25" i="7"/>
  <c r="F13" i="6"/>
  <c r="G13" i="6"/>
  <c r="M12" i="6"/>
  <c r="N12" i="6"/>
  <c r="F12" i="6"/>
  <c r="G12" i="6"/>
  <c r="N11" i="6"/>
  <c r="I25" i="7"/>
  <c r="I27" i="7"/>
  <c r="M11" i="6"/>
  <c r="F11" i="6"/>
  <c r="G11" i="6"/>
  <c r="M10" i="6"/>
  <c r="N10" i="6"/>
  <c r="F10" i="6"/>
  <c r="G10" i="6"/>
  <c r="M9" i="6"/>
  <c r="N9" i="6"/>
  <c r="F9" i="6"/>
  <c r="G9" i="6"/>
  <c r="M8" i="6"/>
  <c r="N8" i="6"/>
  <c r="F25" i="7"/>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F8" i="6"/>
  <c r="G8" i="6"/>
  <c r="F12" i="7"/>
  <c r="N7" i="6"/>
  <c r="M7" i="6"/>
  <c r="I7" i="6"/>
  <c r="F7" i="6"/>
  <c r="G7"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M6" i="6"/>
  <c r="N6"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I6" i="6"/>
  <c r="F6" i="6"/>
  <c r="G6" i="6"/>
  <c r="C6" i="6"/>
  <c r="B6" i="6"/>
  <c r="N5" i="6"/>
  <c r="C25" i="7"/>
  <c r="M5" i="6"/>
  <c r="F5" i="6"/>
  <c r="G5" i="6"/>
  <c r="C12" i="7"/>
  <c r="C4" i="5"/>
  <c r="L18" i="4"/>
  <c r="G17" i="4"/>
  <c r="C17" i="4"/>
  <c r="D15" i="4"/>
  <c r="L10" i="4"/>
  <c r="G9" i="4"/>
  <c r="C9" i="4"/>
  <c r="C18" i="4"/>
  <c r="G32" i="3"/>
  <c r="L25" i="3"/>
  <c r="C65" i="7"/>
  <c r="L24" i="3"/>
  <c r="F24" i="3"/>
  <c r="F25" i="3"/>
  <c r="F26" i="3"/>
  <c r="F27" i="3"/>
  <c r="F28" i="3"/>
  <c r="F29" i="3"/>
  <c r="F30" i="3"/>
  <c r="F31" i="3"/>
  <c r="F23" i="3"/>
  <c r="L17" i="3"/>
  <c r="B3" i="22"/>
  <c r="H17" i="3"/>
  <c r="D14" i="3"/>
  <c r="J8" i="3"/>
  <c r="J9" i="3"/>
  <c r="J10" i="3"/>
  <c r="J11" i="3"/>
  <c r="J12" i="3"/>
  <c r="J13" i="3"/>
  <c r="J14" i="3"/>
  <c r="J15" i="3"/>
  <c r="J16" i="3"/>
  <c r="F7" i="3"/>
  <c r="F8" i="3"/>
  <c r="F9" i="3"/>
  <c r="F10" i="3"/>
  <c r="F11" i="3"/>
  <c r="F12" i="3"/>
  <c r="F13" i="3"/>
  <c r="F14" i="3"/>
  <c r="F15" i="3"/>
  <c r="F16" i="3"/>
  <c r="J5" i="3"/>
  <c r="J6" i="3"/>
  <c r="J7" i="3"/>
  <c r="F5" i="3"/>
  <c r="F6" i="3"/>
  <c r="J7" i="1"/>
  <c r="J6" i="1"/>
  <c r="F63" i="18"/>
  <c r="F82" i="18"/>
  <c r="J3" i="22"/>
  <c r="K3" i="22"/>
  <c r="F78" i="18"/>
  <c r="F73" i="18"/>
  <c r="F75" i="18"/>
  <c r="F55" i="18"/>
  <c r="F83" i="18"/>
  <c r="F32" i="18"/>
  <c r="F43" i="18"/>
  <c r="F49" i="18"/>
  <c r="F65" i="18"/>
  <c r="F79" i="18"/>
  <c r="F61" i="18"/>
  <c r="F56" i="18"/>
  <c r="F72" i="18"/>
  <c r="F80" i="18"/>
  <c r="F29" i="18"/>
  <c r="F51" i="18"/>
  <c r="F67" i="18"/>
  <c r="F81" i="18"/>
  <c r="F71" i="18"/>
  <c r="F33" i="18"/>
  <c r="F39" i="18"/>
  <c r="F76" i="18"/>
  <c r="F35" i="18"/>
  <c r="F41" i="18"/>
  <c r="F47" i="18"/>
  <c r="N18" i="8"/>
  <c r="K12" i="8"/>
  <c r="K28" i="7"/>
  <c r="K27" i="7"/>
  <c r="K30" i="7"/>
  <c r="K31" i="7"/>
  <c r="I28" i="8"/>
  <c r="Z38" i="8"/>
  <c r="I20" i="8"/>
  <c r="J20" i="8"/>
  <c r="K20" i="8"/>
  <c r="L20" i="8"/>
  <c r="M20" i="8"/>
  <c r="N20" i="8"/>
  <c r="O20" i="8"/>
  <c r="P20" i="8"/>
  <c r="Q20" i="8"/>
  <c r="R20" i="8"/>
  <c r="S20" i="8"/>
  <c r="T20" i="8"/>
  <c r="U20" i="8"/>
  <c r="V20" i="8"/>
  <c r="W20" i="8"/>
  <c r="X20" i="8"/>
  <c r="Y20" i="8"/>
  <c r="Z20" i="8"/>
  <c r="AA20" i="8"/>
  <c r="AB20" i="8"/>
  <c r="AC20" i="8"/>
  <c r="AD20" i="8"/>
  <c r="AE20" i="8"/>
  <c r="AF20" i="8"/>
  <c r="AG20" i="8"/>
  <c r="AH20" i="8"/>
  <c r="AI20" i="8"/>
  <c r="AJ20" i="8"/>
  <c r="AK20" i="8"/>
  <c r="AL20" i="8"/>
  <c r="AM20" i="8"/>
  <c r="AN20" i="8"/>
  <c r="AO20" i="8"/>
  <c r="AP20" i="8"/>
  <c r="AQ20" i="8"/>
  <c r="B17" i="17"/>
  <c r="F15" i="7"/>
  <c r="F16" i="7"/>
  <c r="F32" i="8"/>
  <c r="F11" i="8"/>
  <c r="F14" i="7"/>
  <c r="G12" i="7"/>
  <c r="D14" i="4"/>
  <c r="D8" i="4"/>
  <c r="D12" i="4"/>
  <c r="D6" i="4"/>
  <c r="D11" i="4"/>
  <c r="D7" i="4"/>
  <c r="D13" i="4"/>
  <c r="D16" i="4"/>
  <c r="G10" i="4"/>
  <c r="O11" i="8"/>
  <c r="O14" i="7"/>
  <c r="R14" i="7"/>
  <c r="S12" i="7"/>
  <c r="R11" i="8"/>
  <c r="R15" i="7"/>
  <c r="R16" i="7"/>
  <c r="R32" i="8"/>
  <c r="P12" i="8"/>
  <c r="E17" i="8"/>
  <c r="C5" i="5"/>
  <c r="C12" i="8"/>
  <c r="D25" i="7"/>
  <c r="C30" i="7"/>
  <c r="C27" i="7"/>
  <c r="C28" i="7"/>
  <c r="I26" i="8"/>
  <c r="J26" i="8"/>
  <c r="K26" i="8"/>
  <c r="L26" i="8"/>
  <c r="M26" i="8"/>
  <c r="N26" i="8"/>
  <c r="O26" i="8"/>
  <c r="P26" i="8"/>
  <c r="Q26" i="8"/>
  <c r="R26" i="8"/>
  <c r="S26" i="8"/>
  <c r="T26" i="8"/>
  <c r="U26" i="8"/>
  <c r="V26" i="8"/>
  <c r="W26" i="8"/>
  <c r="X26" i="8"/>
  <c r="Y26" i="8"/>
  <c r="Z26" i="8"/>
  <c r="AA26" i="8"/>
  <c r="AB26" i="8"/>
  <c r="AC26" i="8"/>
  <c r="AD26" i="8"/>
  <c r="AE26" i="8"/>
  <c r="AF26" i="8"/>
  <c r="AG26" i="8"/>
  <c r="AH26" i="8"/>
  <c r="AI26" i="8"/>
  <c r="AJ26" i="8"/>
  <c r="AK26" i="8"/>
  <c r="AL26" i="8"/>
  <c r="AM26" i="8"/>
  <c r="AN26" i="8"/>
  <c r="AO26" i="8"/>
  <c r="AP26" i="8"/>
  <c r="AQ26" i="8"/>
  <c r="F30" i="7"/>
  <c r="F31" i="7"/>
  <c r="F12" i="8"/>
  <c r="F27" i="7"/>
  <c r="F28" i="7"/>
  <c r="G25" i="7"/>
  <c r="D17" i="4"/>
  <c r="T12" i="8"/>
  <c r="T28" i="7"/>
  <c r="T27" i="7"/>
  <c r="T30" i="7"/>
  <c r="T31" i="7"/>
  <c r="I19" i="8"/>
  <c r="J19" i="8"/>
  <c r="K19" i="8"/>
  <c r="L19" i="8"/>
  <c r="M19" i="8"/>
  <c r="N19" i="8"/>
  <c r="O19" i="8"/>
  <c r="P19" i="8"/>
  <c r="Q19" i="8"/>
  <c r="R19" i="8"/>
  <c r="S19" i="8"/>
  <c r="T19" i="8"/>
  <c r="U19" i="8"/>
  <c r="V19" i="8"/>
  <c r="W19" i="8"/>
  <c r="X19" i="8"/>
  <c r="Y19" i="8"/>
  <c r="Z19" i="8"/>
  <c r="AA19" i="8"/>
  <c r="AB19" i="8"/>
  <c r="AC19" i="8"/>
  <c r="AD19" i="8"/>
  <c r="AE19" i="8"/>
  <c r="AF19" i="8"/>
  <c r="AG19" i="8"/>
  <c r="AH19" i="8"/>
  <c r="AI19" i="8"/>
  <c r="AJ19" i="8"/>
  <c r="AK19" i="8"/>
  <c r="AL19" i="8"/>
  <c r="AM19" i="8"/>
  <c r="AN19" i="8"/>
  <c r="AO19" i="8"/>
  <c r="AP19" i="8"/>
  <c r="AQ19" i="8"/>
  <c r="I21" i="8"/>
  <c r="J21" i="8"/>
  <c r="K21" i="8"/>
  <c r="L21" i="8"/>
  <c r="M21" i="8"/>
  <c r="N21" i="8"/>
  <c r="O21" i="8"/>
  <c r="P21" i="8"/>
  <c r="Q21" i="8"/>
  <c r="R21" i="8"/>
  <c r="S21" i="8"/>
  <c r="T21" i="8"/>
  <c r="U21" i="8"/>
  <c r="V21" i="8"/>
  <c r="W21" i="8"/>
  <c r="X21" i="8"/>
  <c r="Y21" i="8"/>
  <c r="Z21" i="8"/>
  <c r="AA21" i="8"/>
  <c r="AB21" i="8"/>
  <c r="AC21" i="8"/>
  <c r="AD21" i="8"/>
  <c r="AE21" i="8"/>
  <c r="AF21" i="8"/>
  <c r="AG21" i="8"/>
  <c r="AH21" i="8"/>
  <c r="AI21" i="8"/>
  <c r="AJ21" i="8"/>
  <c r="AK21" i="8"/>
  <c r="AL21" i="8"/>
  <c r="AM21" i="8"/>
  <c r="AN21" i="8"/>
  <c r="AO21" i="8"/>
  <c r="AP21" i="8"/>
  <c r="AQ21" i="8"/>
  <c r="B18" i="17"/>
  <c r="P27" i="7"/>
  <c r="P28" i="7"/>
  <c r="P30" i="7"/>
  <c r="P31" i="7"/>
  <c r="I25" i="8"/>
  <c r="J25" i="8"/>
  <c r="K25" i="8"/>
  <c r="L25" i="8"/>
  <c r="M25" i="8"/>
  <c r="N25" i="8"/>
  <c r="O25" i="8"/>
  <c r="P25" i="8"/>
  <c r="Q25" i="8"/>
  <c r="R25" i="8"/>
  <c r="S25" i="8"/>
  <c r="T25" i="8"/>
  <c r="U25" i="8"/>
  <c r="V25" i="8"/>
  <c r="W25" i="8"/>
  <c r="X25" i="8"/>
  <c r="Y25" i="8"/>
  <c r="Z25" i="8"/>
  <c r="AA25" i="8"/>
  <c r="AB25" i="8"/>
  <c r="AC25" i="8"/>
  <c r="AD25" i="8"/>
  <c r="AE25" i="8"/>
  <c r="AF25" i="8"/>
  <c r="AG25" i="8"/>
  <c r="AH25" i="8"/>
  <c r="AI25" i="8"/>
  <c r="AJ25" i="8"/>
  <c r="AK25" i="8"/>
  <c r="AL25" i="8"/>
  <c r="AM25" i="8"/>
  <c r="AN25" i="8"/>
  <c r="AO25" i="8"/>
  <c r="AP25" i="8"/>
  <c r="AQ25" i="8"/>
  <c r="I22" i="8"/>
  <c r="J22" i="8"/>
  <c r="K22" i="8"/>
  <c r="L22" i="8"/>
  <c r="M22" i="8"/>
  <c r="N22" i="8"/>
  <c r="O22" i="8"/>
  <c r="P22" i="8"/>
  <c r="Q22" i="8"/>
  <c r="R22" i="8"/>
  <c r="S22" i="8"/>
  <c r="T22" i="8"/>
  <c r="U22" i="8"/>
  <c r="V22" i="8"/>
  <c r="W22" i="8"/>
  <c r="X22" i="8"/>
  <c r="Y22" i="8"/>
  <c r="Z22" i="8"/>
  <c r="AA22" i="8"/>
  <c r="AB22" i="8"/>
  <c r="AC22" i="8"/>
  <c r="AD22" i="8"/>
  <c r="AE22" i="8"/>
  <c r="AF22" i="8"/>
  <c r="AG22" i="8"/>
  <c r="AH22" i="8"/>
  <c r="AI22" i="8"/>
  <c r="AJ22" i="8"/>
  <c r="AK22" i="8"/>
  <c r="AL22" i="8"/>
  <c r="AM22" i="8"/>
  <c r="AN22" i="8"/>
  <c r="AO22" i="8"/>
  <c r="AP22" i="8"/>
  <c r="AQ22" i="8"/>
  <c r="I29" i="8"/>
  <c r="X3" i="17"/>
  <c r="P3" i="17"/>
  <c r="H3" i="17"/>
  <c r="O3" i="17"/>
  <c r="F3" i="17"/>
  <c r="BJ3" i="16"/>
  <c r="BB3" i="16"/>
  <c r="AT3" i="16"/>
  <c r="AL3" i="16"/>
  <c r="AD3" i="16"/>
  <c r="V3" i="16"/>
  <c r="N3" i="16"/>
  <c r="W3" i="17"/>
  <c r="N3" i="17"/>
  <c r="E3" i="17"/>
  <c r="BI3" i="16"/>
  <c r="BA3" i="16"/>
  <c r="AS3" i="16"/>
  <c r="AK3" i="16"/>
  <c r="AC3" i="16"/>
  <c r="U3" i="16"/>
  <c r="S3" i="17"/>
  <c r="J3" i="17"/>
  <c r="Q3" i="17"/>
  <c r="B3" i="17"/>
  <c r="BK3" i="16"/>
  <c r="AY3" i="16"/>
  <c r="AO3" i="16"/>
  <c r="AE3" i="16"/>
  <c r="S3" i="16"/>
  <c r="J3" i="16"/>
  <c r="BH3" i="11"/>
  <c r="AZ3" i="11"/>
  <c r="AR3" i="11"/>
  <c r="AJ3" i="11"/>
  <c r="AB3" i="11"/>
  <c r="T3" i="11"/>
  <c r="L3" i="11"/>
  <c r="BK3" i="10"/>
  <c r="BC3" i="10"/>
  <c r="AU3" i="10"/>
  <c r="AM3" i="10"/>
  <c r="AE3" i="10"/>
  <c r="W3" i="10"/>
  <c r="O3" i="10"/>
  <c r="M3" i="17"/>
  <c r="BH3" i="16"/>
  <c r="AX3" i="16"/>
  <c r="AN3" i="16"/>
  <c r="AB3" i="16"/>
  <c r="R3" i="16"/>
  <c r="I3" i="16"/>
  <c r="BG3" i="11"/>
  <c r="AY3" i="11"/>
  <c r="AQ3" i="11"/>
  <c r="AI3" i="11"/>
  <c r="AA3" i="11"/>
  <c r="S3" i="11"/>
  <c r="K3" i="11"/>
  <c r="L3" i="17"/>
  <c r="BG3" i="16"/>
  <c r="AW3" i="16"/>
  <c r="AM3" i="16"/>
  <c r="AA3" i="16"/>
  <c r="Q3" i="16"/>
  <c r="BN3" i="11"/>
  <c r="BF3" i="11"/>
  <c r="AX3" i="11"/>
  <c r="AP3" i="11"/>
  <c r="AH3" i="11"/>
  <c r="Z3" i="11"/>
  <c r="R3" i="11"/>
  <c r="J3" i="11"/>
  <c r="R3" i="17"/>
  <c r="C3" i="17"/>
  <c r="BN3" i="16"/>
  <c r="AV3" i="16"/>
  <c r="AG3" i="16"/>
  <c r="O3" i="16"/>
  <c r="BD3" i="11"/>
  <c r="AS3" i="11"/>
  <c r="AE3" i="11"/>
  <c r="Q3" i="11"/>
  <c r="BG3" i="10"/>
  <c r="AX3" i="10"/>
  <c r="AO3" i="10"/>
  <c r="AF3" i="10"/>
  <c r="V3" i="10"/>
  <c r="M3" i="10"/>
  <c r="V3" i="17"/>
  <c r="BM3" i="16"/>
  <c r="AU3" i="16"/>
  <c r="AF3" i="16"/>
  <c r="M3" i="16"/>
  <c r="BC3" i="11"/>
  <c r="AO3" i="11"/>
  <c r="AD3" i="11"/>
  <c r="P3" i="11"/>
  <c r="BF3" i="10"/>
  <c r="AW3" i="10"/>
  <c r="AN3" i="10"/>
  <c r="AD3" i="10"/>
  <c r="U3" i="10"/>
  <c r="L3" i="10"/>
  <c r="U3" i="17"/>
  <c r="BL3" i="16"/>
  <c r="AR3" i="16"/>
  <c r="Z3" i="16"/>
  <c r="L3" i="16"/>
  <c r="BM3" i="11"/>
  <c r="BB3" i="11"/>
  <c r="AN3" i="11"/>
  <c r="AC3" i="11"/>
  <c r="O3" i="11"/>
  <c r="BN3" i="10"/>
  <c r="BE3" i="10"/>
  <c r="AV3" i="10"/>
  <c r="AL3" i="10"/>
  <c r="AC3" i="10"/>
  <c r="T3" i="10"/>
  <c r="K3" i="10"/>
  <c r="G3" i="17"/>
  <c r="BC3" i="16"/>
  <c r="AI3" i="16"/>
  <c r="T3" i="16"/>
  <c r="BI3" i="11"/>
  <c r="AU3" i="11"/>
  <c r="AG3" i="11"/>
  <c r="V3" i="11"/>
  <c r="BI3" i="10"/>
  <c r="AZ3" i="10"/>
  <c r="AQ3" i="10"/>
  <c r="AH3" i="10"/>
  <c r="Y3" i="10"/>
  <c r="P3" i="10"/>
  <c r="D3" i="17"/>
  <c r="AZ3" i="16"/>
  <c r="AH3" i="16"/>
  <c r="P3" i="16"/>
  <c r="BE3" i="11"/>
  <c r="AT3" i="11"/>
  <c r="AF3" i="11"/>
  <c r="U3" i="11"/>
  <c r="BH3" i="10"/>
  <c r="AY3" i="10"/>
  <c r="AP3" i="10"/>
  <c r="AG3" i="10"/>
  <c r="X3" i="10"/>
  <c r="N3" i="10"/>
  <c r="X3" i="16"/>
  <c r="BJ3" i="11"/>
  <c r="X3" i="11"/>
  <c r="BJ3" i="10"/>
  <c r="AJ3" i="10"/>
  <c r="J3" i="10"/>
  <c r="BI3" i="8"/>
  <c r="BA3" i="8"/>
  <c r="AS3" i="8"/>
  <c r="AK3" i="8"/>
  <c r="AC3" i="8"/>
  <c r="U3" i="8"/>
  <c r="M3" i="8"/>
  <c r="BM3" i="7"/>
  <c r="BE3" i="7"/>
  <c r="AW3" i="7"/>
  <c r="AO3" i="7"/>
  <c r="AG3" i="7"/>
  <c r="Y3" i="7"/>
  <c r="Q3" i="7"/>
  <c r="Q25" i="7"/>
  <c r="I3" i="7"/>
  <c r="I12" i="7"/>
  <c r="BF3" i="16"/>
  <c r="W3" i="16"/>
  <c r="BA3" i="11"/>
  <c r="W3" i="11"/>
  <c r="BD3" i="10"/>
  <c r="AI3" i="10"/>
  <c r="I3" i="10"/>
  <c r="BH3" i="8"/>
  <c r="AZ3" i="8"/>
  <c r="AR3" i="8"/>
  <c r="AJ3" i="8"/>
  <c r="AB3" i="8"/>
  <c r="T3" i="8"/>
  <c r="L3" i="8"/>
  <c r="BL3" i="7"/>
  <c r="BD3" i="7"/>
  <c r="AV3" i="7"/>
  <c r="AN3" i="7"/>
  <c r="AF3" i="7"/>
  <c r="X3" i="7"/>
  <c r="P3" i="7"/>
  <c r="P12" i="7"/>
  <c r="BE3" i="16"/>
  <c r="K3" i="16"/>
  <c r="AW3" i="11"/>
  <c r="N3" i="11"/>
  <c r="I3" i="17"/>
  <c r="AJ3" i="16"/>
  <c r="BL3" i="11"/>
  <c r="AK3" i="11"/>
  <c r="BM3" i="10"/>
  <c r="AR3" i="10"/>
  <c r="R3" i="10"/>
  <c r="BK3" i="8"/>
  <c r="BC3" i="8"/>
  <c r="AU3" i="8"/>
  <c r="AM3" i="8"/>
  <c r="AE3" i="8"/>
  <c r="W3" i="8"/>
  <c r="W28" i="8"/>
  <c r="X28" i="8"/>
  <c r="Y28" i="8"/>
  <c r="O3" i="8"/>
  <c r="BG3" i="7"/>
  <c r="AY3" i="7"/>
  <c r="AQ3" i="7"/>
  <c r="AI3" i="7"/>
  <c r="AA3" i="7"/>
  <c r="S3" i="7"/>
  <c r="K3" i="7"/>
  <c r="Y3" i="16"/>
  <c r="BK3" i="11"/>
  <c r="Y3" i="11"/>
  <c r="BL3" i="10"/>
  <c r="AK3" i="10"/>
  <c r="Q3" i="10"/>
  <c r="BJ3" i="8"/>
  <c r="BB3" i="8"/>
  <c r="AT3" i="8"/>
  <c r="AL3" i="8"/>
  <c r="AD3" i="8"/>
  <c r="V3" i="8"/>
  <c r="N3" i="8"/>
  <c r="AX3" i="7"/>
  <c r="AP3" i="8"/>
  <c r="R3" i="7"/>
  <c r="AR3" i="7"/>
  <c r="R3" i="8"/>
  <c r="AH3" i="8"/>
  <c r="AX3" i="8"/>
  <c r="N28" i="8"/>
  <c r="O28" i="8"/>
  <c r="S3" i="10"/>
  <c r="C14" i="7"/>
  <c r="C15" i="7"/>
  <c r="C32" i="8"/>
  <c r="T3" i="7"/>
  <c r="AE3" i="7"/>
  <c r="AS3" i="7"/>
  <c r="BF3" i="7"/>
  <c r="S3" i="8"/>
  <c r="S28" i="8"/>
  <c r="T28" i="8"/>
  <c r="U28" i="8"/>
  <c r="AI3" i="8"/>
  <c r="AY3" i="8"/>
  <c r="C11" i="8"/>
  <c r="I23" i="8"/>
  <c r="Z3" i="10"/>
  <c r="C25" i="17"/>
  <c r="I30" i="8"/>
  <c r="J30" i="8"/>
  <c r="K30" i="8"/>
  <c r="L30" i="8"/>
  <c r="M30" i="8"/>
  <c r="N30" i="8"/>
  <c r="O30" i="8"/>
  <c r="P30" i="8"/>
  <c r="Q30" i="8"/>
  <c r="R30" i="8"/>
  <c r="S30" i="8"/>
  <c r="T30" i="8"/>
  <c r="U30" i="8"/>
  <c r="V30" i="8"/>
  <c r="W30" i="8"/>
  <c r="X30" i="8"/>
  <c r="Y30" i="8"/>
  <c r="Z30" i="8"/>
  <c r="AA30" i="8"/>
  <c r="AB30" i="8"/>
  <c r="AC30" i="8"/>
  <c r="AD30" i="8"/>
  <c r="AE30" i="8"/>
  <c r="AF30" i="8"/>
  <c r="AG30" i="8"/>
  <c r="AH30" i="8"/>
  <c r="AI30" i="8"/>
  <c r="AJ30" i="8"/>
  <c r="AK30" i="8"/>
  <c r="AL30" i="8"/>
  <c r="AM30" i="8"/>
  <c r="AN30" i="8"/>
  <c r="AO30" i="8"/>
  <c r="AP30" i="8"/>
  <c r="AQ30" i="8"/>
  <c r="B27" i="17"/>
  <c r="C27" i="17"/>
  <c r="W3" i="7"/>
  <c r="L15" i="7"/>
  <c r="L16" i="7"/>
  <c r="L32" i="8"/>
  <c r="L11" i="8"/>
  <c r="U13" i="10"/>
  <c r="M13" i="10"/>
  <c r="V13" i="10"/>
  <c r="T13" i="10"/>
  <c r="S13" i="10"/>
  <c r="O13" i="10"/>
  <c r="N13" i="10"/>
  <c r="Q13" i="10"/>
  <c r="P13" i="10"/>
  <c r="U3" i="7"/>
  <c r="U25" i="7"/>
  <c r="AH3" i="7"/>
  <c r="AT3" i="7"/>
  <c r="BH3" i="7"/>
  <c r="X3" i="8"/>
  <c r="AN3" i="8"/>
  <c r="BD3" i="8"/>
  <c r="V29" i="17"/>
  <c r="N29" i="17"/>
  <c r="F29" i="17"/>
  <c r="P29" i="17"/>
  <c r="G29" i="17"/>
  <c r="X29" i="17"/>
  <c r="O29" i="17"/>
  <c r="E29" i="17"/>
  <c r="W29" i="17"/>
  <c r="K29" i="17"/>
  <c r="U29" i="17"/>
  <c r="J29" i="17"/>
  <c r="T29" i="17"/>
  <c r="I29" i="17"/>
  <c r="M29" i="17"/>
  <c r="B29" i="17"/>
  <c r="H29" i="17"/>
  <c r="D29" i="17"/>
  <c r="C29" i="17"/>
  <c r="L29" i="17"/>
  <c r="R29" i="17"/>
  <c r="Q29" i="17"/>
  <c r="AA3" i="10"/>
  <c r="I3" i="11"/>
  <c r="M3" i="11"/>
  <c r="AS3" i="10"/>
  <c r="AK3" i="7"/>
  <c r="Z3" i="8"/>
  <c r="Z28" i="8"/>
  <c r="AA28" i="8"/>
  <c r="AB28" i="8"/>
  <c r="AL3" i="11"/>
  <c r="AP3" i="16"/>
  <c r="M3" i="7"/>
  <c r="AL3" i="7"/>
  <c r="BK3" i="7"/>
  <c r="L17" i="7"/>
  <c r="L18" i="7"/>
  <c r="AQ3" i="8"/>
  <c r="I7" i="16"/>
  <c r="J7" i="16"/>
  <c r="K7" i="16"/>
  <c r="L7" i="16"/>
  <c r="M7" i="16"/>
  <c r="N7" i="16"/>
  <c r="O7" i="16"/>
  <c r="P7" i="16"/>
  <c r="Q7" i="16"/>
  <c r="R7" i="16"/>
  <c r="S7" i="16"/>
  <c r="T7" i="16"/>
  <c r="U7" i="16"/>
  <c r="V7" i="16"/>
  <c r="W7" i="16"/>
  <c r="X7" i="16"/>
  <c r="Y7" i="16"/>
  <c r="Z7" i="16"/>
  <c r="N3" i="7"/>
  <c r="AB3" i="7"/>
  <c r="AM3" i="7"/>
  <c r="BA3" i="7"/>
  <c r="BN3" i="7"/>
  <c r="P3" i="8"/>
  <c r="AF3" i="8"/>
  <c r="AV3" i="8"/>
  <c r="BL3" i="8"/>
  <c r="BA3" i="10"/>
  <c r="AV3" i="11"/>
  <c r="BD3" i="16"/>
  <c r="K3" i="17"/>
  <c r="J3" i="8"/>
  <c r="BF3" i="8"/>
  <c r="Z3" i="7"/>
  <c r="AZ3" i="7"/>
  <c r="M12" i="7"/>
  <c r="K3" i="8"/>
  <c r="K28" i="8"/>
  <c r="AA3" i="8"/>
  <c r="BG3" i="8"/>
  <c r="AT3" i="10"/>
  <c r="AM3" i="11"/>
  <c r="AQ3" i="16"/>
  <c r="H12" i="7"/>
  <c r="O3" i="7"/>
  <c r="AC3" i="7"/>
  <c r="AP3" i="7"/>
  <c r="BB3" i="7"/>
  <c r="D12" i="7"/>
  <c r="Q3" i="8"/>
  <c r="AG3" i="8"/>
  <c r="AW3" i="8"/>
  <c r="BM3" i="8"/>
  <c r="BB3" i="10"/>
  <c r="T3" i="17"/>
  <c r="L3" i="7"/>
  <c r="L25" i="7"/>
  <c r="BJ3" i="7"/>
  <c r="D9" i="4"/>
  <c r="J25" i="7"/>
  <c r="I28" i="7"/>
  <c r="AD3" i="7"/>
  <c r="BC3" i="7"/>
  <c r="I30" i="7"/>
  <c r="I31" i="7"/>
  <c r="BN3" i="8"/>
  <c r="I12" i="8"/>
  <c r="G15" i="16"/>
  <c r="H15" i="16"/>
  <c r="I15" i="16"/>
  <c r="J15" i="16"/>
  <c r="E10" i="9"/>
  <c r="F9" i="10"/>
  <c r="G9" i="10"/>
  <c r="H9" i="10"/>
  <c r="I9" i="10"/>
  <c r="J9" i="10"/>
  <c r="K9" i="10"/>
  <c r="L9" i="10"/>
  <c r="M9" i="10"/>
  <c r="M12" i="10"/>
  <c r="D24" i="8"/>
  <c r="E24"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AI24" i="8"/>
  <c r="AJ24" i="8"/>
  <c r="AK24" i="8"/>
  <c r="AL24" i="8"/>
  <c r="AM24" i="8"/>
  <c r="AN24" i="8"/>
  <c r="AO24" i="8"/>
  <c r="AP24" i="8"/>
  <c r="AQ24" i="8"/>
  <c r="B21" i="17"/>
  <c r="C21" i="17"/>
  <c r="D21" i="17"/>
  <c r="E21" i="17"/>
  <c r="F21" i="17"/>
  <c r="G21" i="17"/>
  <c r="H21" i="17"/>
  <c r="I21" i="17"/>
  <c r="J21" i="17"/>
  <c r="K21" i="17"/>
  <c r="L21" i="17"/>
  <c r="M21" i="17"/>
  <c r="N21" i="17"/>
  <c r="O21" i="17"/>
  <c r="P21" i="17"/>
  <c r="Q21" i="17"/>
  <c r="R21" i="17"/>
  <c r="S21" i="17"/>
  <c r="T21" i="17"/>
  <c r="U21" i="17"/>
  <c r="V21" i="17"/>
  <c r="W21" i="17"/>
  <c r="X21" i="17"/>
  <c r="V28" i="9"/>
  <c r="C26" i="17"/>
  <c r="H19" i="22"/>
  <c r="F36" i="18"/>
  <c r="H31" i="22"/>
  <c r="F48" i="18"/>
  <c r="G6" i="16"/>
  <c r="H6" i="16"/>
  <c r="I6" i="16"/>
  <c r="J6" i="16"/>
  <c r="K6" i="16"/>
  <c r="L6" i="16"/>
  <c r="M6" i="16"/>
  <c r="N6" i="16"/>
  <c r="O6" i="16"/>
  <c r="P6" i="16"/>
  <c r="Q6" i="16"/>
  <c r="R6" i="16"/>
  <c r="S6" i="16"/>
  <c r="T6" i="16"/>
  <c r="U6" i="16"/>
  <c r="V6" i="16"/>
  <c r="W6" i="16"/>
  <c r="X6" i="16"/>
  <c r="Y6" i="16"/>
  <c r="Z6" i="16"/>
  <c r="AA6" i="16"/>
  <c r="AB6" i="16"/>
  <c r="AC6" i="16"/>
  <c r="AD6" i="16"/>
  <c r="AE6" i="16"/>
  <c r="AF6" i="16"/>
  <c r="AG6" i="16"/>
  <c r="AH6" i="16"/>
  <c r="AI6" i="16"/>
  <c r="AJ6" i="16"/>
  <c r="AK6" i="16"/>
  <c r="AL6" i="16"/>
  <c r="AM6" i="16"/>
  <c r="AN6" i="16"/>
  <c r="AO6" i="16"/>
  <c r="AP6" i="16"/>
  <c r="AQ6" i="16"/>
  <c r="AR6" i="16"/>
  <c r="AS6" i="16"/>
  <c r="H9" i="22"/>
  <c r="F26" i="18"/>
  <c r="E9" i="11"/>
  <c r="F9" i="11"/>
  <c r="G9" i="11"/>
  <c r="H9" i="11"/>
  <c r="D22" i="16"/>
  <c r="E22" i="16"/>
  <c r="F22" i="16"/>
  <c r="G22" i="16"/>
  <c r="H22" i="16"/>
  <c r="I22" i="16"/>
  <c r="J22" i="16"/>
  <c r="K22" i="16"/>
  <c r="L22" i="16"/>
  <c r="M22" i="16"/>
  <c r="N22" i="16"/>
  <c r="O22" i="16"/>
  <c r="D21" i="16"/>
  <c r="E21" i="16"/>
  <c r="F21" i="16"/>
  <c r="G21" i="16"/>
  <c r="H21" i="16"/>
  <c r="I21" i="16"/>
  <c r="J21" i="16"/>
  <c r="K21" i="16"/>
  <c r="L21" i="16"/>
  <c r="M21" i="16"/>
  <c r="N21" i="16"/>
  <c r="O21" i="16"/>
  <c r="D13" i="16"/>
  <c r="E13" i="16"/>
  <c r="F13" i="16"/>
  <c r="G13" i="16"/>
  <c r="H13" i="16"/>
  <c r="I13" i="16"/>
  <c r="J13" i="16"/>
  <c r="K13" i="16"/>
  <c r="L13" i="16"/>
  <c r="M13" i="16"/>
  <c r="N13" i="16"/>
  <c r="O13" i="16"/>
  <c r="P13" i="16"/>
  <c r="Q13" i="16"/>
  <c r="R13" i="16"/>
  <c r="S13" i="16"/>
  <c r="T13" i="16"/>
  <c r="U13" i="16"/>
  <c r="V13" i="16"/>
  <c r="W13" i="16"/>
  <c r="X13" i="16"/>
  <c r="Y13" i="16"/>
  <c r="Z13" i="16"/>
  <c r="AA13" i="16"/>
  <c r="AB13" i="16"/>
  <c r="AC13" i="16"/>
  <c r="AD13" i="16"/>
  <c r="AE13" i="16"/>
  <c r="AF13" i="16"/>
  <c r="AG13" i="16"/>
  <c r="AH13" i="16"/>
  <c r="AI13" i="16"/>
  <c r="AJ13" i="16"/>
  <c r="AK13" i="16"/>
  <c r="AL13" i="16"/>
  <c r="AM13" i="16"/>
  <c r="AN13" i="16"/>
  <c r="AO13" i="16"/>
  <c r="AP13" i="16"/>
  <c r="AQ13" i="16"/>
  <c r="AR13" i="16"/>
  <c r="AS13" i="16"/>
  <c r="AT13" i="16"/>
  <c r="AU13" i="16"/>
  <c r="AV13" i="16"/>
  <c r="AW13" i="16"/>
  <c r="AX13" i="16"/>
  <c r="D23" i="16"/>
  <c r="E23" i="16"/>
  <c r="F23" i="16"/>
  <c r="G23" i="16"/>
  <c r="H23" i="16"/>
  <c r="I23" i="16"/>
  <c r="J23" i="16"/>
  <c r="K23" i="16"/>
  <c r="L23" i="16"/>
  <c r="M23" i="16"/>
  <c r="N23" i="16"/>
  <c r="O23" i="16"/>
  <c r="P23" i="16"/>
  <c r="Q23" i="16"/>
  <c r="R23" i="16"/>
  <c r="S23" i="16"/>
  <c r="T23" i="16"/>
  <c r="U23" i="16"/>
  <c r="V23" i="16"/>
  <c r="W23" i="16"/>
  <c r="X23" i="16"/>
  <c r="Y23" i="16"/>
  <c r="Z23" i="16"/>
  <c r="AA23" i="16"/>
  <c r="AB23" i="16"/>
  <c r="AC23" i="16"/>
  <c r="AD23" i="16"/>
  <c r="AE23" i="16"/>
  <c r="AF23" i="16"/>
  <c r="AG23" i="16"/>
  <c r="AH23" i="16"/>
  <c r="AI23" i="16"/>
  <c r="AJ23" i="16"/>
  <c r="AK23" i="16"/>
  <c r="AL23" i="16"/>
  <c r="AM23" i="16"/>
  <c r="AN23" i="16"/>
  <c r="AO23" i="16"/>
  <c r="AP23" i="16"/>
  <c r="AQ23" i="16"/>
  <c r="AR23" i="16"/>
  <c r="AS23" i="16"/>
  <c r="AT23" i="16"/>
  <c r="AU23" i="16"/>
  <c r="AV23" i="16"/>
  <c r="AW23" i="16"/>
  <c r="AX23" i="16"/>
  <c r="AY23" i="16"/>
  <c r="AZ23" i="16"/>
  <c r="BA23" i="16"/>
  <c r="BB23" i="16"/>
  <c r="BC23" i="16"/>
  <c r="BD23" i="16"/>
  <c r="D14" i="16"/>
  <c r="E14" i="16"/>
  <c r="F14" i="16"/>
  <c r="G14" i="16"/>
  <c r="H14" i="16"/>
  <c r="I14" i="16"/>
  <c r="J14" i="16"/>
  <c r="K14" i="16"/>
  <c r="L14" i="16"/>
  <c r="M14" i="16"/>
  <c r="N14" i="16"/>
  <c r="O14" i="16"/>
  <c r="P14" i="16"/>
  <c r="Q14" i="16"/>
  <c r="R14" i="16"/>
  <c r="S14" i="16"/>
  <c r="T14" i="16"/>
  <c r="U14" i="16"/>
  <c r="V14" i="16"/>
  <c r="W14" i="16"/>
  <c r="X14" i="16"/>
  <c r="Y14" i="16"/>
  <c r="Z14" i="16"/>
  <c r="AA14" i="16"/>
  <c r="AB14" i="16"/>
  <c r="AC14" i="16"/>
  <c r="AD14" i="16"/>
  <c r="AE14" i="16"/>
  <c r="AF14" i="16"/>
  <c r="AG14" i="16"/>
  <c r="AH14" i="16"/>
  <c r="AI14" i="16"/>
  <c r="AJ14" i="16"/>
  <c r="AK14" i="16"/>
  <c r="AL14" i="16"/>
  <c r="AM14" i="16"/>
  <c r="AN14" i="16"/>
  <c r="AO14" i="16"/>
  <c r="AP14" i="16"/>
  <c r="AQ14" i="16"/>
  <c r="AR14" i="16"/>
  <c r="AS14" i="16"/>
  <c r="AT14" i="16"/>
  <c r="AU14" i="16"/>
  <c r="AV14" i="16"/>
  <c r="AW14" i="16"/>
  <c r="AX14" i="16"/>
  <c r="AY14" i="16"/>
  <c r="D12" i="16"/>
  <c r="E12" i="16"/>
  <c r="F12" i="16"/>
  <c r="G12" i="16"/>
  <c r="H12" i="16"/>
  <c r="I12" i="16"/>
  <c r="J12" i="16"/>
  <c r="K12" i="16"/>
  <c r="L12" i="16"/>
  <c r="M12" i="16"/>
  <c r="N12" i="16"/>
  <c r="O12" i="16"/>
  <c r="P12" i="16"/>
  <c r="Q12" i="16"/>
  <c r="R12" i="16"/>
  <c r="S12" i="16"/>
  <c r="T12" i="16"/>
  <c r="U12" i="16"/>
  <c r="V12" i="16"/>
  <c r="W12" i="16"/>
  <c r="X12" i="16"/>
  <c r="Y12" i="16"/>
  <c r="Z12" i="16"/>
  <c r="D18" i="16"/>
  <c r="E18" i="16"/>
  <c r="F18" i="16"/>
  <c r="G18" i="16"/>
  <c r="H18" i="16"/>
  <c r="I18" i="16"/>
  <c r="J18" i="16"/>
  <c r="K18" i="16"/>
  <c r="L18" i="16"/>
  <c r="M18" i="16"/>
  <c r="N18" i="16"/>
  <c r="O18" i="16"/>
  <c r="P18" i="16"/>
  <c r="Q18" i="16"/>
  <c r="R18" i="16"/>
  <c r="S18" i="16"/>
  <c r="T18" i="16"/>
  <c r="U18" i="16"/>
  <c r="V18" i="16"/>
  <c r="W18" i="16"/>
  <c r="X18" i="16"/>
  <c r="Y18" i="16"/>
  <c r="Z18" i="16"/>
  <c r="D9" i="16"/>
  <c r="E9" i="16"/>
  <c r="F9" i="16"/>
  <c r="G9" i="16"/>
  <c r="H9" i="16"/>
  <c r="I9" i="16"/>
  <c r="J9" i="16"/>
  <c r="K9" i="16"/>
  <c r="L9" i="16"/>
  <c r="M9" i="16"/>
  <c r="N9" i="16"/>
  <c r="O9" i="16"/>
  <c r="P9" i="16"/>
  <c r="Q9" i="16"/>
  <c r="R9" i="16"/>
  <c r="S9" i="16"/>
  <c r="T9" i="16"/>
  <c r="U9" i="16"/>
  <c r="V9" i="16"/>
  <c r="W9" i="16"/>
  <c r="X9" i="16"/>
  <c r="Y9" i="16"/>
  <c r="Z9" i="16"/>
  <c r="D8" i="16"/>
  <c r="E8" i="16"/>
  <c r="F8" i="16"/>
  <c r="G8" i="16"/>
  <c r="H8" i="16"/>
  <c r="I8" i="16"/>
  <c r="J8" i="16"/>
  <c r="K8" i="16"/>
  <c r="L8" i="16"/>
  <c r="M8" i="16"/>
  <c r="N8" i="16"/>
  <c r="O8" i="16"/>
  <c r="J35" i="22"/>
  <c r="J40" i="22"/>
  <c r="H45" i="22"/>
  <c r="F62" i="18"/>
  <c r="J8" i="22"/>
  <c r="J14" i="22"/>
  <c r="F52" i="18"/>
  <c r="F57" i="18"/>
  <c r="H17" i="22"/>
  <c r="F34" i="18"/>
  <c r="H49" i="22"/>
  <c r="F66" i="18"/>
  <c r="J23" i="22"/>
  <c r="H28" i="22"/>
  <c r="F45" i="18"/>
  <c r="H13" i="22"/>
  <c r="F30" i="18"/>
  <c r="J18" i="22"/>
  <c r="F40" i="18"/>
  <c r="H10" i="22"/>
  <c r="F27" i="18"/>
  <c r="H21" i="22"/>
  <c r="F38" i="18"/>
  <c r="H36" i="22"/>
  <c r="F53" i="18"/>
  <c r="H51" i="22"/>
  <c r="F68" i="18"/>
  <c r="J22" i="22"/>
  <c r="H37" i="22"/>
  <c r="F54" i="18"/>
  <c r="J12" i="22"/>
  <c r="H27" i="22"/>
  <c r="F44" i="18"/>
  <c r="J44" i="22"/>
  <c r="F16" i="21"/>
  <c r="B10" i="22"/>
  <c r="J32" i="22"/>
  <c r="H41" i="22"/>
  <c r="F58" i="18"/>
  <c r="J55" i="22"/>
  <c r="J59" i="22"/>
  <c r="J63" i="22"/>
  <c r="J15" i="22"/>
  <c r="J24" i="22"/>
  <c r="H33" i="22"/>
  <c r="F50" i="18"/>
  <c r="J47" i="22"/>
  <c r="J56" i="22"/>
  <c r="J60" i="22"/>
  <c r="J64" i="22"/>
  <c r="J11" i="22"/>
  <c r="J20" i="22"/>
  <c r="H29" i="22"/>
  <c r="F46" i="18"/>
  <c r="J43" i="22"/>
  <c r="J52" i="22"/>
  <c r="F28" i="18"/>
  <c r="J16" i="22"/>
  <c r="F37" i="18"/>
  <c r="H25" i="22"/>
  <c r="F42" i="18"/>
  <c r="J39" i="22"/>
  <c r="F60" i="18"/>
  <c r="J48" i="22"/>
  <c r="F69" i="18"/>
  <c r="J53" i="22"/>
  <c r="F3" i="22"/>
  <c r="G3" i="22"/>
  <c r="J57" i="22"/>
  <c r="J61" i="22"/>
  <c r="J65" i="22"/>
  <c r="F70" i="18"/>
  <c r="J7" i="22"/>
  <c r="J26" i="22"/>
  <c r="J30" i="22"/>
  <c r="J34" i="22"/>
  <c r="J46" i="22"/>
  <c r="J50" i="22"/>
  <c r="J54" i="22"/>
  <c r="J58" i="22"/>
  <c r="J62" i="22"/>
  <c r="J66" i="22"/>
  <c r="J6" i="22"/>
  <c r="J5" i="22"/>
  <c r="F15" i="21"/>
  <c r="B11" i="22"/>
  <c r="M52" i="22"/>
  <c r="M32" i="22"/>
  <c r="M57" i="22"/>
  <c r="M15" i="22"/>
  <c r="M62" i="22"/>
  <c r="M6" i="22"/>
  <c r="R25" i="7"/>
  <c r="Q30" i="7"/>
  <c r="Q31" i="7"/>
  <c r="Q27" i="7"/>
  <c r="Q28" i="7"/>
  <c r="Q12" i="8"/>
  <c r="L12" i="8"/>
  <c r="L27" i="7"/>
  <c r="L31" i="8"/>
  <c r="L28" i="7"/>
  <c r="M25" i="7"/>
  <c r="L30" i="7"/>
  <c r="L31" i="7"/>
  <c r="I14" i="7"/>
  <c r="I31" i="8"/>
  <c r="J12" i="7"/>
  <c r="I11" i="8"/>
  <c r="U30" i="7"/>
  <c r="U31" i="7"/>
  <c r="U12" i="8"/>
  <c r="U27" i="7"/>
  <c r="U28" i="7"/>
  <c r="V25" i="7"/>
  <c r="Q12" i="7"/>
  <c r="P17" i="7"/>
  <c r="P18" i="7"/>
  <c r="P11" i="8"/>
  <c r="P15" i="7"/>
  <c r="P16" i="7"/>
  <c r="P32" i="8"/>
  <c r="P14" i="7"/>
  <c r="P31" i="8"/>
  <c r="J49" i="22"/>
  <c r="AA9" i="16"/>
  <c r="AB9" i="16"/>
  <c r="AC9" i="16"/>
  <c r="AD9" i="16"/>
  <c r="AE9" i="16"/>
  <c r="AF9" i="16"/>
  <c r="AG9" i="16"/>
  <c r="AH9" i="16"/>
  <c r="AI9" i="16"/>
  <c r="AJ9" i="16"/>
  <c r="AK9" i="16"/>
  <c r="AL9" i="16"/>
  <c r="AM9" i="16"/>
  <c r="AN9" i="16"/>
  <c r="AO9" i="16"/>
  <c r="AP9" i="16"/>
  <c r="AQ9" i="16"/>
  <c r="AR9" i="16"/>
  <c r="AS9" i="16"/>
  <c r="AT9" i="16"/>
  <c r="AU9" i="16"/>
  <c r="AV9" i="16"/>
  <c r="I9" i="11"/>
  <c r="J9" i="11"/>
  <c r="K9" i="11"/>
  <c r="L9" i="11"/>
  <c r="M9" i="11"/>
  <c r="N9" i="11"/>
  <c r="O9" i="11"/>
  <c r="P9" i="11"/>
  <c r="Q9" i="11"/>
  <c r="R9" i="11"/>
  <c r="S9" i="11"/>
  <c r="T9" i="11"/>
  <c r="U9" i="11"/>
  <c r="V9" i="11"/>
  <c r="W9" i="11"/>
  <c r="X9" i="11"/>
  <c r="Y9" i="11"/>
  <c r="Z9" i="11"/>
  <c r="C11" i="11"/>
  <c r="C17" i="7"/>
  <c r="V28" i="8"/>
  <c r="P28" i="8"/>
  <c r="Q28" i="8"/>
  <c r="R28" i="8"/>
  <c r="F17" i="8"/>
  <c r="C28" i="17"/>
  <c r="AT6" i="16"/>
  <c r="AU6" i="16"/>
  <c r="AV6" i="16"/>
  <c r="AW6" i="16"/>
  <c r="AX6" i="16"/>
  <c r="AY6" i="16"/>
  <c r="AZ6" i="16"/>
  <c r="BA6" i="16"/>
  <c r="BB6" i="16"/>
  <c r="BC6" i="16"/>
  <c r="BD6" i="16"/>
  <c r="BE6" i="16"/>
  <c r="BF6" i="16"/>
  <c r="BG6" i="16"/>
  <c r="BH6" i="16"/>
  <c r="BI6" i="16"/>
  <c r="BJ6" i="16"/>
  <c r="BK6" i="16"/>
  <c r="BL6" i="16"/>
  <c r="BM6" i="16"/>
  <c r="BN6" i="16"/>
  <c r="M16" i="10"/>
  <c r="L28" i="8"/>
  <c r="M28" i="8"/>
  <c r="J36" i="22"/>
  <c r="AA18" i="16"/>
  <c r="AB18" i="16"/>
  <c r="AC18" i="16"/>
  <c r="AD18" i="16"/>
  <c r="AE18" i="16"/>
  <c r="AF18" i="16"/>
  <c r="AG18" i="16"/>
  <c r="AH18" i="16"/>
  <c r="AI18" i="16"/>
  <c r="AJ18" i="16"/>
  <c r="AK18" i="16"/>
  <c r="AL18" i="16"/>
  <c r="AM18" i="16"/>
  <c r="AN18" i="16"/>
  <c r="AO18" i="16"/>
  <c r="AP18" i="16"/>
  <c r="AQ18" i="16"/>
  <c r="AR18" i="16"/>
  <c r="AS18" i="16"/>
  <c r="AT18" i="16"/>
  <c r="AU18" i="16"/>
  <c r="AV18" i="16"/>
  <c r="AW18" i="16"/>
  <c r="AX18" i="16"/>
  <c r="AY18" i="16"/>
  <c r="AZ18" i="16"/>
  <c r="BA18" i="16"/>
  <c r="J19" i="22"/>
  <c r="D11" i="8"/>
  <c r="D14" i="7"/>
  <c r="E12" i="7"/>
  <c r="AA7" i="16"/>
  <c r="AB7" i="16"/>
  <c r="AC7" i="16"/>
  <c r="AD7" i="16"/>
  <c r="AE7" i="16"/>
  <c r="AF7" i="16"/>
  <c r="AG7" i="16"/>
  <c r="AH7" i="16"/>
  <c r="AI7" i="16"/>
  <c r="AJ7" i="16"/>
  <c r="AK7" i="16"/>
  <c r="AL7" i="16"/>
  <c r="AM7" i="16"/>
  <c r="AN7" i="16"/>
  <c r="AO7" i="16"/>
  <c r="AP7" i="16"/>
  <c r="AQ7" i="16"/>
  <c r="AR7" i="16"/>
  <c r="AS7" i="16"/>
  <c r="AT7" i="16"/>
  <c r="AC28" i="8"/>
  <c r="AD28" i="8"/>
  <c r="D27" i="17"/>
  <c r="E27" i="17"/>
  <c r="F27" i="17"/>
  <c r="G27" i="17"/>
  <c r="H27" i="17"/>
  <c r="I27" i="17"/>
  <c r="J27" i="17"/>
  <c r="K27" i="17"/>
  <c r="L27" i="17"/>
  <c r="M27" i="17"/>
  <c r="N27" i="17"/>
  <c r="O27" i="17"/>
  <c r="P27" i="17"/>
  <c r="Q27" i="17"/>
  <c r="R27" i="17"/>
  <c r="S27" i="17"/>
  <c r="T27" i="17"/>
  <c r="U27" i="17"/>
  <c r="V27" i="17"/>
  <c r="W27" i="17"/>
  <c r="X27" i="17"/>
  <c r="B23" i="17"/>
  <c r="C23" i="17"/>
  <c r="D23" i="17"/>
  <c r="E23" i="17"/>
  <c r="F23" i="17"/>
  <c r="G23" i="17"/>
  <c r="H23" i="17"/>
  <c r="I23" i="17"/>
  <c r="J23" i="17"/>
  <c r="K23" i="17"/>
  <c r="L23" i="17"/>
  <c r="M23" i="17"/>
  <c r="N23" i="17"/>
  <c r="O23" i="17"/>
  <c r="P23" i="17"/>
  <c r="Q23" i="17"/>
  <c r="R23" i="17"/>
  <c r="S23" i="17"/>
  <c r="T23" i="17"/>
  <c r="U23" i="17"/>
  <c r="V23" i="17"/>
  <c r="W23" i="17"/>
  <c r="X23" i="17"/>
  <c r="F17" i="7"/>
  <c r="F18" i="7"/>
  <c r="O41" i="22"/>
  <c r="O32" i="22"/>
  <c r="J13" i="22"/>
  <c r="J17" i="22"/>
  <c r="J45" i="22"/>
  <c r="AA12" i="16"/>
  <c r="AB12" i="16"/>
  <c r="AC12" i="16"/>
  <c r="AD12" i="16"/>
  <c r="AE12" i="16"/>
  <c r="AF12" i="16"/>
  <c r="AG12" i="16"/>
  <c r="AH12" i="16"/>
  <c r="AI12" i="16"/>
  <c r="AJ12" i="16"/>
  <c r="AK12" i="16"/>
  <c r="AL12" i="16"/>
  <c r="AM12" i="16"/>
  <c r="AN12" i="16"/>
  <c r="AO12" i="16"/>
  <c r="AP12" i="16"/>
  <c r="AQ12" i="16"/>
  <c r="AR12" i="16"/>
  <c r="AS12" i="16"/>
  <c r="AT12" i="16"/>
  <c r="AU12" i="16"/>
  <c r="AV12" i="16"/>
  <c r="AW12" i="16"/>
  <c r="J9" i="22"/>
  <c r="D26" i="17"/>
  <c r="E26" i="17"/>
  <c r="F26" i="17"/>
  <c r="G26" i="17"/>
  <c r="H26" i="17"/>
  <c r="I26" i="17"/>
  <c r="J26" i="17"/>
  <c r="K26" i="17"/>
  <c r="L26" i="17"/>
  <c r="M26" i="17"/>
  <c r="N26" i="17"/>
  <c r="O26" i="17"/>
  <c r="P26" i="17"/>
  <c r="Q26" i="17"/>
  <c r="R26" i="17"/>
  <c r="S26" i="17"/>
  <c r="T26" i="17"/>
  <c r="U26" i="17"/>
  <c r="V26" i="17"/>
  <c r="W26" i="17"/>
  <c r="X26" i="17"/>
  <c r="D25" i="17"/>
  <c r="E25" i="17"/>
  <c r="F25" i="17"/>
  <c r="G25" i="17"/>
  <c r="H25" i="17"/>
  <c r="I25" i="17"/>
  <c r="J25" i="17"/>
  <c r="K25" i="17"/>
  <c r="L25" i="17"/>
  <c r="M25" i="17"/>
  <c r="N25" i="17"/>
  <c r="O25" i="17"/>
  <c r="P25" i="17"/>
  <c r="Q25" i="17"/>
  <c r="R25" i="17"/>
  <c r="S25" i="17"/>
  <c r="T25" i="17"/>
  <c r="U25" i="17"/>
  <c r="V25" i="17"/>
  <c r="W25" i="17"/>
  <c r="X25" i="17"/>
  <c r="C17" i="17"/>
  <c r="D17" i="17"/>
  <c r="E17" i="17"/>
  <c r="F17" i="17"/>
  <c r="G17" i="17"/>
  <c r="H17" i="17"/>
  <c r="I17" i="17"/>
  <c r="J17" i="17"/>
  <c r="K17" i="17"/>
  <c r="L17" i="17"/>
  <c r="M17" i="17"/>
  <c r="N17" i="17"/>
  <c r="O17" i="17"/>
  <c r="P17" i="17"/>
  <c r="Q17" i="17"/>
  <c r="R17" i="17"/>
  <c r="S17" i="17"/>
  <c r="T17" i="17"/>
  <c r="U17" i="17"/>
  <c r="V17" i="17"/>
  <c r="W17" i="17"/>
  <c r="X17" i="17"/>
  <c r="J21" i="22"/>
  <c r="I28" i="17"/>
  <c r="AZ14" i="16"/>
  <c r="BA14" i="16"/>
  <c r="BB14" i="16"/>
  <c r="BC14" i="16"/>
  <c r="BD14" i="16"/>
  <c r="BE14" i="16"/>
  <c r="BF14" i="16"/>
  <c r="BG14" i="16"/>
  <c r="BH14" i="16"/>
  <c r="BI14" i="16"/>
  <c r="BJ14" i="16"/>
  <c r="BK14" i="16"/>
  <c r="BL14" i="16"/>
  <c r="BM14" i="16"/>
  <c r="BN14" i="16"/>
  <c r="C18" i="17"/>
  <c r="D18" i="17"/>
  <c r="E18" i="17"/>
  <c r="F18" i="17"/>
  <c r="G18" i="17"/>
  <c r="H18" i="17"/>
  <c r="I18" i="17"/>
  <c r="J18" i="17"/>
  <c r="K18" i="17"/>
  <c r="L18" i="17"/>
  <c r="M18" i="17"/>
  <c r="N18" i="17"/>
  <c r="O18" i="17"/>
  <c r="P18" i="17"/>
  <c r="Q18" i="17"/>
  <c r="R18" i="17"/>
  <c r="S18" i="17"/>
  <c r="T18" i="17"/>
  <c r="U18" i="17"/>
  <c r="V18" i="17"/>
  <c r="W18" i="17"/>
  <c r="X18" i="17"/>
  <c r="G28" i="7"/>
  <c r="G27" i="7"/>
  <c r="G30" i="7"/>
  <c r="G31" i="7"/>
  <c r="G12" i="8"/>
  <c r="H25" i="7"/>
  <c r="C31" i="7"/>
  <c r="J33" i="22"/>
  <c r="J37" i="22"/>
  <c r="J29" i="22"/>
  <c r="J28" i="22"/>
  <c r="N28" i="17"/>
  <c r="BE23" i="16"/>
  <c r="BF23" i="16"/>
  <c r="BG23" i="16"/>
  <c r="BH23" i="16"/>
  <c r="BI23" i="16"/>
  <c r="BJ23" i="16"/>
  <c r="BK23" i="16"/>
  <c r="BL23" i="16"/>
  <c r="BM23" i="16"/>
  <c r="BN23" i="16"/>
  <c r="M14" i="10"/>
  <c r="J23" i="8"/>
  <c r="K23" i="8"/>
  <c r="L23" i="8"/>
  <c r="M23" i="8"/>
  <c r="N23" i="8"/>
  <c r="O23" i="8"/>
  <c r="P23" i="8"/>
  <c r="Q23" i="8"/>
  <c r="R23" i="8"/>
  <c r="S23" i="8"/>
  <c r="T23" i="8"/>
  <c r="U23" i="8"/>
  <c r="V23" i="8"/>
  <c r="W23" i="8"/>
  <c r="X23" i="8"/>
  <c r="Y23" i="8"/>
  <c r="Z23" i="8"/>
  <c r="AA23" i="8"/>
  <c r="AB23" i="8"/>
  <c r="AC23" i="8"/>
  <c r="AD23" i="8"/>
  <c r="AE23" i="8"/>
  <c r="AF23" i="8"/>
  <c r="AG23" i="8"/>
  <c r="AH23" i="8"/>
  <c r="AI23" i="8"/>
  <c r="AJ23" i="8"/>
  <c r="AK23" i="8"/>
  <c r="AL23" i="8"/>
  <c r="AM23" i="8"/>
  <c r="AN23" i="8"/>
  <c r="AO23" i="8"/>
  <c r="AP23" i="8"/>
  <c r="AQ23" i="8"/>
  <c r="B20" i="17"/>
  <c r="C20" i="17"/>
  <c r="D20" i="17"/>
  <c r="E20" i="17"/>
  <c r="F20" i="17"/>
  <c r="G20" i="17"/>
  <c r="H20" i="17"/>
  <c r="I20" i="17"/>
  <c r="J20" i="17"/>
  <c r="K20" i="17"/>
  <c r="L20" i="17"/>
  <c r="M20" i="17"/>
  <c r="N20" i="17"/>
  <c r="O20" i="17"/>
  <c r="P20" i="17"/>
  <c r="Q20" i="17"/>
  <c r="R20" i="17"/>
  <c r="S20" i="17"/>
  <c r="T20" i="17"/>
  <c r="U20" i="17"/>
  <c r="V20" i="17"/>
  <c r="W20" i="17"/>
  <c r="X20" i="17"/>
  <c r="B16" i="17"/>
  <c r="C16" i="17"/>
  <c r="D16" i="17"/>
  <c r="E16" i="17"/>
  <c r="F16" i="17"/>
  <c r="G16" i="17"/>
  <c r="H16" i="17"/>
  <c r="I16" i="17"/>
  <c r="J16" i="17"/>
  <c r="K16" i="17"/>
  <c r="L16" i="17"/>
  <c r="M16" i="17"/>
  <c r="N16" i="17"/>
  <c r="O16" i="17"/>
  <c r="P16" i="17"/>
  <c r="Q16" i="17"/>
  <c r="R16" i="17"/>
  <c r="S16" i="17"/>
  <c r="T16" i="17"/>
  <c r="U16" i="17"/>
  <c r="V16" i="17"/>
  <c r="W16" i="17"/>
  <c r="X16" i="17"/>
  <c r="D12" i="8"/>
  <c r="E25" i="7"/>
  <c r="D30" i="7"/>
  <c r="D31" i="7"/>
  <c r="D27" i="7"/>
  <c r="D28" i="7"/>
  <c r="R17" i="7"/>
  <c r="R18" i="7"/>
  <c r="D22" i="4"/>
  <c r="G11" i="4"/>
  <c r="J28" i="8"/>
  <c r="O18" i="8"/>
  <c r="J25" i="22"/>
  <c r="J10" i="22"/>
  <c r="H28" i="17"/>
  <c r="AY13" i="16"/>
  <c r="AZ13" i="16"/>
  <c r="BA13" i="16"/>
  <c r="BB13" i="16"/>
  <c r="BC13" i="16"/>
  <c r="BD13" i="16"/>
  <c r="BE13" i="16"/>
  <c r="BF13" i="16"/>
  <c r="BG13" i="16"/>
  <c r="BH13" i="16"/>
  <c r="BI13" i="16"/>
  <c r="BJ13" i="16"/>
  <c r="BK13" i="16"/>
  <c r="BL13" i="16"/>
  <c r="BM13" i="16"/>
  <c r="BN13" i="16"/>
  <c r="J29" i="8"/>
  <c r="K29" i="8"/>
  <c r="L29" i="8"/>
  <c r="M29" i="8"/>
  <c r="N29" i="8"/>
  <c r="O29" i="8"/>
  <c r="P29" i="8"/>
  <c r="Q29" i="8"/>
  <c r="R29" i="8"/>
  <c r="S29" i="8"/>
  <c r="T29" i="8"/>
  <c r="U29" i="8"/>
  <c r="V29" i="8"/>
  <c r="W29" i="8"/>
  <c r="X29" i="8"/>
  <c r="Y29" i="8"/>
  <c r="Z29" i="8"/>
  <c r="AA29" i="8"/>
  <c r="AB29" i="8"/>
  <c r="AC29" i="8"/>
  <c r="AD29" i="8"/>
  <c r="AE29" i="8"/>
  <c r="AF29" i="8"/>
  <c r="AG29" i="8"/>
  <c r="AH29" i="8"/>
  <c r="AI29" i="8"/>
  <c r="AJ29" i="8"/>
  <c r="AK29" i="8"/>
  <c r="AL29" i="8"/>
  <c r="AM29" i="8"/>
  <c r="AN29" i="8"/>
  <c r="AO29" i="8"/>
  <c r="AP29" i="8"/>
  <c r="AQ29" i="8"/>
  <c r="B24" i="17"/>
  <c r="C24" i="17"/>
  <c r="D24" i="17"/>
  <c r="E24" i="17"/>
  <c r="F24" i="17"/>
  <c r="G24" i="17"/>
  <c r="H24" i="17"/>
  <c r="I24" i="17"/>
  <c r="J24" i="17"/>
  <c r="K24" i="17"/>
  <c r="L24" i="17"/>
  <c r="M24" i="17"/>
  <c r="N24" i="17"/>
  <c r="O24" i="17"/>
  <c r="P24" i="17"/>
  <c r="Q24" i="17"/>
  <c r="R24" i="17"/>
  <c r="S24" i="17"/>
  <c r="T24" i="17"/>
  <c r="U24" i="17"/>
  <c r="V24" i="17"/>
  <c r="W24" i="17"/>
  <c r="X24" i="17"/>
  <c r="S14" i="7"/>
  <c r="S15" i="7"/>
  <c r="S16" i="7"/>
  <c r="S32" i="8"/>
  <c r="S11" i="8"/>
  <c r="S17" i="7"/>
  <c r="S18" i="7"/>
  <c r="T12" i="7"/>
  <c r="P21" i="16"/>
  <c r="Q21" i="16"/>
  <c r="R21" i="16"/>
  <c r="S21" i="16"/>
  <c r="T21" i="16"/>
  <c r="U21" i="16"/>
  <c r="V21" i="16"/>
  <c r="W21" i="16"/>
  <c r="X21" i="16"/>
  <c r="Y21" i="16"/>
  <c r="Z21" i="16"/>
  <c r="AA21" i="16"/>
  <c r="AB21" i="16"/>
  <c r="AC21" i="16"/>
  <c r="AD21" i="16"/>
  <c r="AE21" i="16"/>
  <c r="AF21" i="16"/>
  <c r="AG21" i="16"/>
  <c r="AH21" i="16"/>
  <c r="AI21" i="16"/>
  <c r="AJ21" i="16"/>
  <c r="AK21" i="16"/>
  <c r="AL21" i="16"/>
  <c r="AM21" i="16"/>
  <c r="AN21" i="16"/>
  <c r="AO21" i="16"/>
  <c r="AP21" i="16"/>
  <c r="AQ21" i="16"/>
  <c r="AR21" i="16"/>
  <c r="AS21" i="16"/>
  <c r="AT21" i="16"/>
  <c r="AU21" i="16"/>
  <c r="AV21" i="16"/>
  <c r="AW21" i="16"/>
  <c r="AX21" i="16"/>
  <c r="AY21" i="16"/>
  <c r="AZ21" i="16"/>
  <c r="BA21" i="16"/>
  <c r="BB21" i="16"/>
  <c r="J27" i="7"/>
  <c r="J28" i="7"/>
  <c r="J12" i="8"/>
  <c r="J30" i="7"/>
  <c r="J31" i="7"/>
  <c r="H11" i="8"/>
  <c r="H15" i="7"/>
  <c r="H16" i="7"/>
  <c r="H32" i="8"/>
  <c r="H14" i="7"/>
  <c r="M11" i="8"/>
  <c r="M14" i="7"/>
  <c r="M15" i="7"/>
  <c r="M16" i="7"/>
  <c r="N12" i="7"/>
  <c r="C31" i="8"/>
  <c r="B19" i="17"/>
  <c r="C19" i="17"/>
  <c r="D19" i="17"/>
  <c r="E19" i="17"/>
  <c r="F19" i="17"/>
  <c r="G19" i="17"/>
  <c r="H19" i="17"/>
  <c r="I19" i="17"/>
  <c r="J19" i="17"/>
  <c r="K19" i="17"/>
  <c r="L19" i="17"/>
  <c r="M19" i="17"/>
  <c r="N19" i="17"/>
  <c r="O19" i="17"/>
  <c r="P19" i="17"/>
  <c r="Q19" i="17"/>
  <c r="R19" i="17"/>
  <c r="S19" i="17"/>
  <c r="T19" i="17"/>
  <c r="U19" i="17"/>
  <c r="V19" i="17"/>
  <c r="W19" i="17"/>
  <c r="X19" i="17"/>
  <c r="F31" i="8"/>
  <c r="G11" i="8"/>
  <c r="G15" i="7"/>
  <c r="G16" i="7"/>
  <c r="G32" i="8"/>
  <c r="G14" i="7"/>
  <c r="G31" i="8"/>
  <c r="J41" i="22"/>
  <c r="J27" i="22"/>
  <c r="J51" i="22"/>
  <c r="P8" i="16"/>
  <c r="Q8" i="16"/>
  <c r="R8" i="16"/>
  <c r="S8" i="16"/>
  <c r="T8" i="16"/>
  <c r="U8" i="16"/>
  <c r="V8" i="16"/>
  <c r="W8" i="16"/>
  <c r="X8" i="16"/>
  <c r="Y8" i="16"/>
  <c r="Z8" i="16"/>
  <c r="AA8" i="16"/>
  <c r="AB8" i="16"/>
  <c r="AC8" i="16"/>
  <c r="AD8" i="16"/>
  <c r="AE8" i="16"/>
  <c r="AF8" i="16"/>
  <c r="AG8" i="16"/>
  <c r="AH8" i="16"/>
  <c r="AI8" i="16"/>
  <c r="AJ8" i="16"/>
  <c r="AK8" i="16"/>
  <c r="AL8" i="16"/>
  <c r="AM8" i="16"/>
  <c r="AN8" i="16"/>
  <c r="AO8" i="16"/>
  <c r="AP8" i="16"/>
  <c r="AQ8" i="16"/>
  <c r="AR8" i="16"/>
  <c r="AS8" i="16"/>
  <c r="AT8" i="16"/>
  <c r="AU8" i="16"/>
  <c r="P22" i="16"/>
  <c r="Q22" i="16"/>
  <c r="R22" i="16"/>
  <c r="S22" i="16"/>
  <c r="T22" i="16"/>
  <c r="U22" i="16"/>
  <c r="V22" i="16"/>
  <c r="W22" i="16"/>
  <c r="X22" i="16"/>
  <c r="Y22" i="16"/>
  <c r="Z22" i="16"/>
  <c r="AA22" i="16"/>
  <c r="AB22" i="16"/>
  <c r="AC22" i="16"/>
  <c r="AD22" i="16"/>
  <c r="AE22" i="16"/>
  <c r="AF22" i="16"/>
  <c r="AG22" i="16"/>
  <c r="AH22" i="16"/>
  <c r="AI22" i="16"/>
  <c r="AJ22" i="16"/>
  <c r="AK22" i="16"/>
  <c r="AL22" i="16"/>
  <c r="AM22" i="16"/>
  <c r="AN22" i="16"/>
  <c r="AO22" i="16"/>
  <c r="AP22" i="16"/>
  <c r="AQ22" i="16"/>
  <c r="AR22" i="16"/>
  <c r="AS22" i="16"/>
  <c r="AT22" i="16"/>
  <c r="AU22" i="16"/>
  <c r="AV22" i="16"/>
  <c r="AW22" i="16"/>
  <c r="AX22" i="16"/>
  <c r="AY22" i="16"/>
  <c r="AZ22" i="16"/>
  <c r="BA22" i="16"/>
  <c r="BB22" i="16"/>
  <c r="BC22" i="16"/>
  <c r="J31" i="22"/>
  <c r="K15" i="16"/>
  <c r="L15" i="16"/>
  <c r="M15" i="16"/>
  <c r="N15" i="16"/>
  <c r="O15" i="16"/>
  <c r="P15" i="16"/>
  <c r="Q15" i="16"/>
  <c r="R15" i="16"/>
  <c r="S15" i="16"/>
  <c r="T15" i="16"/>
  <c r="U15" i="16"/>
  <c r="V15" i="16"/>
  <c r="W15" i="16"/>
  <c r="X15" i="16"/>
  <c r="Y15" i="16"/>
  <c r="Z15" i="16"/>
  <c r="AA15" i="16"/>
  <c r="AB15" i="16"/>
  <c r="AC15" i="16"/>
  <c r="AD15" i="16"/>
  <c r="AE15" i="16"/>
  <c r="AF15" i="16"/>
  <c r="AG15" i="16"/>
  <c r="AH15" i="16"/>
  <c r="AI15" i="16"/>
  <c r="AJ15" i="16"/>
  <c r="AK15" i="16"/>
  <c r="AL15" i="16"/>
  <c r="AM15" i="16"/>
  <c r="AN15" i="16"/>
  <c r="AO15" i="16"/>
  <c r="AP15" i="16"/>
  <c r="AQ15" i="16"/>
  <c r="AR15" i="16"/>
  <c r="AS15" i="16"/>
  <c r="AT15" i="16"/>
  <c r="AU15" i="16"/>
  <c r="AV15" i="16"/>
  <c r="AW15" i="16"/>
  <c r="AX15" i="16"/>
  <c r="AY15" i="16"/>
  <c r="AZ15" i="16"/>
  <c r="B22" i="17"/>
  <c r="C22" i="17"/>
  <c r="D22" i="17"/>
  <c r="E22" i="17"/>
  <c r="F22" i="17"/>
  <c r="G22" i="17"/>
  <c r="H22" i="17"/>
  <c r="I22" i="17"/>
  <c r="J22" i="17"/>
  <c r="K22" i="17"/>
  <c r="L22" i="17"/>
  <c r="M22" i="17"/>
  <c r="N22" i="17"/>
  <c r="O22" i="17"/>
  <c r="P22" i="17"/>
  <c r="Q22" i="17"/>
  <c r="R22" i="17"/>
  <c r="S22" i="17"/>
  <c r="T22" i="17"/>
  <c r="U22" i="17"/>
  <c r="V22" i="17"/>
  <c r="W22" i="17"/>
  <c r="X22" i="17"/>
  <c r="O15" i="7"/>
  <c r="O16" i="7"/>
  <c r="M32" i="8"/>
  <c r="M17" i="7"/>
  <c r="M18" i="7"/>
  <c r="E11" i="8"/>
  <c r="E14" i="7"/>
  <c r="E15" i="7"/>
  <c r="E16" i="7"/>
  <c r="H17" i="7"/>
  <c r="H18" i="7"/>
  <c r="T15" i="7"/>
  <c r="T16" i="7"/>
  <c r="T32" i="8"/>
  <c r="T11" i="8"/>
  <c r="U12" i="7"/>
  <c r="T14" i="7"/>
  <c r="T31" i="8"/>
  <c r="H27" i="7"/>
  <c r="H30" i="7"/>
  <c r="H31" i="7"/>
  <c r="H12" i="8"/>
  <c r="H28" i="7"/>
  <c r="D31" i="8"/>
  <c r="C18" i="7"/>
  <c r="J14" i="7"/>
  <c r="J31" i="8"/>
  <c r="K12" i="7"/>
  <c r="J11" i="8"/>
  <c r="J17" i="7"/>
  <c r="J18" i="7"/>
  <c r="J15" i="7"/>
  <c r="J16" i="7"/>
  <c r="J32" i="8"/>
  <c r="J28" i="17"/>
  <c r="BA15" i="16"/>
  <c r="BB15" i="16"/>
  <c r="BC15" i="16"/>
  <c r="BD15" i="16"/>
  <c r="BE15" i="16"/>
  <c r="BF15" i="16"/>
  <c r="BG15" i="16"/>
  <c r="BH15" i="16"/>
  <c r="BI15" i="16"/>
  <c r="BJ15" i="16"/>
  <c r="BK15" i="16"/>
  <c r="BL15" i="16"/>
  <c r="BM15" i="16"/>
  <c r="BN15" i="16"/>
  <c r="N11" i="8"/>
  <c r="N14" i="7"/>
  <c r="N15" i="7"/>
  <c r="N16" i="7"/>
  <c r="AX12" i="16"/>
  <c r="AY12" i="16"/>
  <c r="AZ12" i="16"/>
  <c r="BA12" i="16"/>
  <c r="BB12" i="16"/>
  <c r="BC12" i="16"/>
  <c r="BD12" i="16"/>
  <c r="BE12" i="16"/>
  <c r="BF12" i="16"/>
  <c r="BG12" i="16"/>
  <c r="BH12" i="16"/>
  <c r="BI12" i="16"/>
  <c r="BJ12" i="16"/>
  <c r="BK12" i="16"/>
  <c r="BL12" i="16"/>
  <c r="BM12" i="16"/>
  <c r="BN12" i="16"/>
  <c r="G28" i="17"/>
  <c r="G12" i="13"/>
  <c r="C12" i="13"/>
  <c r="C14" i="11"/>
  <c r="K12" i="13"/>
  <c r="Q11" i="8"/>
  <c r="Q15" i="7"/>
  <c r="Q16" i="7"/>
  <c r="Q32" i="8"/>
  <c r="Q14" i="7"/>
  <c r="Q31" i="8"/>
  <c r="E30" i="7"/>
  <c r="E31" i="7"/>
  <c r="E12" i="8"/>
  <c r="E27" i="7"/>
  <c r="E28" i="7"/>
  <c r="D15" i="7"/>
  <c r="D16" i="7"/>
  <c r="AW9" i="16"/>
  <c r="AX9" i="16"/>
  <c r="AY9" i="16"/>
  <c r="AZ9" i="16"/>
  <c r="BA9" i="16"/>
  <c r="BB9" i="16"/>
  <c r="BC9" i="16"/>
  <c r="BD9" i="16"/>
  <c r="BE9" i="16"/>
  <c r="BF9" i="16"/>
  <c r="BG9" i="16"/>
  <c r="BH9" i="16"/>
  <c r="BI9" i="16"/>
  <c r="BJ9" i="16"/>
  <c r="BK9" i="16"/>
  <c r="BL9" i="16"/>
  <c r="BM9" i="16"/>
  <c r="BN9" i="16"/>
  <c r="F28" i="17"/>
  <c r="V30" i="7"/>
  <c r="V31" i="7"/>
  <c r="V12" i="8"/>
  <c r="V27" i="7"/>
  <c r="V28" i="7"/>
  <c r="W25" i="7"/>
  <c r="I15" i="7"/>
  <c r="I16" i="7"/>
  <c r="O32" i="8"/>
  <c r="O17" i="7"/>
  <c r="O18" i="7"/>
  <c r="C57" i="7"/>
  <c r="C58" i="7"/>
  <c r="C9" i="5"/>
  <c r="P18" i="8"/>
  <c r="M28" i="17"/>
  <c r="BD22" i="16"/>
  <c r="BE22" i="16"/>
  <c r="BF22" i="16"/>
  <c r="BG22" i="16"/>
  <c r="BH22" i="16"/>
  <c r="BI22" i="16"/>
  <c r="BJ22" i="16"/>
  <c r="BK22" i="16"/>
  <c r="BL22" i="16"/>
  <c r="BM22" i="16"/>
  <c r="BN22" i="16"/>
  <c r="G17" i="7"/>
  <c r="G18" i="7"/>
  <c r="R37" i="8"/>
  <c r="P37" i="8"/>
  <c r="M15" i="10"/>
  <c r="M17" i="10"/>
  <c r="T37" i="8"/>
  <c r="O37" i="8"/>
  <c r="N37" i="8"/>
  <c r="S37" i="8"/>
  <c r="Q37" i="8"/>
  <c r="V37" i="8"/>
  <c r="U37" i="8"/>
  <c r="M37" i="8"/>
  <c r="AV8" i="16"/>
  <c r="AW8" i="16"/>
  <c r="AX8" i="16"/>
  <c r="AY8" i="16"/>
  <c r="AZ8" i="16"/>
  <c r="BA8" i="16"/>
  <c r="BB8" i="16"/>
  <c r="BC8" i="16"/>
  <c r="BD8" i="16"/>
  <c r="BE8" i="16"/>
  <c r="BF8" i="16"/>
  <c r="BG8" i="16"/>
  <c r="BH8" i="16"/>
  <c r="BI8" i="16"/>
  <c r="BJ8" i="16"/>
  <c r="BK8" i="16"/>
  <c r="BL8" i="16"/>
  <c r="BM8" i="16"/>
  <c r="BN8" i="16"/>
  <c r="E28" i="17"/>
  <c r="H31" i="8"/>
  <c r="L28" i="17"/>
  <c r="BC21" i="16"/>
  <c r="BD21" i="16"/>
  <c r="BE21" i="16"/>
  <c r="BF21" i="16"/>
  <c r="BG21" i="16"/>
  <c r="BH21" i="16"/>
  <c r="BI21" i="16"/>
  <c r="BJ21" i="16"/>
  <c r="BK21" i="16"/>
  <c r="BL21" i="16"/>
  <c r="BM21" i="16"/>
  <c r="BN21" i="16"/>
  <c r="F39" i="8"/>
  <c r="F57" i="7"/>
  <c r="F58" i="7"/>
  <c r="G17" i="8"/>
  <c r="AU7" i="16"/>
  <c r="AV7" i="16"/>
  <c r="AW7" i="16"/>
  <c r="AX7" i="16"/>
  <c r="AY7" i="16"/>
  <c r="AZ7" i="16"/>
  <c r="BA7" i="16"/>
  <c r="BB7" i="16"/>
  <c r="BC7" i="16"/>
  <c r="BD7" i="16"/>
  <c r="BE7" i="16"/>
  <c r="BF7" i="16"/>
  <c r="BG7" i="16"/>
  <c r="BH7" i="16"/>
  <c r="BI7" i="16"/>
  <c r="BJ7" i="16"/>
  <c r="BK7" i="16"/>
  <c r="BL7" i="16"/>
  <c r="BM7" i="16"/>
  <c r="BN7" i="16"/>
  <c r="D28" i="17"/>
  <c r="K28" i="17"/>
  <c r="BB18" i="16"/>
  <c r="BC18" i="16"/>
  <c r="BD18" i="16"/>
  <c r="BE18" i="16"/>
  <c r="BF18" i="16"/>
  <c r="BG18" i="16"/>
  <c r="BH18" i="16"/>
  <c r="BI18" i="16"/>
  <c r="BJ18" i="16"/>
  <c r="BK18" i="16"/>
  <c r="BL18" i="16"/>
  <c r="BM18" i="16"/>
  <c r="BN18" i="16"/>
  <c r="M30" i="7"/>
  <c r="M31" i="7"/>
  <c r="M12" i="8"/>
  <c r="M27" i="7"/>
  <c r="M28" i="7"/>
  <c r="N25" i="7"/>
  <c r="R27" i="7"/>
  <c r="R31" i="8"/>
  <c r="S25" i="7"/>
  <c r="R12" i="8"/>
  <c r="R30" i="7"/>
  <c r="R31" i="7"/>
  <c r="R28" i="7"/>
  <c r="N32" i="8"/>
  <c r="N17" i="7"/>
  <c r="N18" i="7"/>
  <c r="E32" i="8"/>
  <c r="E17" i="7"/>
  <c r="E18" i="7"/>
  <c r="G39" i="8"/>
  <c r="G57" i="7"/>
  <c r="G58" i="7"/>
  <c r="H17" i="8"/>
  <c r="M31" i="8"/>
  <c r="M39" i="8"/>
  <c r="M57" i="7"/>
  <c r="M58" i="7"/>
  <c r="T17" i="7"/>
  <c r="T18" i="7"/>
  <c r="N14" i="10"/>
  <c r="N12" i="10"/>
  <c r="D32" i="8"/>
  <c r="D39" i="8"/>
  <c r="D17" i="7"/>
  <c r="Q17" i="7"/>
  <c r="Q18" i="7"/>
  <c r="P39" i="8"/>
  <c r="P57" i="7"/>
  <c r="P58" i="7"/>
  <c r="Q18" i="8"/>
  <c r="W28" i="7"/>
  <c r="W27" i="7"/>
  <c r="W12" i="8"/>
  <c r="X25" i="7"/>
  <c r="W30" i="7"/>
  <c r="W31" i="7"/>
  <c r="S12" i="8"/>
  <c r="S30" i="7"/>
  <c r="S31" i="7"/>
  <c r="S28" i="7"/>
  <c r="S27" i="7"/>
  <c r="S31" i="8"/>
  <c r="C26" i="13"/>
  <c r="C41" i="13"/>
  <c r="C23" i="13"/>
  <c r="C38" i="13"/>
  <c r="C25" i="13"/>
  <c r="C40" i="13"/>
  <c r="C27" i="13"/>
  <c r="C42" i="13"/>
  <c r="C30" i="13"/>
  <c r="C45" i="13"/>
  <c r="C29" i="13"/>
  <c r="C44" i="13"/>
  <c r="C28" i="13"/>
  <c r="C43" i="13"/>
  <c r="C24" i="13"/>
  <c r="C39" i="13"/>
  <c r="K14" i="7"/>
  <c r="K31" i="8"/>
  <c r="K11" i="8"/>
  <c r="I32" i="8"/>
  <c r="I17" i="7"/>
  <c r="I18" i="7"/>
  <c r="K25" i="13"/>
  <c r="K38" i="13"/>
  <c r="K22" i="13"/>
  <c r="K35" i="13"/>
  <c r="K20" i="13"/>
  <c r="K33" i="13"/>
  <c r="Z34" i="8"/>
  <c r="K24" i="13"/>
  <c r="K37" i="13"/>
  <c r="K21" i="13"/>
  <c r="K34" i="13"/>
  <c r="AA34" i="8"/>
  <c r="K23" i="13"/>
  <c r="K36" i="13"/>
  <c r="C10" i="5"/>
  <c r="D9" i="5"/>
  <c r="C18" i="11"/>
  <c r="C16" i="11"/>
  <c r="N30" i="7"/>
  <c r="N31" i="7"/>
  <c r="N12" i="8"/>
  <c r="O25" i="7"/>
  <c r="N27" i="7"/>
  <c r="N28" i="7"/>
  <c r="G23" i="13"/>
  <c r="G37" i="13"/>
  <c r="G25" i="13"/>
  <c r="G39" i="13"/>
  <c r="G24" i="13"/>
  <c r="G38" i="13"/>
  <c r="G26" i="13"/>
  <c r="G40" i="13"/>
  <c r="G21" i="13"/>
  <c r="G35" i="13"/>
  <c r="G22" i="13"/>
  <c r="G36" i="13"/>
  <c r="U11" i="8"/>
  <c r="U14" i="7"/>
  <c r="U31" i="8"/>
  <c r="U15" i="7"/>
  <c r="U16" i="7"/>
  <c r="U32" i="8"/>
  <c r="V12" i="7"/>
  <c r="E31" i="8"/>
  <c r="E39" i="8"/>
  <c r="E57" i="7"/>
  <c r="E58" i="7"/>
  <c r="D57" i="7"/>
  <c r="D58" i="7"/>
  <c r="V17" i="7"/>
  <c r="V18" i="7"/>
  <c r="V15" i="7"/>
  <c r="V16" i="7"/>
  <c r="V32" i="8"/>
  <c r="V11" i="8"/>
  <c r="W12" i="7"/>
  <c r="V14" i="7"/>
  <c r="V31" i="8"/>
  <c r="D16" i="11"/>
  <c r="C17" i="11"/>
  <c r="C19" i="11"/>
  <c r="D14" i="11"/>
  <c r="AH34" i="8"/>
  <c r="AJ34" i="8"/>
  <c r="AK34" i="8"/>
  <c r="AI34" i="8"/>
  <c r="K15" i="7"/>
  <c r="K16" i="7"/>
  <c r="N17" i="10"/>
  <c r="N16" i="10"/>
  <c r="R18" i="8"/>
  <c r="Q39" i="8"/>
  <c r="Q57" i="7"/>
  <c r="Q58" i="7"/>
  <c r="AP34" i="8"/>
  <c r="AN34" i="8"/>
  <c r="AM34" i="8"/>
  <c r="AL34" i="8"/>
  <c r="AQ34" i="8"/>
  <c r="AO34" i="8"/>
  <c r="O28" i="7"/>
  <c r="O27" i="7"/>
  <c r="O31" i="8"/>
  <c r="O39" i="8"/>
  <c r="O57" i="7"/>
  <c r="O58" i="7"/>
  <c r="O12" i="8"/>
  <c r="O30" i="7"/>
  <c r="O31" i="7"/>
  <c r="N31" i="8"/>
  <c r="N39" i="8"/>
  <c r="N57" i="7"/>
  <c r="N58" i="7"/>
  <c r="X27" i="7"/>
  <c r="Y25" i="7"/>
  <c r="X30" i="7"/>
  <c r="X31" i="7"/>
  <c r="X28" i="7"/>
  <c r="X12" i="8"/>
  <c r="N15" i="10"/>
  <c r="AB34" i="8"/>
  <c r="AD34" i="8"/>
  <c r="AC34" i="8"/>
  <c r="U17" i="7"/>
  <c r="U18" i="7"/>
  <c r="AF34" i="8"/>
  <c r="AG34" i="8"/>
  <c r="AE34" i="8"/>
  <c r="H39" i="8"/>
  <c r="H57" i="7"/>
  <c r="H58" i="7"/>
  <c r="I17" i="8"/>
  <c r="K32" i="8"/>
  <c r="K17" i="7"/>
  <c r="X12" i="7"/>
  <c r="W11" i="8"/>
  <c r="W14" i="7"/>
  <c r="W31" i="8"/>
  <c r="J17" i="8"/>
  <c r="I39" i="8"/>
  <c r="I57" i="7"/>
  <c r="I58" i="7"/>
  <c r="R39" i="8"/>
  <c r="R57" i="7"/>
  <c r="R58" i="7"/>
  <c r="S18" i="8"/>
  <c r="D18" i="11"/>
  <c r="D17" i="11"/>
  <c r="D19" i="11"/>
  <c r="E14" i="11"/>
  <c r="W30" i="17"/>
  <c r="O30" i="17"/>
  <c r="G30" i="17"/>
  <c r="T30" i="17"/>
  <c r="K30" i="17"/>
  <c r="B30" i="17"/>
  <c r="S30" i="17"/>
  <c r="J30" i="17"/>
  <c r="M30" i="17"/>
  <c r="X30" i="17"/>
  <c r="L30" i="17"/>
  <c r="V30" i="17"/>
  <c r="I30" i="17"/>
  <c r="P30" i="17"/>
  <c r="D30" i="17"/>
  <c r="H30" i="17"/>
  <c r="F30" i="17"/>
  <c r="E30" i="17"/>
  <c r="N30" i="17"/>
  <c r="U30" i="17"/>
  <c r="R30" i="17"/>
  <c r="Q30" i="17"/>
  <c r="C30" i="17"/>
  <c r="E16" i="11"/>
  <c r="Z25" i="7"/>
  <c r="Y28" i="7"/>
  <c r="Y27" i="7"/>
  <c r="Y30" i="7"/>
  <c r="Y31" i="7"/>
  <c r="Y12" i="8"/>
  <c r="O12" i="10"/>
  <c r="O14" i="10"/>
  <c r="E18" i="11"/>
  <c r="Z27" i="7"/>
  <c r="Z28" i="7"/>
  <c r="AA25" i="7"/>
  <c r="Z12" i="8"/>
  <c r="Z30" i="7"/>
  <c r="Z31" i="7"/>
  <c r="W15" i="7"/>
  <c r="W16" i="7"/>
  <c r="S39" i="8"/>
  <c r="S57" i="7"/>
  <c r="S58" i="7"/>
  <c r="T18" i="8"/>
  <c r="J39" i="8"/>
  <c r="J57" i="7"/>
  <c r="J58" i="7"/>
  <c r="K17" i="8"/>
  <c r="O16" i="10"/>
  <c r="O15" i="10"/>
  <c r="O17" i="10"/>
  <c r="F16" i="11"/>
  <c r="E17" i="11"/>
  <c r="E19" i="11"/>
  <c r="F14" i="11"/>
  <c r="Y12" i="7"/>
  <c r="X11" i="8"/>
  <c r="X14" i="7"/>
  <c r="X31" i="8"/>
  <c r="K18" i="7"/>
  <c r="F18" i="11"/>
  <c r="P12" i="10"/>
  <c r="P14" i="10"/>
  <c r="X15" i="7"/>
  <c r="X16" i="7"/>
  <c r="K39" i="8"/>
  <c r="K57" i="7"/>
  <c r="K58" i="7"/>
  <c r="L17" i="8"/>
  <c r="L39" i="8"/>
  <c r="L57" i="7"/>
  <c r="L58" i="7"/>
  <c r="T39" i="8"/>
  <c r="T57" i="7"/>
  <c r="T58" i="7"/>
  <c r="U18" i="8"/>
  <c r="Z12" i="7"/>
  <c r="Y14" i="7"/>
  <c r="Y31" i="8"/>
  <c r="Y15" i="7"/>
  <c r="Y16" i="7"/>
  <c r="Y32" i="8"/>
  <c r="Y11" i="8"/>
  <c r="F17" i="11"/>
  <c r="F19" i="11"/>
  <c r="AA12" i="8"/>
  <c r="AB25" i="7"/>
  <c r="AA27" i="7"/>
  <c r="AA28" i="7"/>
  <c r="AA30" i="7"/>
  <c r="AA31" i="7"/>
  <c r="W32" i="8"/>
  <c r="W17" i="7"/>
  <c r="X32" i="8"/>
  <c r="X17" i="7"/>
  <c r="X18" i="7"/>
  <c r="Z14" i="7"/>
  <c r="Z31" i="8"/>
  <c r="AA12" i="7"/>
  <c r="Z15" i="7"/>
  <c r="Z16" i="7"/>
  <c r="Z32" i="8"/>
  <c r="Z11" i="8"/>
  <c r="AB12" i="8"/>
  <c r="AB30" i="7"/>
  <c r="AB31" i="7"/>
  <c r="AC25" i="7"/>
  <c r="AB27" i="7"/>
  <c r="AB28" i="7"/>
  <c r="U39" i="8"/>
  <c r="U57" i="7"/>
  <c r="U58" i="7"/>
  <c r="V18" i="8"/>
  <c r="P17" i="10"/>
  <c r="P16" i="10"/>
  <c r="Y17" i="7"/>
  <c r="Y18" i="7"/>
  <c r="P15" i="10"/>
  <c r="W18" i="7"/>
  <c r="Z17" i="7"/>
  <c r="AA14" i="7"/>
  <c r="AA31" i="8"/>
  <c r="AA15" i="7"/>
  <c r="AA16" i="7"/>
  <c r="AA32" i="8"/>
  <c r="AA11" i="8"/>
  <c r="AA17" i="7"/>
  <c r="AA18" i="7"/>
  <c r="AB12" i="7"/>
  <c r="V39" i="8"/>
  <c r="V57" i="7"/>
  <c r="V58" i="7"/>
  <c r="W18" i="8"/>
  <c r="Q14" i="10"/>
  <c r="Q12" i="10"/>
  <c r="AC30" i="7"/>
  <c r="AC31" i="7"/>
  <c r="AC12" i="8"/>
  <c r="AD25" i="7"/>
  <c r="AC27" i="7"/>
  <c r="AC28" i="7"/>
  <c r="AB11" i="8"/>
  <c r="AC12" i="7"/>
  <c r="AB14" i="7"/>
  <c r="AB31" i="8"/>
  <c r="Q16" i="10"/>
  <c r="Q15" i="10"/>
  <c r="Q17" i="10"/>
  <c r="AD30" i="7"/>
  <c r="AD31" i="7"/>
  <c r="AD12" i="8"/>
  <c r="AE25" i="7"/>
  <c r="AD27" i="7"/>
  <c r="AD28" i="7"/>
  <c r="W39" i="8"/>
  <c r="W57" i="7"/>
  <c r="W58" i="7"/>
  <c r="X18" i="8"/>
  <c r="Z18" i="7"/>
  <c r="R14" i="10"/>
  <c r="R12" i="10"/>
  <c r="X39" i="8"/>
  <c r="X57" i="7"/>
  <c r="X58" i="7"/>
  <c r="Y18" i="8"/>
  <c r="AE28" i="7"/>
  <c r="AE27" i="7"/>
  <c r="AE30" i="7"/>
  <c r="AE31" i="7"/>
  <c r="AE12" i="8"/>
  <c r="AF25" i="7"/>
  <c r="AC11" i="8"/>
  <c r="AC14" i="7"/>
  <c r="AC31" i="8"/>
  <c r="AD12" i="7"/>
  <c r="AC15" i="7"/>
  <c r="AC16" i="7"/>
  <c r="AC32" i="8"/>
  <c r="AB15" i="7"/>
  <c r="AB16" i="7"/>
  <c r="AB32" i="8"/>
  <c r="AB17" i="7"/>
  <c r="AB18" i="7"/>
  <c r="AD11" i="8"/>
  <c r="AD14" i="7"/>
  <c r="AD31" i="8"/>
  <c r="AE12" i="7"/>
  <c r="AC17" i="7"/>
  <c r="AC18" i="7"/>
  <c r="Y39" i="8"/>
  <c r="Y57" i="7"/>
  <c r="Y58" i="7"/>
  <c r="Z18" i="8"/>
  <c r="AF27" i="7"/>
  <c r="AG25" i="7"/>
  <c r="AF30" i="7"/>
  <c r="AF31" i="7"/>
  <c r="AF28" i="7"/>
  <c r="AF12" i="8"/>
  <c r="R16" i="10"/>
  <c r="R15" i="10"/>
  <c r="R17" i="10"/>
  <c r="S14" i="10"/>
  <c r="S12" i="10"/>
  <c r="AF12" i="7"/>
  <c r="AE11" i="8"/>
  <c r="AE14" i="7"/>
  <c r="AE31" i="8"/>
  <c r="AH25" i="7"/>
  <c r="AG30" i="7"/>
  <c r="AG31" i="7"/>
  <c r="AG12" i="8"/>
  <c r="AG27" i="7"/>
  <c r="AG28" i="7"/>
  <c r="AD15" i="7"/>
  <c r="AD16" i="7"/>
  <c r="AA18" i="8"/>
  <c r="Z39" i="8"/>
  <c r="Z57" i="7"/>
  <c r="Z58" i="7"/>
  <c r="AA39" i="8"/>
  <c r="AA57" i="7"/>
  <c r="AA58" i="7"/>
  <c r="AB18" i="8"/>
  <c r="AD32" i="8"/>
  <c r="AD17" i="7"/>
  <c r="AD18" i="7"/>
  <c r="AE15" i="7"/>
  <c r="AE16" i="7"/>
  <c r="AG12" i="7"/>
  <c r="AF14" i="7"/>
  <c r="AF31" i="8"/>
  <c r="AF11" i="8"/>
  <c r="S16" i="10"/>
  <c r="S15" i="10"/>
  <c r="S17" i="10"/>
  <c r="AH27" i="7"/>
  <c r="AH28" i="7"/>
  <c r="AH12" i="8"/>
  <c r="AI25" i="7"/>
  <c r="AH30" i="7"/>
  <c r="AH31" i="7"/>
  <c r="T14" i="10"/>
  <c r="T12" i="10"/>
  <c r="AE32" i="8"/>
  <c r="AE17" i="7"/>
  <c r="AE18" i="7"/>
  <c r="AG11" i="8"/>
  <c r="AH12" i="7"/>
  <c r="AG15" i="7"/>
  <c r="AG16" i="7"/>
  <c r="AG32" i="8"/>
  <c r="AG14" i="7"/>
  <c r="AG31" i="8"/>
  <c r="AC18" i="8"/>
  <c r="AB39" i="8"/>
  <c r="AB57" i="7"/>
  <c r="AB58" i="7"/>
  <c r="AI12" i="8"/>
  <c r="AJ25" i="7"/>
  <c r="AI27" i="7"/>
  <c r="AI28" i="7"/>
  <c r="AI30" i="7"/>
  <c r="AI31" i="7"/>
  <c r="AF15" i="7"/>
  <c r="AF16" i="7"/>
  <c r="AG17" i="7"/>
  <c r="AG18" i="7"/>
  <c r="AH14" i="7"/>
  <c r="AH31" i="8"/>
  <c r="AI12" i="7"/>
  <c r="AH15" i="7"/>
  <c r="AH16" i="7"/>
  <c r="AH32" i="8"/>
  <c r="AH11" i="8"/>
  <c r="AF32" i="8"/>
  <c r="AF17" i="7"/>
  <c r="AF18" i="7"/>
  <c r="T16" i="10"/>
  <c r="T17" i="10"/>
  <c r="AJ12" i="8"/>
  <c r="AJ27" i="7"/>
  <c r="AJ30" i="7"/>
  <c r="AJ31" i="7"/>
  <c r="AJ28" i="7"/>
  <c r="AK25" i="7"/>
  <c r="AC39" i="8"/>
  <c r="AC57" i="7"/>
  <c r="AC58" i="7"/>
  <c r="AD18" i="8"/>
  <c r="T15" i="10"/>
  <c r="AK30" i="7"/>
  <c r="AK31" i="7"/>
  <c r="AK12" i="8"/>
  <c r="AK27" i="7"/>
  <c r="AL25" i="7"/>
  <c r="AK28" i="7"/>
  <c r="U14" i="10"/>
  <c r="U12" i="10"/>
  <c r="AH17" i="7"/>
  <c r="AH18" i="7"/>
  <c r="AE18" i="8"/>
  <c r="AD39" i="8"/>
  <c r="AD57" i="7"/>
  <c r="AD58" i="7"/>
  <c r="AI14" i="7"/>
  <c r="AI31" i="8"/>
  <c r="AI15" i="7"/>
  <c r="AI16" i="7"/>
  <c r="AI32" i="8"/>
  <c r="AI11" i="8"/>
  <c r="AI17" i="7"/>
  <c r="AI18" i="7"/>
  <c r="AJ12" i="7"/>
  <c r="U16" i="10"/>
  <c r="U15" i="10"/>
  <c r="U17" i="10"/>
  <c r="AL30" i="7"/>
  <c r="AL31" i="7"/>
  <c r="AL28" i="7"/>
  <c r="AL12" i="8"/>
  <c r="AM25" i="7"/>
  <c r="AL27" i="7"/>
  <c r="AE39" i="8"/>
  <c r="AE57" i="7"/>
  <c r="AE58" i="7"/>
  <c r="AF18" i="8"/>
  <c r="AJ11" i="8"/>
  <c r="AJ14" i="7"/>
  <c r="AJ31" i="8"/>
  <c r="AK12" i="7"/>
  <c r="V12" i="10"/>
  <c r="V14" i="10"/>
  <c r="AK11" i="8"/>
  <c r="AK14" i="7"/>
  <c r="AK31" i="8"/>
  <c r="AL12" i="7"/>
  <c r="AK15" i="7"/>
  <c r="AK16" i="7"/>
  <c r="AK32" i="8"/>
  <c r="AM27" i="7"/>
  <c r="AM28" i="7"/>
  <c r="AM12" i="8"/>
  <c r="AN25" i="7"/>
  <c r="AM30" i="7"/>
  <c r="AM31" i="7"/>
  <c r="AJ15" i="7"/>
  <c r="AJ16" i="7"/>
  <c r="AF39" i="8"/>
  <c r="AF57" i="7"/>
  <c r="AF58" i="7"/>
  <c r="AG18" i="8"/>
  <c r="AG39" i="8"/>
  <c r="AG57" i="7"/>
  <c r="AG58" i="7"/>
  <c r="AH18" i="8"/>
  <c r="AJ32" i="8"/>
  <c r="AJ17" i="7"/>
  <c r="AJ18" i="7"/>
  <c r="AL15" i="7"/>
  <c r="AL16" i="7"/>
  <c r="AL32" i="8"/>
  <c r="AL11" i="8"/>
  <c r="AM12" i="7"/>
  <c r="AL14" i="7"/>
  <c r="AL31" i="8"/>
  <c r="AN27" i="7"/>
  <c r="AN28" i="7"/>
  <c r="AO25" i="7"/>
  <c r="AN30" i="7"/>
  <c r="AN31" i="7"/>
  <c r="AN12" i="8"/>
  <c r="AK17" i="7"/>
  <c r="AK18" i="7"/>
  <c r="V15" i="10"/>
  <c r="V17" i="10"/>
  <c r="V16" i="10"/>
  <c r="AL17" i="7"/>
  <c r="AL18" i="7"/>
  <c r="AP25" i="7"/>
  <c r="AO30" i="7"/>
  <c r="AO31" i="7"/>
  <c r="AO27" i="7"/>
  <c r="AO28" i="7"/>
  <c r="AO12" i="8"/>
  <c r="AH39" i="8"/>
  <c r="AH57" i="7"/>
  <c r="AH58" i="7"/>
  <c r="AI18" i="8"/>
  <c r="AN12" i="7"/>
  <c r="AM11" i="8"/>
  <c r="AM14" i="7"/>
  <c r="AM31" i="8"/>
  <c r="AM15" i="7"/>
  <c r="AM16" i="7"/>
  <c r="AP27" i="7"/>
  <c r="AP31" i="8"/>
  <c r="AQ25" i="7"/>
  <c r="AP30" i="7"/>
  <c r="AP31" i="7"/>
  <c r="AP12" i="8"/>
  <c r="AP28" i="7"/>
  <c r="AO12" i="7"/>
  <c r="AN17" i="7"/>
  <c r="AN18" i="7"/>
  <c r="AN14" i="7"/>
  <c r="AN31" i="8"/>
  <c r="AN15" i="7"/>
  <c r="AN16" i="7"/>
  <c r="AN32" i="8"/>
  <c r="AN11" i="8"/>
  <c r="AI39" i="8"/>
  <c r="AI57" i="7"/>
  <c r="AI58" i="7"/>
  <c r="AJ18" i="8"/>
  <c r="AK18" i="8"/>
  <c r="AJ39" i="8"/>
  <c r="AJ57" i="7"/>
  <c r="AJ58" i="7"/>
  <c r="AQ12" i="8"/>
  <c r="AQ30" i="7"/>
  <c r="AQ28" i="7"/>
  <c r="AQ27" i="7"/>
  <c r="AQ31" i="8"/>
  <c r="AO14" i="7"/>
  <c r="AO31" i="8"/>
  <c r="AO11" i="8"/>
  <c r="AM32" i="8"/>
  <c r="AM17" i="7"/>
  <c r="AM18" i="7"/>
  <c r="AQ31" i="7"/>
  <c r="C34" i="7"/>
  <c r="C70" i="7"/>
  <c r="C71" i="7"/>
  <c r="AO15" i="7"/>
  <c r="AO16" i="7"/>
  <c r="AK39" i="8"/>
  <c r="AK57" i="7"/>
  <c r="AK58" i="7"/>
  <c r="AL18" i="8"/>
  <c r="AM18" i="8"/>
  <c r="AL39" i="8"/>
  <c r="AL57" i="7"/>
  <c r="AL58" i="7"/>
  <c r="BM51" i="7"/>
  <c r="BE51" i="7"/>
  <c r="AW51" i="7"/>
  <c r="BL51" i="7"/>
  <c r="BD51" i="7"/>
  <c r="AV51" i="7"/>
  <c r="BG51" i="7"/>
  <c r="AY51" i="7"/>
  <c r="BF51" i="7"/>
  <c r="AX51" i="7"/>
  <c r="AT51" i="7"/>
  <c r="BI51" i="7"/>
  <c r="AS51" i="7"/>
  <c r="BC51" i="7"/>
  <c r="BH51" i="7"/>
  <c r="AR51" i="7"/>
  <c r="BN51" i="7"/>
  <c r="AZ51" i="7"/>
  <c r="BB51" i="7"/>
  <c r="BK51" i="7"/>
  <c r="AU51" i="7"/>
  <c r="BJ51" i="7"/>
  <c r="BA51" i="7"/>
  <c r="AO32" i="8"/>
  <c r="AO17" i="7"/>
  <c r="L21" i="4"/>
  <c r="F10" i="17"/>
  <c r="AV52" i="7"/>
  <c r="E10" i="17"/>
  <c r="AU52" i="7"/>
  <c r="C10" i="17"/>
  <c r="AS52" i="7"/>
  <c r="U10" i="17"/>
  <c r="BK52" i="7"/>
  <c r="V10" i="17"/>
  <c r="BL52" i="7"/>
  <c r="L10" i="17"/>
  <c r="BB52" i="7"/>
  <c r="D10" i="17"/>
  <c r="AT52" i="7"/>
  <c r="J10" i="17"/>
  <c r="AZ52" i="7"/>
  <c r="O10" i="17"/>
  <c r="BE52" i="7"/>
  <c r="AO18" i="7"/>
  <c r="C21" i="7"/>
  <c r="C68" i="7"/>
  <c r="C69" i="7"/>
  <c r="X10" i="17"/>
  <c r="BN52" i="7"/>
  <c r="P10" i="17"/>
  <c r="BF52" i="7"/>
  <c r="W10" i="17"/>
  <c r="BM52" i="7"/>
  <c r="M10" i="17"/>
  <c r="BC52" i="7"/>
  <c r="N10" i="17"/>
  <c r="BD52" i="7"/>
  <c r="G10" i="17"/>
  <c r="AW52" i="7"/>
  <c r="I10" i="17"/>
  <c r="AY52" i="7"/>
  <c r="T10" i="17"/>
  <c r="BJ52" i="7"/>
  <c r="S10" i="17"/>
  <c r="BI52" i="7"/>
  <c r="H10" i="17"/>
  <c r="AX52" i="7"/>
  <c r="B10" i="17"/>
  <c r="AR52" i="7"/>
  <c r="K10" i="17"/>
  <c r="BA52" i="7"/>
  <c r="R10" i="17"/>
  <c r="BH52" i="7"/>
  <c r="Q10" i="17"/>
  <c r="BG52" i="7"/>
  <c r="AM39" i="8"/>
  <c r="AM57" i="7"/>
  <c r="AM58" i="7"/>
  <c r="AN18" i="8"/>
  <c r="BK43" i="7"/>
  <c r="BC43" i="7"/>
  <c r="AU43" i="7"/>
  <c r="BJ43" i="7"/>
  <c r="BB43" i="7"/>
  <c r="AT43" i="7"/>
  <c r="BM43" i="7"/>
  <c r="BE43" i="7"/>
  <c r="AW43" i="7"/>
  <c r="BF43" i="7"/>
  <c r="BL43" i="7"/>
  <c r="BD43" i="7"/>
  <c r="AQ43" i="7"/>
  <c r="BN43" i="7"/>
  <c r="AZ43" i="7"/>
  <c r="BA43" i="7"/>
  <c r="AP43" i="7"/>
  <c r="AY43" i="7"/>
  <c r="BH43" i="7"/>
  <c r="AV43" i="7"/>
  <c r="BG43" i="7"/>
  <c r="AS43" i="7"/>
  <c r="AR43" i="7"/>
  <c r="BI43" i="7"/>
  <c r="AX43" i="7"/>
  <c r="L20" i="4"/>
  <c r="C36" i="7"/>
  <c r="AP53" i="7"/>
  <c r="L24" i="4"/>
  <c r="AN39" i="8"/>
  <c r="AN57" i="7"/>
  <c r="AN58" i="7"/>
  <c r="AO18" i="8"/>
  <c r="V9" i="17"/>
  <c r="BL44" i="7"/>
  <c r="S9" i="17"/>
  <c r="BI44" i="7"/>
  <c r="K9" i="17"/>
  <c r="BA44" i="7"/>
  <c r="O9" i="17"/>
  <c r="BE44" i="7"/>
  <c r="B9" i="17"/>
  <c r="AR44" i="7"/>
  <c r="J9" i="17"/>
  <c r="AZ44" i="7"/>
  <c r="AQ44" i="7"/>
  <c r="AQ11" i="8"/>
  <c r="T9" i="17"/>
  <c r="BJ44" i="7"/>
  <c r="R9" i="17"/>
  <c r="BH44" i="7"/>
  <c r="M9" i="17"/>
  <c r="BC44" i="7"/>
  <c r="W9" i="17"/>
  <c r="BM44" i="7"/>
  <c r="AO39" i="8"/>
  <c r="AO57" i="7"/>
  <c r="AO58" i="7"/>
  <c r="AP18" i="8"/>
  <c r="C9" i="17"/>
  <c r="AS44" i="7"/>
  <c r="X9" i="17"/>
  <c r="BN44" i="7"/>
  <c r="D9" i="17"/>
  <c r="AT44" i="7"/>
  <c r="Q9" i="17"/>
  <c r="BG44" i="7"/>
  <c r="L9" i="17"/>
  <c r="BB44" i="7"/>
  <c r="F9" i="17"/>
  <c r="AV44" i="7"/>
  <c r="N9" i="17"/>
  <c r="BD44" i="7"/>
  <c r="E9" i="17"/>
  <c r="AU44" i="7"/>
  <c r="I9" i="17"/>
  <c r="AY44" i="7"/>
  <c r="P9" i="17"/>
  <c r="BF44" i="7"/>
  <c r="H9" i="17"/>
  <c r="AX44" i="7"/>
  <c r="AP11" i="8"/>
  <c r="AP44" i="7"/>
  <c r="G9" i="17"/>
  <c r="AW44" i="7"/>
  <c r="U9" i="17"/>
  <c r="BK44" i="7"/>
  <c r="AP45" i="7"/>
  <c r="L23" i="4"/>
  <c r="L25" i="4"/>
  <c r="AP39" i="8"/>
  <c r="AP57" i="7"/>
  <c r="AP58" i="7"/>
  <c r="AQ18" i="8"/>
  <c r="B15" i="17"/>
  <c r="AQ39" i="8"/>
  <c r="M23" i="4"/>
  <c r="M17" i="4"/>
  <c r="M14" i="4"/>
  <c r="M8" i="4"/>
  <c r="M15" i="4"/>
  <c r="M12" i="4"/>
  <c r="M7" i="4"/>
  <c r="M16" i="4"/>
  <c r="M13" i="4"/>
  <c r="M9" i="4"/>
  <c r="M21" i="4"/>
  <c r="M24" i="4"/>
  <c r="M20" i="4"/>
  <c r="AQ57" i="7"/>
  <c r="AQ58" i="7"/>
  <c r="D3" i="19" a="1"/>
  <c r="B31" i="17"/>
  <c r="C15" i="17"/>
  <c r="AR57" i="7"/>
  <c r="AR58" i="7"/>
  <c r="D38" i="19"/>
  <c r="D30" i="19"/>
  <c r="D22" i="19"/>
  <c r="D14" i="19"/>
  <c r="D6" i="19"/>
  <c r="D37" i="19"/>
  <c r="D29" i="19"/>
  <c r="D21" i="19"/>
  <c r="D13" i="19"/>
  <c r="D5" i="19"/>
  <c r="D36" i="19"/>
  <c r="D28" i="19"/>
  <c r="D20" i="19"/>
  <c r="D12" i="19"/>
  <c r="D4" i="19"/>
  <c r="D42" i="19"/>
  <c r="D31" i="19"/>
  <c r="D17" i="19"/>
  <c r="D41" i="19"/>
  <c r="D27" i="19"/>
  <c r="D16" i="19"/>
  <c r="D3" i="19"/>
  <c r="D40" i="19"/>
  <c r="D26" i="19"/>
  <c r="D15" i="19"/>
  <c r="D35" i="19"/>
  <c r="D24" i="19"/>
  <c r="D10" i="19"/>
  <c r="D43" i="19"/>
  <c r="D32" i="19"/>
  <c r="D18" i="19"/>
  <c r="D7" i="19"/>
  <c r="D19" i="19"/>
  <c r="D11" i="19"/>
  <c r="D9" i="19"/>
  <c r="D25" i="19"/>
  <c r="D23" i="19"/>
  <c r="D39" i="19"/>
  <c r="D34" i="19"/>
  <c r="D33" i="19"/>
  <c r="D8" i="19"/>
  <c r="D15" i="17"/>
  <c r="C31" i="17"/>
  <c r="AS57" i="7"/>
  <c r="AS58" i="7"/>
  <c r="D31" i="17"/>
  <c r="AT57" i="7"/>
  <c r="AT58" i="7"/>
  <c r="E15" i="17"/>
  <c r="G65" i="19"/>
  <c r="G63" i="19"/>
  <c r="G55" i="19"/>
  <c r="G47" i="19"/>
  <c r="G58" i="19"/>
  <c r="G50" i="19"/>
  <c r="G61" i="19"/>
  <c r="G53" i="19"/>
  <c r="G45" i="19"/>
  <c r="G64" i="19"/>
  <c r="G62" i="19"/>
  <c r="G59" i="19"/>
  <c r="G56" i="19"/>
  <c r="G39" i="19"/>
  <c r="G31" i="19"/>
  <c r="G23" i="19"/>
  <c r="G57" i="19"/>
  <c r="G41" i="19"/>
  <c r="G29" i="19"/>
  <c r="G22" i="19"/>
  <c r="G14" i="19"/>
  <c r="G49" i="19"/>
  <c r="G36" i="19"/>
  <c r="G24" i="19"/>
  <c r="G17" i="19"/>
  <c r="G9" i="19"/>
  <c r="G66" i="19"/>
  <c r="G51" i="19"/>
  <c r="G38" i="19"/>
  <c r="G26" i="19"/>
  <c r="G20" i="19"/>
  <c r="G12" i="19"/>
  <c r="G46" i="19"/>
  <c r="G42" i="19"/>
  <c r="G32" i="19"/>
  <c r="G25" i="19"/>
  <c r="G16" i="19"/>
  <c r="G40" i="19"/>
  <c r="G33" i="19"/>
  <c r="G52" i="19"/>
  <c r="G43" i="19"/>
  <c r="G18" i="19"/>
  <c r="G54" i="19"/>
  <c r="G37" i="19"/>
  <c r="G30" i="19"/>
  <c r="G13" i="19"/>
  <c r="G60" i="19"/>
  <c r="G15" i="19"/>
  <c r="G48" i="19"/>
  <c r="G11" i="19"/>
  <c r="G19" i="19"/>
  <c r="G44" i="19"/>
  <c r="G27" i="19"/>
  <c r="G10" i="19"/>
  <c r="G34" i="19"/>
  <c r="G35" i="19"/>
  <c r="G28" i="19"/>
  <c r="G21" i="19"/>
  <c r="G6" i="19"/>
  <c r="G3" i="19"/>
  <c r="H3" i="19"/>
  <c r="G4" i="19"/>
  <c r="G8" i="19"/>
  <c r="G7" i="19"/>
  <c r="G5" i="19"/>
  <c r="E31" i="17"/>
  <c r="F15" i="17"/>
  <c r="AU57" i="7"/>
  <c r="AU58" i="7"/>
  <c r="F31" i="17"/>
  <c r="AV57" i="7"/>
  <c r="AV58" i="7"/>
  <c r="G15" i="17"/>
  <c r="H15" i="17"/>
  <c r="G31" i="17"/>
  <c r="AW57" i="7"/>
  <c r="AW58" i="7"/>
  <c r="H31" i="17"/>
  <c r="I15" i="17"/>
  <c r="I31" i="17"/>
  <c r="AY57" i="7"/>
  <c r="AY58" i="7"/>
  <c r="J15" i="17"/>
  <c r="AX57" i="7"/>
  <c r="AX58" i="7"/>
  <c r="K15" i="17"/>
  <c r="J31" i="17"/>
  <c r="AZ57" i="7"/>
  <c r="AZ58" i="7"/>
  <c r="L15" i="17"/>
  <c r="K31" i="17"/>
  <c r="BA57" i="7"/>
  <c r="BA58" i="7"/>
  <c r="L31" i="17"/>
  <c r="BB57" i="7"/>
  <c r="BB58" i="7"/>
  <c r="M15" i="17"/>
  <c r="M31" i="17"/>
  <c r="BC57" i="7"/>
  <c r="BC58" i="7"/>
  <c r="N15" i="17"/>
  <c r="N31" i="17"/>
  <c r="BD57" i="7"/>
  <c r="BD58" i="7"/>
  <c r="O15" i="17"/>
  <c r="O31" i="17"/>
  <c r="BE57" i="7"/>
  <c r="BE58" i="7"/>
  <c r="P15" i="17"/>
  <c r="P31" i="17"/>
  <c r="BF57" i="7"/>
  <c r="BF58" i="7"/>
  <c r="Q15" i="17"/>
  <c r="R15" i="17"/>
  <c r="Q31" i="17"/>
  <c r="BG57" i="7"/>
  <c r="BG58" i="7"/>
  <c r="S15" i="17"/>
  <c r="R31" i="17"/>
  <c r="BH57" i="7"/>
  <c r="BH58" i="7"/>
  <c r="T15" i="17"/>
  <c r="S31" i="17"/>
  <c r="BI57" i="7"/>
  <c r="BI58" i="7"/>
  <c r="U15" i="17"/>
  <c r="T31" i="17"/>
  <c r="BJ57" i="7"/>
  <c r="BJ58" i="7"/>
  <c r="V15" i="17"/>
  <c r="U31" i="17"/>
  <c r="BK57" i="7"/>
  <c r="BK58" i="7"/>
  <c r="V31" i="17"/>
  <c r="BL57" i="7"/>
  <c r="BL58" i="7"/>
  <c r="W15" i="17"/>
  <c r="W31" i="17"/>
  <c r="BM57" i="7"/>
  <c r="BM58" i="7"/>
  <c r="X15" i="17"/>
  <c r="X31" i="17"/>
  <c r="BN57" i="7"/>
  <c r="BN58" i="7"/>
  <c r="C59" i="7"/>
  <c r="P9" i="4"/>
  <c r="P10" i="4"/>
  <c r="D44" i="19" a="1"/>
  <c r="D60" i="19"/>
  <c r="D52" i="19"/>
  <c r="D59" i="19"/>
  <c r="D51" i="19"/>
  <c r="D44" i="19"/>
  <c r="D66" i="19"/>
  <c r="D58" i="19"/>
  <c r="D50" i="19"/>
  <c r="D61" i="19"/>
  <c r="D47" i="19"/>
  <c r="D63" i="19"/>
  <c r="D48" i="19"/>
  <c r="D62" i="19"/>
  <c r="D46" i="19"/>
  <c r="D57" i="19"/>
  <c r="D45" i="19"/>
  <c r="D65" i="19"/>
  <c r="D53" i="19"/>
  <c r="D56" i="19"/>
  <c r="D55" i="19"/>
  <c r="D54" i="19"/>
  <c r="D64" i="19"/>
  <c r="D49" i="19"/>
  <c r="C13" i="8" a="1"/>
  <c r="C3" i="19" a="1"/>
  <c r="B11" i="17" a="1"/>
  <c r="C44" i="19" a="1"/>
  <c r="P3" i="22" l="1"/>
  <c r="Q3" i="22" s="1"/>
  <c r="C13" i="8"/>
  <c r="C14" i="8" l="1"/>
  <c r="C6" i="5"/>
  <c r="C7" i="5" l="1"/>
  <c r="D6" i="5" s="1"/>
  <c r="C40" i="8"/>
  <c r="C3" i="19"/>
  <c r="E3" i="19" s="1"/>
  <c r="I3" i="19" l="1"/>
  <c r="F4" i="19" s="1"/>
  <c r="J3" i="19"/>
  <c r="D4" i="5"/>
  <c r="C11" i="5"/>
  <c r="H3" i="5" s="1"/>
  <c r="D5" i="5"/>
  <c r="L3" i="19" l="1"/>
  <c r="M3" i="19" s="1"/>
  <c r="K3" i="19"/>
  <c r="H4" i="19"/>
  <c r="C4" i="20"/>
  <c r="D4" i="20" l="1"/>
  <c r="N3" i="19"/>
  <c r="O3" i="19"/>
  <c r="G4" i="22"/>
  <c r="P3" i="19" l="1"/>
  <c r="E4" i="20"/>
  <c r="I4" i="22" l="1"/>
  <c r="K4" i="22"/>
  <c r="F4" i="20"/>
  <c r="F4" i="22"/>
  <c r="P4" i="22" l="1"/>
  <c r="Q4" i="22" s="1"/>
  <c r="D13" i="8" s="1"/>
  <c r="D14" i="8" s="1"/>
  <c r="D40" i="8" l="1"/>
  <c r="C4" i="19"/>
  <c r="E4" i="19" s="1"/>
  <c r="I4" i="19" l="1"/>
  <c r="F5" i="19" s="1"/>
  <c r="J4" i="19" l="1"/>
  <c r="C5" i="20"/>
  <c r="H5" i="19"/>
  <c r="L4" i="19" l="1"/>
  <c r="M4" i="19" s="1"/>
  <c r="K4" i="19"/>
  <c r="D5" i="20" l="1"/>
  <c r="G5" i="22"/>
  <c r="N4" i="19"/>
  <c r="O4" i="19"/>
  <c r="P4" i="19" l="1"/>
  <c r="E5" i="20"/>
  <c r="K5" i="22" l="1"/>
  <c r="I5" i="22"/>
  <c r="F5" i="22"/>
  <c r="F5" i="20"/>
  <c r="P5" i="22" l="1"/>
  <c r="Q5" i="22" s="1"/>
  <c r="E13" i="8" s="1"/>
  <c r="E14" i="8" s="1"/>
  <c r="E40" i="8" l="1"/>
  <c r="C5" i="19"/>
  <c r="E5" i="19" s="1"/>
  <c r="I5" i="19" l="1"/>
  <c r="F6" i="19" s="1"/>
  <c r="J5" i="19" l="1"/>
  <c r="K5" i="19" s="1"/>
  <c r="L5" i="19"/>
  <c r="M5" i="19" s="1"/>
  <c r="H6" i="19"/>
  <c r="C6" i="20"/>
  <c r="N5" i="19" l="1"/>
  <c r="O5" i="19"/>
  <c r="P5" i="19" s="1"/>
  <c r="D6" i="20"/>
  <c r="G6" i="22" l="1"/>
  <c r="E6" i="20"/>
  <c r="F6" i="22" s="1"/>
  <c r="K6" i="22" l="1"/>
  <c r="I6" i="22"/>
  <c r="P6" i="22" s="1"/>
  <c r="Q6" i="22" s="1"/>
  <c r="F13" i="8" s="1"/>
  <c r="F14" i="8" s="1"/>
  <c r="F6" i="20"/>
  <c r="F40" i="8" l="1"/>
  <c r="C6" i="19"/>
  <c r="E6" i="19" s="1"/>
  <c r="I6" i="19" l="1"/>
  <c r="F7" i="19" s="1"/>
  <c r="J6" i="19"/>
  <c r="K6" i="19" l="1"/>
  <c r="L6" i="19"/>
  <c r="C7" i="20"/>
  <c r="H7" i="19"/>
  <c r="D7" i="20" l="1"/>
  <c r="M6" i="19"/>
  <c r="N6" i="19" l="1"/>
  <c r="P6" i="19" s="1"/>
  <c r="O6" i="19"/>
  <c r="G7" i="22"/>
  <c r="E7" i="20" l="1"/>
  <c r="I7" i="22" l="1"/>
  <c r="K7" i="22"/>
  <c r="F7" i="20"/>
  <c r="F7" i="22"/>
  <c r="P7" i="22" l="1"/>
  <c r="Q7" i="22" s="1"/>
  <c r="G13" i="8" s="1"/>
  <c r="G14" i="8" s="1"/>
  <c r="G40" i="8" l="1"/>
  <c r="C7" i="19"/>
  <c r="E7" i="19" s="1"/>
  <c r="I7" i="19" l="1"/>
  <c r="F8" i="19" s="1"/>
  <c r="J7" i="19"/>
  <c r="K7" i="19" l="1"/>
  <c r="L7" i="19"/>
  <c r="H8" i="19"/>
  <c r="C8" i="20"/>
  <c r="D8" i="20" l="1"/>
  <c r="M7" i="19"/>
  <c r="N7" i="19" l="1"/>
  <c r="P7" i="19" s="1"/>
  <c r="O7" i="19"/>
  <c r="G8" i="22"/>
  <c r="E8" i="20" l="1"/>
  <c r="I8" i="22" l="1"/>
  <c r="K8" i="22"/>
  <c r="F8" i="20"/>
  <c r="F8" i="22"/>
  <c r="P8" i="22" l="1"/>
  <c r="Q8" i="22" s="1"/>
  <c r="H13" i="8" s="1"/>
  <c r="H14" i="8" s="1"/>
  <c r="H40" i="8" l="1"/>
  <c r="C8" i="19"/>
  <c r="E8" i="19" s="1"/>
  <c r="I8" i="19" l="1"/>
  <c r="F9" i="19" s="1"/>
  <c r="J8" i="19" l="1"/>
  <c r="K8" i="19" s="1"/>
  <c r="L8" i="19"/>
  <c r="M8" i="19" s="1"/>
  <c r="H9" i="19"/>
  <c r="C9" i="20"/>
  <c r="O8" i="19" l="1"/>
  <c r="N8" i="19"/>
  <c r="E9" i="20" s="1"/>
  <c r="D9" i="20"/>
  <c r="F9" i="20" l="1"/>
  <c r="P8" i="19"/>
  <c r="F9" i="22"/>
  <c r="G9" i="22"/>
  <c r="K9" i="22"/>
  <c r="I9" i="22"/>
  <c r="P9" i="22" l="1"/>
  <c r="Q9" i="22" s="1"/>
  <c r="I13" i="8" s="1"/>
  <c r="I14" i="8" s="1"/>
  <c r="I40" i="8" l="1"/>
  <c r="C9" i="19"/>
  <c r="E9" i="19" s="1"/>
  <c r="I9" i="19" l="1"/>
  <c r="F10" i="19" s="1"/>
  <c r="J9" i="19"/>
  <c r="K9" i="19" l="1"/>
  <c r="L9" i="19"/>
  <c r="M9" i="19" s="1"/>
  <c r="H10" i="19"/>
  <c r="C10" i="20"/>
  <c r="N9" i="19" l="1"/>
  <c r="E10" i="20" s="1"/>
  <c r="O9" i="19"/>
  <c r="D10" i="20"/>
  <c r="P9" i="19" l="1"/>
  <c r="G10" i="22"/>
  <c r="F10" i="22"/>
  <c r="F10" i="20"/>
  <c r="I10" i="22"/>
  <c r="K10" i="22"/>
  <c r="P10" i="22" l="1"/>
  <c r="Q10" i="22" s="1"/>
  <c r="J13" i="8" s="1"/>
  <c r="J14" i="8" s="1"/>
  <c r="J40" i="8" l="1"/>
  <c r="C10" i="19"/>
  <c r="E10" i="19" s="1"/>
  <c r="I10" i="19" l="1"/>
  <c r="F11" i="19" s="1"/>
  <c r="J10" i="19"/>
  <c r="K10" i="19" l="1"/>
  <c r="L10" i="19"/>
  <c r="H11" i="19"/>
  <c r="C11" i="20"/>
  <c r="D11" i="20" l="1"/>
  <c r="M10" i="19"/>
  <c r="N10" i="19" l="1"/>
  <c r="E11" i="20" s="1"/>
  <c r="F11" i="22" s="1"/>
  <c r="O10" i="19"/>
  <c r="G11" i="22"/>
  <c r="F11" i="20" l="1"/>
  <c r="K11" i="22"/>
  <c r="I11" i="22"/>
  <c r="P10" i="19"/>
  <c r="P11" i="22" l="1"/>
  <c r="Q11" i="22" s="1"/>
  <c r="K13" i="8" s="1"/>
  <c r="K14" i="8" s="1"/>
  <c r="K40" i="8" s="1"/>
  <c r="C11" i="19" l="1"/>
  <c r="E11" i="19" s="1"/>
  <c r="I11" i="19" s="1"/>
  <c r="F12" i="19" s="1"/>
  <c r="J11" i="19" l="1"/>
  <c r="K11" i="19" s="1"/>
  <c r="L11" i="19"/>
  <c r="C12" i="20"/>
  <c r="H12" i="19"/>
  <c r="D12" i="20" l="1"/>
  <c r="M11" i="19"/>
  <c r="N11" i="19" l="1"/>
  <c r="E12" i="20" s="1"/>
  <c r="F12" i="20" s="1"/>
  <c r="O11" i="19"/>
  <c r="G12" i="22"/>
  <c r="F12" i="22" l="1"/>
  <c r="I12" i="22"/>
  <c r="K12" i="22"/>
  <c r="P11" i="19"/>
  <c r="P12" i="22" l="1"/>
  <c r="Q12" i="22" s="1"/>
  <c r="L13" i="8" s="1"/>
  <c r="L14" i="8" s="1"/>
  <c r="L40" i="8" s="1"/>
  <c r="C12" i="19" l="1"/>
  <c r="E12" i="19" s="1"/>
  <c r="I12" i="19" s="1"/>
  <c r="F13" i="19" s="1"/>
  <c r="J12" i="19" l="1"/>
  <c r="K12" i="19" s="1"/>
  <c r="L12" i="19"/>
  <c r="H13" i="19"/>
  <c r="C13" i="20"/>
  <c r="D13" i="20" l="1"/>
  <c r="M12" i="19"/>
  <c r="N12" i="19" l="1"/>
  <c r="E13" i="20" s="1"/>
  <c r="F13" i="22" s="1"/>
  <c r="O12" i="19"/>
  <c r="G13" i="22"/>
  <c r="F13" i="20" l="1"/>
  <c r="P12" i="19"/>
  <c r="I13" i="22"/>
  <c r="K13" i="22"/>
  <c r="P13" i="22" l="1"/>
  <c r="Q13" i="22" s="1"/>
  <c r="M13" i="8" s="1"/>
  <c r="M14" i="8" s="1"/>
  <c r="M40" i="8" s="1"/>
  <c r="C13" i="19" l="1"/>
  <c r="E13" i="19" s="1"/>
  <c r="I13" i="19" s="1"/>
  <c r="F14" i="19" s="1"/>
  <c r="J13" i="19" l="1"/>
  <c r="K13" i="19"/>
  <c r="L13" i="19"/>
  <c r="M13" i="19" s="1"/>
  <c r="H14" i="19"/>
  <c r="C14" i="20"/>
  <c r="N13" i="19" l="1"/>
  <c r="E14" i="20" s="1"/>
  <c r="O13" i="19"/>
  <c r="D14" i="20"/>
  <c r="F14" i="22" l="1"/>
  <c r="G14" i="22"/>
  <c r="F14" i="20"/>
  <c r="K14" i="22"/>
  <c r="I14" i="22"/>
  <c r="P13" i="19"/>
  <c r="P14" i="22" l="1"/>
  <c r="Q14" i="22" s="1"/>
  <c r="N13" i="8" s="1"/>
  <c r="N14" i="8" s="1"/>
  <c r="N40" i="8" l="1"/>
  <c r="C14" i="19"/>
  <c r="E14" i="19" s="1"/>
  <c r="I14" i="19" l="1"/>
  <c r="F15" i="19" s="1"/>
  <c r="J14" i="19" l="1"/>
  <c r="K14" i="19" s="1"/>
  <c r="H15" i="19"/>
  <c r="C15" i="20"/>
  <c r="L14" i="19" l="1"/>
  <c r="M14" i="19" s="1"/>
  <c r="N14" i="19" s="1"/>
  <c r="E15" i="20" s="1"/>
  <c r="D15" i="20"/>
  <c r="F15" i="20" l="1"/>
  <c r="O14" i="19"/>
  <c r="P14" i="19" s="1"/>
  <c r="F15" i="22"/>
  <c r="G15" i="22"/>
  <c r="I15" i="22"/>
  <c r="K15" i="22"/>
  <c r="P15" i="22" l="1"/>
  <c r="Q15" i="22" s="1"/>
  <c r="O13" i="8" s="1"/>
  <c r="O14" i="8" s="1"/>
  <c r="O40" i="8" l="1"/>
  <c r="C15" i="19"/>
  <c r="E15" i="19" s="1"/>
  <c r="I15" i="19" l="1"/>
  <c r="F16" i="19" s="1"/>
  <c r="J15" i="19"/>
  <c r="K15" i="19" l="1"/>
  <c r="L15" i="19"/>
  <c r="M15" i="19" s="1"/>
  <c r="H16" i="19"/>
  <c r="C16" i="20"/>
  <c r="O15" i="19" l="1"/>
  <c r="N15" i="19"/>
  <c r="E16" i="20" s="1"/>
  <c r="D16" i="20"/>
  <c r="I16" i="22" l="1"/>
  <c r="K16" i="22"/>
  <c r="F16" i="22"/>
  <c r="G16" i="22"/>
  <c r="F16" i="20"/>
  <c r="P15" i="19"/>
  <c r="P16" i="22" l="1"/>
  <c r="Q16" i="22" s="1"/>
  <c r="P13" i="8" s="1"/>
  <c r="P14" i="8" s="1"/>
  <c r="P40" i="8" s="1"/>
  <c r="C16" i="19" l="1"/>
  <c r="E16" i="19" s="1"/>
  <c r="I16" i="19" s="1"/>
  <c r="F17" i="19" s="1"/>
  <c r="J16" i="19" l="1"/>
  <c r="L16" i="19"/>
  <c r="K16" i="19"/>
  <c r="D17" i="20" s="1"/>
  <c r="H17" i="19"/>
  <c r="C17" i="20"/>
  <c r="G17" i="22" l="1"/>
  <c r="M16" i="19"/>
  <c r="O16" i="19" l="1"/>
  <c r="N16" i="19"/>
  <c r="E17" i="20" s="1"/>
  <c r="P16" i="19" l="1"/>
  <c r="K17" i="22"/>
  <c r="I17" i="22"/>
  <c r="F17" i="20"/>
  <c r="F17" i="22"/>
  <c r="P17" i="22" l="1"/>
  <c r="Q17" i="22" s="1"/>
  <c r="Q13" i="8" s="1"/>
  <c r="Q14" i="8" s="1"/>
  <c r="Q40" i="8" l="1"/>
  <c r="C17" i="19"/>
  <c r="E17" i="19" s="1"/>
  <c r="I17" i="19" l="1"/>
  <c r="F18" i="19" s="1"/>
  <c r="J17" i="19"/>
  <c r="K17" i="19" l="1"/>
  <c r="L17" i="19"/>
  <c r="H18" i="19"/>
  <c r="C18" i="20"/>
  <c r="D18" i="20" l="1"/>
  <c r="M17" i="19"/>
  <c r="N17" i="19" l="1"/>
  <c r="E18" i="20" s="1"/>
  <c r="F18" i="22" s="1"/>
  <c r="O17" i="19"/>
  <c r="G18" i="22"/>
  <c r="F18" i="20" l="1"/>
  <c r="P17" i="19"/>
  <c r="I18" i="22"/>
  <c r="K18" i="22"/>
  <c r="P18" i="22" l="1"/>
  <c r="Q18" i="22" s="1"/>
  <c r="R13" i="8" s="1"/>
  <c r="R14" i="8" s="1"/>
  <c r="R40" i="8" s="1"/>
  <c r="C18" i="19" l="1"/>
  <c r="E18" i="19" s="1"/>
  <c r="J18" i="19" s="1"/>
  <c r="I18" i="19" l="1"/>
  <c r="F19" i="19" s="1"/>
  <c r="H19" i="19" s="1"/>
  <c r="C19" i="20"/>
  <c r="K18" i="19"/>
  <c r="L18" i="19"/>
  <c r="D19" i="20" l="1"/>
  <c r="M18" i="19"/>
  <c r="O18" i="19" l="1"/>
  <c r="N18" i="19"/>
  <c r="E19" i="20" s="1"/>
  <c r="F19" i="22" s="1"/>
  <c r="G19" i="22"/>
  <c r="K19" i="22" l="1"/>
  <c r="I19" i="22"/>
  <c r="F19" i="20"/>
  <c r="P18" i="19"/>
  <c r="P19" i="22" l="1"/>
  <c r="Q19" i="22" s="1"/>
  <c r="S13" i="8" s="1"/>
  <c r="S14" i="8" s="1"/>
  <c r="S40" i="8" s="1"/>
  <c r="C19" i="19" l="1"/>
  <c r="E19" i="19" s="1"/>
  <c r="J19" i="19" s="1"/>
  <c r="I19" i="19" l="1"/>
  <c r="F20" i="19" s="1"/>
  <c r="H20" i="19" s="1"/>
  <c r="C20" i="20"/>
  <c r="K19" i="19"/>
  <c r="L19" i="19"/>
  <c r="D20" i="20" l="1"/>
  <c r="G20" i="22"/>
  <c r="M19" i="19"/>
  <c r="N19" i="19" l="1"/>
  <c r="E20" i="20" s="1"/>
  <c r="O19" i="19"/>
  <c r="P19" i="19" l="1"/>
  <c r="K20" i="22"/>
  <c r="I20" i="22"/>
  <c r="F20" i="22"/>
  <c r="F20" i="20"/>
  <c r="P20" i="22" l="1"/>
  <c r="Q20" i="22" s="1"/>
  <c r="T13" i="8" s="1"/>
  <c r="T14" i="8" s="1"/>
  <c r="T40" i="8" l="1"/>
  <c r="C20" i="19"/>
  <c r="E20" i="19" s="1"/>
  <c r="I20" i="19" l="1"/>
  <c r="F21" i="19" s="1"/>
  <c r="J20" i="19"/>
  <c r="K20" i="19" l="1"/>
  <c r="L20" i="19"/>
  <c r="H21" i="19"/>
  <c r="C21" i="20"/>
  <c r="D21" i="20" l="1"/>
  <c r="M20" i="19"/>
  <c r="O20" i="19" l="1"/>
  <c r="N20" i="19"/>
  <c r="E21" i="20" s="1"/>
  <c r="F21" i="20" s="1"/>
  <c r="G21" i="22"/>
  <c r="F21" i="22" l="1"/>
  <c r="I21" i="22"/>
  <c r="K21" i="22"/>
  <c r="P20" i="19"/>
  <c r="P21" i="22" l="1"/>
  <c r="Q21" i="22" s="1"/>
  <c r="U13" i="8" s="1"/>
  <c r="U14" i="8" s="1"/>
  <c r="U40" i="8" s="1"/>
  <c r="C21" i="19" l="1"/>
  <c r="E21" i="19" s="1"/>
  <c r="J21" i="19" s="1"/>
  <c r="I21" i="19" l="1"/>
  <c r="F22" i="19" s="1"/>
  <c r="H22" i="19" s="1"/>
  <c r="C22" i="20"/>
  <c r="L21" i="19"/>
  <c r="K21" i="19"/>
  <c r="D22" i="20" l="1"/>
  <c r="G22" i="22"/>
  <c r="M21" i="19"/>
  <c r="N21" i="19" l="1"/>
  <c r="E22" i="20" s="1"/>
  <c r="O21" i="19"/>
  <c r="I22" i="22" l="1"/>
  <c r="K22" i="22"/>
  <c r="F22" i="22"/>
  <c r="F22" i="20"/>
  <c r="P21" i="19"/>
  <c r="P22" i="22" l="1"/>
  <c r="Q22" i="22" s="1"/>
  <c r="V13" i="8" s="1"/>
  <c r="V14" i="8" s="1"/>
  <c r="V40" i="8" l="1"/>
  <c r="C22" i="19"/>
  <c r="E22" i="19" s="1"/>
  <c r="I22" i="19" l="1"/>
  <c r="F23" i="19" s="1"/>
  <c r="J22" i="19"/>
  <c r="K22" i="19" l="1"/>
  <c r="L22" i="19"/>
  <c r="H23" i="19"/>
  <c r="C23" i="20"/>
  <c r="D23" i="20" l="1"/>
  <c r="M22" i="19"/>
  <c r="N22" i="19" l="1"/>
  <c r="E23" i="20" s="1"/>
  <c r="F23" i="22" s="1"/>
  <c r="O22" i="19"/>
  <c r="G23" i="22"/>
  <c r="F23" i="20"/>
  <c r="P22" i="19" l="1"/>
  <c r="I23" i="22"/>
  <c r="K23" i="22"/>
  <c r="P23" i="22" l="1"/>
  <c r="Q23" i="22" s="1"/>
  <c r="W13" i="8" s="1"/>
  <c r="W14" i="8" s="1"/>
  <c r="W40" i="8" s="1"/>
  <c r="C23" i="19" l="1"/>
  <c r="E23" i="19" s="1"/>
  <c r="J23" i="19" s="1"/>
  <c r="I23" i="19" l="1"/>
  <c r="F24" i="19" s="1"/>
  <c r="H24" i="19"/>
  <c r="C24" i="20"/>
  <c r="K23" i="19"/>
  <c r="L23" i="19"/>
  <c r="D24" i="20" l="1"/>
  <c r="G24" i="22" s="1"/>
  <c r="M23" i="19"/>
  <c r="O23" i="19" l="1"/>
  <c r="N23" i="19"/>
  <c r="E24" i="20" s="1"/>
  <c r="I24" i="22" l="1"/>
  <c r="K24" i="22"/>
  <c r="F24" i="22"/>
  <c r="F24" i="20"/>
  <c r="P23" i="19"/>
  <c r="P24" i="22" l="1"/>
  <c r="Q24" i="22" s="1"/>
  <c r="X13" i="8" s="1"/>
  <c r="X14" i="8" s="1"/>
  <c r="X40" i="8" l="1"/>
  <c r="C24" i="19"/>
  <c r="E24" i="19" s="1"/>
  <c r="I24" i="19" l="1"/>
  <c r="F25" i="19" s="1"/>
  <c r="J24" i="19"/>
  <c r="K24" i="19" l="1"/>
  <c r="L24" i="19"/>
  <c r="C25" i="20"/>
  <c r="H25" i="19"/>
  <c r="D25" i="20" l="1"/>
  <c r="M24" i="19"/>
  <c r="N24" i="19" l="1"/>
  <c r="E25" i="20" s="1"/>
  <c r="F25" i="22" s="1"/>
  <c r="O24" i="19"/>
  <c r="G25" i="22"/>
  <c r="F25" i="20" l="1"/>
  <c r="P24" i="19"/>
  <c r="K25" i="22"/>
  <c r="I25" i="22"/>
  <c r="P25" i="22" l="1"/>
  <c r="Q25" i="22" s="1"/>
  <c r="Y13" i="8" s="1"/>
  <c r="Y14" i="8" s="1"/>
  <c r="Y40" i="8" s="1"/>
  <c r="C25" i="19" l="1"/>
  <c r="E25" i="19" s="1"/>
  <c r="J25" i="19" s="1"/>
  <c r="I25" i="19" l="1"/>
  <c r="F26" i="19" s="1"/>
  <c r="H26" i="19" s="1"/>
  <c r="C26" i="20"/>
  <c r="K25" i="19"/>
  <c r="L25" i="19"/>
  <c r="D26" i="20" l="1"/>
  <c r="M25" i="19"/>
  <c r="N25" i="19" l="1"/>
  <c r="E26" i="20" s="1"/>
  <c r="F26" i="22" s="1"/>
  <c r="O25" i="19"/>
  <c r="G26" i="22"/>
  <c r="P25" i="19" l="1"/>
  <c r="I26" i="22"/>
  <c r="K26" i="22"/>
  <c r="F26" i="20"/>
  <c r="P26" i="22" l="1"/>
  <c r="Q26" i="22" s="1"/>
  <c r="Z13" i="8" s="1"/>
  <c r="Z14" i="8" s="1"/>
  <c r="Z40" i="8" s="1"/>
  <c r="C26" i="19" l="1"/>
  <c r="E26" i="19" s="1"/>
  <c r="J26" i="19" s="1"/>
  <c r="I26" i="19" l="1"/>
  <c r="F27" i="19" s="1"/>
  <c r="H27" i="19" s="1"/>
  <c r="C27" i="20"/>
  <c r="L26" i="19"/>
  <c r="K26" i="19"/>
  <c r="D27" i="20" l="1"/>
  <c r="G27" i="22" s="1"/>
  <c r="M26" i="19"/>
  <c r="O26" i="19" l="1"/>
  <c r="N26" i="19"/>
  <c r="E27" i="20" s="1"/>
  <c r="K27" i="22" l="1"/>
  <c r="I27" i="22"/>
  <c r="F27" i="22"/>
  <c r="F27" i="20"/>
  <c r="P26" i="19"/>
  <c r="P27" i="22" l="1"/>
  <c r="Q27" i="22" s="1"/>
  <c r="AA13" i="8" s="1"/>
  <c r="AA14" i="8" s="1"/>
  <c r="AA40" i="8" l="1"/>
  <c r="C27" i="19"/>
  <c r="E27" i="19" s="1"/>
  <c r="I27" i="19" l="1"/>
  <c r="F28" i="19" s="1"/>
  <c r="J27" i="19"/>
  <c r="K27" i="19" l="1"/>
  <c r="L27" i="19"/>
  <c r="H28" i="19"/>
  <c r="C28" i="20"/>
  <c r="D28" i="20" l="1"/>
  <c r="M27" i="19"/>
  <c r="N27" i="19" l="1"/>
  <c r="E28" i="20" s="1"/>
  <c r="F28" i="20" s="1"/>
  <c r="O27" i="19"/>
  <c r="G28" i="22"/>
  <c r="F28" i="22"/>
  <c r="P27" i="19" l="1"/>
  <c r="K28" i="22"/>
  <c r="I28" i="22"/>
  <c r="P28" i="22" l="1"/>
  <c r="Q28" i="22" s="1"/>
  <c r="AB13" i="8" s="1"/>
  <c r="AB14" i="8" s="1"/>
  <c r="AB40" i="8" s="1"/>
  <c r="C28" i="19" l="1"/>
  <c r="E28" i="19" s="1"/>
  <c r="I28" i="19" s="1"/>
  <c r="F29" i="19" s="1"/>
  <c r="J28" i="19" l="1"/>
  <c r="K28" i="19"/>
  <c r="L28" i="19"/>
  <c r="H29" i="19"/>
  <c r="C29" i="20"/>
  <c r="D29" i="20" l="1"/>
  <c r="M28" i="19"/>
  <c r="O28" i="19" l="1"/>
  <c r="N28" i="19"/>
  <c r="E29" i="20" s="1"/>
  <c r="F29" i="22" s="1"/>
  <c r="G29" i="22"/>
  <c r="P28" i="19" l="1"/>
  <c r="F29" i="20"/>
  <c r="I29" i="22"/>
  <c r="K29" i="22"/>
  <c r="P29" i="22" l="1"/>
  <c r="Q29" i="22" s="1"/>
  <c r="AC13" i="8" s="1"/>
  <c r="AC14" i="8" s="1"/>
  <c r="AC40" i="8" s="1"/>
  <c r="C29" i="19" l="1"/>
  <c r="E29" i="19" s="1"/>
  <c r="I29" i="19" s="1"/>
  <c r="F30" i="19" s="1"/>
  <c r="J29" i="19" l="1"/>
  <c r="K29" i="19"/>
  <c r="L29" i="19"/>
  <c r="C30" i="20"/>
  <c r="H30" i="19"/>
  <c r="D30" i="20" l="1"/>
  <c r="M29" i="19"/>
  <c r="N29" i="19" l="1"/>
  <c r="E30" i="20" s="1"/>
  <c r="F30" i="22" s="1"/>
  <c r="O29" i="19"/>
  <c r="G30" i="22"/>
  <c r="F30" i="20" l="1"/>
  <c r="P29" i="19"/>
  <c r="K30" i="22"/>
  <c r="I30" i="22"/>
  <c r="P30" i="22" l="1"/>
  <c r="Q30" i="22" s="1"/>
  <c r="AD13" i="8" s="1"/>
  <c r="AD14" i="8" s="1"/>
  <c r="AD40" i="8" s="1"/>
  <c r="C30" i="19" l="1"/>
  <c r="E30" i="19" s="1"/>
  <c r="J30" i="19" s="1"/>
  <c r="I30" i="19" l="1"/>
  <c r="F31" i="19" s="1"/>
  <c r="H31" i="19"/>
  <c r="C31" i="20"/>
  <c r="K30" i="19"/>
  <c r="M30" i="19" s="1"/>
  <c r="L30" i="19"/>
  <c r="O30" i="19" l="1"/>
  <c r="N30" i="19"/>
  <c r="E31" i="20" s="1"/>
  <c r="D31" i="20"/>
  <c r="F31" i="22" l="1"/>
  <c r="G31" i="22"/>
  <c r="I31" i="22"/>
  <c r="K31" i="22"/>
  <c r="P30" i="19"/>
  <c r="F31" i="20"/>
  <c r="P31" i="22" l="1"/>
  <c r="Q31" i="22" s="1"/>
  <c r="AE13" i="8" s="1"/>
  <c r="AE14" i="8" s="1"/>
  <c r="AE40" i="8" l="1"/>
  <c r="C31" i="19"/>
  <c r="E31" i="19" s="1"/>
  <c r="J31" i="19" l="1"/>
  <c r="I31" i="19"/>
  <c r="F32" i="19" s="1"/>
  <c r="H32" i="19" l="1"/>
  <c r="C32" i="20"/>
  <c r="L31" i="19"/>
  <c r="K31" i="19"/>
  <c r="D32" i="20" l="1"/>
  <c r="G32" i="22"/>
  <c r="M31" i="19"/>
  <c r="O31" i="19" l="1"/>
  <c r="N31" i="19"/>
  <c r="E32" i="20" s="1"/>
  <c r="P31" i="19" l="1"/>
  <c r="I32" i="22"/>
  <c r="K32" i="22"/>
  <c r="F32" i="20"/>
  <c r="F32" i="22"/>
  <c r="P32" i="22" l="1"/>
  <c r="Q32" i="22" s="1"/>
  <c r="AF13" i="8" s="1"/>
  <c r="AF14" i="8" s="1"/>
  <c r="AF40" i="8" l="1"/>
  <c r="C32" i="19"/>
  <c r="E32" i="19" s="1"/>
  <c r="J32" i="19" l="1"/>
  <c r="I32" i="19"/>
  <c r="F33" i="19" s="1"/>
  <c r="C33" i="20" l="1"/>
  <c r="H33" i="19"/>
  <c r="K32" i="19"/>
  <c r="M32" i="19" s="1"/>
  <c r="L32" i="19"/>
  <c r="N32" i="19" l="1"/>
  <c r="E33" i="20" s="1"/>
  <c r="O32" i="19"/>
  <c r="P32" i="19"/>
  <c r="D33" i="20"/>
  <c r="G33" i="22" l="1"/>
  <c r="F33" i="22"/>
  <c r="F33" i="20"/>
  <c r="K33" i="22"/>
  <c r="I33" i="22"/>
  <c r="P33" i="22" l="1"/>
  <c r="Q33" i="22" s="1"/>
  <c r="AG13" i="8" s="1"/>
  <c r="AG14" i="8" s="1"/>
  <c r="AG40" i="8" l="1"/>
  <c r="C33" i="19"/>
  <c r="E33" i="19" s="1"/>
  <c r="I33" i="19" l="1"/>
  <c r="F34" i="19" s="1"/>
  <c r="J33" i="19"/>
  <c r="L33" i="19" l="1"/>
  <c r="K33" i="19"/>
  <c r="D34" i="20" s="1"/>
  <c r="H34" i="19"/>
  <c r="C34" i="20"/>
  <c r="G34" i="22" l="1"/>
  <c r="M33" i="19"/>
  <c r="N33" i="19" l="1"/>
  <c r="E34" i="20" s="1"/>
  <c r="O33" i="19"/>
  <c r="P33" i="19" l="1"/>
  <c r="K34" i="22"/>
  <c r="I34" i="22"/>
  <c r="F34" i="20"/>
  <c r="F34" i="22"/>
  <c r="P34" i="22" l="1"/>
  <c r="Q34" i="22" s="1"/>
  <c r="AH13" i="8" s="1"/>
  <c r="AH14" i="8" s="1"/>
  <c r="AH40" i="8" l="1"/>
  <c r="C34" i="19"/>
  <c r="E34" i="19" s="1"/>
  <c r="I34" i="19" l="1"/>
  <c r="F35" i="19" s="1"/>
  <c r="J34" i="19"/>
  <c r="K34" i="19" l="1"/>
  <c r="L34" i="19"/>
  <c r="H35" i="19"/>
  <c r="C35" i="20"/>
  <c r="D35" i="20" l="1"/>
  <c r="M34" i="19"/>
  <c r="N34" i="19" l="1"/>
  <c r="E35" i="20" s="1"/>
  <c r="F35" i="22" s="1"/>
  <c r="O34" i="19"/>
  <c r="G35" i="22"/>
  <c r="P34" i="19" l="1"/>
  <c r="I35" i="22"/>
  <c r="K35" i="22"/>
  <c r="F35" i="20"/>
  <c r="P35" i="22" l="1"/>
  <c r="Q35" i="22" s="1"/>
  <c r="AI13" i="8" s="1"/>
  <c r="AI14" i="8" s="1"/>
  <c r="AI40" i="8" s="1"/>
  <c r="C35" i="19" l="1"/>
  <c r="E35" i="19" s="1"/>
  <c r="I35" i="19" s="1"/>
  <c r="F36" i="19" s="1"/>
  <c r="J35" i="19" l="1"/>
  <c r="L35" i="19" s="1"/>
  <c r="K35" i="19"/>
  <c r="H36" i="19"/>
  <c r="C36" i="20"/>
  <c r="D36" i="20" l="1"/>
  <c r="G36" i="22"/>
  <c r="M35" i="19"/>
  <c r="O35" i="19" l="1"/>
  <c r="N35" i="19"/>
  <c r="E36" i="20" s="1"/>
  <c r="P35" i="19" l="1"/>
  <c r="I36" i="22"/>
  <c r="K36" i="22"/>
  <c r="F36" i="20"/>
  <c r="F36" i="22"/>
  <c r="P36" i="22" l="1"/>
  <c r="Q36" i="22" s="1"/>
  <c r="AJ13" i="8" s="1"/>
  <c r="AJ14" i="8" s="1"/>
  <c r="AJ40" i="8" l="1"/>
  <c r="C36" i="19"/>
  <c r="E36" i="19" s="1"/>
  <c r="I36" i="19" l="1"/>
  <c r="F37" i="19" s="1"/>
  <c r="J36" i="19"/>
  <c r="K36" i="19" l="1"/>
  <c r="L36" i="19"/>
  <c r="H37" i="19"/>
  <c r="C37" i="20"/>
  <c r="D37" i="20" l="1"/>
  <c r="M36" i="19"/>
  <c r="O36" i="19" l="1"/>
  <c r="N36" i="19"/>
  <c r="E37" i="20" s="1"/>
  <c r="F37" i="22" s="1"/>
  <c r="G37" i="22"/>
  <c r="F37" i="20" l="1"/>
  <c r="P36" i="19"/>
  <c r="I37" i="22"/>
  <c r="K37" i="22"/>
  <c r="P37" i="22" l="1"/>
  <c r="Q37" i="22" s="1"/>
  <c r="AK13" i="8" s="1"/>
  <c r="AK14" i="8" s="1"/>
  <c r="AK40" i="8" s="1"/>
  <c r="C37" i="19" l="1"/>
  <c r="E37" i="19" s="1"/>
  <c r="J37" i="19" s="1"/>
  <c r="I37" i="19" l="1"/>
  <c r="F38" i="19" s="1"/>
  <c r="C38" i="20"/>
  <c r="H38" i="19"/>
  <c r="K37" i="19"/>
  <c r="M37" i="19" s="1"/>
  <c r="L37" i="19"/>
  <c r="O37" i="19" l="1"/>
  <c r="N37" i="19"/>
  <c r="E38" i="20" s="1"/>
  <c r="D38" i="20"/>
  <c r="F38" i="20" l="1"/>
  <c r="F38" i="22"/>
  <c r="G38" i="22"/>
  <c r="I38" i="22"/>
  <c r="K38" i="22"/>
  <c r="P37" i="19"/>
  <c r="P38" i="22" l="1"/>
  <c r="Q38" i="22" s="1"/>
  <c r="AL13" i="8" s="1"/>
  <c r="AL14" i="8" s="1"/>
  <c r="AL40" i="8" l="1"/>
  <c r="C38" i="19"/>
  <c r="E38" i="19" s="1"/>
  <c r="I38" i="19" l="1"/>
  <c r="F39" i="19" s="1"/>
  <c r="J38" i="19"/>
  <c r="K38" i="19" l="1"/>
  <c r="L38" i="19"/>
  <c r="H39" i="19"/>
  <c r="C39" i="20"/>
  <c r="D39" i="20" l="1"/>
  <c r="G39" i="22"/>
  <c r="M38" i="19"/>
  <c r="O38" i="19" l="1"/>
  <c r="N38" i="19"/>
  <c r="E39" i="20" s="1"/>
  <c r="P38" i="19" l="1"/>
  <c r="I39" i="22"/>
  <c r="K39" i="22"/>
  <c r="F39" i="20"/>
  <c r="F39" i="22"/>
  <c r="P39" i="22" l="1"/>
  <c r="Q39" i="22" s="1"/>
  <c r="AM13" i="8" s="1"/>
  <c r="AM14" i="8" s="1"/>
  <c r="AM40" i="8" l="1"/>
  <c r="C39" i="19"/>
  <c r="E39" i="19" s="1"/>
  <c r="I39" i="19" l="1"/>
  <c r="F40" i="19" s="1"/>
  <c r="J39" i="19"/>
  <c r="L39" i="19" l="1"/>
  <c r="K39" i="19"/>
  <c r="D40" i="20" s="1"/>
  <c r="C40" i="20"/>
  <c r="H40" i="19"/>
  <c r="G40" i="22" l="1"/>
  <c r="M39" i="19"/>
  <c r="N39" i="19" l="1"/>
  <c r="E40" i="20" s="1"/>
  <c r="O39" i="19"/>
  <c r="P39" i="19" l="1"/>
  <c r="K40" i="22"/>
  <c r="I40" i="22"/>
  <c r="F40" i="20"/>
  <c r="F40" i="22"/>
  <c r="P40" i="22" l="1"/>
  <c r="Q40" i="22"/>
  <c r="AN13" i="8" s="1"/>
  <c r="AN14" i="8" s="1"/>
  <c r="AN40" i="8" l="1"/>
  <c r="C40" i="19"/>
  <c r="E40" i="19" s="1"/>
  <c r="J40" i="19" l="1"/>
  <c r="I40" i="19"/>
  <c r="F41" i="19" s="1"/>
  <c r="H41" i="19" l="1"/>
  <c r="C41" i="20"/>
  <c r="K40" i="19"/>
  <c r="L40" i="19"/>
  <c r="D41" i="20" l="1"/>
  <c r="G41" i="22" s="1"/>
  <c r="M40" i="19"/>
  <c r="O40" i="19" l="1"/>
  <c r="N40" i="19"/>
  <c r="E41" i="20" s="1"/>
  <c r="I41" i="22" l="1"/>
  <c r="K41" i="22"/>
  <c r="F41" i="22"/>
  <c r="F41" i="20"/>
  <c r="P40" i="19"/>
  <c r="P41" i="22" l="1"/>
  <c r="Q41" i="22" s="1"/>
  <c r="AO13" i="8" s="1"/>
  <c r="AO14" i="8" s="1"/>
  <c r="AO40" i="8" l="1"/>
  <c r="C41" i="19"/>
  <c r="E41" i="19" s="1"/>
  <c r="I41" i="19" l="1"/>
  <c r="F42" i="19" s="1"/>
  <c r="J41" i="19"/>
  <c r="K41" i="19" l="1"/>
  <c r="L41" i="19"/>
  <c r="C42" i="20"/>
  <c r="H42" i="19"/>
  <c r="D42" i="20" l="1"/>
  <c r="G42" i="22" s="1"/>
  <c r="M41" i="19"/>
  <c r="N41" i="19" l="1"/>
  <c r="E42" i="20" s="1"/>
  <c r="O41" i="19"/>
  <c r="P41" i="19" l="1"/>
  <c r="I42" i="22"/>
  <c r="K42" i="22"/>
  <c r="F42" i="20"/>
  <c r="F42" i="22"/>
  <c r="P42" i="22" l="1"/>
  <c r="Q42" i="22" s="1"/>
  <c r="AP13" i="8" s="1"/>
  <c r="AP14" i="8" s="1"/>
  <c r="AP40" i="8" l="1"/>
  <c r="C42" i="19"/>
  <c r="E42" i="19" s="1"/>
  <c r="J42" i="19" l="1"/>
  <c r="I42" i="19"/>
  <c r="F43" i="19" s="1"/>
  <c r="H43" i="19" l="1"/>
  <c r="C43" i="20"/>
  <c r="K42" i="19"/>
  <c r="L42" i="19"/>
  <c r="D43" i="20" l="1"/>
  <c r="G43" i="22" s="1"/>
  <c r="M42" i="19"/>
  <c r="O42" i="19" l="1"/>
  <c r="N42" i="19"/>
  <c r="E43" i="20" s="1"/>
  <c r="P42" i="19" l="1"/>
  <c r="I43" i="22"/>
  <c r="K43" i="22"/>
  <c r="F43" i="22"/>
  <c r="F43" i="20"/>
  <c r="P43" i="22" l="1"/>
  <c r="Q43" i="22" s="1"/>
  <c r="AQ13" i="8" s="1"/>
  <c r="AQ14" i="8" s="1"/>
  <c r="AQ40" i="8" l="1"/>
  <c r="C43" i="19"/>
  <c r="E43" i="19" s="1"/>
  <c r="I43" i="19" l="1"/>
  <c r="F44" i="19" s="1"/>
  <c r="J43" i="19"/>
  <c r="L43" i="19" l="1"/>
  <c r="K43" i="19"/>
  <c r="D44" i="20" s="1"/>
  <c r="C44" i="20"/>
  <c r="H44" i="19"/>
  <c r="G44" i="22" l="1"/>
  <c r="M43" i="19"/>
  <c r="N43" i="19" l="1"/>
  <c r="E44" i="20" s="1"/>
  <c r="O43" i="19"/>
  <c r="K44" i="22" l="1"/>
  <c r="I44" i="22"/>
  <c r="P44" i="22" s="1"/>
  <c r="F44" i="20"/>
  <c r="F44" i="22"/>
  <c r="P43" i="19"/>
  <c r="Q44" i="22" l="1"/>
  <c r="U3" i="22"/>
  <c r="B11" i="17" l="1"/>
  <c r="B12" i="17" s="1"/>
  <c r="B32" i="17" l="1"/>
  <c r="C44" i="19"/>
  <c r="E44" i="19" s="1"/>
  <c r="I44" i="19" l="1"/>
  <c r="F45" i="19" s="1"/>
  <c r="J44" i="19"/>
  <c r="L44" i="19" l="1"/>
  <c r="K44" i="19"/>
  <c r="D45" i="20" s="1"/>
  <c r="H45" i="19"/>
  <c r="C45" i="20"/>
  <c r="G45" i="22" l="1"/>
  <c r="M44" i="19"/>
  <c r="N44" i="19" l="1"/>
  <c r="E45" i="20" s="1"/>
  <c r="O44" i="19"/>
  <c r="P44" i="19" l="1"/>
  <c r="I45" i="22"/>
  <c r="K45" i="22"/>
  <c r="F45" i="22"/>
  <c r="F45" i="20"/>
  <c r="P45" i="22" l="1"/>
  <c r="Q45" i="22" s="1"/>
  <c r="C11" i="17" s="1"/>
  <c r="C12" i="17" s="1"/>
  <c r="C32" i="17" l="1"/>
  <c r="C45" i="19"/>
  <c r="E45" i="19" s="1"/>
  <c r="J45" i="19" l="1"/>
  <c r="I45" i="19"/>
  <c r="F46" i="19" s="1"/>
  <c r="H46" i="19" l="1"/>
  <c r="C46" i="20"/>
  <c r="L45" i="19"/>
  <c r="K45" i="19"/>
  <c r="D46" i="20" l="1"/>
  <c r="G46" i="22"/>
  <c r="M45" i="19"/>
  <c r="N45" i="19" l="1"/>
  <c r="E46" i="20" s="1"/>
  <c r="O45" i="19"/>
  <c r="I46" i="22" l="1"/>
  <c r="K46" i="22"/>
  <c r="F46" i="22"/>
  <c r="F46" i="20"/>
  <c r="P45" i="19"/>
  <c r="P46" i="22" l="1"/>
  <c r="Q46" i="22" s="1"/>
  <c r="D11" i="17" s="1"/>
  <c r="D12" i="17" s="1"/>
  <c r="D32" i="17" l="1"/>
  <c r="C46" i="19"/>
  <c r="E46" i="19" s="1"/>
  <c r="I46" i="19" l="1"/>
  <c r="F47" i="19" s="1"/>
  <c r="J46" i="19"/>
  <c r="L46" i="19" l="1"/>
  <c r="K46" i="19"/>
  <c r="D47" i="20" s="1"/>
  <c r="H47" i="19"/>
  <c r="C47" i="20"/>
  <c r="G47" i="22" l="1"/>
  <c r="M46" i="19"/>
  <c r="N46" i="19" l="1"/>
  <c r="E47" i="20" s="1"/>
  <c r="O46" i="19"/>
  <c r="K47" i="22" l="1"/>
  <c r="I47" i="22"/>
  <c r="P47" i="22" s="1"/>
  <c r="F47" i="20"/>
  <c r="F47" i="22"/>
  <c r="P46" i="19"/>
  <c r="Q47" i="22" l="1"/>
  <c r="E11" i="17" s="1"/>
  <c r="E12" i="17" s="1"/>
  <c r="E32" i="17" s="1"/>
  <c r="C47" i="19" l="1"/>
  <c r="E47" i="19" s="1"/>
  <c r="J47" i="19" s="1"/>
  <c r="I47" i="19" l="1"/>
  <c r="F48" i="19" s="1"/>
  <c r="H48" i="19"/>
  <c r="C48" i="20"/>
  <c r="L47" i="19"/>
  <c r="K47" i="19"/>
  <c r="D48" i="20" l="1"/>
  <c r="G48" i="22" s="1"/>
  <c r="M47" i="19"/>
  <c r="N47" i="19" l="1"/>
  <c r="E48" i="20" s="1"/>
  <c r="O47" i="19"/>
  <c r="K48" i="22" l="1"/>
  <c r="I48" i="22"/>
  <c r="F48" i="22"/>
  <c r="F48" i="20"/>
  <c r="P47" i="19"/>
  <c r="P48" i="22" l="1"/>
  <c r="Q48" i="22" s="1"/>
  <c r="F11" i="17" s="1"/>
  <c r="F12" i="17" s="1"/>
  <c r="F32" i="17" l="1"/>
  <c r="C48" i="19"/>
  <c r="E48" i="19" s="1"/>
  <c r="J48" i="19" l="1"/>
  <c r="I48" i="19"/>
  <c r="F49" i="19" s="1"/>
  <c r="H49" i="19" l="1"/>
  <c r="C49" i="20"/>
  <c r="L48" i="19"/>
  <c r="K48" i="19"/>
  <c r="D49" i="20" l="1"/>
  <c r="M48" i="19"/>
  <c r="O48" i="19" s="1"/>
  <c r="G49" i="22"/>
  <c r="N48" i="19" l="1"/>
  <c r="E49" i="20" s="1"/>
  <c r="F49" i="20" s="1"/>
  <c r="P48" i="19" l="1"/>
  <c r="I49" i="22"/>
  <c r="K49" i="22"/>
  <c r="F49" i="22"/>
  <c r="P49" i="22" l="1"/>
  <c r="Q49" i="22" s="1"/>
  <c r="G11" i="17" s="1"/>
  <c r="G12" i="17" s="1"/>
  <c r="G32" i="17" s="1"/>
  <c r="C49" i="19" l="1"/>
  <c r="E49" i="19" s="1"/>
  <c r="I49" i="19" s="1"/>
  <c r="F50" i="19" s="1"/>
  <c r="H50" i="19" s="1"/>
  <c r="C50" i="20" l="1"/>
  <c r="J49" i="19"/>
  <c r="K49" i="19" l="1"/>
  <c r="L49" i="19"/>
  <c r="D50" i="20" l="1"/>
  <c r="G50" i="22" s="1"/>
  <c r="M49" i="19"/>
  <c r="N49" i="19" l="1"/>
  <c r="E50" i="20" s="1"/>
  <c r="O49" i="19"/>
  <c r="P49" i="19"/>
  <c r="K50" i="22" l="1"/>
  <c r="F50" i="20"/>
  <c r="F50" i="22"/>
  <c r="I50" i="22"/>
  <c r="P50" i="22" s="1"/>
  <c r="Q50" i="22" l="1"/>
  <c r="H11" i="17" s="1"/>
  <c r="H12" i="17" s="1"/>
  <c r="H32" i="17" s="1"/>
  <c r="C50" i="19" l="1"/>
  <c r="E50" i="19" s="1"/>
  <c r="I50" i="19" s="1"/>
  <c r="F51" i="19" s="1"/>
  <c r="H51" i="19"/>
  <c r="C51" i="20"/>
  <c r="J50" i="19" l="1"/>
  <c r="K50" i="19" l="1"/>
  <c r="L50" i="19"/>
  <c r="D51" i="20" l="1"/>
  <c r="G51" i="22" s="1"/>
  <c r="M50" i="19"/>
  <c r="N50" i="19" l="1"/>
  <c r="O50" i="19"/>
  <c r="E51" i="20" l="1"/>
  <c r="P50" i="19"/>
  <c r="I51" i="22" l="1"/>
  <c r="F51" i="22"/>
  <c r="F51" i="20"/>
  <c r="K51" i="22"/>
  <c r="P51" i="22" l="1"/>
  <c r="Q51" i="22" s="1"/>
  <c r="I11" i="17" s="1"/>
  <c r="I12" i="17" s="1"/>
  <c r="I32" i="17" l="1"/>
  <c r="C51" i="19"/>
  <c r="E51" i="19" s="1"/>
  <c r="J51" i="19" l="1"/>
  <c r="I51" i="19"/>
  <c r="F52" i="19" s="1"/>
  <c r="H52" i="19" l="1"/>
  <c r="C52" i="20"/>
  <c r="K51" i="19"/>
  <c r="D52" i="20" s="1"/>
  <c r="G52" i="22" s="1"/>
  <c r="L51" i="19"/>
  <c r="M51" i="19"/>
  <c r="O51" i="19" l="1"/>
  <c r="N51" i="19"/>
  <c r="E52" i="20" s="1"/>
  <c r="I52" i="22" l="1"/>
  <c r="F52" i="22"/>
  <c r="K52" i="22"/>
  <c r="F52" i="20"/>
  <c r="P51" i="19"/>
  <c r="P52" i="22" l="1"/>
  <c r="Q52" i="22" s="1"/>
  <c r="J11" i="17" s="1"/>
  <c r="J12" i="17" s="1"/>
  <c r="J32" i="17" l="1"/>
  <c r="C52" i="19"/>
  <c r="E52" i="19" s="1"/>
  <c r="J52" i="19" l="1"/>
  <c r="I52" i="19"/>
  <c r="F53" i="19" s="1"/>
  <c r="H53" i="19" l="1"/>
  <c r="C53" i="20"/>
  <c r="L52" i="19"/>
  <c r="K52" i="19"/>
  <c r="M52" i="19" l="1"/>
  <c r="D53" i="20"/>
  <c r="G53" i="22" l="1"/>
  <c r="N52" i="19"/>
  <c r="E53" i="20" s="1"/>
  <c r="O52" i="19"/>
  <c r="P52" i="19"/>
  <c r="F53" i="20" l="1"/>
  <c r="K53" i="22"/>
  <c r="P53" i="22" s="1"/>
  <c r="Q53" i="22" s="1"/>
  <c r="K11" i="17" s="1"/>
  <c r="K12" i="17" s="1"/>
  <c r="I53" i="22"/>
  <c r="F53" i="22"/>
  <c r="K32" i="17" l="1"/>
  <c r="C53" i="19"/>
  <c r="E53" i="19" s="1"/>
  <c r="J53" i="19" l="1"/>
  <c r="I53" i="19"/>
  <c r="F54" i="19" s="1"/>
  <c r="C54" i="20" l="1"/>
  <c r="H54" i="19"/>
  <c r="L53" i="19"/>
  <c r="K53" i="19"/>
  <c r="M53" i="19" l="1"/>
  <c r="D54" i="20"/>
  <c r="G54" i="22" l="1"/>
  <c r="O53" i="19"/>
  <c r="N53" i="19"/>
  <c r="E54" i="20" s="1"/>
  <c r="P53" i="19"/>
  <c r="K54" i="22" l="1"/>
  <c r="I54" i="22"/>
  <c r="F54" i="20"/>
  <c r="P54" i="22"/>
  <c r="F54" i="22"/>
  <c r="Q54" i="22" l="1"/>
  <c r="L11" i="17" s="1"/>
  <c r="L12" i="17" s="1"/>
  <c r="L32" i="17" l="1"/>
  <c r="C54" i="19"/>
  <c r="E54" i="19" s="1"/>
  <c r="J54" i="19" l="1"/>
  <c r="I54" i="19"/>
  <c r="F55" i="19" s="1"/>
  <c r="H55" i="19" l="1"/>
  <c r="C55" i="20"/>
  <c r="L54" i="19"/>
  <c r="K54" i="19"/>
  <c r="D55" i="20" s="1"/>
  <c r="M54" i="19"/>
  <c r="O54" i="19" l="1"/>
  <c r="N54" i="19"/>
  <c r="E55" i="20" s="1"/>
  <c r="G55" i="22"/>
  <c r="F55" i="22"/>
  <c r="F55" i="20" l="1"/>
  <c r="K55" i="22"/>
  <c r="I55" i="22"/>
  <c r="P55" i="22"/>
  <c r="Q55" i="22" s="1"/>
  <c r="M11" i="17" s="1"/>
  <c r="M12" i="17" s="1"/>
  <c r="P54" i="19"/>
  <c r="M32" i="17" l="1"/>
  <c r="C55" i="19"/>
  <c r="E55" i="19" s="1"/>
  <c r="J55" i="19" l="1"/>
  <c r="I55" i="19"/>
  <c r="F56" i="19" s="1"/>
  <c r="H56" i="19" l="1"/>
  <c r="C56" i="20"/>
  <c r="K55" i="19"/>
  <c r="L55" i="19"/>
  <c r="M55" i="19" l="1"/>
  <c r="D56" i="20"/>
  <c r="G56" i="22" l="1"/>
  <c r="N55" i="19"/>
  <c r="E56" i="20" s="1"/>
  <c r="O55" i="19"/>
  <c r="P55" i="19"/>
  <c r="F56" i="20" l="1"/>
  <c r="K56" i="22"/>
  <c r="I56" i="22"/>
  <c r="F56" i="22"/>
  <c r="P56" i="22"/>
  <c r="Q56" i="22" s="1"/>
  <c r="N11" i="17" s="1"/>
  <c r="N12" i="17" s="1"/>
  <c r="C56" i="19" l="1"/>
  <c r="E56" i="19" s="1"/>
  <c r="N32" i="17"/>
  <c r="I56" i="19" l="1"/>
  <c r="F57" i="19" s="1"/>
  <c r="J56" i="19"/>
  <c r="K56" i="19" l="1"/>
  <c r="D57" i="20" s="1"/>
  <c r="L56" i="19"/>
  <c r="M56" i="19"/>
  <c r="H57" i="19"/>
  <c r="C57" i="20"/>
  <c r="O56" i="19" l="1"/>
  <c r="N56" i="19"/>
  <c r="E57" i="20" s="1"/>
  <c r="P56" i="19"/>
  <c r="G57" i="22"/>
  <c r="F57" i="22"/>
  <c r="I57" i="22" l="1"/>
  <c r="P57" i="22" s="1"/>
  <c r="Q57" i="22" s="1"/>
  <c r="O11" i="17" s="1"/>
  <c r="O12" i="17" s="1"/>
  <c r="K57" i="22"/>
  <c r="F57" i="20"/>
  <c r="C57" i="19" l="1"/>
  <c r="E57" i="19" s="1"/>
  <c r="O32" i="17"/>
  <c r="J57" i="19" l="1"/>
  <c r="I57" i="19"/>
  <c r="F58" i="19" s="1"/>
  <c r="H58" i="19" l="1"/>
  <c r="C58" i="20"/>
  <c r="K57" i="19"/>
  <c r="L57" i="19"/>
  <c r="M57" i="19" l="1"/>
  <c r="D58" i="20"/>
  <c r="G58" i="22" l="1"/>
  <c r="O57" i="19"/>
  <c r="N57" i="19"/>
  <c r="E58" i="20" s="1"/>
  <c r="P57" i="19" l="1"/>
  <c r="K58" i="22"/>
  <c r="I58" i="22"/>
  <c r="P58" i="22" s="1"/>
  <c r="Q58" i="22" s="1"/>
  <c r="P11" i="17" s="1"/>
  <c r="P12" i="17" s="1"/>
  <c r="F58" i="20"/>
  <c r="F58" i="22"/>
  <c r="C58" i="19" l="1"/>
  <c r="E58" i="19" s="1"/>
  <c r="P32" i="17"/>
  <c r="J58" i="19" l="1"/>
  <c r="I58" i="19"/>
  <c r="F59" i="19" s="1"/>
  <c r="C59" i="20" l="1"/>
  <c r="H59" i="19"/>
  <c r="K58" i="19"/>
  <c r="D59" i="20" s="1"/>
  <c r="L58" i="19"/>
  <c r="M58" i="19"/>
  <c r="O58" i="19" l="1"/>
  <c r="N58" i="19"/>
  <c r="E59" i="20" s="1"/>
  <c r="G59" i="22"/>
  <c r="F59" i="20" l="1"/>
  <c r="K59" i="22"/>
  <c r="I59" i="22"/>
  <c r="P59" i="22" s="1"/>
  <c r="F59" i="22"/>
  <c r="P58" i="19"/>
  <c r="Q59" i="22" l="1"/>
  <c r="Q11" i="17" s="1"/>
  <c r="Q12" i="17" s="1"/>
  <c r="C59" i="19" l="1"/>
  <c r="E59" i="19" s="1"/>
  <c r="Q32" i="17"/>
  <c r="I59" i="19" l="1"/>
  <c r="F60" i="19" s="1"/>
  <c r="J59" i="19"/>
  <c r="K59" i="19" l="1"/>
  <c r="L59" i="19"/>
  <c r="C60" i="20"/>
  <c r="H60" i="19"/>
  <c r="M59" i="19" l="1"/>
  <c r="D60" i="20"/>
  <c r="G60" i="22" s="1"/>
  <c r="N59" i="19" l="1"/>
  <c r="E60" i="20" s="1"/>
  <c r="O59" i="19"/>
  <c r="P59" i="19"/>
  <c r="F60" i="20"/>
  <c r="F60" i="22" l="1"/>
  <c r="K60" i="22"/>
  <c r="I60" i="22"/>
  <c r="P60" i="22" s="1"/>
  <c r="Q60" i="22" s="1"/>
  <c r="R11" i="17" s="1"/>
  <c r="R12" i="17" s="1"/>
  <c r="R32" i="17" l="1"/>
  <c r="C60" i="19"/>
  <c r="E60" i="19" s="1"/>
  <c r="J60" i="19" l="1"/>
  <c r="I60" i="19"/>
  <c r="F61" i="19" s="1"/>
  <c r="H61" i="19" l="1"/>
  <c r="C61" i="20"/>
  <c r="L60" i="19"/>
  <c r="K60" i="19"/>
  <c r="M60" i="19" l="1"/>
  <c r="D61" i="20"/>
  <c r="G61" i="22" l="1"/>
  <c r="N60" i="19"/>
  <c r="E61" i="20" s="1"/>
  <c r="O60" i="19"/>
  <c r="P60" i="19" l="1"/>
  <c r="K61" i="22"/>
  <c r="I61" i="22"/>
  <c r="P61" i="22" s="1"/>
  <c r="Q61" i="22" s="1"/>
  <c r="S11" i="17" s="1"/>
  <c r="S12" i="17" s="1"/>
  <c r="F61" i="20"/>
  <c r="F61" i="22"/>
  <c r="S32" i="17" l="1"/>
  <c r="C61" i="19"/>
  <c r="E61" i="19" s="1"/>
  <c r="I61" i="19" l="1"/>
  <c r="F62" i="19" s="1"/>
  <c r="J61" i="19"/>
  <c r="K61" i="19" l="1"/>
  <c r="D62" i="20" s="1"/>
  <c r="L61" i="19"/>
  <c r="M61" i="19"/>
  <c r="H62" i="19"/>
  <c r="C62" i="20"/>
  <c r="N61" i="19" l="1"/>
  <c r="E62" i="20" s="1"/>
  <c r="O61" i="19"/>
  <c r="G62" i="22"/>
  <c r="K62" i="22" l="1"/>
  <c r="I62" i="22"/>
  <c r="P62" i="22" s="1"/>
  <c r="Q62" i="22" s="1"/>
  <c r="T11" i="17" s="1"/>
  <c r="T12" i="17" s="1"/>
  <c r="F62" i="22"/>
  <c r="P61" i="19"/>
  <c r="F62" i="20"/>
  <c r="T32" i="17" l="1"/>
  <c r="C62" i="19"/>
  <c r="E62" i="19" s="1"/>
  <c r="J62" i="19" l="1"/>
  <c r="I62" i="19"/>
  <c r="F63" i="19" s="1"/>
  <c r="H63" i="19" l="1"/>
  <c r="C63" i="20"/>
  <c r="L62" i="19"/>
  <c r="K62" i="19"/>
  <c r="M62" i="19" l="1"/>
  <c r="D63" i="20"/>
  <c r="G63" i="22" l="1"/>
  <c r="N62" i="19"/>
  <c r="E63" i="20" s="1"/>
  <c r="O62" i="19"/>
  <c r="P62" i="19"/>
  <c r="K63" i="22" l="1"/>
  <c r="I63" i="22"/>
  <c r="F63" i="22"/>
  <c r="P63" i="22"/>
  <c r="Q63" i="22" s="1"/>
  <c r="U11" i="17" s="1"/>
  <c r="U12" i="17" s="1"/>
  <c r="F63" i="20"/>
  <c r="C63" i="19" l="1"/>
  <c r="E63" i="19" s="1"/>
  <c r="U32" i="17"/>
  <c r="J63" i="19" l="1"/>
  <c r="I63" i="19"/>
  <c r="F64" i="19" s="1"/>
  <c r="H64" i="19" l="1"/>
  <c r="C64" i="20"/>
  <c r="K63" i="19"/>
  <c r="L63" i="19"/>
  <c r="M63" i="19"/>
  <c r="O63" i="19" l="1"/>
  <c r="N63" i="19"/>
  <c r="E64" i="20" s="1"/>
  <c r="P63" i="19"/>
  <c r="D64" i="20"/>
  <c r="I64" i="22" l="1"/>
  <c r="K64" i="22"/>
  <c r="F64" i="20"/>
  <c r="G64" i="22"/>
  <c r="P64" i="22" s="1"/>
  <c r="Q64" i="22" s="1"/>
  <c r="V11" i="17" s="1"/>
  <c r="V12" i="17" s="1"/>
  <c r="F64" i="22"/>
  <c r="V32" i="17" l="1"/>
  <c r="C64" i="19"/>
  <c r="E64" i="19" s="1"/>
  <c r="J64" i="19" l="1"/>
  <c r="I64" i="19"/>
  <c r="F65" i="19" s="1"/>
  <c r="H65" i="19" l="1"/>
  <c r="C65" i="20"/>
  <c r="K64" i="19"/>
  <c r="L64" i="19"/>
  <c r="M64" i="19" l="1"/>
  <c r="D65" i="20"/>
  <c r="G65" i="22" l="1"/>
  <c r="O64" i="19"/>
  <c r="N64" i="19"/>
  <c r="E65" i="20" s="1"/>
  <c r="P64" i="19"/>
  <c r="K65" i="22" l="1"/>
  <c r="I65" i="22"/>
  <c r="F65" i="20"/>
  <c r="F65" i="22"/>
  <c r="P65" i="22"/>
  <c r="Q65" i="22" s="1"/>
  <c r="W11" i="17" s="1"/>
  <c r="W12" i="17" s="1"/>
  <c r="W32" i="17" l="1"/>
  <c r="C65" i="19"/>
  <c r="E65" i="19" s="1"/>
  <c r="I65" i="19" l="1"/>
  <c r="F66" i="19" s="1"/>
  <c r="J65" i="19"/>
  <c r="K65" i="19" l="1"/>
  <c r="L65" i="19"/>
  <c r="M65" i="19"/>
  <c r="H66" i="19"/>
  <c r="C66" i="20"/>
  <c r="O65" i="19" l="1"/>
  <c r="N65" i="19"/>
  <c r="E66" i="20" s="1"/>
  <c r="D66" i="20"/>
  <c r="K66" i="22" l="1"/>
  <c r="I66" i="22"/>
  <c r="P66" i="22" s="1"/>
  <c r="Q66" i="22" s="1"/>
  <c r="X11" i="17" s="1"/>
  <c r="X12" i="17" s="1"/>
  <c r="X32" i="17" s="1"/>
  <c r="X2" i="22" s="1"/>
  <c r="X9" i="22" s="1"/>
  <c r="G66" i="22"/>
  <c r="F66" i="20"/>
  <c r="F66" i="22"/>
  <c r="P65" i="19"/>
  <c r="C66" i="19" l="1"/>
  <c r="E66" i="19" s="1"/>
  <c r="I66" i="19"/>
  <c r="J66" i="19"/>
  <c r="L66" i="19" l="1"/>
  <c r="K66" i="19"/>
  <c r="M66" i="19" s="1"/>
  <c r="N66" i="19" l="1"/>
  <c r="P66" i="19" s="1"/>
  <c r="O66" i="19"/>
</calcChain>
</file>

<file path=xl/sharedStrings.xml><?xml version="1.0" encoding="utf-8"?>
<sst xmlns="http://schemas.openxmlformats.org/spreadsheetml/2006/main" count="966" uniqueCount="603">
  <si>
    <t>LIST OF ASSUMPTION USED IN THE MODEL</t>
  </si>
  <si>
    <t>Assumption</t>
  </si>
  <si>
    <t>Economic Net Worth</t>
  </si>
  <si>
    <t>Total Pension Value</t>
  </si>
  <si>
    <t>Total Human Capital Value</t>
  </si>
  <si>
    <t>Salary</t>
  </si>
  <si>
    <t>Huyen: Bank Teller. Huyen's husband: Recruitment Assistant. 
We will not change the career path.</t>
  </si>
  <si>
    <t>Inflation</t>
  </si>
  <si>
    <t>Annual living expenses increase with inflation rate.</t>
  </si>
  <si>
    <t>Annual salary growth rate</t>
  </si>
  <si>
    <t>Using inflation rate as annual salary growth rate.</t>
  </si>
  <si>
    <t>Risk-Free rate</t>
  </si>
  <si>
    <t>Vietnam 30 year bond yield is fixed through the calculated period.</t>
  </si>
  <si>
    <t xml:space="preserve">Retirement age </t>
  </si>
  <si>
    <t>Huyen and Huyen's husband retire, regulated by a new law. Specifically, Huyen retires at 60 and Huyen's husband retires at 62. Both retire at the end of the year.</t>
  </si>
  <si>
    <t>Marriage</t>
  </si>
  <si>
    <t>We marry at the end of year 2025 at all parent cost, wedding money will be a part of our saving cost.</t>
  </si>
  <si>
    <t>Insurance premiums</t>
  </si>
  <si>
    <t>Insurance premiums are fixed during the contract period.</t>
  </si>
  <si>
    <t>Life insurance</t>
  </si>
  <si>
    <t>We buy life insurance when we turn 30 years old.</t>
  </si>
  <si>
    <t>Child</t>
  </si>
  <si>
    <t>Travel</t>
  </si>
  <si>
    <t>Travel in Asia, Europe, Australia and Africa.</t>
  </si>
  <si>
    <t>Life expectancy</t>
  </si>
  <si>
    <t>Both will die at the end of the year 2088.</t>
  </si>
  <si>
    <t>Key Financial Data</t>
  </si>
  <si>
    <t>Link</t>
  </si>
  <si>
    <t>Huyen's salary</t>
  </si>
  <si>
    <t>https://vtcnews.vn/soi-muc-luong-pho-bien-cua-cac-vi-tri-trong-ngan-hang-ar808150.html</t>
  </si>
  <si>
    <t>Huyen's husband salary</t>
  </si>
  <si>
    <t>https://vinatrain.edu.vn/muc-luong-cua-nhan-vien-tuyen-dung/</t>
  </si>
  <si>
    <t>Mortgage Interest Rate</t>
  </si>
  <si>
    <t>https://www.vpbank.com.vn/bi-kip-va-chia-se/retail-story-and-tips/loans-category/lai-suat-vay-mua-nha</t>
  </si>
  <si>
    <t>Bank Deposit Rate</t>
  </si>
  <si>
    <t>https://vietnamnet.vn/lai-suat-ngan-hang-hom-nay-14-5-2025-ky-han-6-thang-lai-suat-cao-nhat-5-65-2400896.html</t>
  </si>
  <si>
    <t>Vietnam- inflation rate 2029 | Statista</t>
  </si>
  <si>
    <t>Risk-Free Rate</t>
  </si>
  <si>
    <t>Vietnam 30 Year Bond Yield - Investing.com</t>
  </si>
  <si>
    <t>Tax Deduction And Duty</t>
  </si>
  <si>
    <t xml:space="preserve">https://thuvienphapluat.vn/van-ban/Thue-Phi-Le-Phi/Luat-thue-thu-nhap-ca-nhan-2007-04-2007-QH12-59652.aspx </t>
  </si>
  <si>
    <t>Tax</t>
  </si>
  <si>
    <t>Cách tính mức lương đóng BHXH 2024 từ 01/7 khi tăng lương tối thiểu vùng? Công thức tính lương đóng bảo hiểm xã hội mới nhất hiện nay thế nào? (thuvienphapluat.vn)</t>
  </si>
  <si>
    <t>Pension Value</t>
  </si>
  <si>
    <t>https://thuvienphapluat.vn/van-ban/Bao-hiem/Nghi-dinh-115-2015-ND-CP-huong-dan-Luat-bao-hiem-xa-hoi-bat-buoc-279974.aspx?anchor=dieu_9</t>
  </si>
  <si>
    <t>Probility Of Death</t>
  </si>
  <si>
    <t>Life tables: Life tables by country Viet Nam</t>
  </si>
  <si>
    <t>Retirement Age</t>
  </si>
  <si>
    <t>https://thuvienphapluat.vn/van-ban/Lao-dong-Tien-luong/Nghi-dinh-135-2020-ND-CP-tuoi-nghi-huu-445512.aspx</t>
  </si>
  <si>
    <t xml:space="preserve">Renting Apartment </t>
  </si>
  <si>
    <t>https://batdongsan.com.vn/cho-thue-can-ho-chung-cu-pho-ta-quang-buu-phuong-6-10-prj-tara-residence/chinh-chu-c-1pn-57m2-nhu-hinh-pr36145490</t>
  </si>
  <si>
    <t>Housing price</t>
  </si>
  <si>
    <t>https://batdongsan.com.vn/ban-nha-rieng-pho-ky-dong-phuong-9-5/chi-voi-2ty450-ban-da-co-ngay-thu-nhap-18-trieu-1-thang-nam-ngay-vi-tri-vang-duong-quan-3-pr43138611</t>
  </si>
  <si>
    <t>Stock return</t>
  </si>
  <si>
    <t>https://fireant.vn/dashboard</t>
  </si>
  <si>
    <t>https://stag.vn/funds/DCBF</t>
  </si>
  <si>
    <t>Social insurance</t>
  </si>
  <si>
    <t>https://thuvienphapluat.vn/phap-luat-doanh-nghiep/bai-viet/muc-dong-bao-hiem-xa-hoi-nam-2024-bhxh-bhyt-bhtn-bhtnld-bnn-cua-nld-va-doanh-nghiep-7514.html</t>
  </si>
  <si>
    <t>Travel tour</t>
  </si>
  <si>
    <t>https://travel.com.vn/</t>
  </si>
  <si>
    <t>Car model</t>
  </si>
  <si>
    <t>https://toyota-angiang5s.com/san-pham/toyota-vios/</t>
  </si>
  <si>
    <t>Personal Image</t>
  </si>
  <si>
    <t>Age</t>
  </si>
  <si>
    <t>Married status</t>
  </si>
  <si>
    <t>Single</t>
  </si>
  <si>
    <t>Occupation</t>
  </si>
  <si>
    <t xml:space="preserve">Bank teller </t>
  </si>
  <si>
    <t>Accommodation</t>
  </si>
  <si>
    <t>Renting a one-bedroom apartment</t>
  </si>
  <si>
    <t>Source of income</t>
  </si>
  <si>
    <t>Salary from employment</t>
  </si>
  <si>
    <t>Career Timline</t>
  </si>
  <si>
    <t>Planning to work until retirement</t>
  </si>
  <si>
    <t>85 years</t>
  </si>
  <si>
    <t xml:space="preserve">Period </t>
  </si>
  <si>
    <t>Position</t>
  </si>
  <si>
    <t>Goal</t>
  </si>
  <si>
    <t xml:space="preserve">Link </t>
  </si>
  <si>
    <t>Establishing a strong financial foundation (22-26)</t>
  </si>
  <si>
    <t>22 - 24</t>
  </si>
  <si>
    <t>Get married and start a family. Focus on building my career and gaining valuable knowledge, start saving</t>
  </si>
  <si>
    <t>25-26</t>
  </si>
  <si>
    <t xml:space="preserve">Promotion to Controller </t>
  </si>
  <si>
    <t xml:space="preserve">Achieve a promotion and ensure financial stability to cover all expenses. </t>
  </si>
  <si>
    <t>27-30</t>
  </si>
  <si>
    <t xml:space="preserve">Promotion to Deputy Head of Customer Service </t>
  </si>
  <si>
    <t xml:space="preserve">Give birth child </t>
  </si>
  <si>
    <t>31-33</t>
  </si>
  <si>
    <t>Promotion to Head of Customer Service</t>
  </si>
  <si>
    <t>34-36</t>
  </si>
  <si>
    <t>Promotion to Deputy Director of Operations</t>
  </si>
  <si>
    <t>37-60</t>
  </si>
  <si>
    <t>Promotion to Branch Director</t>
  </si>
  <si>
    <t>Sustaining and Optimizing Wealth Distribution (61-85)</t>
  </si>
  <si>
    <t>Retirement</t>
  </si>
  <si>
    <t>FOR RISK MANAGEMENT</t>
  </si>
  <si>
    <t>Earning risk</t>
  </si>
  <si>
    <t>Protect earning and human capital.</t>
  </si>
  <si>
    <t>Health risk</t>
  </si>
  <si>
    <t>Minimize large medical expenses for the family.</t>
  </si>
  <si>
    <t>Buy health insurance for the family.</t>
  </si>
  <si>
    <t>Premature death risk</t>
  </si>
  <si>
    <t>Protect source of income for the family.</t>
  </si>
  <si>
    <t>Buy life insurance for both breadwinners.</t>
  </si>
  <si>
    <t>FOR CAPITAL ACCUMULATION</t>
  </si>
  <si>
    <t>Emergency fund</t>
  </si>
  <si>
    <t>Cover shorfall in income to ensure the minimum living standard.</t>
  </si>
  <si>
    <t>Savings fund</t>
  </si>
  <si>
    <t>Investment fund</t>
  </si>
  <si>
    <t>Taxable Income</t>
  </si>
  <si>
    <t>Applicable Interest Rate for Mortgage in 2025</t>
  </si>
  <si>
    <t>Applicable Interest Rate for Deposit in 12 months</t>
  </si>
  <si>
    <t>Tax grade</t>
  </si>
  <si>
    <t>Taxable income/year (VND million)</t>
  </si>
  <si>
    <t>Tax rate</t>
  </si>
  <si>
    <t>No</t>
  </si>
  <si>
    <t>Bank's Name</t>
  </si>
  <si>
    <t>Applicable Interest Rate</t>
  </si>
  <si>
    <t>Up to 60</t>
  </si>
  <si>
    <t> </t>
  </si>
  <si>
    <t>BIDV</t>
  </si>
  <si>
    <t>Between over 60 and 120</t>
  </si>
  <si>
    <t>Vietcombank</t>
  </si>
  <si>
    <t>Between over 120 and 216</t>
  </si>
  <si>
    <t>Agribank</t>
  </si>
  <si>
    <t>Between over 216 and 384</t>
  </si>
  <si>
    <t>Vietinbank</t>
  </si>
  <si>
    <t>Between over 384 and 624</t>
  </si>
  <si>
    <t>VIB</t>
  </si>
  <si>
    <t>Between over 624 and 960</t>
  </si>
  <si>
    <t>Techcombank</t>
  </si>
  <si>
    <t>Over 960</t>
  </si>
  <si>
    <t>VPBank</t>
  </si>
  <si>
    <t>TPBank</t>
  </si>
  <si>
    <t>Tax Deduction</t>
  </si>
  <si>
    <t>VND/year</t>
  </si>
  <si>
    <t>ACB</t>
  </si>
  <si>
    <t>Personal exemption</t>
  </si>
  <si>
    <t>Sacombank</t>
  </si>
  <si>
    <t>Dependent exemption/ per dependent</t>
  </si>
  <si>
    <t>MSB</t>
  </si>
  <si>
    <t>HDBank</t>
  </si>
  <si>
    <t>MBBank</t>
  </si>
  <si>
    <t>Remaining Car Value</t>
  </si>
  <si>
    <t>Average</t>
  </si>
  <si>
    <t>Recently bought</t>
  </si>
  <si>
    <t>Within 1 year after buying</t>
  </si>
  <si>
    <t>Within over 1 year and 3 years after buying</t>
  </si>
  <si>
    <t>Inflation Rate</t>
  </si>
  <si>
    <t>Calculations Of Discount Rate For Human Capital</t>
  </si>
  <si>
    <t>Within over 3 years and 6 years after buying</t>
  </si>
  <si>
    <t>Year</t>
  </si>
  <si>
    <t>Rate</t>
  </si>
  <si>
    <t>Risk Free Rate (Vietnam Government Bond 20Y)</t>
  </si>
  <si>
    <t>Within over 6 years and 10 years after buying</t>
  </si>
  <si>
    <t>Risk Premium Relating to Huyen's income</t>
  </si>
  <si>
    <t>Over 10 years after buying</t>
  </si>
  <si>
    <t>Risk Premium Relating to Huyen's husband ncome</t>
  </si>
  <si>
    <t>Discount Rate For Huyen's income</t>
  </si>
  <si>
    <t>Huyen's Car Model</t>
  </si>
  <si>
    <t>Discount Rate For Huyen's husband income</t>
  </si>
  <si>
    <t>Huyen's Car</t>
  </si>
  <si>
    <t>VIOS 1.5E-MT</t>
  </si>
  <si>
    <t>Buying price (in 2035)</t>
  </si>
  <si>
    <t>2030 Afterwards</t>
  </si>
  <si>
    <t>Traditional Balance Sheet at the end of 2025, unit VND</t>
  </si>
  <si>
    <t>Economic Balance Sheet, unit VND</t>
  </si>
  <si>
    <t>ASSETS</t>
  </si>
  <si>
    <t>VND</t>
  </si>
  <si>
    <t>%</t>
  </si>
  <si>
    <t xml:space="preserve">LIABILITIES </t>
  </si>
  <si>
    <t>Liquid Assets</t>
  </si>
  <si>
    <t>Liabilities</t>
  </si>
  <si>
    <t>Assets</t>
  </si>
  <si>
    <t>Cash</t>
  </si>
  <si>
    <t>Short-term Liabilities</t>
  </si>
  <si>
    <t>Saving Account</t>
  </si>
  <si>
    <t>Long-term Liabilities</t>
  </si>
  <si>
    <t>Checking Account</t>
  </si>
  <si>
    <t xml:space="preserve">Others </t>
  </si>
  <si>
    <t xml:space="preserve">Total liquid assets </t>
  </si>
  <si>
    <t xml:space="preserve">TOTAL LIABILITIES </t>
  </si>
  <si>
    <t>Present Value of Lifetime Consumption Needs</t>
  </si>
  <si>
    <t xml:space="preserve">Tangible Assets </t>
  </si>
  <si>
    <t>Net Worth</t>
  </si>
  <si>
    <t xml:space="preserve"> Economic Net Worth</t>
  </si>
  <si>
    <t>iPhone 15 promax</t>
  </si>
  <si>
    <t>TOTAL LIABILITIES &amp; NET WORTH</t>
  </si>
  <si>
    <t>iPhone 16 promax</t>
  </si>
  <si>
    <t>Macbook Air 2017</t>
  </si>
  <si>
    <t xml:space="preserve">iPad </t>
  </si>
  <si>
    <t>Honda Scoopy</t>
  </si>
  <si>
    <t>AirBlade 160</t>
  </si>
  <si>
    <t>Total tangible assets</t>
  </si>
  <si>
    <t xml:space="preserve">TOTAL ASSETS </t>
  </si>
  <si>
    <t>Human Capital</t>
  </si>
  <si>
    <t>Huyen's Human Capital</t>
  </si>
  <si>
    <t>Key Ratio</t>
  </si>
  <si>
    <t>Formula</t>
  </si>
  <si>
    <t>Calculation</t>
  </si>
  <si>
    <t>Huyen's husband Human Capital</t>
  </si>
  <si>
    <t>Solvency Ratio</t>
  </si>
  <si>
    <t xml:space="preserve">Net Worth/Total assets </t>
  </si>
  <si>
    <t>Huyen's Pension Value</t>
  </si>
  <si>
    <t>Huyen's husband Pension Value</t>
  </si>
  <si>
    <t>Cash Flow Statement for the family at the end of 2025</t>
  </si>
  <si>
    <t xml:space="preserve">Financial ratios </t>
  </si>
  <si>
    <t xml:space="preserve">Formula </t>
  </si>
  <si>
    <t xml:space="preserve">Income </t>
  </si>
  <si>
    <t>Saving ratio</t>
  </si>
  <si>
    <t xml:space="preserve">Cash surplus/ income after tax </t>
  </si>
  <si>
    <t>Huyen's gross salary</t>
  </si>
  <si>
    <t>Huyen's husband gross salary</t>
  </si>
  <si>
    <t>Interest</t>
  </si>
  <si>
    <t>TOTAL INCOME</t>
  </si>
  <si>
    <t>Expenses</t>
  </si>
  <si>
    <t xml:space="preserve">Living expense </t>
  </si>
  <si>
    <t xml:space="preserve">TOTAL EXPENSE </t>
  </si>
  <si>
    <t>Surplus/Deficit</t>
  </si>
  <si>
    <t>HUYEN</t>
  </si>
  <si>
    <t>HUYEN'S HUSBAND</t>
  </si>
  <si>
    <t>Monthly Salary</t>
  </si>
  <si>
    <t>Yearly Bonus</t>
  </si>
  <si>
    <t>Monthly Income</t>
  </si>
  <si>
    <t xml:space="preserve">Bank Teller </t>
  </si>
  <si>
    <t>Recruitment Assistant</t>
  </si>
  <si>
    <t xml:space="preserve">Controller </t>
  </si>
  <si>
    <t>Recruitment Specialist</t>
  </si>
  <si>
    <t xml:space="preserve">Deputy Head of Customer Service </t>
  </si>
  <si>
    <t>Recruitment Team Leader</t>
  </si>
  <si>
    <t>Recruitment Manager</t>
  </si>
  <si>
    <t>Head of Customer Service</t>
  </si>
  <si>
    <t>Deputy Director of Operations</t>
  </si>
  <si>
    <t>Recruitment Director</t>
  </si>
  <si>
    <t xml:space="preserve">Branch manager </t>
  </si>
  <si>
    <t>HR Director</t>
  </si>
  <si>
    <t>Time Line</t>
  </si>
  <si>
    <t>Period</t>
  </si>
  <si>
    <t>Inflation rate</t>
  </si>
  <si>
    <t>Huyen</t>
  </si>
  <si>
    <t>Branch manager</t>
  </si>
  <si>
    <t>Huyen retires</t>
  </si>
  <si>
    <t>Pass away</t>
  </si>
  <si>
    <t>Huyen's husband</t>
  </si>
  <si>
    <t>HR director</t>
  </si>
  <si>
    <t>Huyen's husband retires</t>
  </si>
  <si>
    <t>Young Children</t>
  </si>
  <si>
    <t>Give birth and Huyen's 6 months maternity leave</t>
  </si>
  <si>
    <t>Start university</t>
  </si>
  <si>
    <t>Become independent</t>
  </si>
  <si>
    <t xml:space="preserve">Our family </t>
  </si>
  <si>
    <t xml:space="preserve">Buy house and pay off mortgage </t>
  </si>
  <si>
    <t xml:space="preserve">Buy car </t>
  </si>
  <si>
    <t xml:space="preserve">Vacation period </t>
  </si>
  <si>
    <t>HUMAN CAPITAL</t>
  </si>
  <si>
    <t>Human captial - Huyen</t>
  </si>
  <si>
    <t>Pre tax income</t>
  </si>
  <si>
    <t>Total deduction</t>
  </si>
  <si>
    <t xml:space="preserve">Social insurance </t>
  </si>
  <si>
    <t>Assessable income</t>
  </si>
  <si>
    <t>Income tax</t>
  </si>
  <si>
    <t>After tax income</t>
  </si>
  <si>
    <t>Present value of future income</t>
  </si>
  <si>
    <t>Age of Huyen</t>
  </si>
  <si>
    <t>Probability of surviving</t>
  </si>
  <si>
    <t>Human capital</t>
  </si>
  <si>
    <t xml:space="preserve">Human captial - Huyen's husband </t>
  </si>
  <si>
    <t>Age of Huyen's husband</t>
  </si>
  <si>
    <t>Total human capital</t>
  </si>
  <si>
    <t>PENSION VALUE</t>
  </si>
  <si>
    <t>Pension value - Huyen</t>
  </si>
  <si>
    <t>Pension</t>
  </si>
  <si>
    <t>Present value of pension</t>
  </si>
  <si>
    <t>Pension value</t>
  </si>
  <si>
    <t>Pension value - Huyen's husband</t>
  </si>
  <si>
    <t>CONSUMPTION NEED</t>
  </si>
  <si>
    <t>Annual living expense</t>
  </si>
  <si>
    <t>Present value</t>
  </si>
  <si>
    <t>Life time consumption need</t>
  </si>
  <si>
    <t>Assumptions</t>
  </si>
  <si>
    <t>Discount Rate For Huyen's Income</t>
  </si>
  <si>
    <t>Discount Rate For Huyen's husband Income</t>
  </si>
  <si>
    <t>Huyen's average income before retirement</t>
  </si>
  <si>
    <t xml:space="preserve">Huyen's pension </t>
  </si>
  <si>
    <t>Huyen's husband average 10-year income before retirement</t>
  </si>
  <si>
    <t xml:space="preserve">Huyen's husband pension </t>
  </si>
  <si>
    <t>Risk free rate</t>
  </si>
  <si>
    <t>INCOME</t>
  </si>
  <si>
    <t>Huyen's pre tax income</t>
  </si>
  <si>
    <t>Huyen's husband pre tax income</t>
  </si>
  <si>
    <t>Total income</t>
  </si>
  <si>
    <t>EXPENSE</t>
  </si>
  <si>
    <t>Rent</t>
  </si>
  <si>
    <t xml:space="preserve">Food </t>
  </si>
  <si>
    <t>Necessities</t>
  </si>
  <si>
    <t>Electric and water</t>
  </si>
  <si>
    <t>Phone and internet</t>
  </si>
  <si>
    <t>Fuel and gas</t>
  </si>
  <si>
    <t xml:space="preserve">Parking </t>
  </si>
  <si>
    <t xml:space="preserve">Skincare and comestic products </t>
  </si>
  <si>
    <t>Entertainment</t>
  </si>
  <si>
    <t>Shopping</t>
  </si>
  <si>
    <t>Maternity cost</t>
  </si>
  <si>
    <t>Living expense for child</t>
  </si>
  <si>
    <t>Derivative expense such as wedding, funeral</t>
  </si>
  <si>
    <t>Healthcare visit</t>
  </si>
  <si>
    <t>Tax deduction</t>
  </si>
  <si>
    <t>Motorbike insurance</t>
  </si>
  <si>
    <t>Car insurance</t>
  </si>
  <si>
    <t>Health insurance</t>
  </si>
  <si>
    <t>Mortgage payment</t>
  </si>
  <si>
    <t>Car payment</t>
  </si>
  <si>
    <t>Total expenses</t>
  </si>
  <si>
    <t xml:space="preserve">Expense </t>
  </si>
  <si>
    <t>Total Amount( VND)</t>
  </si>
  <si>
    <t>Yearly expense</t>
  </si>
  <si>
    <t>0-1</t>
  </si>
  <si>
    <t>Diapers, milk, clothes, vaccination, medications, and incidental cost</t>
  </si>
  <si>
    <t>Diapers, milk,,foods, education, toys, books. clothes, vaccinations, medical costs and incidental cost</t>
  </si>
  <si>
    <t>Foods, clothes, educations, personal items, toys, books, medical expenses and incidental expense</t>
  </si>
  <si>
    <t>Foods. education, clothes, entertainment, medical cost, and incidental expenses</t>
  </si>
  <si>
    <t>11-15</t>
  </si>
  <si>
    <t>Foods. education, clothes, entertainments, medical cost and incidental expenses</t>
  </si>
  <si>
    <t>15-18</t>
  </si>
  <si>
    <t>Foods, education, clothes, entertainment and Incidental cost</t>
  </si>
  <si>
    <t>18-22</t>
  </si>
  <si>
    <t>Education, monthly expenses, extra classes, other expenses</t>
  </si>
  <si>
    <t>Brand manager</t>
  </si>
  <si>
    <t>Payment term</t>
  </si>
  <si>
    <t>Debt payment for Mortgage</t>
  </si>
  <si>
    <t>Principal</t>
  </si>
  <si>
    <t>Interest rate</t>
  </si>
  <si>
    <t xml:space="preserve">Payment </t>
  </si>
  <si>
    <t>Principal payment</t>
  </si>
  <si>
    <t>Interest payment</t>
  </si>
  <si>
    <t xml:space="preserve">Net principlal </t>
  </si>
  <si>
    <t>Buy car and pay off car loan</t>
  </si>
  <si>
    <t>Car price</t>
  </si>
  <si>
    <t>Debt payment for Car</t>
  </si>
  <si>
    <t xml:space="preserve">MOTORBIKE INSURANCE </t>
  </si>
  <si>
    <t>Bảo Việt</t>
  </si>
  <si>
    <t>PVI</t>
  </si>
  <si>
    <t>Coverage aspects
+ Damage to the body, life, and property of third parties caused by the vehicle
+ Bodily injury to the driver and passengers of the vehicle involved in the accident while on or getting in and out of the vehicle during traffic participation.
Uncoverage aspects
+ Intentional acts causing damage by the motor vehicle owner, driver, or the injured party.
+ The driver causing an accident and intentionally fleeing without fulfilling the civil liability of the motor vehicle owner. However, if the driver intentionally flees but has fulfilled the motor vehicle owner's civil liability, it will not be considered an exclusion from insurance liability.
+ The driver is under or over the age limit for operating a motor vehicle as stipulated by road traffic laws; the driver does not possess a valid driver's license or uses an invalid driver's license (where the serial number on the back does not match the most recently issued serial number in the driver's license management information system), or uses a driver's license not issued by a competent authority, a forged driver's license, or a driver's license that has expired at the time of the accident, or uses a driver's license unsuitable for the type of motor vehicle for which a driver's license is mandatory. If the driver's license has been temporarily suspended or revoked, the driver will be considered as not having a driver's license.
+ Indirect damages, including: reduction in commercial value, damages related to the use and exploitation of the damaged property.
+ Damage to property caused by the driver operating the vehicle while having alcohol concentration in their blood or breath, or using narcotics and banned stimulants as regulated by law.
+ Damage to property that is stolen or robbed during the accident.
+ Damage to special property, including: gold, silver, gemstones, valuable papers (like money), antiques, rare paintings, dead bodies, and remains.
+ War, terrorism, earthquake.</t>
  </si>
  <si>
    <t xml:space="preserve">Coverage aspects
+ Material damage to the vehicle caused by fire, explosion, or unexpected detonation, beyond the control of the owner or driver. The vehicle will be fully compensated if the damage or loss exceeds 75% or reaches a point where it cannot be repaired or restored to ensure safe operation.
+ Damage to the body, life, and property of a third party caused by the vehicle.
+ Damage to the body of the driver and passengers in the vehicle who are injured in an accident while in the vehicle, getting on or off the vehicle, during its participation in traffic.
Uncoverage aspects 
+ Intentional damage or accidents caused by the vehicle owner, driver, or the injured party.
+ Using motorcycles for racing (legal or illegal), using the vehicle for robbery, or for other illegal purposes that cause accidents.
+ Losses under 300,000 VND.
+ Accidents occurring outside the territory of Vietnam. 
+ Accidents occurring outside the territory of Vietnam.
+ The insured intentionally causing damage; using motorcycles for racing (legal or illegal).
+ The driver not possessing a valid driver's license.
+ Intentional damage or accidents caused by the vehicle owner, driver, or the injured party.
+ The driver causing an accident and intentionally fleeing without fulfilling the civil liability of the vehicle owner or driver.
+ The driver not possessing a valid driver's license, or the driver's license not being appropriate for the type of motor vehicle for which a driver's license is mandatory.
+ Indirect damages such as: reduction in commercial value, damages related to the use and exploitation of the damaged property.
+ Damage to property that is stolen or robbed during the accident.
+ War, terrorism, earthquake.
+ Damage to special property including gold, silver, gemstones, money, valuable papers (like money), antiques, rare paintings, dead bodies, remains, etc.
</t>
  </si>
  <si>
    <t xml:space="preserve">Contract period </t>
  </si>
  <si>
    <t xml:space="preserve">3 years </t>
  </si>
  <si>
    <t>Premiums (per year)</t>
  </si>
  <si>
    <t>CAR INSURANCE INFORMATION</t>
  </si>
  <si>
    <t>PJICO</t>
  </si>
  <si>
    <t>INSURANCE FEES CALCULATION FROM 3 DIFFERENT INSURANCE COMPANY</t>
  </si>
  <si>
    <t>Insurance Calculation For Car</t>
  </si>
  <si>
    <t xml:space="preserve">Car value </t>
  </si>
  <si>
    <t>Category</t>
  </si>
  <si>
    <t>Compulsory Motor Vehicle Owner's Civil Liability Insurance Fee</t>
  </si>
  <si>
    <t>Physical Damage Coverage</t>
  </si>
  <si>
    <t>Normal Car (Under 3 years of usage)</t>
  </si>
  <si>
    <t>Package: Compensation Amount  &gt; 200% Car Value</t>
  </si>
  <si>
    <t>Below 3 years</t>
  </si>
  <si>
    <t>Adjusted For Usage Years of Car</t>
  </si>
  <si>
    <t>Additional Fees</t>
  </si>
  <si>
    <t>From 03 - 06 years</t>
  </si>
  <si>
    <t>10% higher than fees for Normal Car Under 3 years)</t>
  </si>
  <si>
    <t>From 06 - 10 years</t>
  </si>
  <si>
    <t>20% higher than fees for Normal Car Under 3 years)</t>
  </si>
  <si>
    <t>Above 10 years</t>
  </si>
  <si>
    <t>From 10 - 15 years</t>
  </si>
  <si>
    <t>30% higher than fees for Normal Car Under 3 years)</t>
  </si>
  <si>
    <t>Fee when we have recently bought</t>
  </si>
  <si>
    <t>From 15 - 20 years</t>
  </si>
  <si>
    <t>40% higher than fees for Normal Car Under 3 years)</t>
  </si>
  <si>
    <t>Fee within 1 years after buying</t>
  </si>
  <si>
    <t>Above 20 years</t>
  </si>
  <si>
    <t>50% higher than fees for Normal Car Under 3 years)</t>
  </si>
  <si>
    <t>Fee from 1 years - 3 years</t>
  </si>
  <si>
    <t>Fee from 3 years - 6 years</t>
  </si>
  <si>
    <t>Fee from 6 years - 10 years</t>
  </si>
  <si>
    <t>Fee above 10 years</t>
  </si>
  <si>
    <t>Insurance For People Staying in Car</t>
  </si>
  <si>
    <t>Insurance Calculation For People Staying in Car</t>
  </si>
  <si>
    <t>Covered Amount In Case Accident/ per people</t>
  </si>
  <si>
    <t>Fees</t>
  </si>
  <si>
    <t>Fee from 10 years - 15 years</t>
  </si>
  <si>
    <t>Package 1: Up to VND 20 million</t>
  </si>
  <si>
    <t>Fee from 15 years - 20 years</t>
  </si>
  <si>
    <t>Package 1: From VND 5 million to 200 million</t>
  </si>
  <si>
    <t>Package 2: From VND 20 million to VND 50 million</t>
  </si>
  <si>
    <t>Fee above 20 years</t>
  </si>
  <si>
    <t>Package 2: From 5.000 $ to 10.000$</t>
  </si>
  <si>
    <t>Package 3: From VND 50 million to VND 100 million</t>
  </si>
  <si>
    <t>Package 3: From 10.000$ to 30.000$</t>
  </si>
  <si>
    <t>Fee with package 3 which cover VND 100 million</t>
  </si>
  <si>
    <t>Package 4: From 30.000$ to 50.000$</t>
  </si>
  <si>
    <t>Total Car insurance fees</t>
  </si>
  <si>
    <t>Package 1: From VND 5 million to VND 500 million</t>
  </si>
  <si>
    <t>Fee with package 1 which cover VND 100 million</t>
  </si>
  <si>
    <t>Package 2: From VND 500 million to VND 1 billion</t>
  </si>
  <si>
    <t>Package 3: Above VND 1 billion</t>
  </si>
  <si>
    <t xml:space="preserve">HEALTH INSURANCE </t>
  </si>
  <si>
    <t>BẢO VIỆT AN GIA
Bronze package (Inpatient and outpatient)</t>
  </si>
  <si>
    <t xml:space="preserve">PJICO </t>
  </si>
  <si>
    <t xml:space="preserve">Coverage Aspects with Maximum Cover Amount Up to 99.800.000 VND/year/person.
Main benefits: Inpatient treatment for illness and accident
+ Inpatient hospitalization cost.
+ Pre hospitalization cost.
+ Re examination cost.
+ Emergency transportation.
+ Surgical cost.
+ Rehabilitation. 
+ Allowance funeral if death occurs at hospital.
+ Public hospital allowance.
Supplemental benefits:
+ Outpatient treatment.
+ Accident insurance.
+ Life insurance.
+ Dental insurance.
+ Maternity insuarance.
</t>
  </si>
  <si>
    <t>Coverage Aspects with Maximum Cover Amount Up to 115.000.000 VND/year/person. 
+ Accident Insurance: Customers receive benefits for risks, death, or permanent disability due to an accident, including permanent injury to specific body parts resulting from an accident.
+ Inpatient Treatment: PVI covers insurance costs when the insured person requires inpatient treatment or surgery at a hospital due to illness, sickness, or accident, as well as for maternity care.
+ Other Benefits: These include costs incurred 30 days before hospitalization, costs incurred within 30 days of the incident, and home healthcare medical expenses for 15 days after hospital discharge.
+ Supplemental Health Insurance Benefits: These additional benefits cover outpatient treatment for illness, sickness, or accident, as well as dental insurance, maternity benefits, and life insurance due to illness or sickness.</t>
  </si>
  <si>
    <t>Coverage Aspects with Maximum Cover Amount Up to 100.000.000 VND/year/person.
Main benefits:
+ Hospitalization Costs due to Accident, Illness/Day (maximum 60 days/year). 
+ Surgical Costs due to Accident, Illness.  
+ Physical Therapy, Rehabilitation due to Accident, Illness (maximum 60 days/year).
+ Pre-Hospitalization Treatment Costs due to Accident, Illness (within 30 days before hospitalization)
+ Post-Hospitalization Treatment Costs due to Accident, Illness (within 30 days after discharge)
+ Hospitalization Allowance due to Accident, Illness treated at a Public Hospital (Excluding Private Hospitals, International Hospitals, Service Wards/On-Demand Wards/International Wards at Public Hospitals).
+ Home Nursing Care due to Accident, Illness as prescribed by the Treating Doctor (within 15 days after discharge).
+ Emergency Ambulance Transportation Costs.
+ Funeral Allowance.
Supplemental benefits:
+ Maternity.
+ Death and Total Permanent Disability due to accidents.
+ Death due to illness.
+ Outpatient treatment due to accidents and illness.
+ Dental care.</t>
  </si>
  <si>
    <t>Exclusions:
+ Individuals suffering from mental illness, leprosy, or cancer.
+ Individuals with a permanent disability or permanent injury of 50% or more.
+ Individuals currently undergoing treatment for an illness or injury.
+ Events occurring outside the scope clearly defined in the insurance contract.  
+ The policyholder undergoes treatment or uses medication not in accordance with the instructions or guidance of the healthcare facility/doctor, or requests unrelated to standard treatment or surgery as regulated by the Ministry of Health.  
+ The method of examination, treatment, or use of medication that has not undergone clinical trials or has not been proven based on widely accepted medical knowledge.  
+ The insured person is in violation of the law and is serving a criminal sentence, intentionally committing traffic law violations according to the conclusions of the competent authority.  
+ Consequences of the policyholder using alcohol, drugs, stimulants, etc.  
+ Services for examination and treatment at home.</t>
  </si>
  <si>
    <t>BẢO VIỆT AN GIA</t>
  </si>
  <si>
    <t xml:space="preserve">Health Insurance Calculation </t>
  </si>
  <si>
    <t xml:space="preserve"> Health Insurance Calculation </t>
  </si>
  <si>
    <t>Health Insurance Calculation</t>
  </si>
  <si>
    <t>Adjusted For Age</t>
  </si>
  <si>
    <t xml:space="preserve">Adjusted For Age </t>
  </si>
  <si>
    <t>1-3 Years Old</t>
  </si>
  <si>
    <t>1-5 Years Old</t>
  </si>
  <si>
    <t>4-6 Years Old</t>
  </si>
  <si>
    <t>4-10 Years Old</t>
  </si>
  <si>
    <t>6-59 Years Old</t>
  </si>
  <si>
    <t>7-9 Years Old</t>
  </si>
  <si>
    <t>11-18 Years Old</t>
  </si>
  <si>
    <t>60-65 Years Old</t>
  </si>
  <si>
    <t>10-18 Years Old</t>
  </si>
  <si>
    <t>19-40 Years Old</t>
  </si>
  <si>
    <t>Family Discounts</t>
  </si>
  <si>
    <t>19-30 Years Old</t>
  </si>
  <si>
    <t>41-50 Years</t>
  </si>
  <si>
    <t>31-40 Years Old</t>
  </si>
  <si>
    <t>51-60 Years</t>
  </si>
  <si>
    <t>41-50 Years Old</t>
  </si>
  <si>
    <t>51-60 Years Old</t>
  </si>
  <si>
    <t xml:space="preserve">LIFE INSURANCE </t>
  </si>
  <si>
    <t>Sun Life - Sun Sống Mới</t>
  </si>
  <si>
    <t>Prudential - Phú Bảo An 
Advance Package</t>
  </si>
  <si>
    <t>Bảo Việt - An Phát Trọn Đời</t>
  </si>
  <si>
    <t>Benefits</t>
  </si>
  <si>
    <t>Protection scope</t>
  </si>
  <si>
    <t>Two breadwinners</t>
  </si>
  <si>
    <t xml:space="preserve">Death and Permanent Total Disability </t>
  </si>
  <si>
    <t>1 billion VND for insured person</t>
  </si>
  <si>
    <t>Fatal diseases (Life-threatening cancer; End-stage renal failure; Severe traumatic brain injury)</t>
  </si>
  <si>
    <t>Get more 250 million VND for insured person</t>
  </si>
  <si>
    <t>1 bilion VNĐ (1st breadwinner). 500 million VNĐ (2nd breadwinner))</t>
  </si>
  <si>
    <t>Main products An Phát Trọn Đời</t>
  </si>
  <si>
    <t>- Pay 100% of the death benefit if the insured person suffers from permanent total disability due to an accident.
- Advance 50% of the death benefit (up to 500 million VND) to cover treatment costs if the insured is diagnosed with a terminal illness.
- Insurance coverage continues even if the insured can no longer pay premiums, provided that the surrender value of the contract (after deducting any debts) is sufficient to cover the monthly deductions."</t>
  </si>
  <si>
    <t>For dependants</t>
  </si>
  <si>
    <t>Get more 250 million VND If the insured person's parents are older than 65 years old and his children are lower than 18 years old at the time of he dies or has Permanent Total Disability (maximum 5 dependants)</t>
  </si>
  <si>
    <t xml:space="preserve">Death and Permanent Total Disability due to accidents </t>
  </si>
  <si>
    <t xml:space="preserve">300 million VNĐ for each breadwinner </t>
  </si>
  <si>
    <t>Products to increase the protection</t>
  </si>
  <si>
    <t>Contract period</t>
  </si>
  <si>
    <t>30 years</t>
  </si>
  <si>
    <t>1st breadwinner has fatal diseases</t>
  </si>
  <si>
    <t>Waiver of premium for the entire contract</t>
  </si>
  <si>
    <t>200 million VND for the other insured person</t>
  </si>
  <si>
    <t>Exclusions</t>
  </si>
  <si>
    <t xml:space="preserve">2nd breadwinner dies or has Death and Permanent Total Disability </t>
  </si>
  <si>
    <t>Waiver of premiums for the entire contract and support of 100 million VND each year.</t>
  </si>
  <si>
    <t>Death benefit does not apply</t>
  </si>
  <si>
    <t>- Suicide within two years from the Policy Effective Date, or the most recent Policy Reinstatement Date (if any).
- Intentional acts by the Policyholder or Beneficiary against the Insured.
- Execution by legal order.
- Pre-existing conditions.</t>
  </si>
  <si>
    <t xml:space="preserve">Medical expenses </t>
  </si>
  <si>
    <t>Support for medical expenses before, during, and after hospitalization, surgery, and emergency costs due to accidents abroad.</t>
  </si>
  <si>
    <t>An tâm hạnh phúc</t>
  </si>
  <si>
    <t>50 million VND for the main and the other insured person</t>
  </si>
  <si>
    <t>Permanent Total Disability benefit does not apply</t>
  </si>
  <si>
    <t>- Use of stimulants, narcotics, or intentional self-inflicted injury while sane or insane.
- War or acts of war.
- Intentional acts by the Policyholder or Beneficiary.
- Serving in the military during wartime, or acting under combat orders or for public order restoration.
- Participation in dangerous sports.</t>
  </si>
  <si>
    <t>20 years</t>
  </si>
  <si>
    <t>Fatal diseases benefit does not appy</t>
  </si>
  <si>
    <t>1. Critical illness diagnosed before or within 90 days from the policy effective date or the most recent policy reinstatement date (if any), whichever is later.
2. Life-threatening cancer or end-stage renal failure caused by or related to:
- Congenital diseases.
- Pre-existing conditions.
- Treatment of radiation exposure or radioactive contamination.
3. Severe traumatic brain injury caused by or related to:
- War or acts of war.
- Participation in dangerous sports.
- Boarding, exiting, operating, serving, or being transported on aircraft or aviation equipment not as a fare-paying passenger.
- Criminal acts or violations of the law by the insured, policyholder, or beneficiary.
- Consumption of alcoholic beverages exceeding the legal limit, or illegal use of stimulants, narcotics, sleeping pills, medication, sedatives, or any toxic substance.
- Intentional self-inflicted injury while sane or insane within 2 years from the policy effective date or the most recent policy reinstatement date (if any).</t>
  </si>
  <si>
    <t>Exclusion</t>
  </si>
  <si>
    <t>1. Exclusions of insurance benefits in the event of death due to direct or indirect consequences of:
a. Suicide within 24 months from the date the insurance contract takes effect or the date of contract reinstatement;
b. HIV infection; AIDS; or diseases related to AIDS; 
c. Criminal acts by the person who will receive the insurance benefits or the insured person.
2. Exclusions of insurance benefits in the event of Permanent Total Disability:
a. That occurred prior to the date the insurance contract takes effect or the date of contract reinstatement (if applicable); 
b. Arising directly or indirectly from:
- Suicide attempts or self-inflicted injuries, regardless of whether in a normal mental state or insane; 
- Participation in aviation activities, except as a passenger on commercial flights; 
- Committing criminal acts by the person who will receive the insurance benefits or the insured person.</t>
  </si>
  <si>
    <t>In case the insured person does not have any problem</t>
  </si>
  <si>
    <t>Get 40 billion at the ending year of the contract</t>
  </si>
  <si>
    <t>Travel tour expense</t>
  </si>
  <si>
    <t>Asia</t>
  </si>
  <si>
    <t>Malaysia - Singapore</t>
  </si>
  <si>
    <t>China</t>
  </si>
  <si>
    <t>Korea</t>
  </si>
  <si>
    <t>Japan</t>
  </si>
  <si>
    <t>Europe</t>
  </si>
  <si>
    <t>France - Luxembourg - German - Switzerland - Liechtenstein - Italy</t>
  </si>
  <si>
    <t>Norway - Swenden - Denmark</t>
  </si>
  <si>
    <t>Greece - Turkey</t>
  </si>
  <si>
    <t>England - Wales - Scotland</t>
  </si>
  <si>
    <t xml:space="preserve">Australia </t>
  </si>
  <si>
    <t>Sydney - Blue Mountains - Canberra - Melbourne - Mt. Buller Snowy</t>
  </si>
  <si>
    <t xml:space="preserve">Africa </t>
  </si>
  <si>
    <t>Egypt</t>
  </si>
  <si>
    <t>South Africa</t>
  </si>
  <si>
    <t>Morocco</t>
  </si>
  <si>
    <t>Vacation period</t>
  </si>
  <si>
    <t>Huyen's pension</t>
  </si>
  <si>
    <t>Huyen's husband pension</t>
  </si>
  <si>
    <t>Charitable contribution</t>
  </si>
  <si>
    <t xml:space="preserve">Fitness membership </t>
  </si>
  <si>
    <t>Travel expense</t>
  </si>
  <si>
    <t>Total expense</t>
  </si>
  <si>
    <t>Fund Type</t>
  </si>
  <si>
    <t>Description</t>
  </si>
  <si>
    <t>Method</t>
  </si>
  <si>
    <t>Emergency Fund</t>
  </si>
  <si>
    <t>If monthly income falls short, this fund covers unforeseen but essential expenses.</t>
  </si>
  <si>
    <t>Investment Fund</t>
  </si>
  <si>
    <t>Used for investments.</t>
  </si>
  <si>
    <t>Stock and DCBF</t>
  </si>
  <si>
    <t>Saving Fund</t>
  </si>
  <si>
    <t>Savings Account</t>
  </si>
  <si>
    <t>Instrument</t>
  </si>
  <si>
    <t>Characteristics</t>
  </si>
  <si>
    <t>Stock</t>
  </si>
  <si>
    <t>Bond</t>
  </si>
  <si>
    <t>DCBF</t>
  </si>
  <si>
    <t>Gold</t>
  </si>
  <si>
    <t>Crypto</t>
  </si>
  <si>
    <t>Saving</t>
  </si>
  <si>
    <t>Total %</t>
  </si>
  <si>
    <t xml:space="preserve">Age </t>
  </si>
  <si>
    <t>Income</t>
  </si>
  <si>
    <t>Expense</t>
  </si>
  <si>
    <t>Current emergency</t>
  </si>
  <si>
    <t>Desired emergency</t>
  </si>
  <si>
    <t>Additional emergency</t>
  </si>
  <si>
    <t>Drawdown from emergency fund</t>
  </si>
  <si>
    <t xml:space="preserve">Surplus/Deficit left </t>
  </si>
  <si>
    <t>Saving with additional fund</t>
  </si>
  <si>
    <t>Drawdown from saving</t>
  </si>
  <si>
    <t xml:space="preserve">Additional investment fund </t>
  </si>
  <si>
    <t xml:space="preserve">Drawdown from investment </t>
  </si>
  <si>
    <t xml:space="preserve">Beginning emergency fund </t>
  </si>
  <si>
    <t xml:space="preserve">Beginning saving account </t>
  </si>
  <si>
    <t xml:space="preserve">Beginning investment account </t>
  </si>
  <si>
    <t>Total balance</t>
  </si>
  <si>
    <t>Stock Market Annual Return</t>
  </si>
  <si>
    <t>Date</t>
  </si>
  <si>
    <t>Price of DCBF</t>
  </si>
  <si>
    <t>Semiannual Return of Bond Investment Fund (DCBF)</t>
  </si>
  <si>
    <t>Standard Deviation</t>
  </si>
  <si>
    <t>Mean</t>
  </si>
  <si>
    <t>Wealth at the beginning of year</t>
  </si>
  <si>
    <t>Savings</t>
  </si>
  <si>
    <t>% Stock</t>
  </si>
  <si>
    <t>% Bond</t>
  </si>
  <si>
    <t>Random number</t>
  </si>
  <si>
    <t>1+return on stock</t>
  </si>
  <si>
    <t>1+return on bond</t>
  </si>
  <si>
    <t>Wealth at the end of year</t>
  </si>
  <si>
    <t>Total return</t>
  </si>
  <si>
    <t>Retirement Expense</t>
  </si>
  <si>
    <t>Annual saving rate</t>
  </si>
  <si>
    <t>2025</t>
  </si>
  <si>
    <t>Stimulation</t>
  </si>
  <si>
    <t>Volatility</t>
  </si>
  <si>
    <t>25th Percentile</t>
  </si>
  <si>
    <t>Expected annual return</t>
  </si>
  <si>
    <t>50th Percentile</t>
  </si>
  <si>
    <t>Standard deviation</t>
  </si>
  <si>
    <t>75th Percentile</t>
  </si>
  <si>
    <t>95th Percentile</t>
  </si>
  <si>
    <t>Prob(Successful)</t>
  </si>
  <si>
    <t>Bond fund return</t>
  </si>
  <si>
    <t>Purchase house worth VND 2 billion 450.</t>
  </si>
  <si>
    <t>Pay off mortgage debt. Buy car worth VND 500 million.</t>
  </si>
  <si>
    <t>61-85</t>
  </si>
  <si>
    <t>Enjoy a secure, worry-free retirement and travel around the world.</t>
  </si>
  <si>
    <t xml:space="preserve">In process of paying mortgage debt. </t>
  </si>
  <si>
    <t>Have savings fund by adding surplus left at the end of each period to next year saving amount.</t>
  </si>
  <si>
    <t>Invest in stock and bond fund to earn interest and ensure cash inflow.</t>
  </si>
  <si>
    <t>6x monthly expenses</t>
  </si>
  <si>
    <t>Mortgage and saving rate</t>
  </si>
  <si>
    <t>The applicable rates will remain stable.</t>
  </si>
  <si>
    <t>Highly liquid, high returns, high market risk.</t>
  </si>
  <si>
    <t>Store for future needs or emergencies with a safe account.</t>
  </si>
  <si>
    <t>Periodic payments, lower returns, lower risk compared to stocks.</t>
  </si>
  <si>
    <t>Value influenced by supply and demand.</t>
  </si>
  <si>
    <t>Reasons</t>
  </si>
  <si>
    <t>Huyen works in the financial industry.</t>
  </si>
  <si>
    <t>The applicable rates are the average of 13 banks in Vietnam.</t>
  </si>
  <si>
    <t xml:space="preserve">We do not change our lifestyle. </t>
  </si>
  <si>
    <t>We will not change the career path.</t>
  </si>
  <si>
    <t xml:space="preserve">Vietnam's 30 year bond yield serves as the risk-free rate. </t>
  </si>
  <si>
    <t>Based on Decree 135/2020 ND-CP.</t>
  </si>
  <si>
    <t>Our parents will support our wedding.</t>
  </si>
  <si>
    <t>Most insurance contracts promise fixed premiums.</t>
  </si>
  <si>
    <t>We hedge against premature death risk during the working period.</t>
  </si>
  <si>
    <t>He can take responsibility for his life.</t>
  </si>
  <si>
    <t>Our child will become independent when he turns 22 years old.</t>
  </si>
  <si>
    <t>We fulfill our dream to travel around the world.</t>
  </si>
  <si>
    <t>Our life expectancy is both 85 years old.</t>
  </si>
  <si>
    <t>Strategic Wealth Growth and Accumulation (27-60)</t>
  </si>
  <si>
    <t>Pay social insurance and save frequently.</t>
  </si>
  <si>
    <t>Average expense</t>
  </si>
  <si>
    <t>Advantages
+ PJICO partners with many hospitals and clinics across Vietnam, including top-tier hospitals.
+ Offers relatively affordable plans that suit a broad range of customers.
+ Quick, streamlined, and professional procedures ensuring maximum customer benefits.
+ Wide insurance coverage, attractive options, and strong financial capacity for claim payments.
Disadvantages
+Only insured people below 65 years old.</t>
  </si>
  <si>
    <t>Three funds</t>
  </si>
  <si>
    <t>Instrument characteristics</t>
  </si>
  <si>
    <t>High returns but significant risks.</t>
  </si>
  <si>
    <t>A diversified portfolio of assets, high liquidity.</t>
  </si>
  <si>
    <r>
      <rPr>
        <sz val="13"/>
        <color theme="1"/>
        <rFont val="Times New Roman"/>
        <family val="1"/>
      </rPr>
      <t>Coverage Aspects with Maximum Cover Amount Up to Car's Value
+ Collisions, overturning, sinking, or falling objects
+ Fire or explosion
+ Natural disasters (e.g., storms, floods, earthquakes, lightning)
+ Theft or robbery (total loss)
+ Malicious acts (excluding those by the owner, insured, or driver)</t>
    </r>
  </si>
  <si>
    <r>
      <rPr>
        <sz val="13"/>
        <color theme="1"/>
        <rFont val="Times New Roman"/>
        <family val="1"/>
      </rPr>
      <t>Coverage Aspects with A Diverse Cover Amount
+ Collisions, overturning, sinking, or falling objects
+ Fire or explosion
+ Natural disasters (e.g., storms, floods, earthquakes, lightning)
+ Theft or robbery (total loss)
+ Malicious acts (excluding those by the owner, insured, or driver)</t>
    </r>
  </si>
  <si>
    <r>
      <rPr>
        <sz val="13"/>
        <color theme="1"/>
        <rFont val="Times New Roman"/>
        <family val="1"/>
      </rPr>
      <t>Exclusions:
+ The damage is intentional or involves fraud.
+ The driver has no valid or appropriate license, or is using a fake/suspended one.
+ The vehicle lacks valid registration or inspection, or has expired documents.
+ The driver is under the influence of alcohol or drugs.
+ The vehicle is driven against traffic rules (wrong way, ignoring signs or police).
+ The vehicle is used without lights at night or with illegal modifications (e.g., sirens).
+ It's used to transport banned or hazardous items without legal permission.
+ The incident occurs outside Vietnam or in restricted/military zones.
+ The damage is due to racing, riots, terrorism, or war.
+ The cause is mechanical failure, wear and tear, poor maintenance, or faulty repairs.
+ The engine is damaged by driving through floods or attempting to restart when submerged.
+ Only parts/accessories are stolen (not the whole vehicle).
+ The vehicle’s declared value is too low (underinsured).
+ The accident results from legal violations or ongoing disputes.</t>
    </r>
  </si>
  <si>
    <r>
      <rPr>
        <sz val="13"/>
        <color theme="1"/>
        <rFont val="Times New Roman"/>
        <family val="1"/>
      </rPr>
      <t>Uncoverage Aspects:
+ The damage is intentional or involves fraud.
+ The driver has no valid or appropriate license, or is using a fake/suspended one.
+ The vehicle lacks valid registration or inspection, or has expired documents.
+ The driver is under the influence of alcohol or drugs.
+ The vehicle is driven against traffic rules (wrong way, ignoring signs or police).
+ The vehicle is used without lights at night or with illegal modifications (e.g., sirens).
+ It's used to transport banned or hazardous items without legal permission.
+ The incident occurs outside Vietnam or in restricted/military zones.
+ The damage is due to racing, riots, terrorism, or war.
+ The cause is mechanical failure, wear and tear, poor maintenance, or faulty repairs.
+ The engine is damaged by driving through floods or attempting to restart when submerged.
+ Only parts/accessories are stolen (not the whole vehicle).
+ The vehicle’s declared value is too low (underinsured).
+ The accident results from legal violations or ongoing disputes.</t>
    </r>
  </si>
  <si>
    <r>
      <t xml:space="preserve">Exclusions:
</t>
    </r>
    <r>
      <rPr>
        <i/>
        <sz val="13"/>
        <color rgb="FF000000"/>
        <rFont val="Arial"/>
        <family val="2"/>
        <scheme val="minor"/>
      </rPr>
      <t xml:space="preserve">For first year:
</t>
    </r>
    <r>
      <rPr>
        <sz val="13"/>
        <color rgb="FF000000"/>
        <rFont val="Arial"/>
        <family val="2"/>
        <scheme val="minor"/>
      </rPr>
      <t xml:space="preserve">1. Respiratory system diseases: Adenoiditis requiring curettage, sinusitis, deviated septum, asthma. For bronchitis, bronchiolitis, and pneumonia of all types, a waiting period of 6 months is applied for children ≤ 6 years old.
2. Ear system diseases: Otitis media requiring surgery, nasopharyngeal polyps, removal of spiral bone.
3. Vascular system diseases: Phlebitis and venous thrombosis/obstruction, varicose veins of lower limbs, carpal tunnel syndrome, lymphatic vessels/nodes, hemorrhoids.
4. Metabolic disorders of all types
5. Musculoskeletal system diseases: Chronic arthritis/polyarthritis, degenerative disease of the spine, vertebral bodies, herniated discs, bone density and structure disorders, gout.
6. Digestive system diseases: Gastric and duodenal ulcers.
7. Other diseases: Stones, cysts, warts, moles of all kinds, vestibular disorders.
</t>
    </r>
    <r>
      <rPr>
        <i/>
        <sz val="13"/>
        <color rgb="FF000000"/>
        <rFont val="Arial"/>
        <family val="2"/>
        <scheme val="minor"/>
      </rPr>
      <t xml:space="preserve">General exclusions:
</t>
    </r>
    <r>
      <rPr>
        <sz val="13"/>
        <color rgb="FF000000"/>
        <rFont val="Arial"/>
        <family val="2"/>
        <scheme val="minor"/>
      </rPr>
      <t>1. Nervous system: Central nervous system inflammation, atrophy affecting the nervous system, extrapyramidal movement disorders, Alzheimer's, Apalic syndrome/dementia, epilepsy, coma, cerebral palsy and other paralytic syndromes...
2. Respiratory system: Pulmonary failure, pneumothorax
3. Circulatory system:
    a. Heart disease.
    b. Hypertension/high blood pressure, idiopathic hyperdynamic vasoconstriction,
    c. Cerebrovascular diseases/stroke and sequelae of this disease
4. Digestive system:
    a. Liver diseases: hepatitis A, B, C. Liver failure/cirrhosis
    b. Gallbladder diseases: Gallstones</t>
    </r>
  </si>
  <si>
    <r>
      <rPr>
        <sz val="13"/>
        <color theme="1"/>
        <rFont val="Arial"/>
        <family val="2"/>
        <scheme val="minor"/>
      </rPr>
      <t>Insurance Exclusions:
+ Intentional acts by the insured or their legal heirs.
+ Criminal acts or serious legal violations (e.g., illegal racing, driving without a valid license, wrong-way driving).
+ Accidents due to alcohol over legal limits or use of stimulants.
+ Fighting, unless proven as self-defense.
+ Medical treatment or drug use without doctor’s prescription.
+ Participation in aviation (except as a passenger), military training, or armed conflict.
+ Natural disasters: earthquakes, tsunamis, volcanic eruptions, radiation, pandemics (WHO level 6+).
+ War, civil unrest, terrorism, riots, strikes, rebellion, or armed uprisings.
+ Participation in professional sports or any type of race.
+ Treatment of tuberculosis, malaria, STDs (e.g., syphilis, gonorrhea), or HIV-related illnesses.
+ Treatment/surgery for genetic diseases, birth defects, or conditions existing before coverage start date.
+ Routine check-ups, fatigue treatment, medical exams, health counseling, all vaccines (except post-accident or animal/insect bites).
+ Vision/hearing exams or correction of degenerative or refractive issues (e.g., myopia, astigmatism).
+ Treatment at the request of the insured without medical necessity.
+ Cosmetic surgeries or treatments (e.g., acne, pigmentation, hair loss).
+ Treatment for metabolic or biochemical abnormalities (e.g., high cholesterol, liver enzymes).
+ Costs for medical aids/prosthetics, except limited coverage for trauma-related orthopedic use (10% of accident medical limit).
+ Supplements, dietary products, vitamins, or cosmetics not prescribed by a doctor.
+ Family planning, infertility treatment, artificial reproduction, gender transition, or related complications.
+ Weight management (gain/loss).
+ Treatment for mental disorders, epilepsy, sleep issues, stress, or nervous breakdown.
+ Treatment at unlicensed clinics or without valid invoices, unless stated otherwise in the policy.
+ Maternity-related costs unless maternity benefit is included.
+ Pre-existing and specific diseases within the first policy year.</t>
    </r>
  </si>
  <si>
    <r>
      <rPr>
        <sz val="13"/>
        <color theme="1"/>
        <rFont val="Arial"/>
        <family val="2"/>
        <scheme val="minor"/>
      </rPr>
      <t>Advantages: 
+ No time wasted collecting claim documents and no need to pay hospital fees
+ Fast, accurate compensation within 15 working days
+ Premium 24/7 hospital fee guarantee service at nearly 90 high-quality hospitals nationwide
Disadvantage:
+ Only insured people below 65</t>
    </r>
  </si>
  <si>
    <r>
      <t xml:space="preserve">Advantages:
</t>
    </r>
    <r>
      <rPr>
        <sz val="13"/>
        <color theme="1"/>
        <rFont val="Arial"/>
        <family val="2"/>
        <scheme val="minor"/>
      </rPr>
      <t>+ The application process is simple and easy for all customers.  
+ The insurance package does not limit the treatment and medical examination addresses nationwide.  
+ Insurance covers hospital fees, examinations, and treatments at no cost within a network of high-quality hospitals and clinics across the country.
Disadvantages:
+ Only insured people below 60 years old.</t>
    </r>
  </si>
  <si>
    <r>
      <t xml:space="preserve">Unit: </t>
    </r>
    <r>
      <rPr>
        <sz val="13"/>
        <color theme="1"/>
        <rFont val="Arial"/>
        <family val="2"/>
        <scheme val="minor"/>
      </rPr>
      <t xml:space="preserve">VND  </t>
    </r>
  </si>
  <si>
    <r>
      <t xml:space="preserve">Unit: </t>
    </r>
    <r>
      <rPr>
        <sz val="13"/>
        <color theme="1"/>
        <rFont val="Arial"/>
        <family val="2"/>
        <scheme val="minor"/>
      </rPr>
      <t xml:space="preserve">VND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</si>
</sst>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 &quot;₫&quot;_-;\-* #,##0\ &quot;₫&quot;_-;_-* &quot;-&quot;\ &quot;₫&quot;_-;_-@_-"/>
    <numFmt numFmtId="165" formatCode="#,##0\ &quot;VND&quot;"/>
    <numFmt numFmtId="166" formatCode="#,##0\ [$VND]"/>
    <numFmt numFmtId="167" formatCode="#,##0[$ ₫]"/>
    <numFmt numFmtId="168" formatCode="0.000%"/>
    <numFmt numFmtId="169" formatCode="0.0%"/>
    <numFmt numFmtId="170" formatCode="#,##0\ [$đ-42A]"/>
    <numFmt numFmtId="171" formatCode="#,##0\ &quot;₫&quot;"/>
    <numFmt numFmtId="172" formatCode="d\-m"/>
    <numFmt numFmtId="173" formatCode="#,##0.00\ [$đ-42A]"/>
    <numFmt numFmtId="174" formatCode="_(&quot;$&quot;* #,##0.00_);_(&quot;$&quot;* \(#,##0.00\);_(&quot;$&quot;* &quot;-&quot;??_);_(@_)"/>
    <numFmt numFmtId="175" formatCode="d/m/yyyy"/>
    <numFmt numFmtId="176" formatCode="#,##0&quot;₫&quot;"/>
    <numFmt numFmtId="177" formatCode="0.0000"/>
  </numFmts>
  <fonts count="47">
    <font>
      <sz val="10"/>
      <color rgb="FF000000"/>
      <name val="Arial"/>
      <scheme val="minor"/>
    </font>
    <font>
      <sz val="10"/>
      <name val="Arial"/>
      <family val="2"/>
    </font>
    <font>
      <b/>
      <sz val="12"/>
      <color theme="1"/>
      <name val="Calibri"/>
      <family val="2"/>
    </font>
    <font>
      <sz val="12"/>
      <color theme="1"/>
      <name val="Calibri"/>
      <family val="2"/>
    </font>
    <font>
      <sz val="10"/>
      <color theme="1"/>
      <name val="Arial"/>
      <family val="2"/>
      <scheme val="minor"/>
    </font>
    <font>
      <sz val="11"/>
      <color theme="1"/>
      <name val="Arial"/>
      <family val="2"/>
    </font>
    <font>
      <sz val="12"/>
      <color rgb="FF333333"/>
      <name val="&quot;Helvetica Neue&quot;"/>
    </font>
    <font>
      <b/>
      <sz val="10"/>
      <color theme="1"/>
      <name val="Arial"/>
      <family val="2"/>
      <scheme val="minor"/>
    </font>
    <font>
      <b/>
      <sz val="11"/>
      <color theme="1"/>
      <name val="Arial"/>
      <family val="2"/>
    </font>
    <font>
      <b/>
      <sz val="13"/>
      <color theme="1"/>
      <name val="Arial"/>
      <family val="2"/>
      <scheme val="minor"/>
    </font>
    <font>
      <u/>
      <sz val="10"/>
      <color theme="10"/>
      <name val="Arial"/>
      <family val="2"/>
      <scheme val="minor"/>
    </font>
    <font>
      <sz val="10"/>
      <color rgb="FF000000"/>
      <name val="Arial"/>
      <family val="2"/>
      <scheme val="minor"/>
    </font>
    <font>
      <sz val="13"/>
      <color theme="1"/>
      <name val="Arial"/>
      <family val="2"/>
      <scheme val="minor"/>
    </font>
    <font>
      <sz val="13"/>
      <color rgb="FF000000"/>
      <name val="Arial"/>
      <family val="2"/>
      <scheme val="minor"/>
    </font>
    <font>
      <sz val="13"/>
      <name val="Arial"/>
      <family val="2"/>
      <scheme val="minor"/>
    </font>
    <font>
      <b/>
      <sz val="13"/>
      <color rgb="FF000000"/>
      <name val="Arial"/>
      <family val="2"/>
      <scheme val="minor"/>
    </font>
    <font>
      <b/>
      <sz val="13"/>
      <color theme="1"/>
      <name val="Times New Roman"/>
      <family val="1"/>
    </font>
    <font>
      <sz val="13"/>
      <color rgb="FF000000"/>
      <name val="Times New Roman"/>
      <family val="1"/>
    </font>
    <font>
      <sz val="13"/>
      <color theme="1"/>
      <name val="Times New Roman"/>
      <family val="1"/>
    </font>
    <font>
      <sz val="13"/>
      <name val="Times New Roman"/>
      <family val="1"/>
    </font>
    <font>
      <b/>
      <sz val="13"/>
      <color rgb="FFFFFFFF"/>
      <name val="Times New Roman"/>
      <family val="1"/>
    </font>
    <font>
      <sz val="13"/>
      <color rgb="FFFFFFFF"/>
      <name val="Times New Roman"/>
      <family val="1"/>
    </font>
    <font>
      <sz val="13"/>
      <color rgb="FF081B3A"/>
      <name val="Times New Roman"/>
      <family val="1"/>
    </font>
    <font>
      <u/>
      <sz val="13"/>
      <color theme="4"/>
      <name val="Times New Roman"/>
      <family val="1"/>
    </font>
    <font>
      <i/>
      <u/>
      <sz val="13"/>
      <color theme="4"/>
      <name val="Times New Roman"/>
      <family val="1"/>
    </font>
    <font>
      <sz val="13"/>
      <color theme="4"/>
      <name val="Times New Roman"/>
      <family val="1"/>
    </font>
    <font>
      <b/>
      <sz val="13"/>
      <color rgb="FF000000"/>
      <name val="Times New Roman"/>
      <family val="1"/>
    </font>
    <font>
      <u/>
      <sz val="13"/>
      <color rgb="FF0000FF"/>
      <name val="Times New Roman"/>
      <family val="1"/>
    </font>
    <font>
      <b/>
      <u/>
      <sz val="13"/>
      <color rgb="FF4472C4"/>
      <name val="Times New Roman"/>
      <family val="1"/>
    </font>
    <font>
      <b/>
      <u/>
      <sz val="13"/>
      <color rgb="FF0563C1"/>
      <name val="Times New Roman"/>
      <family val="1"/>
    </font>
    <font>
      <sz val="13"/>
      <color rgb="FF4472C4"/>
      <name val="Times New Roman"/>
      <family val="1"/>
    </font>
    <font>
      <b/>
      <u/>
      <sz val="13"/>
      <color theme="4"/>
      <name val="Times New Roman"/>
      <family val="1"/>
    </font>
    <font>
      <sz val="13"/>
      <color rgb="FF333333"/>
      <name val="Times New Roman"/>
      <family val="1"/>
    </font>
    <font>
      <sz val="12"/>
      <color theme="1"/>
      <name val="Times New Roman"/>
      <family val="1"/>
    </font>
    <font>
      <sz val="10"/>
      <color rgb="FF000000"/>
      <name val="Times New Roman"/>
      <family val="1"/>
    </font>
    <font>
      <b/>
      <sz val="12"/>
      <color theme="1"/>
      <name val="Times New Roman"/>
      <family val="1"/>
    </font>
    <font>
      <sz val="12"/>
      <color rgb="FF70AD47"/>
      <name val="Times New Roman"/>
      <family val="1"/>
    </font>
    <font>
      <sz val="12"/>
      <color rgb="FFFFFFFF"/>
      <name val="Times New Roman"/>
      <family val="1"/>
    </font>
    <font>
      <b/>
      <sz val="10"/>
      <color theme="1"/>
      <name val="Times New Roman"/>
      <family val="1"/>
    </font>
    <font>
      <sz val="12"/>
      <color rgb="FF000000"/>
      <name val="Times New Roman"/>
      <family val="1"/>
    </font>
    <font>
      <sz val="13"/>
      <color theme="4" tint="-0.249977111117893"/>
      <name val="Times New Roman"/>
      <family val="1"/>
    </font>
    <font>
      <u/>
      <sz val="13"/>
      <color theme="4" tint="-0.249977111117893"/>
      <name val="Times New Roman"/>
      <family val="1"/>
    </font>
    <font>
      <sz val="13"/>
      <color rgb="FF1F1F1F"/>
      <name val="Times New Roman"/>
      <family val="1"/>
    </font>
    <font>
      <sz val="13"/>
      <color rgb="FF262626"/>
      <name val="Times New Roman"/>
      <family val="1"/>
    </font>
    <font>
      <u/>
      <sz val="13"/>
      <color rgb="FF1155CC"/>
      <name val="Times New Roman"/>
      <family val="1"/>
    </font>
    <font>
      <b/>
      <u/>
      <sz val="13"/>
      <color rgb="FF0563C1"/>
      <name val="Arial"/>
      <family val="2"/>
      <scheme val="minor"/>
    </font>
    <font>
      <i/>
      <sz val="13"/>
      <color rgb="FF000000"/>
      <name val="Arial"/>
      <family val="2"/>
      <scheme val="minor"/>
    </font>
  </fonts>
  <fills count="18">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FFFFFF"/>
        <bgColor rgb="FFFFFFFF"/>
      </patternFill>
    </fill>
    <fill>
      <patternFill patternType="solid">
        <fgColor rgb="FFD9E2F3"/>
        <bgColor rgb="FFD9E2F3"/>
      </patternFill>
    </fill>
    <fill>
      <patternFill patternType="solid">
        <fgColor rgb="FF4472C4"/>
        <bgColor rgb="FF4472C4"/>
      </patternFill>
    </fill>
    <fill>
      <patternFill patternType="solid">
        <fgColor rgb="FFF2F2F2"/>
        <bgColor rgb="FFF2F2F2"/>
      </patternFill>
    </fill>
    <fill>
      <patternFill patternType="solid">
        <fgColor rgb="FFEFEFEF"/>
        <bgColor rgb="FFEFEFEF"/>
      </patternFill>
    </fill>
    <fill>
      <patternFill patternType="solid">
        <fgColor rgb="FF1155CC"/>
        <bgColor rgb="FF1155CC"/>
      </patternFill>
    </fill>
    <fill>
      <patternFill patternType="solid">
        <fgColor rgb="FF6D9EEB"/>
        <bgColor rgb="FF6D9EEB"/>
      </patternFill>
    </fill>
    <fill>
      <patternFill patternType="solid">
        <fgColor theme="4" tint="0.39997558519241921"/>
        <bgColor rgb="FF293D68"/>
      </patternFill>
    </fill>
    <fill>
      <patternFill patternType="solid">
        <fgColor theme="4" tint="0.39997558519241921"/>
        <bgColor indexed="64"/>
      </patternFill>
    </fill>
    <fill>
      <patternFill patternType="solid">
        <fgColor theme="4" tint="0.59999389629810485"/>
        <bgColor rgb="FF293D68"/>
      </patternFill>
    </fill>
    <fill>
      <patternFill patternType="solid">
        <fgColor theme="4" tint="0.59999389629810485"/>
        <bgColor indexed="64"/>
      </patternFill>
    </fill>
    <fill>
      <patternFill patternType="solid">
        <fgColor theme="4" tint="0.59999389629810485"/>
        <bgColor rgb="FF4472C4"/>
      </patternFill>
    </fill>
    <fill>
      <patternFill patternType="solid">
        <fgColor theme="4" tint="0.39997558519241921"/>
        <bgColor rgb="FF1A5D97"/>
      </patternFill>
    </fill>
    <fill>
      <patternFill patternType="solid">
        <fgColor theme="4" tint="0.39997558519241921"/>
        <bgColor rgb="FF4472C4"/>
      </patternFill>
    </fill>
  </fills>
  <borders count="4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thin">
        <color rgb="FF000000"/>
      </left>
      <right/>
      <top/>
      <bottom/>
      <diagonal/>
    </border>
    <border>
      <left/>
      <right/>
      <top/>
      <bottom/>
      <diagonal/>
    </border>
    <border>
      <left style="thin">
        <color rgb="FF000000"/>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medium">
        <color rgb="FF000000"/>
      </top>
      <bottom/>
      <diagonal/>
    </border>
    <border>
      <left/>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right style="medium">
        <color rgb="FF000000"/>
      </right>
      <top style="medium">
        <color rgb="FF000000"/>
      </top>
      <bottom/>
      <diagonal/>
    </border>
    <border>
      <left/>
      <right/>
      <top/>
      <bottom/>
      <diagonal/>
    </border>
    <border>
      <left/>
      <right/>
      <top/>
      <bottom/>
      <diagonal/>
    </border>
    <border>
      <left/>
      <right/>
      <top/>
      <bottom/>
      <diagonal/>
    </border>
    <border>
      <left/>
      <right/>
      <top/>
      <bottom/>
      <diagonal/>
    </border>
    <border>
      <left style="thin">
        <color rgb="FFDDDDDD"/>
      </left>
      <right style="thin">
        <color rgb="FFDDDDDD"/>
      </right>
      <top style="thin">
        <color rgb="FFDDDDDD"/>
      </top>
      <bottom style="thin">
        <color rgb="FFDDDDDD"/>
      </bottom>
      <diagonal/>
    </border>
    <border>
      <left/>
      <right/>
      <top style="thin">
        <color rgb="FF000000"/>
      </top>
      <bottom/>
      <diagonal/>
    </border>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s>
  <cellStyleXfs count="3">
    <xf numFmtId="0" fontId="0" fillId="0" borderId="0"/>
    <xf numFmtId="0" fontId="10" fillId="0" borderId="0" applyNumberFormat="0" applyFill="0" applyBorder="0" applyAlignment="0" applyProtection="0"/>
    <xf numFmtId="164" fontId="11" fillId="0" borderId="0" applyFont="0" applyFill="0" applyBorder="0" applyAlignment="0" applyProtection="0"/>
  </cellStyleXfs>
  <cellXfs count="428">
    <xf numFmtId="0" fontId="0" fillId="0" borderId="0" xfId="0"/>
    <xf numFmtId="0" fontId="5" fillId="0" borderId="0" xfId="0" applyFont="1"/>
    <xf numFmtId="0" fontId="5" fillId="4" borderId="0" xfId="0" applyFont="1" applyFill="1"/>
    <xf numFmtId="167" fontId="5" fillId="0" borderId="0" xfId="0" applyNumberFormat="1" applyFont="1"/>
    <xf numFmtId="0" fontId="4" fillId="0" borderId="0" xfId="0" applyFont="1"/>
    <xf numFmtId="0" fontId="7" fillId="0" borderId="0" xfId="0" applyFont="1"/>
    <xf numFmtId="0" fontId="8" fillId="0" borderId="12" xfId="0" applyFont="1" applyBorder="1"/>
    <xf numFmtId="0" fontId="8" fillId="0" borderId="13" xfId="0" applyFont="1" applyBorder="1" applyAlignment="1">
      <alignment horizontal="right"/>
    </xf>
    <xf numFmtId="0" fontId="8" fillId="0" borderId="14" xfId="0" applyFont="1" applyBorder="1" applyAlignment="1">
      <alignment horizontal="center"/>
    </xf>
    <xf numFmtId="0" fontId="8" fillId="4" borderId="15" xfId="0" applyFont="1" applyFill="1" applyBorder="1" applyAlignment="1">
      <alignment horizontal="center"/>
    </xf>
    <xf numFmtId="0" fontId="8" fillId="4" borderId="7" xfId="0" applyFont="1" applyFill="1" applyBorder="1" applyAlignment="1">
      <alignment horizontal="center"/>
    </xf>
    <xf numFmtId="0" fontId="8" fillId="4" borderId="17" xfId="0" applyFont="1" applyFill="1" applyBorder="1" applyAlignment="1">
      <alignment horizontal="center"/>
    </xf>
    <xf numFmtId="0" fontId="5" fillId="0" borderId="18" xfId="0" applyFont="1" applyBorder="1"/>
    <xf numFmtId="0" fontId="5" fillId="0" borderId="0" xfId="0" applyFont="1" applyAlignment="1">
      <alignment horizontal="right"/>
    </xf>
    <xf numFmtId="0" fontId="8" fillId="0" borderId="0" xfId="0" applyFont="1" applyAlignment="1">
      <alignment horizontal="center"/>
    </xf>
    <xf numFmtId="10" fontId="8" fillId="0" borderId="0" xfId="0" applyNumberFormat="1" applyFont="1" applyAlignment="1">
      <alignment horizontal="center"/>
    </xf>
    <xf numFmtId="0" fontId="5" fillId="4" borderId="22" xfId="0" applyFont="1" applyFill="1" applyBorder="1"/>
    <xf numFmtId="0" fontId="5" fillId="4" borderId="23" xfId="0" applyFont="1" applyFill="1" applyBorder="1"/>
    <xf numFmtId="0" fontId="5" fillId="0" borderId="0" xfId="0" applyFont="1" applyAlignment="1">
      <alignment wrapText="1"/>
    </xf>
    <xf numFmtId="167" fontId="4" fillId="0" borderId="0" xfId="0" applyNumberFormat="1" applyFont="1"/>
    <xf numFmtId="0" fontId="8" fillId="0" borderId="22" xfId="0" applyFont="1" applyBorder="1" applyAlignment="1">
      <alignment horizontal="center"/>
    </xf>
    <xf numFmtId="0" fontId="5" fillId="4" borderId="0" xfId="0" applyFont="1" applyFill="1" applyAlignment="1">
      <alignment wrapText="1"/>
    </xf>
    <xf numFmtId="0" fontId="8" fillId="0" borderId="13" xfId="0" applyFont="1" applyBorder="1" applyAlignment="1">
      <alignment horizontal="center"/>
    </xf>
    <xf numFmtId="0" fontId="8" fillId="4" borderId="31" xfId="0" applyFont="1" applyFill="1" applyBorder="1" applyAlignment="1">
      <alignment horizontal="center"/>
    </xf>
    <xf numFmtId="0" fontId="5" fillId="4" borderId="22" xfId="0" applyFont="1" applyFill="1" applyBorder="1" applyAlignment="1">
      <alignment wrapText="1"/>
    </xf>
    <xf numFmtId="0" fontId="5" fillId="10" borderId="0" xfId="0" applyFont="1" applyFill="1" applyAlignment="1">
      <alignment wrapText="1"/>
    </xf>
    <xf numFmtId="0" fontId="5" fillId="4" borderId="34" xfId="0" applyFont="1" applyFill="1" applyBorder="1"/>
    <xf numFmtId="0" fontId="5" fillId="4" borderId="35" xfId="0" applyFont="1" applyFill="1" applyBorder="1"/>
    <xf numFmtId="0" fontId="6" fillId="0" borderId="36" xfId="0" applyFont="1" applyBorder="1" applyAlignment="1">
      <alignment horizontal="center" vertical="top"/>
    </xf>
    <xf numFmtId="0" fontId="12" fillId="0" borderId="0" xfId="0" applyFont="1"/>
    <xf numFmtId="0" fontId="12" fillId="0" borderId="0" xfId="0" applyFont="1" applyAlignment="1">
      <alignment vertical="center"/>
    </xf>
    <xf numFmtId="0" fontId="13" fillId="0" borderId="0" xfId="0" applyFont="1"/>
    <xf numFmtId="0" fontId="12" fillId="0" borderId="6" xfId="0" applyFont="1" applyBorder="1"/>
    <xf numFmtId="0" fontId="9" fillId="0" borderId="0" xfId="0" applyFont="1"/>
    <xf numFmtId="10" fontId="12" fillId="0" borderId="0" xfId="0" applyNumberFormat="1" applyFont="1"/>
    <xf numFmtId="0" fontId="13" fillId="0" borderId="0" xfId="0" applyFont="1" applyAlignment="1">
      <alignment vertical="center"/>
    </xf>
    <xf numFmtId="0" fontId="13" fillId="0" borderId="0" xfId="0" applyFont="1"/>
    <xf numFmtId="0" fontId="14" fillId="0" borderId="6" xfId="0" applyFont="1" applyBorder="1" applyAlignment="1">
      <alignment vertical="center"/>
    </xf>
    <xf numFmtId="0" fontId="0" fillId="0" borderId="0" xfId="0"/>
    <xf numFmtId="0" fontId="5" fillId="3" borderId="0" xfId="0" applyFont="1" applyFill="1" applyAlignment="1">
      <alignment horizontal="center" vertical="center"/>
    </xf>
    <xf numFmtId="0" fontId="1" fillId="0" borderId="10" xfId="0" applyFont="1" applyBorder="1"/>
    <xf numFmtId="0" fontId="3" fillId="0" borderId="19" xfId="0" applyFont="1" applyBorder="1" applyAlignment="1">
      <alignment horizontal="center" wrapText="1"/>
    </xf>
    <xf numFmtId="0" fontId="5" fillId="0" borderId="19" xfId="0" applyFont="1" applyBorder="1"/>
    <xf numFmtId="0" fontId="5" fillId="0" borderId="19" xfId="0" applyFont="1" applyBorder="1" applyAlignment="1">
      <alignment horizontal="center"/>
    </xf>
    <xf numFmtId="0" fontId="1" fillId="0" borderId="20" xfId="0" applyFont="1" applyBorder="1"/>
    <xf numFmtId="0" fontId="5" fillId="0" borderId="0" xfId="0" applyFont="1" applyAlignment="1">
      <alignment horizontal="center"/>
    </xf>
    <xf numFmtId="0" fontId="5" fillId="0" borderId="0" xfId="0" applyFont="1"/>
    <xf numFmtId="0" fontId="5" fillId="4" borderId="0" xfId="0" applyFont="1" applyFill="1" applyAlignment="1">
      <alignment horizontal="center"/>
    </xf>
    <xf numFmtId="0" fontId="2" fillId="0" borderId="0" xfId="0" applyFont="1" applyAlignment="1">
      <alignment horizontal="center"/>
    </xf>
    <xf numFmtId="0" fontId="2" fillId="0" borderId="0" xfId="0" applyFont="1" applyAlignment="1">
      <alignment horizontal="center" wrapText="1"/>
    </xf>
    <xf numFmtId="0" fontId="8" fillId="0" borderId="0" xfId="0" applyFont="1" applyAlignment="1">
      <alignment horizontal="center"/>
    </xf>
    <xf numFmtId="0" fontId="16" fillId="0" borderId="12" xfId="0" applyFont="1" applyBorder="1"/>
    <xf numFmtId="0" fontId="16" fillId="0" borderId="27" xfId="0" applyFont="1" applyBorder="1" applyAlignment="1">
      <alignment horizontal="right"/>
    </xf>
    <xf numFmtId="0" fontId="16" fillId="0" borderId="14" xfId="0" applyFont="1" applyBorder="1" applyAlignment="1">
      <alignment horizontal="center"/>
    </xf>
    <xf numFmtId="0" fontId="16" fillId="0" borderId="13" xfId="0" applyFont="1" applyBorder="1" applyAlignment="1">
      <alignment horizontal="center"/>
    </xf>
    <xf numFmtId="0" fontId="16" fillId="0" borderId="28" xfId="0" applyFont="1" applyBorder="1" applyAlignment="1">
      <alignment horizontal="center"/>
    </xf>
    <xf numFmtId="0" fontId="16" fillId="0" borderId="27" xfId="0" applyFont="1" applyBorder="1" applyAlignment="1">
      <alignment horizontal="center"/>
    </xf>
    <xf numFmtId="0" fontId="16" fillId="4" borderId="15" xfId="0" applyFont="1" applyFill="1" applyBorder="1" applyAlignment="1">
      <alignment horizontal="center"/>
    </xf>
    <xf numFmtId="0" fontId="16" fillId="4" borderId="29" xfId="0" applyFont="1" applyFill="1" applyBorder="1" applyAlignment="1">
      <alignment horizontal="center"/>
    </xf>
    <xf numFmtId="0" fontId="16" fillId="4" borderId="7" xfId="0" applyFont="1" applyFill="1" applyBorder="1" applyAlignment="1">
      <alignment horizontal="center"/>
    </xf>
    <xf numFmtId="0" fontId="16" fillId="4" borderId="30" xfId="0" applyFont="1" applyFill="1" applyBorder="1" applyAlignment="1">
      <alignment horizontal="center"/>
    </xf>
    <xf numFmtId="0" fontId="16" fillId="4" borderId="31" xfId="0" applyFont="1" applyFill="1" applyBorder="1" applyAlignment="1">
      <alignment horizontal="center"/>
    </xf>
    <xf numFmtId="0" fontId="16" fillId="4" borderId="17" xfId="0" applyFont="1" applyFill="1" applyBorder="1" applyAlignment="1">
      <alignment horizontal="center"/>
    </xf>
    <xf numFmtId="0" fontId="17" fillId="0" borderId="0" xfId="0" applyFont="1"/>
    <xf numFmtId="0" fontId="18" fillId="0" borderId="18" xfId="0" applyFont="1" applyBorder="1"/>
    <xf numFmtId="0" fontId="18" fillId="0" borderId="0" xfId="0" applyFont="1" applyAlignment="1">
      <alignment horizontal="right"/>
    </xf>
    <xf numFmtId="0" fontId="16" fillId="0" borderId="0" xfId="0" applyFont="1" applyAlignment="1">
      <alignment horizontal="center"/>
    </xf>
    <xf numFmtId="10" fontId="16" fillId="0" borderId="0" xfId="0" applyNumberFormat="1" applyFont="1" applyAlignment="1">
      <alignment horizontal="center"/>
    </xf>
    <xf numFmtId="0" fontId="18" fillId="0" borderId="0" xfId="0" applyFont="1"/>
    <xf numFmtId="0" fontId="16" fillId="0" borderId="0" xfId="0" applyFont="1" applyAlignment="1">
      <alignment horizontal="center"/>
    </xf>
    <xf numFmtId="0" fontId="17" fillId="0" borderId="0" xfId="0" applyFont="1"/>
    <xf numFmtId="0" fontId="19" fillId="0" borderId="10" xfId="0" applyFont="1" applyBorder="1"/>
    <xf numFmtId="0" fontId="16" fillId="0" borderId="0" xfId="0" applyFont="1" applyAlignment="1">
      <alignment horizontal="center" wrapText="1"/>
    </xf>
    <xf numFmtId="0" fontId="18" fillId="0" borderId="19" xfId="0" applyFont="1" applyBorder="1" applyAlignment="1">
      <alignment horizontal="center" wrapText="1"/>
    </xf>
    <xf numFmtId="0" fontId="18" fillId="0" borderId="19" xfId="0" applyFont="1" applyBorder="1"/>
    <xf numFmtId="0" fontId="18" fillId="0" borderId="19" xfId="0" applyFont="1" applyBorder="1" applyAlignment="1">
      <alignment horizontal="center"/>
    </xf>
    <xf numFmtId="0" fontId="18" fillId="4" borderId="32" xfId="0" applyFont="1" applyFill="1" applyBorder="1" applyAlignment="1">
      <alignment wrapText="1"/>
    </xf>
    <xf numFmtId="0" fontId="18" fillId="4" borderId="22" xfId="0" applyFont="1" applyFill="1" applyBorder="1"/>
    <xf numFmtId="0" fontId="16" fillId="0" borderId="22" xfId="0" applyFont="1" applyBorder="1" applyAlignment="1">
      <alignment horizontal="center"/>
    </xf>
    <xf numFmtId="0" fontId="18" fillId="4" borderId="23" xfId="0" applyFont="1" applyFill="1" applyBorder="1"/>
    <xf numFmtId="0" fontId="18" fillId="4" borderId="0" xfId="0" applyFont="1" applyFill="1"/>
    <xf numFmtId="0" fontId="18" fillId="9" borderId="0" xfId="0" applyFont="1" applyFill="1" applyAlignment="1">
      <alignment vertical="center"/>
    </xf>
    <xf numFmtId="0" fontId="18" fillId="0" borderId="0" xfId="0" applyFont="1" applyAlignment="1">
      <alignment horizontal="center"/>
    </xf>
    <xf numFmtId="0" fontId="18" fillId="0" borderId="0" xfId="0" applyFont="1"/>
    <xf numFmtId="0" fontId="18" fillId="4" borderId="0" xfId="0" applyFont="1" applyFill="1" applyAlignment="1">
      <alignment wrapText="1"/>
    </xf>
    <xf numFmtId="0" fontId="18" fillId="3" borderId="0" xfId="0" applyFont="1" applyFill="1" applyAlignment="1">
      <alignment vertical="center" wrapText="1"/>
    </xf>
    <xf numFmtId="0" fontId="16" fillId="0" borderId="26" xfId="0" applyFont="1" applyBorder="1" applyAlignment="1">
      <alignment horizontal="center"/>
    </xf>
    <xf numFmtId="0" fontId="16" fillId="0" borderId="24" xfId="0" applyFont="1" applyBorder="1" applyAlignment="1">
      <alignment horizontal="center"/>
    </xf>
    <xf numFmtId="0" fontId="18" fillId="4" borderId="25" xfId="0" applyFont="1" applyFill="1" applyBorder="1"/>
    <xf numFmtId="0" fontId="18" fillId="3" borderId="33" xfId="0" applyFont="1" applyFill="1" applyBorder="1" applyAlignment="1">
      <alignment vertical="center"/>
    </xf>
    <xf numFmtId="0" fontId="18" fillId="4" borderId="33" xfId="0" applyFont="1" applyFill="1" applyBorder="1" applyAlignment="1">
      <alignment vertical="center"/>
    </xf>
    <xf numFmtId="0" fontId="18" fillId="3" borderId="33" xfId="0" applyFont="1" applyFill="1" applyBorder="1" applyAlignment="1">
      <alignment vertical="center" wrapText="1"/>
    </xf>
    <xf numFmtId="0" fontId="18" fillId="4" borderId="26" xfId="0" applyFont="1" applyFill="1" applyBorder="1"/>
    <xf numFmtId="0" fontId="18" fillId="0" borderId="0" xfId="0" applyFont="1" applyAlignment="1">
      <alignment wrapText="1"/>
    </xf>
    <xf numFmtId="0" fontId="16" fillId="3" borderId="24" xfId="0" applyFont="1" applyFill="1" applyBorder="1" applyAlignment="1">
      <alignment horizontal="center"/>
    </xf>
    <xf numFmtId="0" fontId="19" fillId="0" borderId="24" xfId="0" applyFont="1" applyBorder="1"/>
    <xf numFmtId="0" fontId="18" fillId="3" borderId="0" xfId="0" applyFont="1" applyFill="1" applyAlignment="1">
      <alignment horizontal="center"/>
    </xf>
    <xf numFmtId="0" fontId="18" fillId="0" borderId="0" xfId="0" applyFont="1" applyAlignment="1">
      <alignment horizontal="center"/>
    </xf>
    <xf numFmtId="0" fontId="18" fillId="5" borderId="0" xfId="0" applyFont="1" applyFill="1"/>
    <xf numFmtId="167" fontId="18" fillId="0" borderId="0" xfId="0" applyNumberFormat="1" applyFont="1"/>
    <xf numFmtId="0" fontId="18" fillId="2" borderId="9" xfId="0" applyFont="1" applyFill="1" applyBorder="1"/>
    <xf numFmtId="0" fontId="18" fillId="0" borderId="9" xfId="0" applyFont="1" applyBorder="1"/>
    <xf numFmtId="167" fontId="18" fillId="0" borderId="9" xfId="0" applyNumberFormat="1" applyFont="1" applyBorder="1"/>
    <xf numFmtId="167" fontId="18" fillId="0" borderId="0" xfId="0" applyNumberFormat="1" applyFont="1" applyAlignment="1">
      <alignment horizontal="right"/>
    </xf>
    <xf numFmtId="0" fontId="18" fillId="0" borderId="0" xfId="0" applyFont="1" applyAlignment="1">
      <alignment vertical="center"/>
    </xf>
    <xf numFmtId="0" fontId="16" fillId="2" borderId="1" xfId="0" applyFont="1" applyFill="1" applyBorder="1" applyAlignment="1">
      <alignment horizontal="center" vertical="center"/>
    </xf>
    <xf numFmtId="0" fontId="16" fillId="2" borderId="9" xfId="0" applyFont="1" applyFill="1" applyBorder="1" applyAlignment="1">
      <alignment horizontal="center" vertical="center"/>
    </xf>
    <xf numFmtId="0" fontId="19" fillId="0" borderId="2" xfId="0" applyFont="1" applyBorder="1"/>
    <xf numFmtId="0" fontId="16" fillId="3" borderId="1" xfId="0" applyFont="1" applyFill="1" applyBorder="1" applyAlignment="1">
      <alignment horizontal="center" vertical="center"/>
    </xf>
    <xf numFmtId="0" fontId="16" fillId="3" borderId="9" xfId="0" applyFont="1" applyFill="1" applyBorder="1" applyAlignment="1">
      <alignment horizontal="center" vertical="center"/>
    </xf>
    <xf numFmtId="0" fontId="16" fillId="3" borderId="40" xfId="0" applyFont="1" applyFill="1" applyBorder="1" applyAlignment="1">
      <alignment vertical="center"/>
    </xf>
    <xf numFmtId="0" fontId="20" fillId="4" borderId="0" xfId="0" applyFont="1" applyFill="1"/>
    <xf numFmtId="0" fontId="21" fillId="4" borderId="0" xfId="0" applyFont="1" applyFill="1"/>
    <xf numFmtId="0" fontId="21" fillId="0" borderId="0" xfId="0" applyFont="1"/>
    <xf numFmtId="0" fontId="18" fillId="0" borderId="3" xfId="0" applyFont="1" applyBorder="1"/>
    <xf numFmtId="0" fontId="17" fillId="0" borderId="1" xfId="0" applyFont="1" applyBorder="1" applyAlignment="1">
      <alignment vertical="center" wrapText="1"/>
    </xf>
    <xf numFmtId="0" fontId="22" fillId="0" borderId="39" xfId="0" applyFont="1" applyBorder="1" applyAlignment="1">
      <alignment vertical="center"/>
    </xf>
    <xf numFmtId="165" fontId="18" fillId="4" borderId="0" xfId="0" applyNumberFormat="1" applyFont="1" applyFill="1"/>
    <xf numFmtId="165" fontId="21" fillId="4" borderId="0" xfId="0" applyNumberFormat="1" applyFont="1" applyFill="1" applyAlignment="1">
      <alignment horizontal="right"/>
    </xf>
    <xf numFmtId="165" fontId="21" fillId="0" borderId="0" xfId="0" applyNumberFormat="1" applyFont="1" applyAlignment="1">
      <alignment horizontal="right"/>
    </xf>
    <xf numFmtId="0" fontId="18" fillId="0" borderId="3" xfId="0" applyFont="1" applyBorder="1" applyAlignment="1">
      <alignment vertical="center"/>
    </xf>
    <xf numFmtId="0" fontId="20" fillId="4" borderId="0" xfId="0" applyFont="1" applyFill="1"/>
    <xf numFmtId="3" fontId="21" fillId="4" borderId="0" xfId="0" applyNumberFormat="1" applyFont="1" applyFill="1" applyAlignment="1">
      <alignment horizontal="center"/>
    </xf>
    <xf numFmtId="3" fontId="21" fillId="4" borderId="0" xfId="0" applyNumberFormat="1" applyFont="1" applyFill="1" applyAlignment="1">
      <alignment horizontal="center"/>
    </xf>
    <xf numFmtId="0" fontId="18" fillId="0" borderId="1" xfId="0" applyFont="1" applyBorder="1" applyAlignment="1">
      <alignment vertical="center"/>
    </xf>
    <xf numFmtId="0" fontId="16" fillId="0" borderId="0" xfId="0" applyFont="1" applyAlignment="1">
      <alignment vertical="center"/>
    </xf>
    <xf numFmtId="0" fontId="23" fillId="0" borderId="0" xfId="1" applyFont="1" applyAlignment="1">
      <alignment vertical="center"/>
    </xf>
    <xf numFmtId="0" fontId="23" fillId="0" borderId="0" xfId="0" applyFont="1" applyAlignment="1">
      <alignment vertical="center"/>
    </xf>
    <xf numFmtId="0" fontId="24" fillId="0" borderId="0" xfId="0" applyFont="1" applyAlignment="1">
      <alignment vertical="center"/>
    </xf>
    <xf numFmtId="0" fontId="23" fillId="0" borderId="0" xfId="0" applyFont="1" applyAlignment="1">
      <alignment vertical="center" wrapText="1"/>
    </xf>
    <xf numFmtId="0" fontId="23" fillId="0" borderId="0" xfId="0" applyFont="1"/>
    <xf numFmtId="0" fontId="25" fillId="0" borderId="0" xfId="0" applyFont="1" applyAlignment="1">
      <alignment vertical="center"/>
    </xf>
    <xf numFmtId="0" fontId="26" fillId="2" borderId="4" xfId="0" applyFont="1" applyFill="1" applyBorder="1" applyAlignment="1">
      <alignment horizontal="center" wrapText="1"/>
    </xf>
    <xf numFmtId="0" fontId="19" fillId="0" borderId="4" xfId="0" applyFont="1" applyBorder="1"/>
    <xf numFmtId="0" fontId="16" fillId="5" borderId="5" xfId="0" applyFont="1" applyFill="1" applyBorder="1" applyAlignment="1">
      <alignment wrapText="1"/>
    </xf>
    <xf numFmtId="0" fontId="18" fillId="5" borderId="6" xfId="0" applyFont="1" applyFill="1" applyBorder="1" applyAlignment="1">
      <alignment horizontal="left" wrapText="1"/>
    </xf>
    <xf numFmtId="0" fontId="16" fillId="0" borderId="5" xfId="0" applyFont="1" applyBorder="1" applyAlignment="1">
      <alignment wrapText="1"/>
    </xf>
    <xf numFmtId="0" fontId="18" fillId="0" borderId="6" xfId="0" applyFont="1" applyBorder="1" applyAlignment="1">
      <alignment wrapText="1"/>
    </xf>
    <xf numFmtId="0" fontId="18" fillId="5" borderId="6" xfId="0" applyFont="1" applyFill="1" applyBorder="1" applyAlignment="1">
      <alignment wrapText="1"/>
    </xf>
    <xf numFmtId="0" fontId="18" fillId="5" borderId="6" xfId="0" applyFont="1" applyFill="1" applyBorder="1"/>
    <xf numFmtId="0" fontId="16" fillId="11" borderId="4" xfId="0" applyFont="1" applyFill="1" applyBorder="1" applyAlignment="1">
      <alignment horizontal="center"/>
    </xf>
    <xf numFmtId="0" fontId="18" fillId="12" borderId="4" xfId="0" applyFont="1" applyFill="1" applyBorder="1"/>
    <xf numFmtId="0" fontId="16" fillId="11" borderId="4" xfId="0" applyFont="1" applyFill="1" applyBorder="1" applyAlignment="1">
      <alignment horizontal="center"/>
    </xf>
    <xf numFmtId="0" fontId="27" fillId="0" borderId="0" xfId="0" applyFont="1"/>
    <xf numFmtId="0" fontId="16" fillId="5" borderId="7" xfId="0" applyFont="1" applyFill="1" applyBorder="1" applyAlignment="1">
      <alignment vertical="center" wrapText="1"/>
    </xf>
    <xf numFmtId="0" fontId="18" fillId="0" borderId="6" xfId="0" applyFont="1" applyBorder="1" applyAlignment="1">
      <alignment horizontal="center" wrapText="1"/>
    </xf>
    <xf numFmtId="0" fontId="19" fillId="0" borderId="5" xfId="0" applyFont="1" applyBorder="1" applyAlignment="1">
      <alignment vertical="center"/>
    </xf>
    <xf numFmtId="0" fontId="18" fillId="0" borderId="6" xfId="0" applyFont="1" applyBorder="1"/>
    <xf numFmtId="0" fontId="19" fillId="0" borderId="7" xfId="0" applyFont="1" applyBorder="1"/>
    <xf numFmtId="0" fontId="19" fillId="0" borderId="5" xfId="0" applyFont="1" applyBorder="1"/>
    <xf numFmtId="0" fontId="18" fillId="0" borderId="3" xfId="0" applyFont="1" applyBorder="1" applyAlignment="1">
      <alignment wrapText="1"/>
    </xf>
    <xf numFmtId="0" fontId="16" fillId="5" borderId="5" xfId="0" applyFont="1" applyFill="1" applyBorder="1" applyAlignment="1">
      <alignment vertical="center" wrapText="1"/>
    </xf>
    <xf numFmtId="0" fontId="18" fillId="0" borderId="6" xfId="0" applyFont="1" applyBorder="1" applyAlignment="1">
      <alignment horizontal="center" vertical="center" wrapText="1"/>
    </xf>
    <xf numFmtId="0" fontId="18" fillId="0" borderId="3" xfId="0" applyFont="1" applyBorder="1" applyAlignment="1">
      <alignment vertical="center" wrapText="1"/>
    </xf>
    <xf numFmtId="0" fontId="17" fillId="0" borderId="0" xfId="0" applyFont="1" applyAlignment="1">
      <alignment vertical="center"/>
    </xf>
    <xf numFmtId="0" fontId="16" fillId="13" borderId="8" xfId="0" applyFont="1" applyFill="1" applyBorder="1" applyAlignment="1">
      <alignment horizontal="center"/>
    </xf>
    <xf numFmtId="0" fontId="18" fillId="14" borderId="4" xfId="0" applyFont="1" applyFill="1" applyBorder="1"/>
    <xf numFmtId="0" fontId="18" fillId="14" borderId="6" xfId="0" applyFont="1" applyFill="1" applyBorder="1"/>
    <xf numFmtId="0" fontId="18" fillId="4" borderId="6" xfId="0" applyFont="1" applyFill="1" applyBorder="1" applyAlignment="1">
      <alignment wrapText="1"/>
    </xf>
    <xf numFmtId="0" fontId="18" fillId="4" borderId="1" xfId="0" applyFont="1" applyFill="1" applyBorder="1" applyAlignment="1">
      <alignment horizontal="left" wrapText="1"/>
    </xf>
    <xf numFmtId="0" fontId="18" fillId="4" borderId="2" xfId="0" applyFont="1" applyFill="1" applyBorder="1" applyAlignment="1">
      <alignment horizontal="left" wrapText="1"/>
    </xf>
    <xf numFmtId="0" fontId="18" fillId="4" borderId="4" xfId="0" applyFont="1" applyFill="1" applyBorder="1" applyAlignment="1">
      <alignment wrapText="1"/>
    </xf>
    <xf numFmtId="0" fontId="19" fillId="0" borderId="6" xfId="0" applyFont="1" applyBorder="1"/>
    <xf numFmtId="0" fontId="18" fillId="4" borderId="6" xfId="0" applyFont="1" applyFill="1" applyBorder="1" applyAlignment="1">
      <alignment vertical="center" wrapText="1"/>
    </xf>
    <xf numFmtId="0" fontId="18" fillId="4" borderId="4" xfId="0" applyFont="1" applyFill="1" applyBorder="1" applyAlignment="1">
      <alignment vertical="center" wrapText="1"/>
    </xf>
    <xf numFmtId="0" fontId="19" fillId="0" borderId="6" xfId="0" applyFont="1" applyBorder="1" applyAlignment="1">
      <alignment vertical="center"/>
    </xf>
    <xf numFmtId="0" fontId="16" fillId="13" borderId="8" xfId="0" applyFont="1" applyFill="1" applyBorder="1" applyAlignment="1">
      <alignment horizontal="center" wrapText="1"/>
    </xf>
    <xf numFmtId="0" fontId="18" fillId="0" borderId="1" xfId="0" applyFont="1" applyBorder="1" applyAlignment="1">
      <alignment horizontal="left" wrapText="1"/>
    </xf>
    <xf numFmtId="0" fontId="18" fillId="0" borderId="9" xfId="0" applyFont="1" applyBorder="1" applyAlignment="1">
      <alignment horizontal="left" wrapText="1"/>
    </xf>
    <xf numFmtId="0" fontId="18" fillId="0" borderId="2" xfId="0" applyFont="1" applyBorder="1" applyAlignment="1">
      <alignment horizontal="center" wrapText="1"/>
    </xf>
    <xf numFmtId="0" fontId="19" fillId="0" borderId="6" xfId="0" applyFont="1" applyBorder="1"/>
    <xf numFmtId="0" fontId="16" fillId="15" borderId="1" xfId="0" applyFont="1" applyFill="1" applyBorder="1" applyAlignment="1">
      <alignment horizontal="center" vertical="center"/>
    </xf>
    <xf numFmtId="0" fontId="19" fillId="14" borderId="9" xfId="0" applyFont="1" applyFill="1" applyBorder="1"/>
    <xf numFmtId="0" fontId="19" fillId="14" borderId="2" xfId="0" applyFont="1" applyFill="1" applyBorder="1"/>
    <xf numFmtId="0" fontId="16" fillId="15" borderId="1" xfId="0" applyFont="1" applyFill="1" applyBorder="1" applyAlignment="1">
      <alignment horizontal="center" vertical="center" wrapText="1"/>
    </xf>
    <xf numFmtId="0" fontId="28" fillId="0" borderId="0" xfId="0" applyFont="1" applyAlignment="1">
      <alignment horizontal="center"/>
    </xf>
    <xf numFmtId="0" fontId="16" fillId="6" borderId="1" xfId="0" applyFont="1" applyFill="1" applyBorder="1" applyAlignment="1">
      <alignment horizontal="center" vertical="center" wrapText="1"/>
    </xf>
    <xf numFmtId="0" fontId="19" fillId="0" borderId="9" xfId="0" applyFont="1" applyBorder="1"/>
    <xf numFmtId="0" fontId="29" fillId="0" borderId="0" xfId="0" applyFont="1" applyAlignment="1">
      <alignment horizontal="center"/>
    </xf>
    <xf numFmtId="0" fontId="16" fillId="4" borderId="3" xfId="0" applyFont="1" applyFill="1" applyBorder="1" applyAlignment="1">
      <alignment horizontal="center" wrapText="1"/>
    </xf>
    <xf numFmtId="0" fontId="28" fillId="4" borderId="0" xfId="0" applyFont="1" applyFill="1" applyAlignment="1">
      <alignment horizontal="center"/>
    </xf>
    <xf numFmtId="0" fontId="16" fillId="0" borderId="3" xfId="0" applyFont="1" applyBorder="1" applyAlignment="1">
      <alignment horizontal="center"/>
    </xf>
    <xf numFmtId="10" fontId="16" fillId="0" borderId="3" xfId="0" applyNumberFormat="1" applyFont="1" applyBorder="1" applyAlignment="1">
      <alignment horizontal="center"/>
    </xf>
    <xf numFmtId="0" fontId="18" fillId="0" borderId="3" xfId="0" applyFont="1" applyBorder="1" applyAlignment="1">
      <alignment horizontal="center"/>
    </xf>
    <xf numFmtId="10" fontId="18" fillId="0" borderId="3" xfId="0" applyNumberFormat="1" applyFont="1" applyBorder="1" applyAlignment="1">
      <alignment horizontal="center"/>
    </xf>
    <xf numFmtId="0" fontId="18" fillId="4" borderId="3" xfId="0" applyFont="1" applyFill="1" applyBorder="1" applyAlignment="1">
      <alignment horizontal="center"/>
    </xf>
    <xf numFmtId="9" fontId="18" fillId="4" borderId="3" xfId="0" applyNumberFormat="1" applyFont="1" applyFill="1" applyBorder="1" applyAlignment="1">
      <alignment horizontal="center"/>
    </xf>
    <xf numFmtId="0" fontId="18" fillId="4" borderId="0" xfId="0" applyFont="1" applyFill="1" applyAlignment="1">
      <alignment horizontal="center"/>
    </xf>
    <xf numFmtId="0" fontId="18" fillId="7" borderId="3" xfId="0" applyFont="1" applyFill="1" applyBorder="1" applyAlignment="1">
      <alignment horizontal="center"/>
    </xf>
    <xf numFmtId="0" fontId="18" fillId="7" borderId="3" xfId="0" applyFont="1" applyFill="1" applyBorder="1"/>
    <xf numFmtId="10" fontId="18" fillId="7" borderId="3" xfId="0" applyNumberFormat="1" applyFont="1" applyFill="1" applyBorder="1" applyAlignment="1">
      <alignment horizontal="center"/>
    </xf>
    <xf numFmtId="9" fontId="18" fillId="7" borderId="3" xfId="0" applyNumberFormat="1" applyFont="1" applyFill="1" applyBorder="1" applyAlignment="1">
      <alignment horizontal="center"/>
    </xf>
    <xf numFmtId="9" fontId="18" fillId="0" borderId="3" xfId="0" applyNumberFormat="1" applyFont="1" applyBorder="1" applyAlignment="1">
      <alignment horizontal="center"/>
    </xf>
    <xf numFmtId="49" fontId="18" fillId="0" borderId="3" xfId="0" applyNumberFormat="1" applyFont="1" applyBorder="1" applyAlignment="1">
      <alignment horizontal="center"/>
    </xf>
    <xf numFmtId="49" fontId="18" fillId="7" borderId="3" xfId="0" applyNumberFormat="1" applyFont="1" applyFill="1" applyBorder="1" applyAlignment="1">
      <alignment horizontal="center"/>
    </xf>
    <xf numFmtId="0" fontId="16" fillId="15" borderId="1" xfId="0" applyFont="1" applyFill="1" applyBorder="1" applyAlignment="1">
      <alignment horizontal="center"/>
    </xf>
    <xf numFmtId="0" fontId="16" fillId="15" borderId="3" xfId="0" applyFont="1" applyFill="1" applyBorder="1" applyAlignment="1">
      <alignment horizontal="center"/>
    </xf>
    <xf numFmtId="0" fontId="18" fillId="4" borderId="1" xfId="0" applyFont="1" applyFill="1" applyBorder="1"/>
    <xf numFmtId="166" fontId="18" fillId="4" borderId="3" xfId="0" applyNumberFormat="1" applyFont="1" applyFill="1" applyBorder="1" applyAlignment="1">
      <alignment horizontal="center"/>
    </xf>
    <xf numFmtId="0" fontId="18" fillId="7" borderId="1" xfId="0" applyFont="1" applyFill="1" applyBorder="1"/>
    <xf numFmtId="166" fontId="18" fillId="7" borderId="3" xfId="0" applyNumberFormat="1" applyFont="1" applyFill="1" applyBorder="1" applyAlignment="1">
      <alignment horizontal="center"/>
    </xf>
    <xf numFmtId="0" fontId="30" fillId="4" borderId="0" xfId="0" applyFont="1" applyFill="1" applyAlignment="1">
      <alignment horizontal="center"/>
    </xf>
    <xf numFmtId="49" fontId="16" fillId="7" borderId="3" xfId="0" applyNumberFormat="1" applyFont="1" applyFill="1" applyBorder="1" applyAlignment="1">
      <alignment horizontal="center"/>
    </xf>
    <xf numFmtId="0" fontId="16" fillId="7" borderId="1" xfId="0" applyFont="1" applyFill="1" applyBorder="1" applyAlignment="1">
      <alignment horizontal="center"/>
    </xf>
    <xf numFmtId="10" fontId="16" fillId="7" borderId="1" xfId="0" applyNumberFormat="1" applyFont="1" applyFill="1" applyBorder="1" applyAlignment="1">
      <alignment horizontal="center"/>
    </xf>
    <xf numFmtId="10" fontId="16" fillId="7" borderId="3" xfId="0" applyNumberFormat="1" applyFont="1" applyFill="1" applyBorder="1" applyAlignment="1">
      <alignment horizontal="center"/>
    </xf>
    <xf numFmtId="9" fontId="18" fillId="4" borderId="3" xfId="0" applyNumberFormat="1" applyFont="1" applyFill="1" applyBorder="1" applyAlignment="1">
      <alignment horizontal="center" wrapText="1"/>
    </xf>
    <xf numFmtId="10" fontId="18" fillId="0" borderId="0" xfId="0" applyNumberFormat="1" applyFont="1"/>
    <xf numFmtId="167" fontId="16" fillId="6" borderId="1" xfId="0" applyNumberFormat="1" applyFont="1" applyFill="1" applyBorder="1" applyAlignment="1">
      <alignment horizontal="center" wrapText="1"/>
    </xf>
    <xf numFmtId="0" fontId="26" fillId="0" borderId="0" xfId="0" applyFont="1" applyAlignment="1">
      <alignment horizontal="center" wrapText="1"/>
    </xf>
    <xf numFmtId="10" fontId="18" fillId="0" borderId="1" xfId="0" applyNumberFormat="1" applyFont="1" applyBorder="1" applyAlignment="1">
      <alignment wrapText="1"/>
    </xf>
    <xf numFmtId="168" fontId="18" fillId="0" borderId="3" xfId="0" applyNumberFormat="1" applyFont="1" applyBorder="1" applyAlignment="1">
      <alignment horizontal="center"/>
    </xf>
    <xf numFmtId="167" fontId="18" fillId="7" borderId="1" xfId="0" applyNumberFormat="1" applyFont="1" applyFill="1" applyBorder="1" applyAlignment="1">
      <alignment wrapText="1"/>
    </xf>
    <xf numFmtId="167" fontId="18" fillId="0" borderId="1" xfId="0" applyNumberFormat="1" applyFont="1" applyBorder="1" applyAlignment="1">
      <alignment wrapText="1"/>
    </xf>
    <xf numFmtId="167" fontId="16" fillId="7" borderId="1" xfId="0" applyNumberFormat="1" applyFont="1" applyFill="1" applyBorder="1" applyAlignment="1">
      <alignment wrapText="1"/>
    </xf>
    <xf numFmtId="0" fontId="31" fillId="0" borderId="0" xfId="0" applyFont="1" applyAlignment="1">
      <alignment horizontal="center" vertical="center"/>
    </xf>
    <xf numFmtId="0" fontId="16" fillId="7" borderId="1" xfId="0" applyFont="1" applyFill="1" applyBorder="1" applyAlignment="1">
      <alignment wrapText="1"/>
    </xf>
    <xf numFmtId="0" fontId="32" fillId="0" borderId="3" xfId="0" applyFont="1" applyBorder="1" applyAlignment="1">
      <alignment horizontal="center" vertical="top"/>
    </xf>
    <xf numFmtId="169" fontId="18" fillId="0" borderId="0" xfId="0" applyNumberFormat="1" applyFont="1"/>
    <xf numFmtId="167" fontId="18" fillId="8" borderId="3" xfId="0" applyNumberFormat="1" applyFont="1" applyFill="1" applyBorder="1"/>
    <xf numFmtId="168" fontId="18" fillId="0" borderId="0" xfId="0" applyNumberFormat="1" applyFont="1"/>
    <xf numFmtId="166" fontId="18" fillId="0" borderId="0" xfId="0" applyNumberFormat="1" applyFont="1"/>
    <xf numFmtId="0" fontId="33" fillId="0" borderId="0" xfId="0" applyFont="1"/>
    <xf numFmtId="167" fontId="33" fillId="0" borderId="0" xfId="0" applyNumberFormat="1" applyFont="1" applyAlignment="1">
      <alignment horizontal="right"/>
    </xf>
    <xf numFmtId="0" fontId="34" fillId="0" borderId="0" xfId="0" applyFont="1"/>
    <xf numFmtId="170" fontId="35" fillId="2" borderId="0" xfId="0" applyNumberFormat="1" applyFont="1" applyFill="1" applyAlignment="1">
      <alignment horizontal="center"/>
    </xf>
    <xf numFmtId="0" fontId="34" fillId="0" borderId="0" xfId="0" applyFont="1"/>
    <xf numFmtId="3" fontId="33" fillId="0" borderId="0" xfId="0" applyNumberFormat="1" applyFont="1"/>
    <xf numFmtId="0" fontId="33" fillId="2" borderId="0" xfId="0" applyFont="1" applyFill="1"/>
    <xf numFmtId="0" fontId="33" fillId="2" borderId="0" xfId="0" applyFont="1" applyFill="1" applyAlignment="1">
      <alignment horizontal="center"/>
    </xf>
    <xf numFmtId="167" fontId="33" fillId="2" borderId="0" xfId="0" applyNumberFormat="1" applyFont="1" applyFill="1" applyAlignment="1">
      <alignment horizontal="center"/>
    </xf>
    <xf numFmtId="0" fontId="35" fillId="0" borderId="0" xfId="0" applyFont="1"/>
    <xf numFmtId="3" fontId="35" fillId="0" borderId="0" xfId="0" applyNumberFormat="1" applyFont="1" applyAlignment="1">
      <alignment horizontal="right"/>
    </xf>
    <xf numFmtId="167" fontId="35" fillId="0" borderId="0" xfId="0" applyNumberFormat="1" applyFont="1" applyAlignment="1">
      <alignment horizontal="right"/>
    </xf>
    <xf numFmtId="10" fontId="33" fillId="0" borderId="0" xfId="0" applyNumberFormat="1" applyFont="1"/>
    <xf numFmtId="3" fontId="33" fillId="0" borderId="0" xfId="0" applyNumberFormat="1" applyFont="1" applyAlignment="1">
      <alignment horizontal="right"/>
    </xf>
    <xf numFmtId="3" fontId="36" fillId="0" borderId="0" xfId="0" applyNumberFormat="1" applyFont="1" applyAlignment="1">
      <alignment horizontal="right"/>
    </xf>
    <xf numFmtId="0" fontId="35" fillId="0" borderId="0" xfId="0" applyFont="1" applyAlignment="1">
      <alignment horizontal="right"/>
    </xf>
    <xf numFmtId="0" fontId="35" fillId="0" borderId="0" xfId="0" applyFont="1" applyAlignment="1">
      <alignment horizontal="left"/>
    </xf>
    <xf numFmtId="0" fontId="33" fillId="0" borderId="0" xfId="0" applyFont="1" applyAlignment="1">
      <alignment wrapText="1"/>
    </xf>
    <xf numFmtId="167" fontId="33" fillId="0" borderId="0" xfId="0" applyNumberFormat="1" applyFont="1"/>
    <xf numFmtId="3" fontId="35" fillId="0" borderId="0" xfId="0" applyNumberFormat="1" applyFont="1"/>
    <xf numFmtId="0" fontId="37" fillId="0" borderId="0" xfId="0" applyFont="1"/>
    <xf numFmtId="3" fontId="37" fillId="0" borderId="0" xfId="0" applyNumberFormat="1" applyFont="1" applyAlignment="1">
      <alignment horizontal="right"/>
    </xf>
    <xf numFmtId="167" fontId="35" fillId="0" borderId="0" xfId="0" applyNumberFormat="1" applyFont="1" applyAlignment="1">
      <alignment horizontal="center"/>
    </xf>
    <xf numFmtId="0" fontId="38" fillId="0" borderId="0" xfId="0" applyFont="1"/>
    <xf numFmtId="167" fontId="39" fillId="0" borderId="0" xfId="0" applyNumberFormat="1" applyFont="1" applyAlignment="1">
      <alignment horizontal="right"/>
    </xf>
    <xf numFmtId="0" fontId="35" fillId="2" borderId="3" xfId="0" applyFont="1" applyFill="1" applyBorder="1"/>
    <xf numFmtId="0" fontId="33" fillId="2" borderId="3" xfId="0" applyFont="1" applyFill="1" applyBorder="1" applyAlignment="1">
      <alignment horizontal="center"/>
    </xf>
    <xf numFmtId="0" fontId="33" fillId="0" borderId="3" xfId="0" applyFont="1" applyBorder="1"/>
    <xf numFmtId="10" fontId="33" fillId="0" borderId="3" xfId="0" applyNumberFormat="1" applyFont="1" applyBorder="1" applyAlignment="1">
      <alignment horizontal="right"/>
    </xf>
    <xf numFmtId="10" fontId="33" fillId="0" borderId="0" xfId="0" applyNumberFormat="1" applyFont="1" applyAlignment="1">
      <alignment horizontal="right"/>
    </xf>
    <xf numFmtId="10" fontId="33" fillId="0" borderId="0" xfId="0" applyNumberFormat="1" applyFont="1" applyAlignment="1">
      <alignment horizontal="right"/>
    </xf>
    <xf numFmtId="0" fontId="18" fillId="2" borderId="1" xfId="0" applyFont="1" applyFill="1" applyBorder="1" applyAlignment="1">
      <alignment horizontal="center"/>
    </xf>
    <xf numFmtId="0" fontId="18" fillId="3" borderId="3" xfId="0" applyFont="1" applyFill="1" applyBorder="1" applyAlignment="1">
      <alignment horizontal="left"/>
    </xf>
    <xf numFmtId="0" fontId="18" fillId="3" borderId="3" xfId="0" applyFont="1" applyFill="1" applyBorder="1" applyAlignment="1">
      <alignment horizontal="center"/>
    </xf>
    <xf numFmtId="10" fontId="18" fillId="0" borderId="3" xfId="0" applyNumberFormat="1" applyFont="1" applyBorder="1"/>
    <xf numFmtId="167" fontId="18" fillId="0" borderId="3" xfId="0" applyNumberFormat="1" applyFont="1" applyBorder="1"/>
    <xf numFmtId="0" fontId="16" fillId="0" borderId="3" xfId="0" applyFont="1" applyBorder="1"/>
    <xf numFmtId="0" fontId="16" fillId="2" borderId="4" xfId="0" applyFont="1" applyFill="1" applyBorder="1" applyAlignment="1">
      <alignment horizontal="center"/>
    </xf>
    <xf numFmtId="0" fontId="16" fillId="5" borderId="5" xfId="0" applyFont="1" applyFill="1" applyBorder="1" applyAlignment="1">
      <alignment horizontal="center"/>
    </xf>
    <xf numFmtId="0" fontId="16" fillId="5" borderId="6" xfId="0" applyFont="1" applyFill="1" applyBorder="1" applyAlignment="1">
      <alignment horizontal="center"/>
    </xf>
    <xf numFmtId="0" fontId="40" fillId="0" borderId="10" xfId="0" applyFont="1" applyBorder="1"/>
    <xf numFmtId="0" fontId="40" fillId="0" borderId="0" xfId="0" applyFont="1"/>
    <xf numFmtId="0" fontId="16" fillId="0" borderId="5" xfId="0" applyFont="1" applyBorder="1" applyAlignment="1">
      <alignment horizontal="center"/>
    </xf>
    <xf numFmtId="0" fontId="16" fillId="0" borderId="6" xfId="0" applyFont="1" applyBorder="1" applyAlignment="1">
      <alignment horizontal="center"/>
    </xf>
    <xf numFmtId="0" fontId="18" fillId="0" borderId="11" xfId="0" applyFont="1" applyBorder="1" applyAlignment="1">
      <alignment horizontal="center" vertical="center"/>
    </xf>
    <xf numFmtId="171" fontId="18" fillId="0" borderId="6" xfId="0" applyNumberFormat="1" applyFont="1" applyBorder="1" applyAlignment="1">
      <alignment horizontal="right"/>
    </xf>
    <xf numFmtId="171" fontId="41" fillId="0" borderId="10" xfId="0" applyNumberFormat="1" applyFont="1" applyBorder="1"/>
    <xf numFmtId="0" fontId="18" fillId="4" borderId="11" xfId="0" applyFont="1" applyFill="1" applyBorder="1" applyAlignment="1">
      <alignment horizontal="center" vertical="center" wrapText="1"/>
    </xf>
    <xf numFmtId="0" fontId="41" fillId="0" borderId="0" xfId="0" applyFont="1"/>
    <xf numFmtId="0" fontId="18" fillId="0" borderId="5" xfId="0" applyFont="1" applyBorder="1" applyAlignment="1">
      <alignment horizontal="center"/>
    </xf>
    <xf numFmtId="0" fontId="18" fillId="0" borderId="6" xfId="0" applyFont="1" applyBorder="1" applyAlignment="1">
      <alignment horizontal="center"/>
    </xf>
    <xf numFmtId="171" fontId="40" fillId="0" borderId="10" xfId="0" applyNumberFormat="1" applyFont="1" applyBorder="1"/>
    <xf numFmtId="0" fontId="18" fillId="0" borderId="11" xfId="0" applyFont="1" applyBorder="1" applyAlignment="1">
      <alignment horizontal="center" vertical="center" wrapText="1"/>
    </xf>
    <xf numFmtId="171" fontId="18" fillId="0" borderId="10" xfId="0" applyNumberFormat="1" applyFont="1" applyBorder="1"/>
    <xf numFmtId="0" fontId="42" fillId="4" borderId="11" xfId="0" applyFont="1" applyFill="1" applyBorder="1" applyAlignment="1">
      <alignment horizontal="center" vertical="center" wrapText="1"/>
    </xf>
    <xf numFmtId="171" fontId="18" fillId="0" borderId="0" xfId="0" applyNumberFormat="1" applyFont="1"/>
    <xf numFmtId="171" fontId="18" fillId="0" borderId="3" xfId="0" applyNumberFormat="1" applyFont="1" applyBorder="1" applyAlignment="1">
      <alignment horizontal="right"/>
    </xf>
    <xf numFmtId="0" fontId="16" fillId="0" borderId="13" xfId="0" applyFont="1" applyBorder="1" applyAlignment="1">
      <alignment horizontal="right"/>
    </xf>
    <xf numFmtId="0" fontId="16" fillId="4" borderId="16" xfId="0" applyFont="1" applyFill="1" applyBorder="1" applyAlignment="1">
      <alignment horizontal="center"/>
    </xf>
    <xf numFmtId="0" fontId="18" fillId="0" borderId="0" xfId="0" applyFont="1" applyAlignment="1">
      <alignment horizontal="center" wrapText="1"/>
    </xf>
    <xf numFmtId="0" fontId="19" fillId="0" borderId="20" xfId="0" applyFont="1" applyBorder="1"/>
    <xf numFmtId="0" fontId="18" fillId="4" borderId="21" xfId="0" applyFont="1" applyFill="1" applyBorder="1" applyAlignment="1">
      <alignment wrapText="1"/>
    </xf>
    <xf numFmtId="0" fontId="18" fillId="0" borderId="22" xfId="0" applyFont="1" applyBorder="1" applyAlignment="1">
      <alignment horizontal="center"/>
    </xf>
    <xf numFmtId="0" fontId="18" fillId="3" borderId="0" xfId="0" applyFont="1" applyFill="1" applyAlignment="1">
      <alignment horizontal="center" vertical="center"/>
    </xf>
    <xf numFmtId="0" fontId="18" fillId="4" borderId="19" xfId="0" applyFont="1" applyFill="1" applyBorder="1" applyAlignment="1">
      <alignment wrapText="1"/>
    </xf>
    <xf numFmtId="0" fontId="18" fillId="3" borderId="25" xfId="0" applyFont="1" applyFill="1" applyBorder="1" applyAlignment="1">
      <alignment vertical="center"/>
    </xf>
    <xf numFmtId="0" fontId="18" fillId="0" borderId="4" xfId="0" applyFont="1" applyBorder="1"/>
    <xf numFmtId="0" fontId="18" fillId="0" borderId="4" xfId="0" applyFont="1" applyBorder="1" applyAlignment="1">
      <alignment wrapText="1"/>
    </xf>
    <xf numFmtId="0" fontId="16" fillId="0" borderId="4" xfId="0" applyFont="1" applyBorder="1" applyAlignment="1">
      <alignment horizontal="center"/>
    </xf>
    <xf numFmtId="0" fontId="18" fillId="3" borderId="4" xfId="0" applyFont="1" applyFill="1" applyBorder="1" applyAlignment="1">
      <alignment horizontal="center"/>
    </xf>
    <xf numFmtId="0" fontId="18" fillId="4" borderId="4" xfId="0" applyFont="1" applyFill="1" applyBorder="1"/>
    <xf numFmtId="0" fontId="18" fillId="0" borderId="4" xfId="0" applyFont="1" applyBorder="1" applyAlignment="1">
      <alignment horizontal="center"/>
    </xf>
    <xf numFmtId="0" fontId="18" fillId="17" borderId="0" xfId="0" applyFont="1" applyFill="1"/>
    <xf numFmtId="0" fontId="43" fillId="0" borderId="0" xfId="0" applyFont="1" applyAlignment="1">
      <alignment horizontal="left" vertical="center"/>
    </xf>
    <xf numFmtId="10" fontId="43" fillId="0" borderId="0" xfId="0" applyNumberFormat="1" applyFont="1" applyAlignment="1">
      <alignment horizontal="left" vertical="center"/>
    </xf>
    <xf numFmtId="167" fontId="18" fillId="5" borderId="0" xfId="0" applyNumberFormat="1" applyFont="1" applyFill="1"/>
    <xf numFmtId="0" fontId="18" fillId="16" borderId="0" xfId="0" applyFont="1" applyFill="1"/>
    <xf numFmtId="0" fontId="18" fillId="2" borderId="0" xfId="0" applyFont="1" applyFill="1"/>
    <xf numFmtId="167" fontId="18" fillId="0" borderId="0" xfId="0" applyNumberFormat="1" applyFont="1" applyAlignment="1">
      <alignment wrapText="1"/>
    </xf>
    <xf numFmtId="10" fontId="18" fillId="0" borderId="0" xfId="0" applyNumberFormat="1" applyFont="1" applyAlignment="1">
      <alignment horizontal="center"/>
    </xf>
    <xf numFmtId="167" fontId="18" fillId="0" borderId="0" xfId="0" applyNumberFormat="1" applyFont="1" applyAlignment="1">
      <alignment horizontal="center"/>
    </xf>
    <xf numFmtId="0" fontId="16" fillId="0" borderId="0" xfId="0" applyFont="1"/>
    <xf numFmtId="0" fontId="16" fillId="2" borderId="3" xfId="0" applyFont="1" applyFill="1" applyBorder="1" applyAlignment="1">
      <alignment horizontal="center" vertical="center"/>
    </xf>
    <xf numFmtId="0" fontId="16" fillId="2" borderId="3" xfId="0" applyFont="1" applyFill="1" applyBorder="1" applyAlignment="1">
      <alignment horizontal="center"/>
    </xf>
    <xf numFmtId="0" fontId="44" fillId="0" borderId="0" xfId="0" applyFont="1"/>
    <xf numFmtId="0" fontId="18" fillId="0" borderId="3" xfId="0" applyFont="1" applyBorder="1" applyAlignment="1">
      <alignment horizontal="center" vertical="center"/>
    </xf>
    <xf numFmtId="170" fontId="18" fillId="0" borderId="3" xfId="0" applyNumberFormat="1" applyFont="1" applyBorder="1" applyAlignment="1">
      <alignment horizontal="right"/>
    </xf>
    <xf numFmtId="172" fontId="18" fillId="0" borderId="0" xfId="0" applyNumberFormat="1" applyFont="1" applyAlignment="1">
      <alignment horizontal="right"/>
    </xf>
    <xf numFmtId="172" fontId="18" fillId="0" borderId="3" xfId="0" applyNumberFormat="1" applyFont="1" applyBorder="1" applyAlignment="1">
      <alignment horizontal="center" vertical="center"/>
    </xf>
    <xf numFmtId="0" fontId="17" fillId="0" borderId="0" xfId="0" applyFont="1" applyAlignment="1">
      <alignment horizontal="center" vertical="center"/>
    </xf>
    <xf numFmtId="170" fontId="18" fillId="0" borderId="0" xfId="0" applyNumberFormat="1" applyFont="1"/>
    <xf numFmtId="0" fontId="18" fillId="14" borderId="0" xfId="0" applyFont="1" applyFill="1" applyAlignment="1">
      <alignment wrapText="1"/>
    </xf>
    <xf numFmtId="0" fontId="16" fillId="14" borderId="24" xfId="0" applyFont="1" applyFill="1" applyBorder="1" applyAlignment="1">
      <alignment horizontal="center"/>
    </xf>
    <xf numFmtId="0" fontId="19" fillId="14" borderId="24" xfId="0" applyFont="1" applyFill="1" applyBorder="1"/>
    <xf numFmtId="0" fontId="16" fillId="2" borderId="0" xfId="0" applyFont="1" applyFill="1" applyAlignment="1">
      <alignment horizontal="center"/>
    </xf>
    <xf numFmtId="0" fontId="16" fillId="2" borderId="1" xfId="0" applyFont="1" applyFill="1" applyBorder="1" applyAlignment="1">
      <alignment horizontal="center"/>
    </xf>
    <xf numFmtId="0" fontId="27" fillId="0" borderId="0" xfId="0" applyFont="1" applyAlignment="1">
      <alignment horizontal="center"/>
    </xf>
    <xf numFmtId="0" fontId="18" fillId="0" borderId="1" xfId="0" applyFont="1" applyBorder="1" applyAlignment="1">
      <alignment vertical="top" wrapText="1"/>
    </xf>
    <xf numFmtId="167" fontId="18" fillId="0" borderId="3" xfId="0" applyNumberFormat="1" applyFont="1" applyBorder="1" applyAlignment="1">
      <alignment horizontal="center"/>
    </xf>
    <xf numFmtId="0" fontId="18" fillId="0" borderId="0" xfId="0" applyFont="1" applyAlignment="1">
      <alignment vertical="top"/>
    </xf>
    <xf numFmtId="0" fontId="16" fillId="2" borderId="0" xfId="0" applyFont="1" applyFill="1" applyAlignment="1">
      <alignment horizontal="center" vertical="top"/>
    </xf>
    <xf numFmtId="0" fontId="18" fillId="0" borderId="4" xfId="0" applyFont="1" applyBorder="1" applyAlignment="1">
      <alignment vertical="top"/>
    </xf>
    <xf numFmtId="0" fontId="18" fillId="0" borderId="10" xfId="0" applyFont="1" applyBorder="1"/>
    <xf numFmtId="0" fontId="16" fillId="2" borderId="6" xfId="0" applyFont="1" applyFill="1" applyBorder="1" applyAlignment="1">
      <alignment horizontal="center" vertical="top" wrapText="1"/>
    </xf>
    <xf numFmtId="0" fontId="17" fillId="0" borderId="6" xfId="0" applyFont="1" applyBorder="1" applyAlignment="1">
      <alignment vertical="top" wrapText="1"/>
    </xf>
    <xf numFmtId="0" fontId="16" fillId="2" borderId="4" xfId="0" applyFont="1" applyFill="1" applyBorder="1" applyAlignment="1">
      <alignment horizontal="center" vertical="top" wrapText="1"/>
    </xf>
    <xf numFmtId="0" fontId="29" fillId="0" borderId="0" xfId="0" applyFont="1" applyAlignment="1">
      <alignment horizontal="center"/>
    </xf>
    <xf numFmtId="0" fontId="16" fillId="0" borderId="4" xfId="0" applyFont="1" applyBorder="1" applyAlignment="1">
      <alignment horizontal="center" vertical="top" wrapText="1"/>
    </xf>
    <xf numFmtId="0" fontId="18" fillId="0" borderId="3" xfId="0" applyFont="1" applyBorder="1" applyAlignment="1">
      <alignment vertical="top"/>
    </xf>
    <xf numFmtId="0" fontId="26" fillId="0" borderId="3" xfId="0" applyFont="1" applyBorder="1" applyAlignment="1">
      <alignment horizontal="center"/>
    </xf>
    <xf numFmtId="0" fontId="18" fillId="0" borderId="1" xfId="0" applyFont="1" applyBorder="1" applyAlignment="1">
      <alignment vertical="top"/>
    </xf>
    <xf numFmtId="0" fontId="26" fillId="0" borderId="3" xfId="0" applyFont="1" applyBorder="1"/>
    <xf numFmtId="0" fontId="16" fillId="0" borderId="1" xfId="0" applyFont="1" applyBorder="1" applyAlignment="1">
      <alignment vertical="top"/>
    </xf>
    <xf numFmtId="0" fontId="16" fillId="0" borderId="3" xfId="0" applyFont="1" applyBorder="1" applyAlignment="1">
      <alignment vertical="top"/>
    </xf>
    <xf numFmtId="0" fontId="18" fillId="0" borderId="1" xfId="0" applyFont="1" applyBorder="1"/>
    <xf numFmtId="0" fontId="18" fillId="0" borderId="3" xfId="0" applyFont="1" applyBorder="1" applyAlignment="1">
      <alignment vertical="top" wrapText="1"/>
    </xf>
    <xf numFmtId="167" fontId="16" fillId="0" borderId="3" xfId="0" applyNumberFormat="1" applyFont="1" applyBorder="1" applyAlignment="1">
      <alignment horizontal="center"/>
    </xf>
    <xf numFmtId="167" fontId="16" fillId="0" borderId="3" xfId="0" applyNumberFormat="1" applyFont="1" applyBorder="1" applyAlignment="1">
      <alignment horizontal="center" vertical="top"/>
    </xf>
    <xf numFmtId="0" fontId="16" fillId="0" borderId="1" xfId="0" applyFont="1" applyBorder="1" applyAlignment="1">
      <alignment vertical="top" wrapText="1"/>
    </xf>
    <xf numFmtId="0" fontId="12" fillId="0" borderId="0" xfId="0" applyFont="1" applyAlignment="1">
      <alignment vertical="top"/>
    </xf>
    <xf numFmtId="0" fontId="9" fillId="6" borderId="0" xfId="0" applyFont="1" applyFill="1" applyAlignment="1">
      <alignment horizontal="center" vertical="top"/>
    </xf>
    <xf numFmtId="0" fontId="12" fillId="0" borderId="4" xfId="0" applyFont="1" applyBorder="1" applyAlignment="1">
      <alignment vertical="top"/>
    </xf>
    <xf numFmtId="0" fontId="12" fillId="0" borderId="4" xfId="0" applyFont="1" applyBorder="1"/>
    <xf numFmtId="0" fontId="12" fillId="0" borderId="10" xfId="0" applyFont="1" applyBorder="1"/>
    <xf numFmtId="0" fontId="9" fillId="6" borderId="6" xfId="0" applyFont="1" applyFill="1" applyBorder="1" applyAlignment="1">
      <alignment horizontal="center" vertical="top" wrapText="1"/>
    </xf>
    <xf numFmtId="0" fontId="45" fillId="0" borderId="0" xfId="0" applyFont="1" applyAlignment="1">
      <alignment horizontal="center"/>
    </xf>
    <xf numFmtId="0" fontId="9" fillId="6" borderId="6" xfId="0" applyFont="1" applyFill="1" applyBorder="1" applyAlignment="1">
      <alignment horizontal="center" wrapText="1"/>
    </xf>
    <xf numFmtId="0" fontId="12" fillId="0" borderId="6" xfId="0" applyFont="1" applyBorder="1" applyAlignment="1">
      <alignment vertical="top" wrapText="1"/>
    </xf>
    <xf numFmtId="0" fontId="13" fillId="0" borderId="6" xfId="0" applyFont="1" applyBorder="1" applyAlignment="1">
      <alignment vertical="top" wrapText="1"/>
    </xf>
    <xf numFmtId="0" fontId="13" fillId="0" borderId="6" xfId="0" applyFont="1" applyBorder="1" applyAlignment="1">
      <alignment wrapText="1"/>
    </xf>
    <xf numFmtId="0" fontId="13" fillId="0" borderId="6" xfId="0" applyFont="1" applyBorder="1" applyAlignment="1">
      <alignment vertical="center" wrapText="1"/>
    </xf>
    <xf numFmtId="0" fontId="12" fillId="0" borderId="10" xfId="0" applyFont="1" applyBorder="1" applyAlignment="1">
      <alignment vertical="center"/>
    </xf>
    <xf numFmtId="0" fontId="9" fillId="6"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vertical="top"/>
    </xf>
    <xf numFmtId="0" fontId="15" fillId="0" borderId="6" xfId="0" applyFont="1" applyBorder="1" applyAlignment="1">
      <alignment horizontal="center"/>
    </xf>
    <xf numFmtId="0" fontId="9" fillId="0" borderId="6" xfId="0" applyFont="1" applyBorder="1"/>
    <xf numFmtId="0" fontId="12" fillId="0" borderId="6" xfId="0" applyFont="1" applyBorder="1" applyAlignment="1">
      <alignment vertical="top"/>
    </xf>
    <xf numFmtId="3" fontId="12" fillId="0" borderId="6" xfId="0" applyNumberFormat="1" applyFont="1" applyBorder="1" applyAlignment="1">
      <alignment horizontal="center"/>
    </xf>
    <xf numFmtId="9" fontId="12" fillId="0" borderId="10" xfId="0" applyNumberFormat="1" applyFont="1" applyBorder="1" applyAlignment="1">
      <alignment horizontal="center"/>
    </xf>
    <xf numFmtId="0" fontId="9" fillId="0" borderId="37" xfId="0" applyFont="1" applyBorder="1" applyAlignment="1">
      <alignment vertical="top"/>
    </xf>
    <xf numFmtId="3" fontId="12" fillId="0" borderId="37" xfId="0" applyNumberFormat="1" applyFont="1" applyBorder="1"/>
    <xf numFmtId="3" fontId="12" fillId="0" borderId="0" xfId="0" applyNumberFormat="1" applyFont="1" applyAlignment="1">
      <alignment horizontal="center"/>
    </xf>
    <xf numFmtId="0" fontId="9" fillId="0" borderId="0" xfId="0" applyFont="1" applyAlignment="1">
      <alignment vertical="top"/>
    </xf>
    <xf numFmtId="3" fontId="12" fillId="0" borderId="0" xfId="0" applyNumberFormat="1" applyFont="1"/>
    <xf numFmtId="0" fontId="12" fillId="0" borderId="10" xfId="0" applyFont="1" applyBorder="1" applyAlignment="1">
      <alignment vertical="top"/>
    </xf>
    <xf numFmtId="3" fontId="12" fillId="0" borderId="10" xfId="0" applyNumberFormat="1" applyFont="1" applyBorder="1" applyAlignment="1">
      <alignment horizontal="center"/>
    </xf>
    <xf numFmtId="3" fontId="9" fillId="0" borderId="0" xfId="0" applyNumberFormat="1" applyFont="1" applyAlignment="1">
      <alignment horizontal="center"/>
    </xf>
    <xf numFmtId="0" fontId="16" fillId="2" borderId="0" xfId="0" applyFont="1" applyFill="1" applyAlignment="1">
      <alignment horizontal="center" vertical="center"/>
    </xf>
    <xf numFmtId="0" fontId="18" fillId="0" borderId="0" xfId="0" applyFont="1" applyAlignment="1">
      <alignment horizontal="center" vertical="center"/>
    </xf>
    <xf numFmtId="0" fontId="27" fillId="0" borderId="0" xfId="0" applyFont="1" applyAlignment="1">
      <alignment vertical="center"/>
    </xf>
    <xf numFmtId="0" fontId="27" fillId="0" borderId="0" xfId="0" applyFont="1" applyAlignment="1">
      <alignment horizontal="center" vertical="center"/>
    </xf>
    <xf numFmtId="167" fontId="18" fillId="0" borderId="3" xfId="0" applyNumberFormat="1" applyFont="1" applyBorder="1" applyAlignment="1">
      <alignment horizontal="left" vertical="center"/>
    </xf>
    <xf numFmtId="0" fontId="18" fillId="0" borderId="1" xfId="0" applyFont="1" applyBorder="1" applyAlignment="1">
      <alignment vertical="center"/>
    </xf>
    <xf numFmtId="0" fontId="17" fillId="0" borderId="3" xfId="0" applyFont="1" applyBorder="1" applyAlignment="1">
      <alignment vertical="center"/>
    </xf>
    <xf numFmtId="0" fontId="18" fillId="0" borderId="3" xfId="0" applyFont="1" applyBorder="1" applyAlignment="1">
      <alignment horizontal="left" vertical="center" wrapText="1"/>
    </xf>
    <xf numFmtId="0" fontId="18" fillId="0" borderId="0" xfId="0" applyFont="1" applyAlignment="1">
      <alignment vertical="center" wrapText="1"/>
    </xf>
    <xf numFmtId="167" fontId="23" fillId="0" borderId="0" xfId="0" applyNumberFormat="1" applyFont="1"/>
    <xf numFmtId="0" fontId="25" fillId="0" borderId="0" xfId="0" applyFont="1"/>
    <xf numFmtId="0" fontId="16" fillId="4" borderId="10" xfId="0" applyFont="1" applyFill="1" applyBorder="1" applyAlignment="1">
      <alignment horizontal="center"/>
    </xf>
    <xf numFmtId="0" fontId="16" fillId="3" borderId="23" xfId="0" applyFont="1" applyFill="1" applyBorder="1" applyAlignment="1">
      <alignment horizontal="center" vertical="center"/>
    </xf>
    <xf numFmtId="0" fontId="19" fillId="0" borderId="38" xfId="0" applyFont="1" applyBorder="1"/>
    <xf numFmtId="0" fontId="19" fillId="0" borderId="32" xfId="0" applyFont="1" applyBorder="1"/>
    <xf numFmtId="0" fontId="18" fillId="2" borderId="0" xfId="0" applyFont="1" applyFill="1" applyAlignment="1">
      <alignment horizontal="center" vertical="center"/>
    </xf>
    <xf numFmtId="0" fontId="19" fillId="0" borderId="35" xfId="0" applyFont="1" applyBorder="1"/>
    <xf numFmtId="173" fontId="18" fillId="0" borderId="0" xfId="0" applyNumberFormat="1" applyFont="1"/>
    <xf numFmtId="167" fontId="16" fillId="0" borderId="0" xfId="0" applyNumberFormat="1" applyFont="1"/>
    <xf numFmtId="0" fontId="26" fillId="2" borderId="3" xfId="0" applyFont="1" applyFill="1" applyBorder="1" applyAlignment="1">
      <alignment horizontal="center" wrapText="1"/>
    </xf>
    <xf numFmtId="0" fontId="18" fillId="0" borderId="11" xfId="0" applyFont="1" applyBorder="1" applyAlignment="1">
      <alignment vertical="center" wrapText="1"/>
    </xf>
    <xf numFmtId="0" fontId="18" fillId="0" borderId="11" xfId="0" applyFont="1" applyBorder="1" applyAlignment="1">
      <alignment wrapText="1"/>
    </xf>
    <xf numFmtId="0" fontId="18" fillId="3" borderId="3" xfId="0" applyFont="1" applyFill="1" applyBorder="1"/>
    <xf numFmtId="0" fontId="18" fillId="0" borderId="5" xfId="0" applyFont="1" applyBorder="1" applyAlignment="1">
      <alignment vertical="top" wrapText="1"/>
    </xf>
    <xf numFmtId="0" fontId="16" fillId="0" borderId="0" xfId="0" applyFont="1" applyAlignment="1">
      <alignment vertical="top"/>
    </xf>
    <xf numFmtId="0" fontId="26" fillId="2" borderId="3" xfId="0" applyFont="1" applyFill="1" applyBorder="1" applyAlignment="1">
      <alignment horizontal="center"/>
    </xf>
    <xf numFmtId="0" fontId="18" fillId="2" borderId="3" xfId="0" applyFont="1" applyFill="1" applyBorder="1" applyAlignment="1">
      <alignment horizontal="center" wrapText="1"/>
    </xf>
    <xf numFmtId="9" fontId="18" fillId="0" borderId="3" xfId="0" applyNumberFormat="1" applyFont="1" applyBorder="1" applyAlignment="1">
      <alignment horizontal="center" wrapText="1"/>
    </xf>
    <xf numFmtId="0" fontId="18" fillId="2" borderId="3" xfId="0" applyFont="1" applyFill="1" applyBorder="1" applyAlignment="1">
      <alignment horizontal="center"/>
    </xf>
    <xf numFmtId="0" fontId="43" fillId="0" borderId="0" xfId="0" applyFont="1" applyAlignment="1">
      <alignment horizontal="center" vertical="center"/>
    </xf>
    <xf numFmtId="0" fontId="43" fillId="2" borderId="3" xfId="0" applyFont="1" applyFill="1" applyBorder="1" applyAlignment="1">
      <alignment horizontal="center" vertical="center"/>
    </xf>
    <xf numFmtId="167" fontId="18" fillId="2" borderId="3" xfId="0" applyNumberFormat="1" applyFont="1" applyFill="1" applyBorder="1" applyAlignment="1">
      <alignment horizontal="center"/>
    </xf>
    <xf numFmtId="0" fontId="18" fillId="2" borderId="3" xfId="0" applyFont="1" applyFill="1" applyBorder="1" applyAlignment="1">
      <alignment horizontal="center" vertical="center"/>
    </xf>
    <xf numFmtId="0" fontId="18" fillId="2" borderId="3" xfId="0" applyFont="1" applyFill="1" applyBorder="1" applyAlignment="1">
      <alignment horizontal="center" vertical="center" wrapText="1"/>
    </xf>
    <xf numFmtId="174" fontId="44" fillId="0" borderId="0" xfId="0" applyNumberFormat="1" applyFont="1"/>
    <xf numFmtId="174" fontId="18" fillId="0" borderId="0" xfId="0" applyNumberFormat="1" applyFont="1" applyAlignment="1">
      <alignment horizontal="center" vertical="center"/>
    </xf>
    <xf numFmtId="175" fontId="18" fillId="0" borderId="3" xfId="0" applyNumberFormat="1" applyFont="1" applyBorder="1" applyAlignment="1">
      <alignment horizontal="center"/>
    </xf>
    <xf numFmtId="176" fontId="18" fillId="0" borderId="3" xfId="0" applyNumberFormat="1" applyFont="1" applyBorder="1" applyAlignment="1">
      <alignment horizontal="center"/>
    </xf>
    <xf numFmtId="174" fontId="18" fillId="0" borderId="0" xfId="0" applyNumberFormat="1" applyFont="1" applyAlignment="1">
      <alignment horizontal="center" wrapText="1"/>
    </xf>
    <xf numFmtId="174" fontId="18" fillId="0" borderId="0" xfId="0" applyNumberFormat="1" applyFont="1" applyAlignment="1">
      <alignment horizontal="center"/>
    </xf>
    <xf numFmtId="0" fontId="18" fillId="0" borderId="0" xfId="0" applyFont="1" applyAlignment="1">
      <alignment horizontal="left"/>
    </xf>
    <xf numFmtId="174" fontId="18" fillId="0" borderId="0" xfId="0" applyNumberFormat="1" applyFont="1"/>
    <xf numFmtId="174" fontId="18" fillId="2" borderId="3" xfId="0" applyNumberFormat="1" applyFont="1" applyFill="1" applyBorder="1" applyAlignment="1">
      <alignment horizontal="center" wrapText="1"/>
    </xf>
    <xf numFmtId="10" fontId="18" fillId="0" borderId="3" xfId="0" applyNumberFormat="1" applyFont="1" applyBorder="1" applyAlignment="1">
      <alignment horizontal="right"/>
    </xf>
    <xf numFmtId="174" fontId="18" fillId="2" borderId="3" xfId="0" applyNumberFormat="1" applyFont="1" applyFill="1" applyBorder="1" applyAlignment="1">
      <alignment horizontal="center"/>
    </xf>
    <xf numFmtId="49" fontId="18" fillId="0" borderId="0" xfId="0" applyNumberFormat="1" applyFont="1" applyAlignment="1">
      <alignment horizontal="center"/>
    </xf>
    <xf numFmtId="171" fontId="18" fillId="0" borderId="0" xfId="2" applyNumberFormat="1" applyFont="1" applyAlignment="1">
      <alignment horizontal="center"/>
    </xf>
    <xf numFmtId="0" fontId="18" fillId="2" borderId="1" xfId="0" applyFont="1" applyFill="1" applyBorder="1"/>
    <xf numFmtId="49" fontId="18" fillId="2" borderId="3" xfId="0" applyNumberFormat="1" applyFont="1" applyFill="1" applyBorder="1" applyAlignment="1">
      <alignment horizontal="center" wrapText="1"/>
    </xf>
    <xf numFmtId="49" fontId="18" fillId="2" borderId="3" xfId="0" applyNumberFormat="1" applyFont="1" applyFill="1" applyBorder="1" applyAlignment="1">
      <alignment horizontal="center"/>
    </xf>
    <xf numFmtId="176" fontId="18" fillId="0" borderId="0" xfId="0" applyNumberFormat="1" applyFont="1" applyAlignment="1">
      <alignment horizontal="right"/>
    </xf>
    <xf numFmtId="0" fontId="18" fillId="0" borderId="3" xfId="0" applyFont="1" applyBorder="1" applyAlignment="1">
      <alignment horizontal="center" wrapText="1"/>
    </xf>
    <xf numFmtId="177" fontId="18" fillId="0" borderId="3" xfId="0" applyNumberFormat="1" applyFont="1" applyBorder="1" applyAlignment="1">
      <alignment horizontal="center"/>
    </xf>
    <xf numFmtId="0" fontId="17" fillId="0" borderId="0" xfId="0" applyFont="1" applyAlignment="1">
      <alignment horizontal="center"/>
    </xf>
    <xf numFmtId="171" fontId="17" fillId="0" borderId="0" xfId="2" applyNumberFormat="1" applyFont="1" applyAlignment="1">
      <alignment horizontal="center"/>
    </xf>
    <xf numFmtId="175" fontId="18" fillId="0" borderId="0" xfId="0" applyNumberFormat="1" applyFont="1" applyAlignment="1">
      <alignment horizontal="right"/>
    </xf>
    <xf numFmtId="167" fontId="17" fillId="0" borderId="0" xfId="0" applyNumberFormat="1" applyFont="1" applyAlignment="1">
      <alignment horizontal="center"/>
    </xf>
    <xf numFmtId="171" fontId="17" fillId="0" borderId="0" xfId="2" applyNumberFormat="1" applyFont="1"/>
  </cellXfs>
  <cellStyles count="3">
    <cellStyle name="Currency [0]" xfId="2" builtinId="7"/>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LIQUID ASSETS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vi-VN"/>
        </a:p>
      </c:txPr>
    </c:title>
    <c:autoTitleDeleted val="0"/>
    <c:plotArea>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96F-3240-A47B-990912CD843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96F-3240-A47B-990912CD843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96F-3240-A47B-990912CD84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vi-VN"/>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 Balance sheet '!$B$6:$B$8</c:f>
              <c:strCache>
                <c:ptCount val="3"/>
                <c:pt idx="0">
                  <c:v>Cash</c:v>
                </c:pt>
                <c:pt idx="1">
                  <c:v>Saving Account</c:v>
                </c:pt>
                <c:pt idx="2">
                  <c:v>Checking Account</c:v>
                </c:pt>
              </c:strCache>
            </c:strRef>
          </c:cat>
          <c:val>
            <c:numRef>
              <c:f>'4. Balance sheet '!$D$6:$D$8</c:f>
              <c:numCache>
                <c:formatCode>0.00%</c:formatCode>
                <c:ptCount val="3"/>
                <c:pt idx="0">
                  <c:v>3.3757553252540255E-2</c:v>
                </c:pt>
                <c:pt idx="1">
                  <c:v>0.23630287276778178</c:v>
                </c:pt>
                <c:pt idx="2">
                  <c:v>6.751510650508051E-2</c:v>
                </c:pt>
              </c:numCache>
            </c:numRef>
          </c:val>
          <c:extLst>
            <c:ext xmlns:c16="http://schemas.microsoft.com/office/drawing/2014/chart" uri="{C3380CC4-5D6E-409C-BE32-E72D297353CC}">
              <c16:uniqueId val="{00000006-696F-3240-A47B-990912CD843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TANGIBLE ASSETS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vi-VN"/>
        </a:p>
      </c:txPr>
    </c:title>
    <c:autoTitleDeleted val="0"/>
    <c:plotArea>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66-124F-A940-3E822ECCC2B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66-124F-A940-3E822ECCC2B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666-124F-A940-3E822ECCC2B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666-124F-A940-3E822ECCC2B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666-124F-A940-3E822ECCC2BC}"/>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666-124F-A940-3E822ECCC2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vi-VN"/>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 Balance sheet '!$B$11:$B$16</c:f>
              <c:strCache>
                <c:ptCount val="6"/>
                <c:pt idx="0">
                  <c:v>iPhone 15 promax</c:v>
                </c:pt>
                <c:pt idx="1">
                  <c:v>iPhone 16 promax</c:v>
                </c:pt>
                <c:pt idx="2">
                  <c:v>Macbook Air 2017</c:v>
                </c:pt>
                <c:pt idx="3">
                  <c:v>iPad </c:v>
                </c:pt>
                <c:pt idx="4">
                  <c:v>Honda Scoopy</c:v>
                </c:pt>
                <c:pt idx="5">
                  <c:v>AirBlade 160</c:v>
                </c:pt>
              </c:strCache>
            </c:strRef>
          </c:cat>
          <c:val>
            <c:numRef>
              <c:f>'4. Balance sheet '!$C$11:$C$16</c:f>
              <c:numCache>
                <c:formatCode>#,##0[$ ₫]</c:formatCode>
                <c:ptCount val="6"/>
                <c:pt idx="0">
                  <c:v>25000000</c:v>
                </c:pt>
                <c:pt idx="1">
                  <c:v>27990000</c:v>
                </c:pt>
                <c:pt idx="2">
                  <c:v>25000000</c:v>
                </c:pt>
                <c:pt idx="3">
                  <c:v>18000000</c:v>
                </c:pt>
                <c:pt idx="4">
                  <c:v>56000000</c:v>
                </c:pt>
                <c:pt idx="5">
                  <c:v>44240000</c:v>
                </c:pt>
              </c:numCache>
            </c:numRef>
          </c:val>
          <c:extLst>
            <c:ext xmlns:c16="http://schemas.microsoft.com/office/drawing/2014/chart" uri="{C3380CC4-5D6E-409C-BE32-E72D297353CC}">
              <c16:uniqueId val="{0000000C-F666-124F-A940-3E822ECCC2B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300" b="0">
                <a:solidFill>
                  <a:srgbClr val="757575"/>
                </a:solidFill>
                <a:latin typeface="+mn-lt"/>
              </a:defRPr>
            </a:pPr>
            <a:r>
              <a:rPr lang="en-US" sz="1300" b="0">
                <a:solidFill>
                  <a:srgbClr val="757575"/>
                </a:solidFill>
                <a:latin typeface="+mn-lt"/>
              </a:rPr>
              <a:t>FAMILY BUDGET STATEMENT UNTIL MORTGAGE PAY OFF</a:t>
            </a:r>
          </a:p>
        </c:rich>
      </c:tx>
      <c:overlay val="0"/>
    </c:title>
    <c:autoTitleDeleted val="0"/>
    <c:plotArea>
      <c:layout/>
      <c:barChart>
        <c:barDir val="col"/>
        <c:grouping val="clustered"/>
        <c:varyColors val="1"/>
        <c:ser>
          <c:idx val="0"/>
          <c:order val="0"/>
          <c:tx>
            <c:strRef>
              <c:f>'8. Budget Estimate'!$A$39</c:f>
              <c:strCache>
                <c:ptCount val="1"/>
                <c:pt idx="0">
                  <c:v>Total expenses</c:v>
                </c:pt>
              </c:strCache>
            </c:strRef>
          </c:tx>
          <c:spPr>
            <a:solidFill>
              <a:srgbClr val="4285F4"/>
            </a:solidFill>
            <a:ln cmpd="sng">
              <a:solidFill>
                <a:srgbClr val="000000"/>
              </a:solidFill>
            </a:ln>
          </c:spPr>
          <c:invertIfNegative val="1"/>
          <c:cat>
            <c:numRef>
              <c:f>'8. Budget Estimate'!$B$1:$V$1</c:f>
              <c:numCache>
                <c:formatCode>General</c:formatCode>
                <c:ptCount val="21"/>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numCache>
            </c:numRef>
          </c:cat>
          <c:val>
            <c:numRef>
              <c:f>'8. Budget Estimate'!$B$39:$V$39</c:f>
              <c:numCache>
                <c:formatCode>#,##0[$ ₫]</c:formatCode>
                <c:ptCount val="21"/>
                <c:pt idx="1">
                  <c:v>374388000</c:v>
                </c:pt>
                <c:pt idx="2">
                  <c:v>386993774.39999998</c:v>
                </c:pt>
                <c:pt idx="3">
                  <c:v>401521904.08319998</c:v>
                </c:pt>
                <c:pt idx="4">
                  <c:v>441398564.72871995</c:v>
                </c:pt>
                <c:pt idx="5">
                  <c:v>453568895.10585272</c:v>
                </c:pt>
                <c:pt idx="6">
                  <c:v>520177046.4183225</c:v>
                </c:pt>
                <c:pt idx="7">
                  <c:v>573610016.05588472</c:v>
                </c:pt>
                <c:pt idx="8">
                  <c:v>589488374.32345474</c:v>
                </c:pt>
                <c:pt idx="9">
                  <c:v>616382242.5518626</c:v>
                </c:pt>
                <c:pt idx="10">
                  <c:v>641421728.52719295</c:v>
                </c:pt>
                <c:pt idx="11">
                  <c:v>983611149.75870752</c:v>
                </c:pt>
                <c:pt idx="12">
                  <c:v>962228769.69429898</c:v>
                </c:pt>
                <c:pt idx="13">
                  <c:v>1023038647.7095261</c:v>
                </c:pt>
                <c:pt idx="14">
                  <c:v>1057695915.6246729</c:v>
                </c:pt>
                <c:pt idx="15">
                  <c:v>1076149694.986624</c:v>
                </c:pt>
                <c:pt idx="16">
                  <c:v>1210604883.5620852</c:v>
                </c:pt>
                <c:pt idx="17">
                  <c:v>1249402656.3519034</c:v>
                </c:pt>
                <c:pt idx="18">
                  <c:v>1408580257.1932843</c:v>
                </c:pt>
                <c:pt idx="19">
                  <c:v>1440966697.8028271</c:v>
                </c:pt>
                <c:pt idx="20">
                  <c:v>1474647241.766331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405-0244-86BA-5DF001F741A8}"/>
            </c:ext>
          </c:extLst>
        </c:ser>
        <c:ser>
          <c:idx val="1"/>
          <c:order val="1"/>
          <c:tx>
            <c:strRef>
              <c:f>'8. Budget Estimate'!$A$14</c:f>
              <c:strCache>
                <c:ptCount val="1"/>
                <c:pt idx="0">
                  <c:v>Total income</c:v>
                </c:pt>
              </c:strCache>
            </c:strRef>
          </c:tx>
          <c:spPr>
            <a:solidFill>
              <a:srgbClr val="EA4335"/>
            </a:solidFill>
            <a:ln cmpd="sng">
              <a:solidFill>
                <a:srgbClr val="000000"/>
              </a:solidFill>
            </a:ln>
          </c:spPr>
          <c:invertIfNegative val="1"/>
          <c:cat>
            <c:numRef>
              <c:f>'8. Budget Estimate'!$B$1:$V$1</c:f>
              <c:numCache>
                <c:formatCode>General</c:formatCode>
                <c:ptCount val="21"/>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numCache>
            </c:numRef>
          </c:cat>
          <c:val>
            <c:numRef>
              <c:f>'8. Budget Estimate'!$B$14:$V$14</c:f>
              <c:numCache>
                <c:formatCode>#,##0[$ ₫]</c:formatCode>
                <c:ptCount val="21"/>
                <c:pt idx="1">
                  <c:v>378320000</c:v>
                </c:pt>
                <c:pt idx="2">
                  <c:v>383722560</c:v>
                </c:pt>
                <c:pt idx="3">
                  <c:v>394466791.67999995</c:v>
                </c:pt>
                <c:pt idx="4">
                  <c:v>488800000</c:v>
                </c:pt>
                <c:pt idx="5">
                  <c:v>504812379.05772084</c:v>
                </c:pt>
                <c:pt idx="6">
                  <c:v>407090872.64713156</c:v>
                </c:pt>
                <c:pt idx="7">
                  <c:v>597788377.46990132</c:v>
                </c:pt>
                <c:pt idx="8">
                  <c:v>613118091.44067061</c:v>
                </c:pt>
                <c:pt idx="9">
                  <c:v>745097589.13916469</c:v>
                </c:pt>
                <c:pt idx="10">
                  <c:v>804548201.67425632</c:v>
                </c:pt>
                <c:pt idx="11">
                  <c:v>856582676.86543226</c:v>
                </c:pt>
                <c:pt idx="12">
                  <c:v>865489992.34447026</c:v>
                </c:pt>
                <c:pt idx="13">
                  <c:v>1052736508.892107</c:v>
                </c:pt>
                <c:pt idx="14">
                  <c:v>1142852710.1540847</c:v>
                </c:pt>
                <c:pt idx="15">
                  <c:v>1174412462.9717987</c:v>
                </c:pt>
                <c:pt idx="16">
                  <c:v>1562395638.4563849</c:v>
                </c:pt>
                <c:pt idx="17">
                  <c:v>1598570858.1034198</c:v>
                </c:pt>
                <c:pt idx="18">
                  <c:v>1996603907.4558527</c:v>
                </c:pt>
                <c:pt idx="19">
                  <c:v>2159300166.658246</c:v>
                </c:pt>
                <c:pt idx="20">
                  <c:v>2294399118.5977859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405-0244-86BA-5DF001F741A8}"/>
            </c:ext>
          </c:extLst>
        </c:ser>
        <c:dLbls>
          <c:showLegendKey val="0"/>
          <c:showVal val="0"/>
          <c:showCatName val="0"/>
          <c:showSerName val="0"/>
          <c:showPercent val="0"/>
          <c:showBubbleSize val="0"/>
        </c:dLbls>
        <c:gapWidth val="150"/>
        <c:axId val="1404648878"/>
        <c:axId val="826805794"/>
      </c:barChart>
      <c:lineChart>
        <c:grouping val="standard"/>
        <c:varyColors val="0"/>
        <c:ser>
          <c:idx val="2"/>
          <c:order val="2"/>
          <c:tx>
            <c:strRef>
              <c:f>'8. Budget Estimate'!$A$40</c:f>
              <c:strCache>
                <c:ptCount val="1"/>
                <c:pt idx="0">
                  <c:v>Surplus/Deficit</c:v>
                </c:pt>
              </c:strCache>
            </c:strRef>
          </c:tx>
          <c:spPr>
            <a:ln cmpd="sng">
              <a:solidFill>
                <a:srgbClr val="FBBC04"/>
              </a:solidFill>
            </a:ln>
          </c:spPr>
          <c:marker>
            <c:symbol val="none"/>
          </c:marker>
          <c:cat>
            <c:numRef>
              <c:f>'8. Budget Estimate'!$B$1:$V$1</c:f>
              <c:numCache>
                <c:formatCode>General</c:formatCode>
                <c:ptCount val="21"/>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numCache>
            </c:numRef>
          </c:cat>
          <c:val>
            <c:numRef>
              <c:f>'8. Budget Estimate'!$B$40:$V$40</c:f>
              <c:numCache>
                <c:formatCode>#,##0[$ ₫]</c:formatCode>
                <c:ptCount val="21"/>
                <c:pt idx="1">
                  <c:v>3932000</c:v>
                </c:pt>
                <c:pt idx="2">
                  <c:v>-3271214.3999999762</c:v>
                </c:pt>
                <c:pt idx="3">
                  <c:v>-7055112.4032000303</c:v>
                </c:pt>
                <c:pt idx="4">
                  <c:v>47401435.27128005</c:v>
                </c:pt>
                <c:pt idx="5">
                  <c:v>51243483.951868117</c:v>
                </c:pt>
                <c:pt idx="6">
                  <c:v>-113086173.77119094</c:v>
                </c:pt>
                <c:pt idx="7">
                  <c:v>24178361.414016604</c:v>
                </c:pt>
                <c:pt idx="8">
                  <c:v>23629717.117215872</c:v>
                </c:pt>
                <c:pt idx="9">
                  <c:v>128715346.58730209</c:v>
                </c:pt>
                <c:pt idx="10">
                  <c:v>163126473.14706337</c:v>
                </c:pt>
                <c:pt idx="11">
                  <c:v>-127028472.89327526</c:v>
                </c:pt>
                <c:pt idx="12">
                  <c:v>-96738777.34982872</c:v>
                </c:pt>
                <c:pt idx="13">
                  <c:v>29697861.182580948</c:v>
                </c:pt>
                <c:pt idx="14">
                  <c:v>85156794.529411793</c:v>
                </c:pt>
                <c:pt idx="15">
                  <c:v>98262767.985174656</c:v>
                </c:pt>
                <c:pt idx="16">
                  <c:v>351790754.89429975</c:v>
                </c:pt>
                <c:pt idx="17">
                  <c:v>349168201.75151634</c:v>
                </c:pt>
                <c:pt idx="18">
                  <c:v>588023650.26256847</c:v>
                </c:pt>
                <c:pt idx="19">
                  <c:v>718333468.85541892</c:v>
                </c:pt>
                <c:pt idx="20">
                  <c:v>819751876.83145499</c:v>
                </c:pt>
              </c:numCache>
            </c:numRef>
          </c:val>
          <c:smooth val="0"/>
          <c:extLst>
            <c:ext xmlns:c16="http://schemas.microsoft.com/office/drawing/2014/chart" uri="{C3380CC4-5D6E-409C-BE32-E72D297353CC}">
              <c16:uniqueId val="{00000002-F405-0244-86BA-5DF001F741A8}"/>
            </c:ext>
          </c:extLst>
        </c:ser>
        <c:dLbls>
          <c:showLegendKey val="0"/>
          <c:showVal val="0"/>
          <c:showCatName val="0"/>
          <c:showSerName val="0"/>
          <c:showPercent val="0"/>
          <c:showBubbleSize val="0"/>
        </c:dLbls>
        <c:marker val="1"/>
        <c:smooth val="0"/>
        <c:axId val="1404648878"/>
        <c:axId val="826805794"/>
      </c:lineChart>
      <c:catAx>
        <c:axId val="1404648878"/>
        <c:scaling>
          <c:orientation val="minMax"/>
        </c:scaling>
        <c:delete val="0"/>
        <c:axPos val="b"/>
        <c:title>
          <c:tx>
            <c:rich>
              <a:bodyPr/>
              <a:lstStyle/>
              <a:p>
                <a:pPr lvl="0">
                  <a:defRPr b="0">
                    <a:solidFill>
                      <a:srgbClr val="000000"/>
                    </a:solidFill>
                    <a:latin typeface="+mn-lt"/>
                  </a:defRPr>
                </a:pPr>
                <a:endParaRPr lang="en-VN"/>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vi-VN"/>
          </a:p>
        </c:txPr>
        <c:crossAx val="826805794"/>
        <c:crosses val="autoZero"/>
        <c:auto val="1"/>
        <c:lblAlgn val="ctr"/>
        <c:lblOffset val="100"/>
        <c:noMultiLvlLbl val="1"/>
      </c:catAx>
      <c:valAx>
        <c:axId val="826805794"/>
        <c:scaling>
          <c:orientation val="minMax"/>
          <c:max val="3000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VN"/>
              </a:p>
            </c:rich>
          </c:tx>
          <c:overlay val="0"/>
        </c:title>
        <c:numFmt formatCode="#,##0[$ ₫]" sourceLinked="0"/>
        <c:majorTickMark val="none"/>
        <c:minorTickMark val="none"/>
        <c:tickLblPos val="nextTo"/>
        <c:spPr>
          <a:ln/>
        </c:spPr>
        <c:txPr>
          <a:bodyPr/>
          <a:lstStyle/>
          <a:p>
            <a:pPr lvl="0">
              <a:defRPr b="0">
                <a:solidFill>
                  <a:srgbClr val="000000"/>
                </a:solidFill>
                <a:latin typeface="+mn-lt"/>
              </a:defRPr>
            </a:pPr>
            <a:endParaRPr lang="vi-VN"/>
          </a:p>
        </c:txPr>
        <c:crossAx val="1404648878"/>
        <c:crosses val="autoZero"/>
        <c:crossBetween val="between"/>
      </c:valAx>
    </c:plotArea>
    <c:legend>
      <c:legendPos val="r"/>
      <c:overlay val="0"/>
      <c:txPr>
        <a:bodyPr/>
        <a:lstStyle/>
        <a:p>
          <a:pPr lvl="0">
            <a:defRPr b="0">
              <a:solidFill>
                <a:srgbClr val="1A1A1A"/>
              </a:solidFill>
              <a:latin typeface="+mn-lt"/>
            </a:defRPr>
          </a:pPr>
          <a:endParaRPr lang="vi-VN"/>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a:solidFill>
                  <a:srgbClr val="757575"/>
                </a:solidFill>
                <a:latin typeface="Arial"/>
              </a:defRPr>
            </a:pPr>
            <a:r>
              <a:rPr lang="en-US" sz="1400" b="0">
                <a:solidFill>
                  <a:srgbClr val="757575"/>
                </a:solidFill>
                <a:latin typeface="Arial"/>
              </a:rPr>
              <a:t>BUDGET STATEMENT UNTIL VACATION PERIOD</a:t>
            </a:r>
          </a:p>
        </c:rich>
      </c:tx>
      <c:overlay val="0"/>
    </c:title>
    <c:autoTitleDeleted val="0"/>
    <c:plotArea>
      <c:layout/>
      <c:barChart>
        <c:barDir val="col"/>
        <c:grouping val="clustered"/>
        <c:varyColors val="1"/>
        <c:ser>
          <c:idx val="0"/>
          <c:order val="0"/>
          <c:tx>
            <c:strRef>
              <c:f>'16. Retirement '!$A$31</c:f>
              <c:strCache>
                <c:ptCount val="1"/>
                <c:pt idx="0">
                  <c:v>Total expense</c:v>
                </c:pt>
              </c:strCache>
            </c:strRef>
          </c:tx>
          <c:spPr>
            <a:solidFill>
              <a:srgbClr val="4285F4"/>
            </a:solidFill>
            <a:ln cmpd="sng">
              <a:solidFill>
                <a:srgbClr val="000000"/>
              </a:solidFill>
            </a:ln>
          </c:spPr>
          <c:invertIfNegative val="1"/>
          <c:cat>
            <c:numRef>
              <c:f>'16. Retirement '!$B$1:$P$1</c:f>
              <c:numCache>
                <c:formatCode>General</c:formatCode>
                <c:ptCount val="15"/>
                <c:pt idx="0">
                  <c:v>2066</c:v>
                </c:pt>
                <c:pt idx="1">
                  <c:v>2067</c:v>
                </c:pt>
                <c:pt idx="2">
                  <c:v>2068</c:v>
                </c:pt>
                <c:pt idx="3">
                  <c:v>2069</c:v>
                </c:pt>
                <c:pt idx="4">
                  <c:v>2070</c:v>
                </c:pt>
                <c:pt idx="5">
                  <c:v>2071</c:v>
                </c:pt>
                <c:pt idx="6">
                  <c:v>2072</c:v>
                </c:pt>
                <c:pt idx="7">
                  <c:v>2073</c:v>
                </c:pt>
                <c:pt idx="8">
                  <c:v>2074</c:v>
                </c:pt>
                <c:pt idx="9">
                  <c:v>2075</c:v>
                </c:pt>
                <c:pt idx="10">
                  <c:v>2076</c:v>
                </c:pt>
                <c:pt idx="11">
                  <c:v>2077</c:v>
                </c:pt>
                <c:pt idx="12">
                  <c:v>2078</c:v>
                </c:pt>
                <c:pt idx="13">
                  <c:v>2079</c:v>
                </c:pt>
                <c:pt idx="14">
                  <c:v>2080</c:v>
                </c:pt>
              </c:numCache>
            </c:numRef>
          </c:cat>
          <c:val>
            <c:numRef>
              <c:f>'16. Retirement '!$B$31:$P$31</c:f>
              <c:numCache>
                <c:formatCode>#,##0[$ ₫]</c:formatCode>
                <c:ptCount val="15"/>
                <c:pt idx="0">
                  <c:v>707307455.90286839</c:v>
                </c:pt>
                <c:pt idx="1">
                  <c:v>799733785.65508735</c:v>
                </c:pt>
                <c:pt idx="2">
                  <c:v>910481594.93299854</c:v>
                </c:pt>
                <c:pt idx="3">
                  <c:v>874037043.63831687</c:v>
                </c:pt>
                <c:pt idx="4">
                  <c:v>1005717179.7086375</c:v>
                </c:pt>
                <c:pt idx="5">
                  <c:v>1366293005.3035274</c:v>
                </c:pt>
                <c:pt idx="6">
                  <c:v>1443379926.960803</c:v>
                </c:pt>
                <c:pt idx="7">
                  <c:v>1562712398.1860836</c:v>
                </c:pt>
                <c:pt idx="8">
                  <c:v>1679715019.9661851</c:v>
                </c:pt>
                <c:pt idx="9">
                  <c:v>1447758835.0049818</c:v>
                </c:pt>
                <c:pt idx="10">
                  <c:v>1277404258.822902</c:v>
                </c:pt>
                <c:pt idx="11">
                  <c:v>1304969861.0729923</c:v>
                </c:pt>
                <c:pt idx="12">
                  <c:v>1351824942.4025216</c:v>
                </c:pt>
                <c:pt idx="13">
                  <c:v>1021350268.3629607</c:v>
                </c:pt>
                <c:pt idx="14">
                  <c:v>1050655291.3640139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CA-FC49-8D09-62C906EC6D9B}"/>
            </c:ext>
          </c:extLst>
        </c:ser>
        <c:ser>
          <c:idx val="1"/>
          <c:order val="1"/>
          <c:tx>
            <c:strRef>
              <c:f>'16. Retirement '!$A$12</c:f>
              <c:strCache>
                <c:ptCount val="1"/>
                <c:pt idx="0">
                  <c:v>Total income</c:v>
                </c:pt>
              </c:strCache>
            </c:strRef>
          </c:tx>
          <c:spPr>
            <a:solidFill>
              <a:srgbClr val="EA4335"/>
            </a:solidFill>
            <a:ln cmpd="sng">
              <a:solidFill>
                <a:srgbClr val="000000"/>
              </a:solidFill>
            </a:ln>
          </c:spPr>
          <c:invertIfNegative val="1"/>
          <c:cat>
            <c:numRef>
              <c:f>'16. Retirement '!$B$1:$P$1</c:f>
              <c:numCache>
                <c:formatCode>General</c:formatCode>
                <c:ptCount val="15"/>
                <c:pt idx="0">
                  <c:v>2066</c:v>
                </c:pt>
                <c:pt idx="1">
                  <c:v>2067</c:v>
                </c:pt>
                <c:pt idx="2">
                  <c:v>2068</c:v>
                </c:pt>
                <c:pt idx="3">
                  <c:v>2069</c:v>
                </c:pt>
                <c:pt idx="4">
                  <c:v>2070</c:v>
                </c:pt>
                <c:pt idx="5">
                  <c:v>2071</c:v>
                </c:pt>
                <c:pt idx="6">
                  <c:v>2072</c:v>
                </c:pt>
                <c:pt idx="7">
                  <c:v>2073</c:v>
                </c:pt>
                <c:pt idx="8">
                  <c:v>2074</c:v>
                </c:pt>
                <c:pt idx="9">
                  <c:v>2075</c:v>
                </c:pt>
                <c:pt idx="10">
                  <c:v>2076</c:v>
                </c:pt>
                <c:pt idx="11">
                  <c:v>2077</c:v>
                </c:pt>
                <c:pt idx="12">
                  <c:v>2078</c:v>
                </c:pt>
                <c:pt idx="13">
                  <c:v>2079</c:v>
                </c:pt>
                <c:pt idx="14">
                  <c:v>2080</c:v>
                </c:pt>
              </c:numCache>
            </c:numRef>
          </c:cat>
          <c:val>
            <c:numRef>
              <c:f>'16. Retirement '!$B$12:$P$12</c:f>
              <c:numCache>
                <c:formatCode>#,##0[$ ₫]</c:formatCode>
                <c:ptCount val="15"/>
                <c:pt idx="0">
                  <c:v>3507755785.9769373</c:v>
                </c:pt>
                <c:pt idx="1">
                  <c:v>4127862715.1603556</c:v>
                </c:pt>
                <c:pt idx="2">
                  <c:v>4021427417.8001108</c:v>
                </c:pt>
                <c:pt idx="3">
                  <c:v>4447005305.0387888</c:v>
                </c:pt>
                <c:pt idx="4">
                  <c:v>4108355497.3547144</c:v>
                </c:pt>
                <c:pt idx="5">
                  <c:v>4544006534.6481333</c:v>
                </c:pt>
                <c:pt idx="6">
                  <c:v>4395905753.0516214</c:v>
                </c:pt>
                <c:pt idx="7">
                  <c:v>4670433323.4631205</c:v>
                </c:pt>
                <c:pt idx="8">
                  <c:v>5049980912.2664347</c:v>
                </c:pt>
                <c:pt idx="9">
                  <c:v>5119024625.6257944</c:v>
                </c:pt>
                <c:pt idx="10">
                  <c:v>5815345765.8761606</c:v>
                </c:pt>
                <c:pt idx="11">
                  <c:v>5472952475.7212381</c:v>
                </c:pt>
                <c:pt idx="12">
                  <c:v>5925360017.8005838</c:v>
                </c:pt>
                <c:pt idx="13">
                  <c:v>5318580028.7990274</c:v>
                </c:pt>
                <c:pt idx="14">
                  <c:v>4988458636.046525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CA-FC49-8D09-62C906EC6D9B}"/>
            </c:ext>
          </c:extLst>
        </c:ser>
        <c:dLbls>
          <c:showLegendKey val="0"/>
          <c:showVal val="0"/>
          <c:showCatName val="0"/>
          <c:showSerName val="0"/>
          <c:showPercent val="0"/>
          <c:showBubbleSize val="0"/>
        </c:dLbls>
        <c:gapWidth val="150"/>
        <c:axId val="1825250135"/>
        <c:axId val="685399411"/>
      </c:barChart>
      <c:lineChart>
        <c:grouping val="standard"/>
        <c:varyColors val="0"/>
        <c:ser>
          <c:idx val="2"/>
          <c:order val="2"/>
          <c:tx>
            <c:strRef>
              <c:f>'16. Retirement '!$A$32</c:f>
              <c:strCache>
                <c:ptCount val="1"/>
                <c:pt idx="0">
                  <c:v>Surplus/Deficit</c:v>
                </c:pt>
              </c:strCache>
            </c:strRef>
          </c:tx>
          <c:spPr>
            <a:ln cmpd="sng">
              <a:solidFill>
                <a:srgbClr val="FBBC04"/>
              </a:solidFill>
            </a:ln>
          </c:spPr>
          <c:marker>
            <c:symbol val="none"/>
          </c:marker>
          <c:cat>
            <c:numRef>
              <c:f>'16. Retirement '!$B$1:$P$1</c:f>
              <c:numCache>
                <c:formatCode>General</c:formatCode>
                <c:ptCount val="15"/>
                <c:pt idx="0">
                  <c:v>2066</c:v>
                </c:pt>
                <c:pt idx="1">
                  <c:v>2067</c:v>
                </c:pt>
                <c:pt idx="2">
                  <c:v>2068</c:v>
                </c:pt>
                <c:pt idx="3">
                  <c:v>2069</c:v>
                </c:pt>
                <c:pt idx="4">
                  <c:v>2070</c:v>
                </c:pt>
                <c:pt idx="5">
                  <c:v>2071</c:v>
                </c:pt>
                <c:pt idx="6">
                  <c:v>2072</c:v>
                </c:pt>
                <c:pt idx="7">
                  <c:v>2073</c:v>
                </c:pt>
                <c:pt idx="8">
                  <c:v>2074</c:v>
                </c:pt>
                <c:pt idx="9">
                  <c:v>2075</c:v>
                </c:pt>
                <c:pt idx="10">
                  <c:v>2076</c:v>
                </c:pt>
                <c:pt idx="11">
                  <c:v>2077</c:v>
                </c:pt>
                <c:pt idx="12">
                  <c:v>2078</c:v>
                </c:pt>
                <c:pt idx="13">
                  <c:v>2079</c:v>
                </c:pt>
                <c:pt idx="14">
                  <c:v>2080</c:v>
                </c:pt>
              </c:numCache>
            </c:numRef>
          </c:cat>
          <c:val>
            <c:numRef>
              <c:f>'16. Retirement '!$B$32:$P$32</c:f>
              <c:numCache>
                <c:formatCode>#,##0[$ ₫]</c:formatCode>
                <c:ptCount val="15"/>
                <c:pt idx="0">
                  <c:v>2800448330.074069</c:v>
                </c:pt>
                <c:pt idx="1">
                  <c:v>3328128929.5052681</c:v>
                </c:pt>
                <c:pt idx="2">
                  <c:v>3110945822.8671122</c:v>
                </c:pt>
                <c:pt idx="3">
                  <c:v>3572968261.4004717</c:v>
                </c:pt>
                <c:pt idx="4">
                  <c:v>3102638317.6460772</c:v>
                </c:pt>
                <c:pt idx="5">
                  <c:v>3177713529.3446059</c:v>
                </c:pt>
                <c:pt idx="6">
                  <c:v>2952525826.0908184</c:v>
                </c:pt>
                <c:pt idx="7">
                  <c:v>3107720925.2770367</c:v>
                </c:pt>
                <c:pt idx="8">
                  <c:v>3370265892.3002496</c:v>
                </c:pt>
                <c:pt idx="9">
                  <c:v>3671265790.6208124</c:v>
                </c:pt>
                <c:pt idx="10">
                  <c:v>4537941507.0532589</c:v>
                </c:pt>
                <c:pt idx="11">
                  <c:v>4167982614.6482458</c:v>
                </c:pt>
                <c:pt idx="12">
                  <c:v>4573535075.3980618</c:v>
                </c:pt>
                <c:pt idx="13">
                  <c:v>4297229760.4360666</c:v>
                </c:pt>
                <c:pt idx="14">
                  <c:v>3937803344.6825113</c:v>
                </c:pt>
              </c:numCache>
            </c:numRef>
          </c:val>
          <c:smooth val="0"/>
          <c:extLst>
            <c:ext xmlns:c16="http://schemas.microsoft.com/office/drawing/2014/chart" uri="{C3380CC4-5D6E-409C-BE32-E72D297353CC}">
              <c16:uniqueId val="{00000002-66CA-FC49-8D09-62C906EC6D9B}"/>
            </c:ext>
          </c:extLst>
        </c:ser>
        <c:dLbls>
          <c:showLegendKey val="0"/>
          <c:showVal val="0"/>
          <c:showCatName val="0"/>
          <c:showSerName val="0"/>
          <c:showPercent val="0"/>
          <c:showBubbleSize val="0"/>
        </c:dLbls>
        <c:marker val="1"/>
        <c:smooth val="0"/>
        <c:axId val="1825250135"/>
        <c:axId val="685399411"/>
      </c:lineChart>
      <c:catAx>
        <c:axId val="1825250135"/>
        <c:scaling>
          <c:orientation val="minMax"/>
        </c:scaling>
        <c:delete val="0"/>
        <c:axPos val="b"/>
        <c:title>
          <c:tx>
            <c:rich>
              <a:bodyPr/>
              <a:lstStyle/>
              <a:p>
                <a:pPr lvl="0">
                  <a:defRPr b="0">
                    <a:solidFill>
                      <a:srgbClr val="000000"/>
                    </a:solidFill>
                    <a:latin typeface="+mn-lt"/>
                  </a:defRPr>
                </a:pPr>
                <a:endParaRPr lang="en-V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vi-VN"/>
          </a:p>
        </c:txPr>
        <c:crossAx val="685399411"/>
        <c:crosses val="autoZero"/>
        <c:auto val="1"/>
        <c:lblAlgn val="ctr"/>
        <c:lblOffset val="100"/>
        <c:noMultiLvlLbl val="1"/>
      </c:catAx>
      <c:valAx>
        <c:axId val="68539941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VN"/>
              </a:p>
            </c:rich>
          </c:tx>
          <c:overlay val="0"/>
        </c:title>
        <c:numFmt formatCode="#,##0[$ ₫]" sourceLinked="1"/>
        <c:majorTickMark val="none"/>
        <c:minorTickMark val="none"/>
        <c:tickLblPos val="nextTo"/>
        <c:spPr>
          <a:ln/>
        </c:spPr>
        <c:txPr>
          <a:bodyPr/>
          <a:lstStyle/>
          <a:p>
            <a:pPr lvl="0">
              <a:defRPr b="0">
                <a:solidFill>
                  <a:srgbClr val="000000"/>
                </a:solidFill>
                <a:latin typeface="+mn-lt"/>
              </a:defRPr>
            </a:pPr>
            <a:endParaRPr lang="vi-VN"/>
          </a:p>
        </c:txPr>
        <c:crossAx val="1825250135"/>
        <c:crosses val="autoZero"/>
        <c:crossBetween val="between"/>
      </c:valAx>
    </c:plotArea>
    <c:legend>
      <c:legendPos val="r"/>
      <c:overlay val="0"/>
      <c:txPr>
        <a:bodyPr/>
        <a:lstStyle/>
        <a:p>
          <a:pPr lvl="0">
            <a:defRPr b="0">
              <a:solidFill>
                <a:srgbClr val="1A1A1A"/>
              </a:solidFill>
              <a:latin typeface="+mn-lt"/>
            </a:defRPr>
          </a:pPr>
          <a:endParaRPr lang="vi-VN"/>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952500</xdr:colOff>
      <xdr:row>22</xdr:row>
      <xdr:rowOff>190500</xdr:rowOff>
    </xdr:from>
    <xdr:ext cx="5305425" cy="3152775"/>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523875</xdr:colOff>
      <xdr:row>22</xdr:row>
      <xdr:rowOff>190500</xdr:rowOff>
    </xdr:from>
    <xdr:ext cx="5086350" cy="3152775"/>
    <xdr:graphicFrame macro="">
      <xdr:nvGraphicFramePr>
        <xdr:cNvPr id="3" name="Chart 2"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57150</xdr:colOff>
      <xdr:row>42</xdr:row>
      <xdr:rowOff>104775</xdr:rowOff>
    </xdr:from>
    <xdr:ext cx="12134850" cy="4533900"/>
    <xdr:graphicFrame macro="">
      <xdr:nvGraphicFramePr>
        <xdr:cNvPr id="3" name="Chart 3" titl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723900</xdr:colOff>
      <xdr:row>35</xdr:row>
      <xdr:rowOff>47625</xdr:rowOff>
    </xdr:from>
    <xdr:ext cx="9382125" cy="3914775"/>
    <xdr:graphicFrame macro="">
      <xdr:nvGraphicFramePr>
        <xdr:cNvPr id="4" name="Chart 4" title="Chart">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20Balance%20Shee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huvienphapluat.vn/phap-luat/ho-tro-phap-luat/cach-tinh-muc-luong-dong-bhxh-2024-tu-017-khi-tang-luong-toi-thieu-vung-cong-thuc-tinh-luong-dong-b-163276.html" TargetMode="External"/><Relationship Id="rId13" Type="http://schemas.openxmlformats.org/officeDocument/2006/relationships/hyperlink" Target="https://batdongsan.com.vn/ban-nha-rieng-pho-ky-dong-phuong-9-5/chi-voi-2ty450-ban-da-co-ngay-thu-nhap-18-trieu-1-thang-nam-ngay-vi-tri-vang-duong-quan-3-pr43138611" TargetMode="External"/><Relationship Id="rId18" Type="http://schemas.openxmlformats.org/officeDocument/2006/relationships/hyperlink" Target="https://toyota-angiang5s.com/san-pham/toyota-vios/" TargetMode="External"/><Relationship Id="rId3" Type="http://schemas.openxmlformats.org/officeDocument/2006/relationships/hyperlink" Target="https://www.vpbank.com.vn/bi-kip-va-chia-se/retail-story-and-tips/loans-category/lai-suat-vay-mua-nha" TargetMode="External"/><Relationship Id="rId7" Type="http://schemas.openxmlformats.org/officeDocument/2006/relationships/hyperlink" Target="https://thuvienphapluat.vn/van-ban/Thue-Phi-Le-Phi/Luat-thue-thu-nhap-ca-nhan-2007-04-2007-QH12-59652.aspx" TargetMode="External"/><Relationship Id="rId12" Type="http://schemas.openxmlformats.org/officeDocument/2006/relationships/hyperlink" Target="https://batdongsan.com.vn/cho-thue-can-ho-chung-cu-pho-ta-quang-buu-phuong-6-10-prj-tara-residence/chinh-chu-c-1pn-57m2-nhu-hinh-pr36145490" TargetMode="External"/><Relationship Id="rId17" Type="http://schemas.openxmlformats.org/officeDocument/2006/relationships/hyperlink" Target="https://travel.com.vn/" TargetMode="External"/><Relationship Id="rId2" Type="http://schemas.openxmlformats.org/officeDocument/2006/relationships/hyperlink" Target="https://vinatrain.edu.vn/muc-luong-cua-nhan-vien-tuyen-dung/" TargetMode="External"/><Relationship Id="rId16" Type="http://schemas.openxmlformats.org/officeDocument/2006/relationships/hyperlink" Target="https://thuvienphapluat.vn/phap-luat-doanh-nghiep/bai-viet/muc-dong-bao-hiem-xa-hoi-nam-2024-bhxh-bhyt-bhtn-bhtnld-bnn-cua-nld-va-doanh-nghiep-7514.html" TargetMode="External"/><Relationship Id="rId1" Type="http://schemas.openxmlformats.org/officeDocument/2006/relationships/hyperlink" Target="https://vtcnews.vn/soi-muc-luong-pho-bien-cua-cac-vi-tri-trong-ngan-hang-ar808150.html" TargetMode="External"/><Relationship Id="rId6" Type="http://schemas.openxmlformats.org/officeDocument/2006/relationships/hyperlink" Target="https://www.investing.com/rates-bonds/vietnam-25-year" TargetMode="External"/><Relationship Id="rId11" Type="http://schemas.openxmlformats.org/officeDocument/2006/relationships/hyperlink" Target="https://thuvienphapluat.vn/van-ban/Lao-dong-Tien-luong/Nghi-dinh-135-2020-ND-CP-tuoi-nghi-huu-445512.aspx" TargetMode="External"/><Relationship Id="rId5" Type="http://schemas.openxmlformats.org/officeDocument/2006/relationships/hyperlink" Target="https://www.statista.com/statistics/444749/inflation-rate-in-vietnam/" TargetMode="External"/><Relationship Id="rId15" Type="http://schemas.openxmlformats.org/officeDocument/2006/relationships/hyperlink" Target="https://stag.vn/funds/DCBF" TargetMode="External"/><Relationship Id="rId10" Type="http://schemas.openxmlformats.org/officeDocument/2006/relationships/hyperlink" Target="https://apps.who.int/gho/data/view.searo.61830?%20lang=en" TargetMode="External"/><Relationship Id="rId4" Type="http://schemas.openxmlformats.org/officeDocument/2006/relationships/hyperlink" Target="https://vietnamnet.vn/lai-suat-ngan-hang-hom-nay-14-5-2025-ky-han-6-thang-lai-suat-cao-nhat-5-65-2400896.html" TargetMode="External"/><Relationship Id="rId9" Type="http://schemas.openxmlformats.org/officeDocument/2006/relationships/hyperlink" Target="https://thuvienphapluat.vn/van-ban/Bao-hiem/Nghi-dinh-115-2015-ND-CP-huong-dan-Luat-bao-hiem-xa-hoi-bat-buoc-279974.aspx?anchor=dieu_9" TargetMode="External"/><Relationship Id="rId14" Type="http://schemas.openxmlformats.org/officeDocument/2006/relationships/hyperlink" Target="https://fireant.vn/dashboar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imviec365.vn/blog/lo-trinh-thang-tien-cua-giao-dich-vien-new15656.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tatista.com/statistics/444749/inflation-rate-in-vietnam/" TargetMode="External"/><Relationship Id="rId3" Type="http://schemas.openxmlformats.org/officeDocument/2006/relationships/hyperlink" Target="https://vanban.chinhphu.vn/?pageid=27160&amp;docid=51258" TargetMode="External"/><Relationship Id="rId7" Type="http://schemas.openxmlformats.org/officeDocument/2006/relationships/hyperlink" Target="https://thuvienphapluat.vn/van-ban/Thue-Phi-Le-Phi/Thong-tu-301-2016-TT-BTC-le-phi-truoc-ba-327958.aspx" TargetMode="External"/><Relationship Id="rId2" Type="http://schemas.openxmlformats.org/officeDocument/2006/relationships/hyperlink" Target="https://topi.vn/lai-suat-tiet-kiem-ngan-hang-nao-cao-nhat.html" TargetMode="External"/><Relationship Id="rId1" Type="http://schemas.openxmlformats.org/officeDocument/2006/relationships/hyperlink" Target="https://www.vpbank.com.vn/bi-kip-va-chia-se/retail-story-and-tips/loans-category/lai-suat-vay-mua-nha" TargetMode="External"/><Relationship Id="rId6" Type="http://schemas.openxmlformats.org/officeDocument/2006/relationships/hyperlink" Target="https://ketoanleanh.edu.vn/kinh-nghiem-ke-toan/cach-tinh-bao-hiem-xa-hoi-bhxh.html" TargetMode="External"/><Relationship Id="rId5" Type="http://schemas.openxmlformats.org/officeDocument/2006/relationships/hyperlink" Target="https://thuvienphapluat.vn/van-ban/Thue-Phi-Le-Phi/Thong-tu-111-2013-TT-BTC-Huong-dan-Luat-thue-thu-nhap-ca-nhan-va-Nghi-dinh-65-2013-ND-CP-205356.aspx" TargetMode="External"/><Relationship Id="rId10" Type="http://schemas.openxmlformats.org/officeDocument/2006/relationships/hyperlink" Target="https://toyota-angiang5s.com/san-pham/toyota-vios/" TargetMode="External"/><Relationship Id="rId4" Type="http://schemas.openxmlformats.org/officeDocument/2006/relationships/hyperlink" Target="https://thuvienphapluat.vn/van-ban/Thue-Phi-Le-Phi/Resolution-954-2020-UBTVQH14-changes-to-Personal-Income-Tax-exemptions-444109.aspx" TargetMode="External"/><Relationship Id="rId9" Type="http://schemas.openxmlformats.org/officeDocument/2006/relationships/hyperlink" Target="https://www.tradingview.com/symbols/TVC-VN20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https://thuvienphapluat.vn/lao-dong-tien-luong/luong-ngan-hang-co-that-su-hap-dan-khong-vi-tri-nao-hot-nhat-trong-ngan-hang-hien-nay-7831.html" TargetMode="External"/><Relationship Id="rId2" Type="http://schemas.openxmlformats.org/officeDocument/2006/relationships/hyperlink" Target="https://vinatrain.edu.vn/lo-trinh-thang-tien-cua-nhan-vien-tuyen-dung/" TargetMode="External"/><Relationship Id="rId1" Type="http://schemas.openxmlformats.org/officeDocument/2006/relationships/hyperlink" Target="https://vtcnews.vn/soi-muc-luong-pho-bien-cua-cac-vi-tri-trong-ngan-hang-ar808150.html" TargetMode="External"/><Relationship Id="rId5" Type="http://schemas.openxmlformats.org/officeDocument/2006/relationships/hyperlink" Target="https://www.vietnamworks.com/muc-luong/bank-teller-sk?c=2&amp;s=4&amp;l=5" TargetMode="External"/><Relationship Id="rId4" Type="http://schemas.openxmlformats.org/officeDocument/2006/relationships/hyperlink" Target="https://vinatrain.edu.vn/muc-luong-cua-nhan-vien-tuyen-dun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ia.com.vn/vi/song-khoe/loi-khuyen/tai-chinh/chi-phi-nuoi-con.html?fbclid=IwY2xjawK6gqpleHRuA2FlbQIxMQABHmuFF3KKmTCdFzK32HsaPOOFV8I3fnFbOp_L-WsiXqfenhnvWLluaPqK6K7F_aem_hmgZT1MjYyjY-m1d0P9cZg"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baohiempvi.com/san-pham/bao-hiem-tnds-xe-may-bat-buoc-pvi/" TargetMode="External"/><Relationship Id="rId1" Type="http://schemas.openxmlformats.org/officeDocument/2006/relationships/hyperlink" Target="https://baoviet-online.vn/bao-hiem-trach-nhiem-dan-su-bat-buoc-xe-may-bao-viet-2221/"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baohiempjico.net/bao-hiem-xe-o-to-pjico/" TargetMode="External"/><Relationship Id="rId2" Type="http://schemas.openxmlformats.org/officeDocument/2006/relationships/hyperlink" Target="http://../Equity%20Research%20for%20JPM%20Application/Consumer%20Staples/pvi.pdf" TargetMode="External"/><Relationship Id="rId1" Type="http://schemas.openxmlformats.org/officeDocument/2006/relationships/hyperlink" Target="http://../Equity%20Research%20for%20JPM%20Application/Consumer%20Staples/pvi.pdf" TargetMode="External"/><Relationship Id="rId6" Type="http://schemas.openxmlformats.org/officeDocument/2006/relationships/hyperlink" Target="https://giaxeoto.vn/phi-bao-hiem-o-to-pjico-1-361" TargetMode="External"/><Relationship Id="rId5" Type="http://schemas.openxmlformats.org/officeDocument/2006/relationships/hyperlink" Target="https://giaxeoto.vn/phi-bao-hiem-o-to-bao-viet-1-358" TargetMode="External"/><Relationship Id="rId4" Type="http://schemas.openxmlformats.org/officeDocument/2006/relationships/hyperlink" Target="https://giaxeoto.vn/phi-bao-hiem-o-to-pvi-359"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ipjico.vn/wp-content/uploads/2017/03/QUY%E1%BB%80N-L%E1%BB%A2I-V%C3%80-BI%E1%BB%82U-PH%C3%8D-BH-247.doc" TargetMode="External"/><Relationship Id="rId2" Type="http://schemas.openxmlformats.org/officeDocument/2006/relationships/hyperlink" Target="https://baohiempvi.com/san-pham/bao-hiem-suc-khoe-toan-dien-pvi/" TargetMode="External"/><Relationship Id="rId1" Type="http://schemas.openxmlformats.org/officeDocument/2006/relationships/hyperlink" Target="https://www.baoviet.com.vn/insurance/Bao-hiem-suc-khoe/Bao-hiem-suc-khoe-toan-dien/GeneralLandingPage/194/"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baovietnhantho.com.vn/goc-chuyen-gia/muc-dong-bao-hiem-nhan-tho" TargetMode="External"/><Relationship Id="rId2" Type="http://schemas.openxmlformats.org/officeDocument/2006/relationships/hyperlink" Target="https://www.prudential.com.vn/export/sites/prudential-vn/vi/.thu-vien/pdf/tai-lieu-bieu-mau/gioi-thieu-san-pham-phu-bao-an.pdf" TargetMode="External"/><Relationship Id="rId1" Type="http://schemas.openxmlformats.org/officeDocument/2006/relationships/hyperlink" Target="https://www.sunlife.com.vn/content/dam/sunlife/regional/vietnam/documents/brochure-sun-song-moi.pdf"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travel.com.vn/chuong-trinh/anh-quoc-xu-wales-scotland-thuong-thuc-tra-chieu-phong-cach-chau-au-pid-11068" TargetMode="External"/><Relationship Id="rId3" Type="http://schemas.openxmlformats.org/officeDocument/2006/relationships/hyperlink" Target="https://travel.com.vn/chuong-trinh/%F0%9F%94%A5seoul-cong-vien-giai-tri-everland-dao-nami-trai-nghiem-mac-hanbok-lam-kim-chi-pid-7783" TargetMode="External"/><Relationship Id="rId7" Type="http://schemas.openxmlformats.org/officeDocument/2006/relationships/hyperlink" Target="https://travel.com.vn/chuong-trinh/lien-tuyen-hy-lap-tho-nhi-ky-%5B-athens-santorini-istanbul-%5D-9-ngay-8-dem-hang-khong-turkish-airlines-pid-7396" TargetMode="External"/><Relationship Id="rId12" Type="http://schemas.openxmlformats.org/officeDocument/2006/relationships/hyperlink" Target="https://travel.com.vn/chuong-trinh/-maroc-casablanca-rabat-chefchaouen-fes-ifrane-erfoud-merzouga-todra-gorges-dades-valley-atben-haddou-marrakech-thuong-thuc-buoi-toi-tai-rick-cafe-le-29-pid-4002" TargetMode="External"/><Relationship Id="rId2" Type="http://schemas.openxmlformats.org/officeDocument/2006/relationships/hyperlink" Target="https://travel.com.vn/chuong-trinh/trung-quoc-duong-bay-bac-kinh-to-chau-hang-chau-thuong-hai-giam-ngay-500.000-khach-dang-ky-truoc-1006-pid-3920" TargetMode="External"/><Relationship Id="rId1" Type="http://schemas.openxmlformats.org/officeDocument/2006/relationships/hyperlink" Target="https://travel.com.vn/chuong-trinh/malaysia-singapore-cung-dien-hoang-gia-malaysia-cao-nguyen-genting-malacca-dao-sentosa-cong-vien-su-tu-bien-hang-khong-vietnam-airlines-pid-12449" TargetMode="External"/><Relationship Id="rId6" Type="http://schemas.openxmlformats.org/officeDocument/2006/relationships/hyperlink" Target="https://travel.com.vn/chuong-trinh/bac-au-na-uy-thuy-dien-dan-mach-ghe-tham-nong-trai-dia-phuong-pid-13348" TargetMode="External"/><Relationship Id="rId11" Type="http://schemas.openxmlformats.org/officeDocument/2006/relationships/hyperlink" Target="https://travel.com.vn/chuong-trinh/nam-phi-cape-town-sun-city-pretoria-johannesburg-pid-2836" TargetMode="External"/><Relationship Id="rId5" Type="http://schemas.openxmlformats.org/officeDocument/2006/relationships/hyperlink" Target="https://travel.com.vn/chuong-trinh/chau-au-tay-au-ha%CC%80nh-trinh-kham-pha-tay-au-phap-%E2%80%93-luxembourg-%E2%80%93-duc-%E2%80%93-thuy-si-%E2%80%93-liechtenstein-%E2%80%93-y%CC%81-pid-12654" TargetMode="External"/><Relationship Id="rId10" Type="http://schemas.openxmlformats.org/officeDocument/2006/relationships/hyperlink" Target="https://travel.com.vn/chuong-trinh/kham-pha-ai-cap-cairo-alexandria-aswan-edfu-kom-obo-luxor-hurghada-bien-do-trai-nghiem-du-thuyen-5-sao-song-nile-huyen-bi-pid-4558" TargetMode="External"/><Relationship Id="rId4" Type="http://schemas.openxmlformats.org/officeDocument/2006/relationships/hyperlink" Target="https://travel.com.vn/chuong-trinh/nhat-ban-nagoya-kyoto-lang-co-shirakawago-nui-phu-si-tokyo-vinh-odaiba-hang-khong-vietjet-air-pid-3415" TargetMode="External"/><Relationship Id="rId9" Type="http://schemas.openxmlformats.org/officeDocument/2006/relationships/hyperlink" Target="https://travel.com.vn/chuong-trinh/uc-sydney-blue-mountains-canberra-melbourne-mt-buller-snowy-trai-nghiem-truot-tuyet-mua-he-trai-nghiem-an-toi-tren-du-thuyen-vinh-sydney-va-xem-show-nghe-thuat-hanh-trinh-tinh-yeu-pid-3058"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2" Type="http://schemas.openxmlformats.org/officeDocument/2006/relationships/hyperlink" Target="https://stag.vn/funds/DCBF" TargetMode="External"/><Relationship Id="rId1" Type="http://schemas.openxmlformats.org/officeDocument/2006/relationships/hyperlink" Target="https://fireant.vn/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showGridLines="0" topLeftCell="A6" workbookViewId="0">
      <selection activeCell="C9" sqref="C9"/>
    </sheetView>
  </sheetViews>
  <sheetFormatPr baseColWidth="10" defaultColWidth="12.6640625" defaultRowHeight="15.75" customHeight="1"/>
  <cols>
    <col min="1" max="1" width="12.6640625" style="63"/>
    <col min="2" max="2" width="36.5" style="63" customWidth="1"/>
    <col min="3" max="3" width="105.1640625" style="63" customWidth="1"/>
    <col min="4" max="4" width="126" style="63" customWidth="1"/>
    <col min="5" max="16384" width="12.6640625" style="63"/>
  </cols>
  <sheetData>
    <row r="1" spans="1:26" ht="17">
      <c r="A1" s="68"/>
      <c r="B1" s="104"/>
      <c r="C1" s="104"/>
      <c r="D1" s="104"/>
      <c r="E1" s="68"/>
      <c r="F1" s="68"/>
      <c r="G1" s="68"/>
      <c r="H1" s="68"/>
      <c r="I1" s="68"/>
      <c r="J1" s="68"/>
      <c r="K1" s="68"/>
      <c r="L1" s="68"/>
      <c r="M1" s="68"/>
      <c r="N1" s="68"/>
      <c r="O1" s="68"/>
      <c r="P1" s="68"/>
      <c r="Q1" s="68"/>
      <c r="R1" s="68"/>
      <c r="S1" s="68"/>
      <c r="T1" s="68"/>
      <c r="U1" s="68"/>
      <c r="V1" s="68"/>
      <c r="W1" s="68"/>
      <c r="X1" s="68"/>
      <c r="Y1" s="68"/>
      <c r="Z1" s="68"/>
    </row>
    <row r="2" spans="1:26" ht="17">
      <c r="A2" s="68"/>
      <c r="B2" s="104"/>
      <c r="C2" s="104"/>
      <c r="D2" s="104"/>
      <c r="E2" s="68"/>
      <c r="F2" s="68"/>
      <c r="G2" s="68"/>
      <c r="H2" s="68"/>
      <c r="I2" s="68"/>
      <c r="J2" s="68"/>
      <c r="K2" s="68"/>
      <c r="L2" s="68"/>
      <c r="M2" s="68"/>
      <c r="N2" s="68"/>
      <c r="O2" s="68"/>
      <c r="P2" s="68"/>
      <c r="Q2" s="68"/>
      <c r="R2" s="68"/>
      <c r="S2" s="68"/>
      <c r="T2" s="68"/>
      <c r="U2" s="68"/>
      <c r="V2" s="68"/>
      <c r="W2" s="68"/>
      <c r="X2" s="68"/>
      <c r="Y2" s="68"/>
      <c r="Z2" s="68"/>
    </row>
    <row r="3" spans="1:26" ht="17">
      <c r="A3" s="68"/>
      <c r="B3" s="105" t="s">
        <v>0</v>
      </c>
      <c r="C3" s="106"/>
      <c r="D3" s="107"/>
      <c r="E3" s="68"/>
      <c r="F3" s="68"/>
      <c r="G3" s="68"/>
      <c r="H3" s="68"/>
      <c r="I3" s="68"/>
      <c r="J3" s="68"/>
      <c r="K3" s="68"/>
      <c r="L3" s="68"/>
      <c r="M3" s="68"/>
      <c r="N3" s="68"/>
      <c r="O3" s="68"/>
      <c r="P3" s="68"/>
      <c r="Q3" s="68"/>
      <c r="R3" s="68"/>
      <c r="S3" s="68"/>
      <c r="T3" s="68"/>
      <c r="U3" s="68"/>
      <c r="V3" s="68"/>
      <c r="W3" s="68"/>
      <c r="X3" s="68"/>
      <c r="Y3" s="68"/>
      <c r="Z3" s="68"/>
    </row>
    <row r="4" spans="1:26" ht="17">
      <c r="A4" s="68"/>
      <c r="B4" s="108" t="s">
        <v>1</v>
      </c>
      <c r="C4" s="109"/>
      <c r="D4" s="110" t="s">
        <v>571</v>
      </c>
      <c r="E4" s="68"/>
      <c r="F4" s="68"/>
      <c r="G4" s="68"/>
      <c r="H4" s="68"/>
      <c r="I4" s="68"/>
      <c r="J4" s="68"/>
      <c r="K4" s="68"/>
      <c r="L4" s="68"/>
      <c r="M4" s="68"/>
      <c r="N4" s="68"/>
      <c r="O4" s="68"/>
      <c r="P4" s="68"/>
      <c r="Q4" s="111" t="s">
        <v>2</v>
      </c>
      <c r="R4" s="112" t="s">
        <v>3</v>
      </c>
      <c r="S4" s="113" t="s">
        <v>4</v>
      </c>
      <c r="T4" s="68"/>
      <c r="U4" s="68"/>
      <c r="V4" s="68"/>
      <c r="W4" s="68"/>
      <c r="X4" s="68"/>
      <c r="Y4" s="68"/>
      <c r="Z4" s="68"/>
    </row>
    <row r="5" spans="1:26" ht="36">
      <c r="A5" s="68"/>
      <c r="B5" s="114" t="s">
        <v>5</v>
      </c>
      <c r="C5" s="115" t="s">
        <v>6</v>
      </c>
      <c r="D5" s="116" t="s">
        <v>572</v>
      </c>
      <c r="E5" s="68"/>
      <c r="F5" s="68"/>
      <c r="G5" s="68"/>
      <c r="H5" s="68"/>
      <c r="I5" s="68"/>
      <c r="J5" s="68"/>
      <c r="K5" s="68"/>
      <c r="L5" s="68"/>
      <c r="M5" s="68"/>
      <c r="N5" s="68"/>
      <c r="O5" s="68"/>
      <c r="P5" s="68"/>
      <c r="Q5" s="117"/>
      <c r="R5" s="118"/>
      <c r="S5" s="119"/>
      <c r="T5" s="68"/>
      <c r="U5" s="68"/>
      <c r="V5" s="68"/>
      <c r="W5" s="68"/>
      <c r="X5" s="68"/>
      <c r="Y5" s="68"/>
      <c r="Z5" s="68"/>
    </row>
    <row r="6" spans="1:26" ht="18">
      <c r="A6" s="68"/>
      <c r="B6" s="120" t="s">
        <v>565</v>
      </c>
      <c r="C6" s="115" t="s">
        <v>566</v>
      </c>
      <c r="D6" s="116" t="s">
        <v>573</v>
      </c>
      <c r="E6" s="68"/>
      <c r="F6" s="68"/>
      <c r="G6" s="121" t="s">
        <v>3</v>
      </c>
      <c r="H6" s="70"/>
      <c r="I6" s="70"/>
      <c r="J6" s="122" t="e">
        <f>'[1]3'!I19</f>
        <v>#REF!</v>
      </c>
      <c r="K6" s="70"/>
      <c r="L6" s="70"/>
      <c r="M6" s="70"/>
      <c r="N6" s="68"/>
      <c r="O6" s="68"/>
      <c r="P6" s="68"/>
      <c r="Q6" s="68"/>
      <c r="R6" s="68"/>
      <c r="S6" s="68"/>
      <c r="T6" s="68"/>
      <c r="U6" s="68"/>
      <c r="V6" s="68"/>
      <c r="W6" s="68"/>
      <c r="X6" s="68"/>
      <c r="Y6" s="68"/>
      <c r="Z6" s="68"/>
    </row>
    <row r="7" spans="1:26" ht="18">
      <c r="A7" s="68"/>
      <c r="B7" s="120" t="s">
        <v>7</v>
      </c>
      <c r="C7" s="115" t="s">
        <v>8</v>
      </c>
      <c r="D7" s="116" t="s">
        <v>574</v>
      </c>
      <c r="E7" s="68"/>
      <c r="F7" s="68"/>
      <c r="G7" s="121" t="s">
        <v>4</v>
      </c>
      <c r="H7" s="70"/>
      <c r="I7" s="70"/>
      <c r="J7" s="122" t="e">
        <f>'[1]3'!I16</f>
        <v>#REF!</v>
      </c>
      <c r="K7" s="70"/>
      <c r="L7" s="70"/>
      <c r="M7" s="70"/>
      <c r="N7" s="68"/>
      <c r="O7" s="68"/>
      <c r="P7" s="68"/>
      <c r="Q7" s="68"/>
      <c r="R7" s="68"/>
      <c r="S7" s="68"/>
      <c r="T7" s="68"/>
      <c r="U7" s="68"/>
      <c r="V7" s="68"/>
      <c r="W7" s="68"/>
      <c r="X7" s="68"/>
      <c r="Y7" s="68"/>
      <c r="Z7" s="68"/>
    </row>
    <row r="8" spans="1:26" ht="18">
      <c r="A8" s="68"/>
      <c r="B8" s="120" t="s">
        <v>9</v>
      </c>
      <c r="C8" s="115" t="s">
        <v>10</v>
      </c>
      <c r="D8" s="116" t="s">
        <v>575</v>
      </c>
      <c r="E8" s="68"/>
      <c r="F8" s="68"/>
      <c r="G8" s="111"/>
      <c r="H8" s="111"/>
      <c r="I8" s="111"/>
      <c r="J8" s="123"/>
      <c r="K8" s="123"/>
      <c r="L8" s="123"/>
      <c r="M8" s="123"/>
      <c r="N8" s="68"/>
      <c r="O8" s="68"/>
      <c r="P8" s="68"/>
      <c r="Q8" s="68"/>
      <c r="R8" s="68"/>
      <c r="S8" s="68"/>
      <c r="T8" s="68"/>
      <c r="U8" s="68"/>
      <c r="V8" s="68"/>
      <c r="W8" s="68"/>
      <c r="X8" s="68"/>
      <c r="Y8" s="68"/>
      <c r="Z8" s="68"/>
    </row>
    <row r="9" spans="1:26" ht="18">
      <c r="A9" s="68"/>
      <c r="B9" s="120" t="s">
        <v>11</v>
      </c>
      <c r="C9" s="115" t="s">
        <v>12</v>
      </c>
      <c r="D9" s="116" t="s">
        <v>576</v>
      </c>
      <c r="E9" s="68"/>
      <c r="F9" s="68"/>
      <c r="G9" s="68"/>
      <c r="H9" s="68"/>
      <c r="I9" s="68"/>
      <c r="J9" s="68"/>
      <c r="K9" s="68"/>
      <c r="L9" s="68"/>
      <c r="M9" s="68"/>
      <c r="N9" s="68"/>
      <c r="O9" s="68"/>
      <c r="P9" s="68"/>
      <c r="Q9" s="68"/>
      <c r="R9" s="68"/>
      <c r="S9" s="68"/>
      <c r="T9" s="68"/>
      <c r="U9" s="68"/>
      <c r="V9" s="68"/>
      <c r="W9" s="68"/>
      <c r="X9" s="68"/>
      <c r="Y9" s="68"/>
      <c r="Z9" s="68"/>
    </row>
    <row r="10" spans="1:26" ht="36">
      <c r="A10" s="68"/>
      <c r="B10" s="114" t="s">
        <v>13</v>
      </c>
      <c r="C10" s="115" t="s">
        <v>14</v>
      </c>
      <c r="D10" s="116" t="s">
        <v>577</v>
      </c>
      <c r="E10" s="68"/>
      <c r="F10" s="68"/>
      <c r="G10" s="68"/>
      <c r="H10" s="68"/>
      <c r="I10" s="68"/>
      <c r="J10" s="68"/>
      <c r="K10" s="68"/>
      <c r="L10" s="68"/>
      <c r="M10" s="68"/>
      <c r="N10" s="68"/>
      <c r="O10" s="68"/>
      <c r="P10" s="68"/>
      <c r="Q10" s="68"/>
      <c r="R10" s="68"/>
      <c r="S10" s="68"/>
      <c r="T10" s="68"/>
      <c r="U10" s="68"/>
      <c r="V10" s="68"/>
      <c r="W10" s="68"/>
      <c r="X10" s="68"/>
      <c r="Y10" s="68"/>
      <c r="Z10" s="68"/>
    </row>
    <row r="11" spans="1:26" ht="17">
      <c r="A11" s="68"/>
      <c r="B11" s="120" t="s">
        <v>15</v>
      </c>
      <c r="C11" s="124" t="s">
        <v>16</v>
      </c>
      <c r="D11" s="116" t="s">
        <v>578</v>
      </c>
      <c r="E11" s="68"/>
      <c r="F11" s="68"/>
      <c r="G11" s="68"/>
      <c r="H11" s="68"/>
      <c r="I11" s="68"/>
      <c r="J11" s="68"/>
      <c r="K11" s="68"/>
      <c r="L11" s="68"/>
      <c r="M11" s="68"/>
      <c r="N11" s="68"/>
      <c r="O11" s="68"/>
      <c r="P11" s="68"/>
      <c r="Q11" s="68"/>
      <c r="R11" s="68"/>
      <c r="S11" s="68"/>
      <c r="T11" s="68"/>
      <c r="U11" s="68"/>
      <c r="V11" s="68"/>
      <c r="W11" s="68"/>
      <c r="X11" s="68"/>
      <c r="Y11" s="68"/>
      <c r="Z11" s="68"/>
    </row>
    <row r="12" spans="1:26" ht="17">
      <c r="A12" s="68"/>
      <c r="B12" s="120" t="s">
        <v>17</v>
      </c>
      <c r="C12" s="124" t="s">
        <v>18</v>
      </c>
      <c r="D12" s="116" t="s">
        <v>579</v>
      </c>
      <c r="E12" s="68"/>
      <c r="F12" s="68"/>
      <c r="G12" s="68"/>
      <c r="H12" s="68"/>
      <c r="I12" s="68"/>
      <c r="J12" s="68"/>
      <c r="K12" s="68"/>
      <c r="L12" s="68"/>
      <c r="M12" s="68"/>
      <c r="N12" s="68"/>
      <c r="O12" s="68"/>
      <c r="P12" s="68"/>
      <c r="Q12" s="68"/>
      <c r="R12" s="68"/>
      <c r="S12" s="68"/>
      <c r="T12" s="68"/>
      <c r="U12" s="68"/>
      <c r="V12" s="68"/>
      <c r="W12" s="68"/>
      <c r="X12" s="68"/>
      <c r="Y12" s="68"/>
      <c r="Z12" s="68"/>
    </row>
    <row r="13" spans="1:26" ht="17">
      <c r="A13" s="68"/>
      <c r="B13" s="120" t="s">
        <v>19</v>
      </c>
      <c r="C13" s="124" t="s">
        <v>20</v>
      </c>
      <c r="D13" s="116" t="s">
        <v>580</v>
      </c>
      <c r="E13" s="68"/>
      <c r="F13" s="68"/>
      <c r="G13" s="68"/>
      <c r="H13" s="68"/>
      <c r="I13" s="68"/>
      <c r="J13" s="68"/>
      <c r="K13" s="68"/>
      <c r="L13" s="68"/>
      <c r="M13" s="68"/>
      <c r="N13" s="68"/>
      <c r="O13" s="68"/>
      <c r="P13" s="68"/>
      <c r="Q13" s="68"/>
      <c r="R13" s="68"/>
      <c r="S13" s="68"/>
      <c r="T13" s="68"/>
      <c r="U13" s="68"/>
      <c r="V13" s="68"/>
      <c r="W13" s="68"/>
      <c r="X13" s="68"/>
      <c r="Y13" s="68"/>
      <c r="Z13" s="68"/>
    </row>
    <row r="14" spans="1:26" ht="17">
      <c r="A14" s="68"/>
      <c r="B14" s="120" t="s">
        <v>21</v>
      </c>
      <c r="C14" s="124" t="s">
        <v>582</v>
      </c>
      <c r="D14" s="116" t="s">
        <v>581</v>
      </c>
      <c r="E14" s="68"/>
      <c r="F14" s="68"/>
      <c r="G14" s="68"/>
      <c r="H14" s="68"/>
      <c r="I14" s="68"/>
      <c r="J14" s="68"/>
      <c r="K14" s="68"/>
      <c r="L14" s="68"/>
      <c r="M14" s="68"/>
      <c r="N14" s="68"/>
      <c r="O14" s="68"/>
      <c r="P14" s="68"/>
      <c r="Q14" s="68"/>
      <c r="R14" s="68"/>
      <c r="S14" s="68"/>
      <c r="T14" s="68"/>
      <c r="U14" s="68"/>
      <c r="V14" s="68"/>
      <c r="W14" s="68"/>
      <c r="X14" s="68"/>
      <c r="Y14" s="68"/>
      <c r="Z14" s="68"/>
    </row>
    <row r="15" spans="1:26" ht="17">
      <c r="A15" s="68"/>
      <c r="B15" s="120" t="s">
        <v>22</v>
      </c>
      <c r="C15" s="124" t="s">
        <v>23</v>
      </c>
      <c r="D15" s="116" t="s">
        <v>583</v>
      </c>
      <c r="E15" s="68"/>
      <c r="F15" s="68"/>
      <c r="G15" s="68"/>
      <c r="H15" s="68"/>
      <c r="I15" s="68"/>
      <c r="J15" s="68"/>
      <c r="K15" s="68"/>
      <c r="L15" s="68"/>
      <c r="M15" s="68"/>
      <c r="N15" s="68"/>
      <c r="O15" s="68"/>
      <c r="P15" s="68"/>
      <c r="Q15" s="68"/>
      <c r="R15" s="68"/>
      <c r="S15" s="68"/>
      <c r="T15" s="68"/>
      <c r="U15" s="68"/>
      <c r="V15" s="68"/>
      <c r="W15" s="68"/>
      <c r="X15" s="68"/>
      <c r="Y15" s="68"/>
      <c r="Z15" s="68"/>
    </row>
    <row r="16" spans="1:26" ht="17">
      <c r="A16" s="68"/>
      <c r="B16" s="120" t="s">
        <v>24</v>
      </c>
      <c r="C16" s="124" t="s">
        <v>25</v>
      </c>
      <c r="D16" s="116" t="s">
        <v>584</v>
      </c>
      <c r="E16" s="68"/>
      <c r="F16" s="68"/>
      <c r="G16" s="68"/>
      <c r="H16" s="68"/>
      <c r="I16" s="68"/>
      <c r="J16" s="68"/>
      <c r="K16" s="68"/>
      <c r="L16" s="68"/>
      <c r="M16" s="68"/>
      <c r="N16" s="68"/>
      <c r="O16" s="68"/>
      <c r="P16" s="68"/>
      <c r="Q16" s="68"/>
      <c r="R16" s="68"/>
      <c r="S16" s="68"/>
      <c r="T16" s="68"/>
      <c r="U16" s="68"/>
      <c r="V16" s="68"/>
      <c r="W16" s="68"/>
      <c r="X16" s="68"/>
      <c r="Y16" s="68"/>
      <c r="Z16" s="68"/>
    </row>
    <row r="17" spans="1:26" ht="17">
      <c r="A17" s="68"/>
      <c r="B17" s="104"/>
      <c r="C17" s="104"/>
      <c r="D17" s="104"/>
      <c r="E17" s="68"/>
      <c r="F17" s="68"/>
      <c r="G17" s="68"/>
      <c r="H17" s="68"/>
      <c r="I17" s="68"/>
      <c r="J17" s="68"/>
      <c r="K17" s="68"/>
      <c r="L17" s="68"/>
      <c r="M17" s="68"/>
      <c r="N17" s="68"/>
      <c r="O17" s="68"/>
      <c r="P17" s="68"/>
      <c r="Q17" s="68"/>
      <c r="R17" s="68"/>
      <c r="S17" s="68"/>
      <c r="T17" s="68"/>
      <c r="U17" s="68"/>
      <c r="V17" s="68"/>
      <c r="W17" s="68"/>
      <c r="X17" s="68"/>
      <c r="Y17" s="68"/>
      <c r="Z17" s="68"/>
    </row>
    <row r="18" spans="1:26" ht="17">
      <c r="A18" s="68"/>
      <c r="B18" s="125" t="s">
        <v>26</v>
      </c>
      <c r="C18" s="125" t="s">
        <v>27</v>
      </c>
      <c r="E18" s="68"/>
      <c r="F18" s="68"/>
      <c r="G18" s="68"/>
      <c r="H18" s="68"/>
      <c r="I18" s="68"/>
      <c r="J18" s="68"/>
      <c r="K18" s="68"/>
      <c r="L18" s="68"/>
      <c r="M18" s="68"/>
      <c r="N18" s="68"/>
      <c r="O18" s="68"/>
      <c r="P18" s="68"/>
      <c r="Q18" s="68"/>
      <c r="R18" s="68"/>
      <c r="S18" s="68"/>
      <c r="T18" s="68"/>
      <c r="U18" s="68"/>
      <c r="V18" s="68"/>
      <c r="W18" s="68"/>
      <c r="X18" s="68"/>
      <c r="Y18" s="68"/>
      <c r="Z18" s="68"/>
    </row>
    <row r="19" spans="1:26" ht="17">
      <c r="A19" s="68"/>
      <c r="B19" s="104" t="s">
        <v>28</v>
      </c>
      <c r="C19" s="126" t="s">
        <v>29</v>
      </c>
      <c r="E19" s="68"/>
      <c r="F19" s="68"/>
      <c r="G19" s="68"/>
      <c r="H19" s="68"/>
      <c r="I19" s="68"/>
      <c r="J19" s="68"/>
      <c r="K19" s="68"/>
      <c r="L19" s="68"/>
      <c r="M19" s="68"/>
      <c r="N19" s="68"/>
      <c r="O19" s="68"/>
      <c r="P19" s="68"/>
      <c r="Q19" s="68"/>
      <c r="R19" s="68"/>
      <c r="S19" s="68"/>
      <c r="T19" s="68"/>
      <c r="U19" s="68"/>
      <c r="V19" s="68"/>
      <c r="W19" s="68"/>
      <c r="X19" s="68"/>
      <c r="Y19" s="68"/>
      <c r="Z19" s="68"/>
    </row>
    <row r="20" spans="1:26" ht="17">
      <c r="A20" s="68"/>
      <c r="B20" s="104" t="s">
        <v>30</v>
      </c>
      <c r="C20" s="127" t="s">
        <v>31</v>
      </c>
      <c r="E20" s="68"/>
      <c r="F20" s="68"/>
      <c r="G20" s="68"/>
      <c r="H20" s="68"/>
      <c r="I20" s="68"/>
      <c r="J20" s="68"/>
      <c r="K20" s="68"/>
      <c r="L20" s="68"/>
      <c r="M20" s="68"/>
      <c r="N20" s="68"/>
      <c r="O20" s="68"/>
      <c r="P20" s="68"/>
      <c r="Q20" s="68"/>
      <c r="R20" s="68"/>
      <c r="S20" s="68"/>
      <c r="T20" s="68"/>
      <c r="U20" s="68"/>
      <c r="V20" s="68"/>
      <c r="W20" s="68"/>
      <c r="X20" s="68"/>
      <c r="Y20" s="68"/>
      <c r="Z20" s="68"/>
    </row>
    <row r="21" spans="1:26" ht="17">
      <c r="A21" s="68"/>
      <c r="B21" s="104" t="s">
        <v>32</v>
      </c>
      <c r="C21" s="127" t="s">
        <v>33</v>
      </c>
      <c r="E21" s="68"/>
      <c r="F21" s="68"/>
      <c r="G21" s="68"/>
      <c r="H21" s="68"/>
      <c r="I21" s="68"/>
      <c r="J21" s="68"/>
      <c r="K21" s="68"/>
      <c r="L21" s="68"/>
      <c r="M21" s="68"/>
      <c r="N21" s="68"/>
      <c r="O21" s="68"/>
      <c r="P21" s="68"/>
      <c r="Q21" s="68"/>
      <c r="R21" s="68"/>
      <c r="S21" s="68"/>
      <c r="T21" s="68"/>
      <c r="U21" s="68"/>
      <c r="V21" s="68"/>
      <c r="W21" s="68"/>
      <c r="X21" s="68"/>
      <c r="Y21" s="68"/>
      <c r="Z21" s="68"/>
    </row>
    <row r="22" spans="1:26" ht="17">
      <c r="A22" s="68"/>
      <c r="B22" s="104" t="s">
        <v>34</v>
      </c>
      <c r="C22" s="128" t="s">
        <v>35</v>
      </c>
      <c r="E22" s="68"/>
      <c r="F22" s="68"/>
      <c r="G22" s="68"/>
      <c r="H22" s="68"/>
      <c r="I22" s="68"/>
      <c r="J22" s="68"/>
      <c r="K22" s="68"/>
      <c r="L22" s="68"/>
      <c r="M22" s="68"/>
      <c r="N22" s="68"/>
      <c r="O22" s="68"/>
      <c r="P22" s="68"/>
      <c r="Q22" s="68"/>
      <c r="R22" s="68"/>
      <c r="S22" s="68"/>
      <c r="T22" s="68"/>
      <c r="U22" s="68"/>
      <c r="V22" s="68"/>
      <c r="W22" s="68"/>
      <c r="X22" s="68"/>
      <c r="Y22" s="68"/>
      <c r="Z22" s="68"/>
    </row>
    <row r="23" spans="1:26" ht="17">
      <c r="A23" s="68"/>
      <c r="B23" s="104" t="s">
        <v>7</v>
      </c>
      <c r="C23" s="128" t="s">
        <v>36</v>
      </c>
      <c r="E23" s="68"/>
      <c r="F23" s="68"/>
      <c r="G23" s="68"/>
      <c r="H23" s="68"/>
      <c r="I23" s="68"/>
      <c r="J23" s="68"/>
      <c r="K23" s="68"/>
      <c r="L23" s="68"/>
      <c r="M23" s="68"/>
      <c r="N23" s="68"/>
      <c r="O23" s="68"/>
      <c r="P23" s="68"/>
      <c r="Q23" s="68"/>
      <c r="R23" s="68"/>
      <c r="S23" s="68"/>
      <c r="T23" s="68"/>
      <c r="U23" s="68"/>
      <c r="V23" s="68"/>
      <c r="W23" s="68"/>
      <c r="X23" s="68"/>
      <c r="Y23" s="68"/>
      <c r="Z23" s="68"/>
    </row>
    <row r="24" spans="1:26" ht="17">
      <c r="A24" s="68"/>
      <c r="B24" s="104" t="s">
        <v>37</v>
      </c>
      <c r="C24" s="128" t="s">
        <v>38</v>
      </c>
      <c r="E24" s="68"/>
      <c r="F24" s="68"/>
      <c r="G24" s="68"/>
      <c r="H24" s="68"/>
      <c r="I24" s="68"/>
      <c r="J24" s="68"/>
      <c r="K24" s="68"/>
      <c r="L24" s="68"/>
      <c r="M24" s="68"/>
      <c r="N24" s="68"/>
      <c r="O24" s="68"/>
      <c r="P24" s="68"/>
      <c r="Q24" s="68"/>
      <c r="R24" s="68"/>
      <c r="S24" s="68"/>
      <c r="T24" s="68"/>
      <c r="U24" s="68"/>
      <c r="V24" s="68"/>
      <c r="W24" s="68"/>
      <c r="X24" s="68"/>
      <c r="Y24" s="68"/>
      <c r="Z24" s="68"/>
    </row>
    <row r="25" spans="1:26" ht="36">
      <c r="A25" s="68"/>
      <c r="B25" s="104" t="s">
        <v>39</v>
      </c>
      <c r="C25" s="129" t="s">
        <v>40</v>
      </c>
      <c r="E25" s="68"/>
      <c r="F25" s="68"/>
      <c r="G25" s="68"/>
      <c r="H25" s="68"/>
      <c r="I25" s="68"/>
      <c r="J25" s="68"/>
      <c r="K25" s="68"/>
      <c r="L25" s="68"/>
      <c r="M25" s="68"/>
      <c r="N25" s="68"/>
      <c r="O25" s="68"/>
      <c r="P25" s="68"/>
      <c r="Q25" s="68"/>
      <c r="R25" s="68"/>
      <c r="S25" s="68"/>
      <c r="T25" s="68"/>
      <c r="U25" s="68"/>
      <c r="V25" s="68"/>
      <c r="W25" s="68"/>
      <c r="X25" s="68"/>
      <c r="Y25" s="68"/>
      <c r="Z25" s="68"/>
    </row>
    <row r="26" spans="1:26" ht="17">
      <c r="A26" s="68"/>
      <c r="B26" s="104" t="s">
        <v>41</v>
      </c>
      <c r="C26" s="128" t="s">
        <v>42</v>
      </c>
      <c r="E26" s="68"/>
      <c r="F26" s="68"/>
      <c r="G26" s="68"/>
      <c r="H26" s="68"/>
      <c r="I26" s="68"/>
      <c r="J26" s="68"/>
      <c r="K26" s="68"/>
      <c r="L26" s="68"/>
      <c r="M26" s="68"/>
      <c r="N26" s="68"/>
      <c r="O26" s="68"/>
      <c r="P26" s="68"/>
      <c r="Q26" s="68"/>
      <c r="R26" s="68"/>
      <c r="S26" s="68"/>
      <c r="T26" s="68"/>
      <c r="U26" s="68"/>
      <c r="V26" s="68"/>
      <c r="W26" s="68"/>
      <c r="X26" s="68"/>
      <c r="Y26" s="68"/>
      <c r="Z26" s="68"/>
    </row>
    <row r="27" spans="1:26" ht="17">
      <c r="A27" s="68"/>
      <c r="B27" s="104" t="s">
        <v>43</v>
      </c>
      <c r="C27" s="127" t="s">
        <v>44</v>
      </c>
      <c r="E27" s="68"/>
      <c r="F27" s="68"/>
      <c r="G27" s="68"/>
      <c r="H27" s="68"/>
      <c r="I27" s="68"/>
      <c r="J27" s="68"/>
      <c r="K27" s="68"/>
      <c r="L27" s="68"/>
      <c r="M27" s="68"/>
      <c r="N27" s="68"/>
      <c r="O27" s="68"/>
      <c r="P27" s="68"/>
      <c r="Q27" s="68"/>
      <c r="R27" s="68"/>
      <c r="S27" s="68"/>
      <c r="T27" s="68"/>
      <c r="U27" s="68"/>
      <c r="V27" s="68"/>
      <c r="W27" s="68"/>
      <c r="X27" s="68"/>
      <c r="Y27" s="68"/>
      <c r="Z27" s="68"/>
    </row>
    <row r="28" spans="1:26" ht="17">
      <c r="A28" s="68"/>
      <c r="B28" s="104" t="s">
        <v>45</v>
      </c>
      <c r="C28" s="127" t="s">
        <v>46</v>
      </c>
      <c r="E28" s="68"/>
      <c r="F28" s="68"/>
      <c r="G28" s="68"/>
      <c r="H28" s="68"/>
      <c r="I28" s="68"/>
      <c r="J28" s="68"/>
      <c r="K28" s="68"/>
      <c r="L28" s="68"/>
      <c r="M28" s="68"/>
      <c r="N28" s="68"/>
      <c r="O28" s="68"/>
      <c r="P28" s="68"/>
      <c r="Q28" s="68"/>
      <c r="R28" s="68"/>
      <c r="S28" s="68"/>
      <c r="T28" s="68"/>
      <c r="U28" s="68"/>
      <c r="V28" s="68"/>
      <c r="W28" s="68"/>
      <c r="X28" s="68"/>
      <c r="Y28" s="68"/>
      <c r="Z28" s="68"/>
    </row>
    <row r="29" spans="1:26" ht="17">
      <c r="A29" s="68"/>
      <c r="B29" s="104" t="s">
        <v>47</v>
      </c>
      <c r="C29" s="127" t="s">
        <v>48</v>
      </c>
      <c r="E29" s="68"/>
      <c r="F29" s="68"/>
      <c r="G29" s="68"/>
      <c r="H29" s="68"/>
      <c r="I29" s="68"/>
      <c r="J29" s="68"/>
      <c r="K29" s="68"/>
      <c r="L29" s="68"/>
      <c r="M29" s="68"/>
      <c r="N29" s="68"/>
      <c r="O29" s="68"/>
      <c r="P29" s="68"/>
      <c r="Q29" s="68"/>
      <c r="R29" s="68"/>
      <c r="S29" s="68"/>
      <c r="T29" s="68"/>
      <c r="U29" s="68"/>
      <c r="V29" s="68"/>
      <c r="W29" s="68"/>
      <c r="X29" s="68"/>
      <c r="Y29" s="68"/>
      <c r="Z29" s="68"/>
    </row>
    <row r="30" spans="1:26" ht="17">
      <c r="A30" s="68"/>
      <c r="B30" s="104" t="s">
        <v>49</v>
      </c>
      <c r="C30" s="127" t="s">
        <v>50</v>
      </c>
      <c r="E30" s="68"/>
      <c r="F30" s="68"/>
      <c r="G30" s="68"/>
      <c r="H30" s="68"/>
      <c r="I30" s="68"/>
      <c r="J30" s="68"/>
      <c r="K30" s="68"/>
      <c r="L30" s="68"/>
      <c r="M30" s="68"/>
      <c r="N30" s="68"/>
      <c r="O30" s="68"/>
      <c r="P30" s="68"/>
      <c r="Q30" s="68"/>
      <c r="R30" s="68"/>
      <c r="S30" s="68"/>
      <c r="T30" s="68"/>
      <c r="U30" s="68"/>
      <c r="V30" s="68"/>
      <c r="W30" s="68"/>
      <c r="X30" s="68"/>
      <c r="Y30" s="68"/>
      <c r="Z30" s="68"/>
    </row>
    <row r="31" spans="1:26" ht="17">
      <c r="A31" s="68"/>
      <c r="B31" s="68" t="s">
        <v>51</v>
      </c>
      <c r="C31" s="130" t="s">
        <v>52</v>
      </c>
      <c r="E31" s="68"/>
      <c r="F31" s="68"/>
      <c r="G31" s="68"/>
      <c r="H31" s="68"/>
      <c r="I31" s="68"/>
      <c r="J31" s="68"/>
      <c r="K31" s="68"/>
      <c r="L31" s="68"/>
      <c r="M31" s="68"/>
      <c r="N31" s="68"/>
      <c r="O31" s="68"/>
      <c r="P31" s="68"/>
      <c r="Q31" s="68"/>
      <c r="R31" s="68"/>
      <c r="S31" s="68"/>
      <c r="T31" s="68"/>
      <c r="U31" s="68"/>
      <c r="V31" s="68"/>
      <c r="W31" s="68"/>
      <c r="X31" s="68"/>
      <c r="Y31" s="68"/>
      <c r="Z31" s="68"/>
    </row>
    <row r="32" spans="1:26" ht="17">
      <c r="A32" s="68"/>
      <c r="B32" s="104" t="s">
        <v>53</v>
      </c>
      <c r="C32" s="127" t="s">
        <v>54</v>
      </c>
      <c r="E32" s="68"/>
      <c r="F32" s="68"/>
      <c r="G32" s="68"/>
      <c r="H32" s="68"/>
      <c r="I32" s="68"/>
      <c r="J32" s="68"/>
      <c r="K32" s="68"/>
      <c r="L32" s="68"/>
      <c r="M32" s="68"/>
      <c r="N32" s="68"/>
      <c r="O32" s="68"/>
      <c r="P32" s="68"/>
      <c r="Q32" s="68"/>
      <c r="R32" s="68"/>
      <c r="S32" s="68"/>
      <c r="T32" s="68"/>
      <c r="U32" s="68"/>
      <c r="V32" s="68"/>
      <c r="W32" s="68"/>
      <c r="X32" s="68"/>
      <c r="Y32" s="68"/>
      <c r="Z32" s="68"/>
    </row>
    <row r="33" spans="1:26" ht="17">
      <c r="A33" s="68"/>
      <c r="B33" s="104" t="s">
        <v>556</v>
      </c>
      <c r="C33" s="127" t="s">
        <v>55</v>
      </c>
      <c r="E33" s="68"/>
      <c r="F33" s="68"/>
      <c r="G33" s="68"/>
      <c r="H33" s="68"/>
      <c r="I33" s="68"/>
      <c r="J33" s="68"/>
      <c r="K33" s="68"/>
      <c r="L33" s="68"/>
      <c r="M33" s="68"/>
      <c r="N33" s="68"/>
      <c r="O33" s="68"/>
      <c r="P33" s="68"/>
      <c r="Q33" s="68"/>
      <c r="R33" s="68"/>
      <c r="S33" s="68"/>
      <c r="T33" s="68"/>
      <c r="U33" s="68"/>
      <c r="V33" s="68"/>
      <c r="W33" s="68"/>
      <c r="X33" s="68"/>
      <c r="Y33" s="68"/>
      <c r="Z33" s="68"/>
    </row>
    <row r="34" spans="1:26" ht="17">
      <c r="A34" s="68"/>
      <c r="B34" s="104" t="s">
        <v>56</v>
      </c>
      <c r="C34" s="127" t="s">
        <v>57</v>
      </c>
      <c r="E34" s="68"/>
      <c r="F34" s="68"/>
      <c r="G34" s="68"/>
      <c r="H34" s="68"/>
      <c r="I34" s="68"/>
      <c r="J34" s="68"/>
      <c r="K34" s="68"/>
      <c r="L34" s="68"/>
      <c r="M34" s="68"/>
      <c r="N34" s="68"/>
      <c r="O34" s="68"/>
      <c r="P34" s="68"/>
      <c r="Q34" s="68"/>
      <c r="R34" s="68"/>
      <c r="S34" s="68"/>
      <c r="T34" s="68"/>
      <c r="U34" s="68"/>
      <c r="V34" s="68"/>
      <c r="W34" s="68"/>
      <c r="X34" s="68"/>
      <c r="Y34" s="68"/>
      <c r="Z34" s="68"/>
    </row>
    <row r="35" spans="1:26" ht="17">
      <c r="A35" s="68"/>
      <c r="B35" s="104" t="s">
        <v>58</v>
      </c>
      <c r="C35" s="130" t="s">
        <v>59</v>
      </c>
      <c r="E35" s="68"/>
      <c r="F35" s="68"/>
      <c r="G35" s="68"/>
      <c r="H35" s="68"/>
      <c r="I35" s="68"/>
      <c r="J35" s="68"/>
      <c r="K35" s="68"/>
      <c r="L35" s="68"/>
      <c r="M35" s="68"/>
      <c r="N35" s="68"/>
      <c r="O35" s="68"/>
      <c r="P35" s="68"/>
      <c r="Q35" s="68"/>
      <c r="R35" s="68"/>
      <c r="S35" s="68"/>
      <c r="T35" s="68"/>
      <c r="U35" s="68"/>
      <c r="V35" s="68"/>
      <c r="W35" s="68"/>
      <c r="X35" s="68"/>
      <c r="Y35" s="68"/>
      <c r="Z35" s="68"/>
    </row>
    <row r="36" spans="1:26" ht="17">
      <c r="A36" s="68"/>
      <c r="B36" s="104" t="s">
        <v>60</v>
      </c>
      <c r="C36" s="126" t="s">
        <v>61</v>
      </c>
      <c r="E36" s="68"/>
      <c r="F36" s="68"/>
      <c r="G36" s="68"/>
      <c r="H36" s="68"/>
      <c r="I36" s="68"/>
      <c r="J36" s="68"/>
      <c r="K36" s="68"/>
      <c r="L36" s="68"/>
      <c r="M36" s="68"/>
      <c r="N36" s="68"/>
      <c r="O36" s="68"/>
      <c r="P36" s="68"/>
      <c r="Q36" s="68"/>
      <c r="R36" s="68"/>
      <c r="S36" s="68"/>
      <c r="T36" s="68"/>
      <c r="U36" s="68"/>
      <c r="V36" s="68"/>
      <c r="W36" s="68"/>
      <c r="X36" s="68"/>
      <c r="Y36" s="68"/>
      <c r="Z36" s="68"/>
    </row>
    <row r="37" spans="1:26" ht="17">
      <c r="A37" s="68"/>
      <c r="B37" s="104"/>
      <c r="C37" s="131"/>
      <c r="E37" s="68"/>
      <c r="F37" s="68"/>
      <c r="G37" s="68"/>
      <c r="H37" s="68"/>
      <c r="I37" s="68"/>
      <c r="J37" s="68"/>
      <c r="K37" s="68"/>
      <c r="L37" s="68"/>
      <c r="M37" s="68"/>
      <c r="N37" s="68"/>
      <c r="O37" s="68"/>
      <c r="P37" s="68"/>
      <c r="Q37" s="68"/>
      <c r="R37" s="68"/>
      <c r="S37" s="68"/>
      <c r="T37" s="68"/>
      <c r="U37" s="68"/>
      <c r="V37" s="68"/>
      <c r="W37" s="68"/>
      <c r="X37" s="68"/>
      <c r="Y37" s="68"/>
      <c r="Z37" s="68"/>
    </row>
    <row r="38" spans="1:26" ht="17">
      <c r="A38" s="68"/>
      <c r="B38" s="104"/>
      <c r="C38" s="104"/>
      <c r="D38" s="104"/>
      <c r="E38" s="68"/>
      <c r="F38" s="68"/>
      <c r="G38" s="68"/>
      <c r="H38" s="68"/>
      <c r="I38" s="68"/>
      <c r="J38" s="68"/>
      <c r="K38" s="68"/>
      <c r="L38" s="68"/>
      <c r="M38" s="68"/>
      <c r="N38" s="68"/>
      <c r="O38" s="68"/>
      <c r="P38" s="68"/>
      <c r="Q38" s="68"/>
      <c r="R38" s="68"/>
      <c r="S38" s="68"/>
      <c r="T38" s="68"/>
      <c r="U38" s="68"/>
      <c r="V38" s="68"/>
      <c r="W38" s="68"/>
      <c r="X38" s="68"/>
      <c r="Y38" s="68"/>
      <c r="Z38" s="68"/>
    </row>
    <row r="39" spans="1:26" ht="17">
      <c r="A39" s="68"/>
      <c r="B39" s="104"/>
      <c r="C39" s="104"/>
      <c r="D39" s="104"/>
      <c r="E39" s="68"/>
      <c r="F39" s="68"/>
      <c r="G39" s="68"/>
      <c r="H39" s="68"/>
      <c r="I39" s="68"/>
      <c r="J39" s="68"/>
      <c r="K39" s="68"/>
      <c r="L39" s="68"/>
      <c r="M39" s="68"/>
      <c r="N39" s="68"/>
      <c r="O39" s="68"/>
      <c r="P39" s="68"/>
      <c r="Q39" s="68"/>
      <c r="R39" s="68"/>
      <c r="S39" s="68"/>
      <c r="T39" s="68"/>
      <c r="U39" s="68"/>
      <c r="V39" s="68"/>
      <c r="W39" s="68"/>
      <c r="X39" s="68"/>
      <c r="Y39" s="68"/>
      <c r="Z39" s="68"/>
    </row>
    <row r="40" spans="1:26" ht="17">
      <c r="A40" s="68"/>
      <c r="B40" s="104"/>
      <c r="C40" s="104"/>
      <c r="D40" s="104"/>
      <c r="E40" s="68"/>
      <c r="F40" s="68"/>
      <c r="G40" s="68"/>
      <c r="H40" s="68"/>
      <c r="I40" s="68"/>
      <c r="J40" s="68"/>
      <c r="K40" s="68"/>
      <c r="L40" s="68"/>
      <c r="M40" s="68"/>
      <c r="N40" s="68"/>
      <c r="O40" s="68"/>
      <c r="P40" s="68"/>
      <c r="Q40" s="68"/>
      <c r="R40" s="68"/>
      <c r="S40" s="68"/>
      <c r="T40" s="68"/>
      <c r="U40" s="68"/>
      <c r="V40" s="68"/>
      <c r="W40" s="68"/>
      <c r="X40" s="68"/>
      <c r="Y40" s="68"/>
      <c r="Z40" s="68"/>
    </row>
    <row r="41" spans="1:26" ht="17">
      <c r="A41" s="68"/>
      <c r="B41" s="104"/>
      <c r="C41" s="104"/>
      <c r="D41" s="104"/>
      <c r="E41" s="68"/>
      <c r="F41" s="68"/>
      <c r="G41" s="68"/>
      <c r="H41" s="68"/>
      <c r="I41" s="68"/>
      <c r="J41" s="68"/>
      <c r="K41" s="68"/>
      <c r="L41" s="68"/>
      <c r="M41" s="68"/>
      <c r="N41" s="68"/>
      <c r="O41" s="68"/>
      <c r="P41" s="68"/>
      <c r="Q41" s="68"/>
      <c r="R41" s="68"/>
      <c r="S41" s="68"/>
      <c r="T41" s="68"/>
      <c r="U41" s="68"/>
      <c r="V41" s="68"/>
      <c r="W41" s="68"/>
      <c r="X41" s="68"/>
      <c r="Y41" s="68"/>
      <c r="Z41" s="68"/>
    </row>
    <row r="42" spans="1:26" ht="17">
      <c r="A42" s="68"/>
      <c r="B42" s="104"/>
      <c r="C42" s="104"/>
      <c r="D42" s="104"/>
      <c r="E42" s="68"/>
      <c r="F42" s="68"/>
      <c r="G42" s="68"/>
      <c r="H42" s="68"/>
      <c r="I42" s="68"/>
      <c r="J42" s="68"/>
      <c r="K42" s="68"/>
      <c r="L42" s="68"/>
      <c r="M42" s="68"/>
      <c r="N42" s="68"/>
      <c r="O42" s="68"/>
      <c r="P42" s="68"/>
      <c r="Q42" s="68"/>
      <c r="R42" s="68"/>
      <c r="S42" s="68"/>
      <c r="T42" s="68"/>
      <c r="U42" s="68"/>
      <c r="V42" s="68"/>
      <c r="W42" s="68"/>
      <c r="X42" s="68"/>
      <c r="Y42" s="68"/>
      <c r="Z42" s="68"/>
    </row>
    <row r="43" spans="1:26" ht="17">
      <c r="A43" s="68"/>
      <c r="B43" s="104"/>
      <c r="C43" s="104"/>
      <c r="D43" s="104"/>
      <c r="E43" s="68"/>
      <c r="F43" s="68"/>
      <c r="G43" s="68"/>
      <c r="H43" s="68"/>
      <c r="I43" s="68"/>
      <c r="J43" s="68"/>
      <c r="K43" s="68"/>
      <c r="L43" s="68"/>
      <c r="M43" s="68"/>
      <c r="N43" s="68"/>
      <c r="O43" s="68"/>
      <c r="P43" s="68"/>
      <c r="Q43" s="68"/>
      <c r="R43" s="68"/>
      <c r="S43" s="68"/>
      <c r="T43" s="68"/>
      <c r="U43" s="68"/>
      <c r="V43" s="68"/>
      <c r="W43" s="68"/>
      <c r="X43" s="68"/>
      <c r="Y43" s="68"/>
      <c r="Z43" s="68"/>
    </row>
    <row r="44" spans="1:26" ht="17">
      <c r="A44" s="68"/>
      <c r="B44" s="104"/>
      <c r="C44" s="104"/>
      <c r="D44" s="104"/>
      <c r="E44" s="68"/>
      <c r="F44" s="68"/>
      <c r="G44" s="68"/>
      <c r="H44" s="68"/>
      <c r="I44" s="68"/>
      <c r="J44" s="68"/>
      <c r="K44" s="68"/>
      <c r="L44" s="68"/>
      <c r="M44" s="68"/>
      <c r="N44" s="68"/>
      <c r="O44" s="68"/>
      <c r="P44" s="68"/>
      <c r="Q44" s="68"/>
      <c r="R44" s="68"/>
      <c r="S44" s="68"/>
      <c r="T44" s="68"/>
      <c r="U44" s="68"/>
      <c r="V44" s="68"/>
      <c r="W44" s="68"/>
      <c r="X44" s="68"/>
      <c r="Y44" s="68"/>
      <c r="Z44" s="68"/>
    </row>
    <row r="45" spans="1:26" ht="17">
      <c r="A45" s="68"/>
      <c r="B45" s="104"/>
      <c r="C45" s="104"/>
      <c r="D45" s="104"/>
      <c r="E45" s="68"/>
      <c r="F45" s="68"/>
      <c r="G45" s="68"/>
      <c r="H45" s="68"/>
      <c r="I45" s="68"/>
      <c r="J45" s="68"/>
      <c r="K45" s="68"/>
      <c r="L45" s="68"/>
      <c r="M45" s="68"/>
      <c r="N45" s="68"/>
      <c r="O45" s="68"/>
      <c r="P45" s="68"/>
      <c r="Q45" s="68"/>
      <c r="R45" s="68"/>
      <c r="S45" s="68"/>
      <c r="T45" s="68"/>
      <c r="U45" s="68"/>
      <c r="V45" s="68"/>
      <c r="W45" s="68"/>
      <c r="X45" s="68"/>
      <c r="Y45" s="68"/>
      <c r="Z45" s="68"/>
    </row>
    <row r="46" spans="1:26" ht="17">
      <c r="A46" s="68"/>
      <c r="B46" s="104"/>
      <c r="C46" s="104"/>
      <c r="D46" s="104"/>
      <c r="E46" s="68"/>
      <c r="F46" s="68"/>
      <c r="G46" s="68"/>
      <c r="H46" s="68"/>
      <c r="I46" s="68"/>
      <c r="J46" s="68"/>
      <c r="K46" s="68"/>
      <c r="L46" s="68"/>
      <c r="M46" s="68"/>
      <c r="N46" s="68"/>
      <c r="O46" s="68"/>
      <c r="P46" s="68"/>
      <c r="Q46" s="68"/>
      <c r="R46" s="68"/>
      <c r="S46" s="68"/>
      <c r="T46" s="68"/>
      <c r="U46" s="68"/>
      <c r="V46" s="68"/>
      <c r="W46" s="68"/>
      <c r="X46" s="68"/>
      <c r="Y46" s="68"/>
      <c r="Z46" s="68"/>
    </row>
    <row r="47" spans="1:26" ht="17">
      <c r="A47" s="68"/>
      <c r="B47" s="104"/>
      <c r="C47" s="104"/>
      <c r="D47" s="104"/>
      <c r="E47" s="68"/>
      <c r="F47" s="68"/>
      <c r="G47" s="68"/>
      <c r="H47" s="68"/>
      <c r="I47" s="68"/>
      <c r="J47" s="68"/>
      <c r="K47" s="68"/>
      <c r="L47" s="68"/>
      <c r="M47" s="68"/>
      <c r="N47" s="68"/>
      <c r="O47" s="68"/>
      <c r="P47" s="68"/>
      <c r="Q47" s="68"/>
      <c r="R47" s="68"/>
      <c r="S47" s="68"/>
      <c r="T47" s="68"/>
      <c r="U47" s="68"/>
      <c r="V47" s="68"/>
      <c r="W47" s="68"/>
      <c r="X47" s="68"/>
      <c r="Y47" s="68"/>
      <c r="Z47" s="68"/>
    </row>
    <row r="48" spans="1:26" ht="17">
      <c r="A48" s="68"/>
      <c r="B48" s="104"/>
      <c r="C48" s="104"/>
      <c r="D48" s="104"/>
      <c r="E48" s="68"/>
      <c r="F48" s="68"/>
      <c r="G48" s="68"/>
      <c r="H48" s="68"/>
      <c r="I48" s="68"/>
      <c r="J48" s="68"/>
      <c r="K48" s="68"/>
      <c r="L48" s="68"/>
      <c r="M48" s="68"/>
      <c r="N48" s="68"/>
      <c r="O48" s="68"/>
      <c r="P48" s="68"/>
      <c r="Q48" s="68"/>
      <c r="R48" s="68"/>
      <c r="S48" s="68"/>
      <c r="T48" s="68"/>
      <c r="U48" s="68"/>
      <c r="V48" s="68"/>
      <c r="W48" s="68"/>
      <c r="X48" s="68"/>
      <c r="Y48" s="68"/>
      <c r="Z48" s="68"/>
    </row>
    <row r="49" spans="1:26" ht="17">
      <c r="A49" s="68"/>
      <c r="B49" s="104"/>
      <c r="C49" s="104"/>
      <c r="D49" s="104"/>
      <c r="E49" s="68"/>
      <c r="F49" s="68"/>
      <c r="G49" s="68"/>
      <c r="H49" s="68"/>
      <c r="I49" s="68"/>
      <c r="J49" s="68"/>
      <c r="K49" s="68"/>
      <c r="L49" s="68"/>
      <c r="M49" s="68"/>
      <c r="N49" s="68"/>
      <c r="O49" s="68"/>
      <c r="P49" s="68"/>
      <c r="Q49" s="68"/>
      <c r="R49" s="68"/>
      <c r="S49" s="68"/>
      <c r="T49" s="68"/>
      <c r="U49" s="68"/>
      <c r="V49" s="68"/>
      <c r="W49" s="68"/>
      <c r="X49" s="68"/>
      <c r="Y49" s="68"/>
      <c r="Z49" s="68"/>
    </row>
    <row r="50" spans="1:26" ht="17">
      <c r="A50" s="68"/>
      <c r="B50" s="104"/>
      <c r="C50" s="104"/>
      <c r="D50" s="104"/>
      <c r="E50" s="68"/>
      <c r="F50" s="68"/>
      <c r="G50" s="68"/>
      <c r="H50" s="68"/>
      <c r="I50" s="68"/>
      <c r="J50" s="68"/>
      <c r="K50" s="68"/>
      <c r="L50" s="68"/>
      <c r="M50" s="68"/>
      <c r="N50" s="68"/>
      <c r="O50" s="68"/>
      <c r="P50" s="68"/>
      <c r="Q50" s="68"/>
      <c r="R50" s="68"/>
      <c r="S50" s="68"/>
      <c r="T50" s="68"/>
      <c r="U50" s="68"/>
      <c r="V50" s="68"/>
      <c r="W50" s="68"/>
      <c r="X50" s="68"/>
      <c r="Y50" s="68"/>
      <c r="Z50" s="68"/>
    </row>
    <row r="51" spans="1:26" ht="17">
      <c r="A51" s="68"/>
      <c r="B51" s="104"/>
      <c r="C51" s="104"/>
      <c r="D51" s="104"/>
      <c r="E51" s="68"/>
      <c r="F51" s="68"/>
      <c r="G51" s="68"/>
      <c r="H51" s="68"/>
      <c r="I51" s="68"/>
      <c r="J51" s="68"/>
      <c r="K51" s="68"/>
      <c r="L51" s="68"/>
      <c r="M51" s="68"/>
      <c r="N51" s="68"/>
      <c r="O51" s="68"/>
      <c r="P51" s="68"/>
      <c r="Q51" s="68"/>
      <c r="R51" s="68"/>
      <c r="S51" s="68"/>
      <c r="T51" s="68"/>
      <c r="U51" s="68"/>
      <c r="V51" s="68"/>
      <c r="W51" s="68"/>
      <c r="X51" s="68"/>
      <c r="Y51" s="68"/>
      <c r="Z51" s="68"/>
    </row>
    <row r="52" spans="1:26" ht="17">
      <c r="A52" s="68"/>
      <c r="B52" s="104"/>
      <c r="C52" s="104"/>
      <c r="D52" s="104"/>
      <c r="E52" s="68"/>
      <c r="F52" s="68"/>
      <c r="G52" s="68"/>
      <c r="H52" s="68"/>
      <c r="I52" s="68"/>
      <c r="J52" s="68"/>
      <c r="K52" s="68"/>
      <c r="L52" s="68"/>
      <c r="M52" s="68"/>
      <c r="N52" s="68"/>
      <c r="O52" s="68"/>
      <c r="P52" s="68"/>
      <c r="Q52" s="68"/>
      <c r="R52" s="68"/>
      <c r="S52" s="68"/>
      <c r="T52" s="68"/>
      <c r="U52" s="68"/>
      <c r="V52" s="68"/>
      <c r="W52" s="68"/>
      <c r="X52" s="68"/>
      <c r="Y52" s="68"/>
      <c r="Z52" s="68"/>
    </row>
    <row r="53" spans="1:26" ht="17">
      <c r="A53" s="68"/>
      <c r="B53" s="104"/>
      <c r="C53" s="104"/>
      <c r="D53" s="104"/>
      <c r="E53" s="68"/>
      <c r="F53" s="68"/>
      <c r="G53" s="68"/>
      <c r="H53" s="68"/>
      <c r="I53" s="68"/>
      <c r="J53" s="68"/>
      <c r="K53" s="68"/>
      <c r="L53" s="68"/>
      <c r="M53" s="68"/>
      <c r="N53" s="68"/>
      <c r="O53" s="68"/>
      <c r="P53" s="68"/>
      <c r="Q53" s="68"/>
      <c r="R53" s="68"/>
      <c r="S53" s="68"/>
      <c r="T53" s="68"/>
      <c r="U53" s="68"/>
      <c r="V53" s="68"/>
      <c r="W53" s="68"/>
      <c r="X53" s="68"/>
      <c r="Y53" s="68"/>
      <c r="Z53" s="68"/>
    </row>
    <row r="54" spans="1:26" ht="17">
      <c r="A54" s="68"/>
      <c r="B54" s="104"/>
      <c r="C54" s="104"/>
      <c r="D54" s="104"/>
      <c r="E54" s="68"/>
      <c r="F54" s="68"/>
      <c r="G54" s="68"/>
      <c r="H54" s="68"/>
      <c r="I54" s="68"/>
      <c r="J54" s="68"/>
      <c r="K54" s="68"/>
      <c r="L54" s="68"/>
      <c r="M54" s="68"/>
      <c r="N54" s="68"/>
      <c r="O54" s="68"/>
      <c r="P54" s="68"/>
      <c r="Q54" s="68"/>
      <c r="R54" s="68"/>
      <c r="S54" s="68"/>
      <c r="T54" s="68"/>
      <c r="U54" s="68"/>
      <c r="V54" s="68"/>
      <c r="W54" s="68"/>
      <c r="X54" s="68"/>
      <c r="Y54" s="68"/>
      <c r="Z54" s="68"/>
    </row>
    <row r="55" spans="1:26" ht="17">
      <c r="A55" s="68"/>
      <c r="B55" s="104"/>
      <c r="C55" s="104"/>
      <c r="D55" s="104"/>
      <c r="E55" s="68"/>
      <c r="F55" s="68"/>
      <c r="G55" s="68"/>
      <c r="H55" s="68"/>
      <c r="I55" s="68"/>
      <c r="J55" s="68"/>
      <c r="K55" s="68"/>
      <c r="L55" s="68"/>
      <c r="M55" s="68"/>
      <c r="N55" s="68"/>
      <c r="O55" s="68"/>
      <c r="P55" s="68"/>
      <c r="Q55" s="68"/>
      <c r="R55" s="68"/>
      <c r="S55" s="68"/>
      <c r="T55" s="68"/>
      <c r="U55" s="68"/>
      <c r="V55" s="68"/>
      <c r="W55" s="68"/>
      <c r="X55" s="68"/>
      <c r="Y55" s="68"/>
      <c r="Z55" s="68"/>
    </row>
    <row r="56" spans="1:26" ht="17">
      <c r="A56" s="68"/>
      <c r="B56" s="104"/>
      <c r="C56" s="104"/>
      <c r="D56" s="104"/>
      <c r="E56" s="68"/>
      <c r="F56" s="68"/>
      <c r="G56" s="68"/>
      <c r="H56" s="68"/>
      <c r="I56" s="68"/>
      <c r="J56" s="68"/>
      <c r="K56" s="68"/>
      <c r="L56" s="68"/>
      <c r="M56" s="68"/>
      <c r="N56" s="68"/>
      <c r="O56" s="68"/>
      <c r="P56" s="68"/>
      <c r="Q56" s="68"/>
      <c r="R56" s="68"/>
      <c r="S56" s="68"/>
      <c r="T56" s="68"/>
      <c r="U56" s="68"/>
      <c r="V56" s="68"/>
      <c r="W56" s="68"/>
      <c r="X56" s="68"/>
      <c r="Y56" s="68"/>
      <c r="Z56" s="68"/>
    </row>
    <row r="57" spans="1:26" ht="17">
      <c r="A57" s="68"/>
      <c r="B57" s="104"/>
      <c r="C57" s="104"/>
      <c r="D57" s="104"/>
      <c r="E57" s="68"/>
      <c r="F57" s="68"/>
      <c r="G57" s="68"/>
      <c r="H57" s="68"/>
      <c r="I57" s="68"/>
      <c r="J57" s="68"/>
      <c r="K57" s="68"/>
      <c r="L57" s="68"/>
      <c r="M57" s="68"/>
      <c r="N57" s="68"/>
      <c r="O57" s="68"/>
      <c r="P57" s="68"/>
      <c r="Q57" s="68"/>
      <c r="R57" s="68"/>
      <c r="S57" s="68"/>
      <c r="T57" s="68"/>
      <c r="U57" s="68"/>
      <c r="V57" s="68"/>
      <c r="W57" s="68"/>
      <c r="X57" s="68"/>
      <c r="Y57" s="68"/>
      <c r="Z57" s="68"/>
    </row>
    <row r="58" spans="1:26" ht="17">
      <c r="A58" s="68"/>
      <c r="B58" s="104"/>
      <c r="C58" s="104"/>
      <c r="D58" s="104"/>
      <c r="E58" s="68"/>
      <c r="F58" s="68"/>
      <c r="G58" s="68"/>
      <c r="H58" s="68"/>
      <c r="I58" s="68"/>
      <c r="J58" s="68"/>
      <c r="K58" s="68"/>
      <c r="L58" s="68"/>
      <c r="M58" s="68"/>
      <c r="N58" s="68"/>
      <c r="O58" s="68"/>
      <c r="P58" s="68"/>
      <c r="Q58" s="68"/>
      <c r="R58" s="68"/>
      <c r="S58" s="68"/>
      <c r="T58" s="68"/>
      <c r="U58" s="68"/>
      <c r="V58" s="68"/>
      <c r="W58" s="68"/>
      <c r="X58" s="68"/>
      <c r="Y58" s="68"/>
      <c r="Z58" s="68"/>
    </row>
    <row r="59" spans="1:26" ht="17">
      <c r="A59" s="68"/>
      <c r="B59" s="104"/>
      <c r="C59" s="104"/>
      <c r="D59" s="104"/>
      <c r="E59" s="68"/>
      <c r="F59" s="68"/>
      <c r="G59" s="68"/>
      <c r="H59" s="68"/>
      <c r="I59" s="68"/>
      <c r="J59" s="68"/>
      <c r="K59" s="68"/>
      <c r="L59" s="68"/>
      <c r="M59" s="68"/>
      <c r="N59" s="68"/>
      <c r="O59" s="68"/>
      <c r="P59" s="68"/>
      <c r="Q59" s="68"/>
      <c r="R59" s="68"/>
      <c r="S59" s="68"/>
      <c r="T59" s="68"/>
      <c r="U59" s="68"/>
      <c r="V59" s="68"/>
      <c r="W59" s="68"/>
      <c r="X59" s="68"/>
      <c r="Y59" s="68"/>
      <c r="Z59" s="68"/>
    </row>
    <row r="60" spans="1:26" ht="17">
      <c r="A60" s="68"/>
      <c r="B60" s="104"/>
      <c r="C60" s="104"/>
      <c r="D60" s="104"/>
      <c r="E60" s="68"/>
      <c r="F60" s="68"/>
      <c r="G60" s="68"/>
      <c r="H60" s="68"/>
      <c r="I60" s="68"/>
      <c r="J60" s="68"/>
      <c r="K60" s="68"/>
      <c r="L60" s="68"/>
      <c r="M60" s="68"/>
      <c r="N60" s="68"/>
      <c r="O60" s="68"/>
      <c r="P60" s="68"/>
      <c r="Q60" s="68"/>
      <c r="R60" s="68"/>
      <c r="S60" s="68"/>
      <c r="T60" s="68"/>
      <c r="U60" s="68"/>
      <c r="V60" s="68"/>
      <c r="W60" s="68"/>
      <c r="X60" s="68"/>
      <c r="Y60" s="68"/>
      <c r="Z60" s="68"/>
    </row>
    <row r="61" spans="1:26" ht="17">
      <c r="A61" s="68"/>
      <c r="B61" s="104"/>
      <c r="C61" s="104"/>
      <c r="D61" s="104"/>
      <c r="E61" s="68"/>
      <c r="F61" s="68"/>
      <c r="G61" s="68"/>
      <c r="H61" s="68"/>
      <c r="I61" s="68"/>
      <c r="J61" s="68"/>
      <c r="K61" s="68"/>
      <c r="L61" s="68"/>
      <c r="M61" s="68"/>
      <c r="N61" s="68"/>
      <c r="O61" s="68"/>
      <c r="P61" s="68"/>
      <c r="Q61" s="68"/>
      <c r="R61" s="68"/>
      <c r="S61" s="68"/>
      <c r="T61" s="68"/>
      <c r="U61" s="68"/>
      <c r="V61" s="68"/>
      <c r="W61" s="68"/>
      <c r="X61" s="68"/>
      <c r="Y61" s="68"/>
      <c r="Z61" s="68"/>
    </row>
    <row r="62" spans="1:26" ht="17">
      <c r="A62" s="68"/>
      <c r="B62" s="104"/>
      <c r="C62" s="104"/>
      <c r="D62" s="104"/>
      <c r="E62" s="68"/>
      <c r="F62" s="68"/>
      <c r="G62" s="68"/>
      <c r="H62" s="68"/>
      <c r="I62" s="68"/>
      <c r="J62" s="68"/>
      <c r="K62" s="68"/>
      <c r="L62" s="68"/>
      <c r="M62" s="68"/>
      <c r="N62" s="68"/>
      <c r="O62" s="68"/>
      <c r="P62" s="68"/>
      <c r="Q62" s="68"/>
      <c r="R62" s="68"/>
      <c r="S62" s="68"/>
      <c r="T62" s="68"/>
      <c r="U62" s="68"/>
      <c r="V62" s="68"/>
      <c r="W62" s="68"/>
      <c r="X62" s="68"/>
      <c r="Y62" s="68"/>
      <c r="Z62" s="68"/>
    </row>
    <row r="63" spans="1:26" ht="17">
      <c r="A63" s="68"/>
      <c r="B63" s="104"/>
      <c r="C63" s="104"/>
      <c r="D63" s="104"/>
      <c r="E63" s="68"/>
      <c r="F63" s="68"/>
      <c r="G63" s="68"/>
      <c r="H63" s="68"/>
      <c r="I63" s="68"/>
      <c r="J63" s="68"/>
      <c r="K63" s="68"/>
      <c r="L63" s="68"/>
      <c r="M63" s="68"/>
      <c r="N63" s="68"/>
      <c r="O63" s="68"/>
      <c r="P63" s="68"/>
      <c r="Q63" s="68"/>
      <c r="R63" s="68"/>
      <c r="S63" s="68"/>
      <c r="T63" s="68"/>
      <c r="U63" s="68"/>
      <c r="V63" s="68"/>
      <c r="W63" s="68"/>
      <c r="X63" s="68"/>
      <c r="Y63" s="68"/>
      <c r="Z63" s="68"/>
    </row>
    <row r="64" spans="1:26" ht="17">
      <c r="A64" s="68"/>
      <c r="B64" s="104"/>
      <c r="C64" s="104"/>
      <c r="D64" s="104"/>
      <c r="E64" s="68"/>
      <c r="F64" s="68"/>
      <c r="G64" s="68"/>
      <c r="H64" s="68"/>
      <c r="I64" s="68"/>
      <c r="J64" s="68"/>
      <c r="K64" s="68"/>
      <c r="L64" s="68"/>
      <c r="M64" s="68"/>
      <c r="N64" s="68"/>
      <c r="O64" s="68"/>
      <c r="P64" s="68"/>
      <c r="Q64" s="68"/>
      <c r="R64" s="68"/>
      <c r="S64" s="68"/>
      <c r="T64" s="68"/>
      <c r="U64" s="68"/>
      <c r="V64" s="68"/>
      <c r="W64" s="68"/>
      <c r="X64" s="68"/>
      <c r="Y64" s="68"/>
      <c r="Z64" s="68"/>
    </row>
    <row r="65" spans="1:26" ht="17">
      <c r="A65" s="68"/>
      <c r="B65" s="104"/>
      <c r="C65" s="104"/>
      <c r="D65" s="104"/>
      <c r="E65" s="68"/>
      <c r="F65" s="68"/>
      <c r="G65" s="68"/>
      <c r="H65" s="68"/>
      <c r="I65" s="68"/>
      <c r="J65" s="68"/>
      <c r="K65" s="68"/>
      <c r="L65" s="68"/>
      <c r="M65" s="68"/>
      <c r="N65" s="68"/>
      <c r="O65" s="68"/>
      <c r="P65" s="68"/>
      <c r="Q65" s="68"/>
      <c r="R65" s="68"/>
      <c r="S65" s="68"/>
      <c r="T65" s="68"/>
      <c r="U65" s="68"/>
      <c r="V65" s="68"/>
      <c r="W65" s="68"/>
      <c r="X65" s="68"/>
      <c r="Y65" s="68"/>
      <c r="Z65" s="68"/>
    </row>
    <row r="66" spans="1:26" ht="17">
      <c r="A66" s="68"/>
      <c r="B66" s="104"/>
      <c r="C66" s="104"/>
      <c r="D66" s="104"/>
      <c r="E66" s="68"/>
      <c r="F66" s="68"/>
      <c r="G66" s="68"/>
      <c r="H66" s="68"/>
      <c r="I66" s="68"/>
      <c r="J66" s="68"/>
      <c r="K66" s="68"/>
      <c r="L66" s="68"/>
      <c r="M66" s="68"/>
      <c r="N66" s="68"/>
      <c r="O66" s="68"/>
      <c r="P66" s="68"/>
      <c r="Q66" s="68"/>
      <c r="R66" s="68"/>
      <c r="S66" s="68"/>
      <c r="T66" s="68"/>
      <c r="U66" s="68"/>
      <c r="V66" s="68"/>
      <c r="W66" s="68"/>
      <c r="X66" s="68"/>
      <c r="Y66" s="68"/>
      <c r="Z66" s="68"/>
    </row>
    <row r="67" spans="1:26" ht="17">
      <c r="A67" s="68"/>
      <c r="B67" s="104"/>
      <c r="C67" s="104"/>
      <c r="D67" s="104"/>
      <c r="E67" s="68"/>
      <c r="F67" s="68"/>
      <c r="G67" s="68"/>
      <c r="H67" s="68"/>
      <c r="I67" s="68"/>
      <c r="J67" s="68"/>
      <c r="K67" s="68"/>
      <c r="L67" s="68"/>
      <c r="M67" s="68"/>
      <c r="N67" s="68"/>
      <c r="O67" s="68"/>
      <c r="P67" s="68"/>
      <c r="Q67" s="68"/>
      <c r="R67" s="68"/>
      <c r="S67" s="68"/>
      <c r="T67" s="68"/>
      <c r="U67" s="68"/>
      <c r="V67" s="68"/>
      <c r="W67" s="68"/>
      <c r="X67" s="68"/>
      <c r="Y67" s="68"/>
      <c r="Z67" s="68"/>
    </row>
    <row r="68" spans="1:26" ht="17">
      <c r="A68" s="68"/>
      <c r="B68" s="104"/>
      <c r="C68" s="104"/>
      <c r="D68" s="104"/>
      <c r="E68" s="68"/>
      <c r="F68" s="68"/>
      <c r="G68" s="68"/>
      <c r="H68" s="68"/>
      <c r="I68" s="68"/>
      <c r="J68" s="68"/>
      <c r="K68" s="68"/>
      <c r="L68" s="68"/>
      <c r="M68" s="68"/>
      <c r="N68" s="68"/>
      <c r="O68" s="68"/>
      <c r="P68" s="68"/>
      <c r="Q68" s="68"/>
      <c r="R68" s="68"/>
      <c r="S68" s="68"/>
      <c r="T68" s="68"/>
      <c r="U68" s="68"/>
      <c r="V68" s="68"/>
      <c r="W68" s="68"/>
      <c r="X68" s="68"/>
      <c r="Y68" s="68"/>
      <c r="Z68" s="68"/>
    </row>
    <row r="69" spans="1:26" ht="17">
      <c r="A69" s="68"/>
      <c r="B69" s="104"/>
      <c r="C69" s="104"/>
      <c r="D69" s="104"/>
      <c r="E69" s="68"/>
      <c r="F69" s="68"/>
      <c r="G69" s="68"/>
      <c r="H69" s="68"/>
      <c r="I69" s="68"/>
      <c r="J69" s="68"/>
      <c r="K69" s="68"/>
      <c r="L69" s="68"/>
      <c r="M69" s="68"/>
      <c r="N69" s="68"/>
      <c r="O69" s="68"/>
      <c r="P69" s="68"/>
      <c r="Q69" s="68"/>
      <c r="R69" s="68"/>
      <c r="S69" s="68"/>
      <c r="T69" s="68"/>
      <c r="U69" s="68"/>
      <c r="V69" s="68"/>
      <c r="W69" s="68"/>
      <c r="X69" s="68"/>
      <c r="Y69" s="68"/>
      <c r="Z69" s="68"/>
    </row>
    <row r="70" spans="1:26" ht="17">
      <c r="A70" s="68"/>
      <c r="B70" s="104"/>
      <c r="C70" s="104"/>
      <c r="D70" s="104"/>
      <c r="E70" s="68"/>
      <c r="F70" s="68"/>
      <c r="G70" s="68"/>
      <c r="H70" s="68"/>
      <c r="I70" s="68"/>
      <c r="J70" s="68"/>
      <c r="K70" s="68"/>
      <c r="L70" s="68"/>
      <c r="M70" s="68"/>
      <c r="N70" s="68"/>
      <c r="O70" s="68"/>
      <c r="P70" s="68"/>
      <c r="Q70" s="68"/>
      <c r="R70" s="68"/>
      <c r="S70" s="68"/>
      <c r="T70" s="68"/>
      <c r="U70" s="68"/>
      <c r="V70" s="68"/>
      <c r="W70" s="68"/>
      <c r="X70" s="68"/>
      <c r="Y70" s="68"/>
      <c r="Z70" s="68"/>
    </row>
    <row r="71" spans="1:26" ht="17">
      <c r="A71" s="68"/>
      <c r="B71" s="104"/>
      <c r="C71" s="104"/>
      <c r="D71" s="104"/>
      <c r="E71" s="68"/>
      <c r="F71" s="68"/>
      <c r="G71" s="68"/>
      <c r="H71" s="68"/>
      <c r="I71" s="68"/>
      <c r="J71" s="68"/>
      <c r="K71" s="68"/>
      <c r="L71" s="68"/>
      <c r="M71" s="68"/>
      <c r="N71" s="68"/>
      <c r="O71" s="68"/>
      <c r="P71" s="68"/>
      <c r="Q71" s="68"/>
      <c r="R71" s="68"/>
      <c r="S71" s="68"/>
      <c r="T71" s="68"/>
      <c r="U71" s="68"/>
      <c r="V71" s="68"/>
      <c r="W71" s="68"/>
      <c r="X71" s="68"/>
      <c r="Y71" s="68"/>
      <c r="Z71" s="68"/>
    </row>
    <row r="72" spans="1:26" ht="17">
      <c r="A72" s="68"/>
      <c r="B72" s="104"/>
      <c r="C72" s="104"/>
      <c r="D72" s="104"/>
      <c r="E72" s="68"/>
      <c r="F72" s="68"/>
      <c r="G72" s="68"/>
      <c r="H72" s="68"/>
      <c r="I72" s="68"/>
      <c r="J72" s="68"/>
      <c r="K72" s="68"/>
      <c r="L72" s="68"/>
      <c r="M72" s="68"/>
      <c r="N72" s="68"/>
      <c r="O72" s="68"/>
      <c r="P72" s="68"/>
      <c r="Q72" s="68"/>
      <c r="R72" s="68"/>
      <c r="S72" s="68"/>
      <c r="T72" s="68"/>
      <c r="U72" s="68"/>
      <c r="V72" s="68"/>
      <c r="W72" s="68"/>
      <c r="X72" s="68"/>
      <c r="Y72" s="68"/>
      <c r="Z72" s="68"/>
    </row>
    <row r="73" spans="1:26" ht="17">
      <c r="A73" s="68"/>
      <c r="B73" s="104"/>
      <c r="C73" s="104"/>
      <c r="D73" s="104"/>
      <c r="E73" s="68"/>
      <c r="F73" s="68"/>
      <c r="G73" s="68"/>
      <c r="H73" s="68"/>
      <c r="I73" s="68"/>
      <c r="J73" s="68"/>
      <c r="K73" s="68"/>
      <c r="L73" s="68"/>
      <c r="M73" s="68"/>
      <c r="N73" s="68"/>
      <c r="O73" s="68"/>
      <c r="P73" s="68"/>
      <c r="Q73" s="68"/>
      <c r="R73" s="68"/>
      <c r="S73" s="68"/>
      <c r="T73" s="68"/>
      <c r="U73" s="68"/>
      <c r="V73" s="68"/>
      <c r="W73" s="68"/>
      <c r="X73" s="68"/>
      <c r="Y73" s="68"/>
      <c r="Z73" s="68"/>
    </row>
    <row r="74" spans="1:26" ht="17">
      <c r="A74" s="68"/>
      <c r="B74" s="104"/>
      <c r="C74" s="104"/>
      <c r="D74" s="104"/>
      <c r="E74" s="68"/>
      <c r="F74" s="68"/>
      <c r="G74" s="68"/>
      <c r="H74" s="68"/>
      <c r="I74" s="68"/>
      <c r="J74" s="68"/>
      <c r="K74" s="68"/>
      <c r="L74" s="68"/>
      <c r="M74" s="68"/>
      <c r="N74" s="68"/>
      <c r="O74" s="68"/>
      <c r="P74" s="68"/>
      <c r="Q74" s="68"/>
      <c r="R74" s="68"/>
      <c r="S74" s="68"/>
      <c r="T74" s="68"/>
      <c r="U74" s="68"/>
      <c r="V74" s="68"/>
      <c r="W74" s="68"/>
      <c r="X74" s="68"/>
      <c r="Y74" s="68"/>
      <c r="Z74" s="68"/>
    </row>
    <row r="75" spans="1:26" ht="17">
      <c r="A75" s="68"/>
      <c r="B75" s="104"/>
      <c r="C75" s="104"/>
      <c r="D75" s="104"/>
      <c r="E75" s="68"/>
      <c r="F75" s="68"/>
      <c r="G75" s="68"/>
      <c r="H75" s="68"/>
      <c r="I75" s="68"/>
      <c r="J75" s="68"/>
      <c r="K75" s="68"/>
      <c r="L75" s="68"/>
      <c r="M75" s="68"/>
      <c r="N75" s="68"/>
      <c r="O75" s="68"/>
      <c r="P75" s="68"/>
      <c r="Q75" s="68"/>
      <c r="R75" s="68"/>
      <c r="S75" s="68"/>
      <c r="T75" s="68"/>
      <c r="U75" s="68"/>
      <c r="V75" s="68"/>
      <c r="W75" s="68"/>
      <c r="X75" s="68"/>
      <c r="Y75" s="68"/>
      <c r="Z75" s="68"/>
    </row>
    <row r="76" spans="1:26" ht="17">
      <c r="A76" s="68"/>
      <c r="B76" s="104"/>
      <c r="C76" s="104"/>
      <c r="D76" s="104"/>
      <c r="E76" s="68"/>
      <c r="F76" s="68"/>
      <c r="G76" s="68"/>
      <c r="H76" s="68"/>
      <c r="I76" s="68"/>
      <c r="J76" s="68"/>
      <c r="K76" s="68"/>
      <c r="L76" s="68"/>
      <c r="M76" s="68"/>
      <c r="N76" s="68"/>
      <c r="O76" s="68"/>
      <c r="P76" s="68"/>
      <c r="Q76" s="68"/>
      <c r="R76" s="68"/>
      <c r="S76" s="68"/>
      <c r="T76" s="68"/>
      <c r="U76" s="68"/>
      <c r="V76" s="68"/>
      <c r="W76" s="68"/>
      <c r="X76" s="68"/>
      <c r="Y76" s="68"/>
      <c r="Z76" s="68"/>
    </row>
    <row r="77" spans="1:26" ht="17">
      <c r="A77" s="68"/>
      <c r="B77" s="104"/>
      <c r="C77" s="104"/>
      <c r="D77" s="104"/>
      <c r="E77" s="68"/>
      <c r="F77" s="68"/>
      <c r="G77" s="68"/>
      <c r="H77" s="68"/>
      <c r="I77" s="68"/>
      <c r="J77" s="68"/>
      <c r="K77" s="68"/>
      <c r="L77" s="68"/>
      <c r="M77" s="68"/>
      <c r="N77" s="68"/>
      <c r="O77" s="68"/>
      <c r="P77" s="68"/>
      <c r="Q77" s="68"/>
      <c r="R77" s="68"/>
      <c r="S77" s="68"/>
      <c r="T77" s="68"/>
      <c r="U77" s="68"/>
      <c r="V77" s="68"/>
      <c r="W77" s="68"/>
      <c r="X77" s="68"/>
      <c r="Y77" s="68"/>
      <c r="Z77" s="68"/>
    </row>
    <row r="78" spans="1:26" ht="17">
      <c r="A78" s="68"/>
      <c r="B78" s="104"/>
      <c r="C78" s="104"/>
      <c r="D78" s="104"/>
      <c r="E78" s="68"/>
      <c r="F78" s="68"/>
      <c r="G78" s="68"/>
      <c r="H78" s="68"/>
      <c r="I78" s="68"/>
      <c r="J78" s="68"/>
      <c r="K78" s="68"/>
      <c r="L78" s="68"/>
      <c r="M78" s="68"/>
      <c r="N78" s="68"/>
      <c r="O78" s="68"/>
      <c r="P78" s="68"/>
      <c r="Q78" s="68"/>
      <c r="R78" s="68"/>
      <c r="S78" s="68"/>
      <c r="T78" s="68"/>
      <c r="U78" s="68"/>
      <c r="V78" s="68"/>
      <c r="W78" s="68"/>
      <c r="X78" s="68"/>
      <c r="Y78" s="68"/>
      <c r="Z78" s="68"/>
    </row>
    <row r="79" spans="1:26" ht="17">
      <c r="A79" s="68"/>
      <c r="B79" s="104"/>
      <c r="C79" s="104"/>
      <c r="D79" s="104"/>
      <c r="E79" s="68"/>
      <c r="F79" s="68"/>
      <c r="G79" s="68"/>
      <c r="H79" s="68"/>
      <c r="I79" s="68"/>
      <c r="J79" s="68"/>
      <c r="K79" s="68"/>
      <c r="L79" s="68"/>
      <c r="M79" s="68"/>
      <c r="N79" s="68"/>
      <c r="O79" s="68"/>
      <c r="P79" s="68"/>
      <c r="Q79" s="68"/>
      <c r="R79" s="68"/>
      <c r="S79" s="68"/>
      <c r="T79" s="68"/>
      <c r="U79" s="68"/>
      <c r="V79" s="68"/>
      <c r="W79" s="68"/>
      <c r="X79" s="68"/>
      <c r="Y79" s="68"/>
      <c r="Z79" s="68"/>
    </row>
    <row r="80" spans="1:26" ht="17">
      <c r="A80" s="68"/>
      <c r="B80" s="104"/>
      <c r="C80" s="104"/>
      <c r="D80" s="104"/>
      <c r="E80" s="68"/>
      <c r="F80" s="68"/>
      <c r="G80" s="68"/>
      <c r="H80" s="68"/>
      <c r="I80" s="68"/>
      <c r="J80" s="68"/>
      <c r="K80" s="68"/>
      <c r="L80" s="68"/>
      <c r="M80" s="68"/>
      <c r="N80" s="68"/>
      <c r="O80" s="68"/>
      <c r="P80" s="68"/>
      <c r="Q80" s="68"/>
      <c r="R80" s="68"/>
      <c r="S80" s="68"/>
      <c r="T80" s="68"/>
      <c r="U80" s="68"/>
      <c r="V80" s="68"/>
      <c r="W80" s="68"/>
      <c r="X80" s="68"/>
      <c r="Y80" s="68"/>
      <c r="Z80" s="68"/>
    </row>
    <row r="81" spans="1:26" ht="17">
      <c r="A81" s="68"/>
      <c r="B81" s="104"/>
      <c r="C81" s="104"/>
      <c r="D81" s="104"/>
      <c r="E81" s="68"/>
      <c r="F81" s="68"/>
      <c r="G81" s="68"/>
      <c r="H81" s="68"/>
      <c r="I81" s="68"/>
      <c r="J81" s="68"/>
      <c r="K81" s="68"/>
      <c r="L81" s="68"/>
      <c r="M81" s="68"/>
      <c r="N81" s="68"/>
      <c r="O81" s="68"/>
      <c r="P81" s="68"/>
      <c r="Q81" s="68"/>
      <c r="R81" s="68"/>
      <c r="S81" s="68"/>
      <c r="T81" s="68"/>
      <c r="U81" s="68"/>
      <c r="V81" s="68"/>
      <c r="W81" s="68"/>
      <c r="X81" s="68"/>
      <c r="Y81" s="68"/>
      <c r="Z81" s="68"/>
    </row>
    <row r="82" spans="1:26" ht="17">
      <c r="A82" s="68"/>
      <c r="B82" s="104"/>
      <c r="C82" s="104"/>
      <c r="D82" s="104"/>
      <c r="E82" s="68"/>
      <c r="F82" s="68"/>
      <c r="G82" s="68"/>
      <c r="H82" s="68"/>
      <c r="I82" s="68"/>
      <c r="J82" s="68"/>
      <c r="K82" s="68"/>
      <c r="L82" s="68"/>
      <c r="M82" s="68"/>
      <c r="N82" s="68"/>
      <c r="O82" s="68"/>
      <c r="P82" s="68"/>
      <c r="Q82" s="68"/>
      <c r="R82" s="68"/>
      <c r="S82" s="68"/>
      <c r="T82" s="68"/>
      <c r="U82" s="68"/>
      <c r="V82" s="68"/>
      <c r="W82" s="68"/>
      <c r="X82" s="68"/>
      <c r="Y82" s="68"/>
      <c r="Z82" s="68"/>
    </row>
    <row r="83" spans="1:26" ht="17">
      <c r="A83" s="68"/>
      <c r="B83" s="104"/>
      <c r="C83" s="104"/>
      <c r="D83" s="104"/>
      <c r="E83" s="68"/>
      <c r="F83" s="68"/>
      <c r="G83" s="68"/>
      <c r="H83" s="68"/>
      <c r="I83" s="68"/>
      <c r="J83" s="68"/>
      <c r="K83" s="68"/>
      <c r="L83" s="68"/>
      <c r="M83" s="68"/>
      <c r="N83" s="68"/>
      <c r="O83" s="68"/>
      <c r="P83" s="68"/>
      <c r="Q83" s="68"/>
      <c r="R83" s="68"/>
      <c r="S83" s="68"/>
      <c r="T83" s="68"/>
      <c r="U83" s="68"/>
      <c r="V83" s="68"/>
      <c r="W83" s="68"/>
      <c r="X83" s="68"/>
      <c r="Y83" s="68"/>
      <c r="Z83" s="68"/>
    </row>
    <row r="84" spans="1:26" ht="17">
      <c r="A84" s="68"/>
      <c r="B84" s="104"/>
      <c r="C84" s="104"/>
      <c r="D84" s="104"/>
      <c r="E84" s="68"/>
      <c r="F84" s="68"/>
      <c r="G84" s="68"/>
      <c r="H84" s="68"/>
      <c r="I84" s="68"/>
      <c r="J84" s="68"/>
      <c r="K84" s="68"/>
      <c r="L84" s="68"/>
      <c r="M84" s="68"/>
      <c r="N84" s="68"/>
      <c r="O84" s="68"/>
      <c r="P84" s="68"/>
      <c r="Q84" s="68"/>
      <c r="R84" s="68"/>
      <c r="S84" s="68"/>
      <c r="T84" s="68"/>
      <c r="U84" s="68"/>
      <c r="V84" s="68"/>
      <c r="W84" s="68"/>
      <c r="X84" s="68"/>
      <c r="Y84" s="68"/>
      <c r="Z84" s="68"/>
    </row>
    <row r="85" spans="1:26" ht="17">
      <c r="A85" s="68"/>
      <c r="B85" s="104"/>
      <c r="C85" s="104"/>
      <c r="D85" s="104"/>
      <c r="E85" s="68"/>
      <c r="F85" s="68"/>
      <c r="G85" s="68"/>
      <c r="H85" s="68"/>
      <c r="I85" s="68"/>
      <c r="J85" s="68"/>
      <c r="K85" s="68"/>
      <c r="L85" s="68"/>
      <c r="M85" s="68"/>
      <c r="N85" s="68"/>
      <c r="O85" s="68"/>
      <c r="P85" s="68"/>
      <c r="Q85" s="68"/>
      <c r="R85" s="68"/>
      <c r="S85" s="68"/>
      <c r="T85" s="68"/>
      <c r="U85" s="68"/>
      <c r="V85" s="68"/>
      <c r="W85" s="68"/>
      <c r="X85" s="68"/>
      <c r="Y85" s="68"/>
      <c r="Z85" s="68"/>
    </row>
    <row r="86" spans="1:26" ht="17">
      <c r="A86" s="68"/>
      <c r="B86" s="104"/>
      <c r="C86" s="104"/>
      <c r="D86" s="104"/>
      <c r="E86" s="68"/>
      <c r="F86" s="68"/>
      <c r="G86" s="68"/>
      <c r="H86" s="68"/>
      <c r="I86" s="68"/>
      <c r="J86" s="68"/>
      <c r="K86" s="68"/>
      <c r="L86" s="68"/>
      <c r="M86" s="68"/>
      <c r="N86" s="68"/>
      <c r="O86" s="68"/>
      <c r="P86" s="68"/>
      <c r="Q86" s="68"/>
      <c r="R86" s="68"/>
      <c r="S86" s="68"/>
      <c r="T86" s="68"/>
      <c r="U86" s="68"/>
      <c r="V86" s="68"/>
      <c r="W86" s="68"/>
      <c r="X86" s="68"/>
      <c r="Y86" s="68"/>
      <c r="Z86" s="68"/>
    </row>
    <row r="87" spans="1:26" ht="17">
      <c r="A87" s="68"/>
      <c r="B87" s="104"/>
      <c r="C87" s="104"/>
      <c r="D87" s="104"/>
      <c r="E87" s="68"/>
      <c r="F87" s="68"/>
      <c r="G87" s="68"/>
      <c r="H87" s="68"/>
      <c r="I87" s="68"/>
      <c r="J87" s="68"/>
      <c r="K87" s="68"/>
      <c r="L87" s="68"/>
      <c r="M87" s="68"/>
      <c r="N87" s="68"/>
      <c r="O87" s="68"/>
      <c r="P87" s="68"/>
      <c r="Q87" s="68"/>
      <c r="R87" s="68"/>
      <c r="S87" s="68"/>
      <c r="T87" s="68"/>
      <c r="U87" s="68"/>
      <c r="V87" s="68"/>
      <c r="W87" s="68"/>
      <c r="X87" s="68"/>
      <c r="Y87" s="68"/>
      <c r="Z87" s="68"/>
    </row>
    <row r="88" spans="1:26" ht="17">
      <c r="A88" s="68"/>
      <c r="B88" s="104"/>
      <c r="C88" s="104"/>
      <c r="D88" s="104"/>
      <c r="E88" s="68"/>
      <c r="F88" s="68"/>
      <c r="G88" s="68"/>
      <c r="H88" s="68"/>
      <c r="I88" s="68"/>
      <c r="J88" s="68"/>
      <c r="K88" s="68"/>
      <c r="L88" s="68"/>
      <c r="M88" s="68"/>
      <c r="N88" s="68"/>
      <c r="O88" s="68"/>
      <c r="P88" s="68"/>
      <c r="Q88" s="68"/>
      <c r="R88" s="68"/>
      <c r="S88" s="68"/>
      <c r="T88" s="68"/>
      <c r="U88" s="68"/>
      <c r="V88" s="68"/>
      <c r="W88" s="68"/>
      <c r="X88" s="68"/>
      <c r="Y88" s="68"/>
      <c r="Z88" s="68"/>
    </row>
    <row r="89" spans="1:26" ht="17">
      <c r="A89" s="68"/>
      <c r="B89" s="104"/>
      <c r="C89" s="104"/>
      <c r="D89" s="104"/>
      <c r="E89" s="68"/>
      <c r="F89" s="68"/>
      <c r="G89" s="68"/>
      <c r="H89" s="68"/>
      <c r="I89" s="68"/>
      <c r="J89" s="68"/>
      <c r="K89" s="68"/>
      <c r="L89" s="68"/>
      <c r="M89" s="68"/>
      <c r="N89" s="68"/>
      <c r="O89" s="68"/>
      <c r="P89" s="68"/>
      <c r="Q89" s="68"/>
      <c r="R89" s="68"/>
      <c r="S89" s="68"/>
      <c r="T89" s="68"/>
      <c r="U89" s="68"/>
      <c r="V89" s="68"/>
      <c r="W89" s="68"/>
      <c r="X89" s="68"/>
      <c r="Y89" s="68"/>
      <c r="Z89" s="68"/>
    </row>
    <row r="90" spans="1:26" ht="17">
      <c r="A90" s="68"/>
      <c r="B90" s="104"/>
      <c r="C90" s="104"/>
      <c r="D90" s="104"/>
      <c r="E90" s="68"/>
      <c r="F90" s="68"/>
      <c r="G90" s="68"/>
      <c r="H90" s="68"/>
      <c r="I90" s="68"/>
      <c r="J90" s="68"/>
      <c r="K90" s="68"/>
      <c r="L90" s="68"/>
      <c r="M90" s="68"/>
      <c r="N90" s="68"/>
      <c r="O90" s="68"/>
      <c r="P90" s="68"/>
      <c r="Q90" s="68"/>
      <c r="R90" s="68"/>
      <c r="S90" s="68"/>
      <c r="T90" s="68"/>
      <c r="U90" s="68"/>
      <c r="V90" s="68"/>
      <c r="W90" s="68"/>
      <c r="X90" s="68"/>
      <c r="Y90" s="68"/>
      <c r="Z90" s="68"/>
    </row>
    <row r="91" spans="1:26" ht="17">
      <c r="A91" s="68"/>
      <c r="B91" s="104"/>
      <c r="C91" s="104"/>
      <c r="D91" s="104"/>
      <c r="E91" s="68"/>
      <c r="F91" s="68"/>
      <c r="G91" s="68"/>
      <c r="H91" s="68"/>
      <c r="I91" s="68"/>
      <c r="J91" s="68"/>
      <c r="K91" s="68"/>
      <c r="L91" s="68"/>
      <c r="M91" s="68"/>
      <c r="N91" s="68"/>
      <c r="O91" s="68"/>
      <c r="P91" s="68"/>
      <c r="Q91" s="68"/>
      <c r="R91" s="68"/>
      <c r="S91" s="68"/>
      <c r="T91" s="68"/>
      <c r="U91" s="68"/>
      <c r="V91" s="68"/>
      <c r="W91" s="68"/>
      <c r="X91" s="68"/>
      <c r="Y91" s="68"/>
      <c r="Z91" s="68"/>
    </row>
    <row r="92" spans="1:26" ht="17">
      <c r="A92" s="68"/>
      <c r="B92" s="104"/>
      <c r="C92" s="104"/>
      <c r="D92" s="104"/>
      <c r="E92" s="68"/>
      <c r="F92" s="68"/>
      <c r="G92" s="68"/>
      <c r="H92" s="68"/>
      <c r="I92" s="68"/>
      <c r="J92" s="68"/>
      <c r="K92" s="68"/>
      <c r="L92" s="68"/>
      <c r="M92" s="68"/>
      <c r="N92" s="68"/>
      <c r="O92" s="68"/>
      <c r="P92" s="68"/>
      <c r="Q92" s="68"/>
      <c r="R92" s="68"/>
      <c r="S92" s="68"/>
      <c r="T92" s="68"/>
      <c r="U92" s="68"/>
      <c r="V92" s="68"/>
      <c r="W92" s="68"/>
      <c r="X92" s="68"/>
      <c r="Y92" s="68"/>
      <c r="Z92" s="68"/>
    </row>
    <row r="93" spans="1:26" ht="17">
      <c r="A93" s="68"/>
      <c r="B93" s="104"/>
      <c r="C93" s="104"/>
      <c r="D93" s="104"/>
      <c r="E93" s="68"/>
      <c r="F93" s="68"/>
      <c r="G93" s="68"/>
      <c r="H93" s="68"/>
      <c r="I93" s="68"/>
      <c r="J93" s="68"/>
      <c r="K93" s="68"/>
      <c r="L93" s="68"/>
      <c r="M93" s="68"/>
      <c r="N93" s="68"/>
      <c r="O93" s="68"/>
      <c r="P93" s="68"/>
      <c r="Q93" s="68"/>
      <c r="R93" s="68"/>
      <c r="S93" s="68"/>
      <c r="T93" s="68"/>
      <c r="U93" s="68"/>
      <c r="V93" s="68"/>
      <c r="W93" s="68"/>
      <c r="X93" s="68"/>
      <c r="Y93" s="68"/>
      <c r="Z93" s="68"/>
    </row>
    <row r="94" spans="1:26" ht="17">
      <c r="A94" s="68"/>
      <c r="B94" s="104"/>
      <c r="C94" s="104"/>
      <c r="D94" s="104"/>
      <c r="E94" s="68"/>
      <c r="F94" s="68"/>
      <c r="G94" s="68"/>
      <c r="H94" s="68"/>
      <c r="I94" s="68"/>
      <c r="J94" s="68"/>
      <c r="K94" s="68"/>
      <c r="L94" s="68"/>
      <c r="M94" s="68"/>
      <c r="N94" s="68"/>
      <c r="O94" s="68"/>
      <c r="P94" s="68"/>
      <c r="Q94" s="68"/>
      <c r="R94" s="68"/>
      <c r="S94" s="68"/>
      <c r="T94" s="68"/>
      <c r="U94" s="68"/>
      <c r="V94" s="68"/>
      <c r="W94" s="68"/>
      <c r="X94" s="68"/>
      <c r="Y94" s="68"/>
      <c r="Z94" s="68"/>
    </row>
    <row r="95" spans="1:26" ht="17">
      <c r="A95" s="68"/>
      <c r="B95" s="104"/>
      <c r="C95" s="104"/>
      <c r="D95" s="104"/>
      <c r="E95" s="68"/>
      <c r="F95" s="68"/>
      <c r="G95" s="68"/>
      <c r="H95" s="68"/>
      <c r="I95" s="68"/>
      <c r="J95" s="68"/>
      <c r="K95" s="68"/>
      <c r="L95" s="68"/>
      <c r="M95" s="68"/>
      <c r="N95" s="68"/>
      <c r="O95" s="68"/>
      <c r="P95" s="68"/>
      <c r="Q95" s="68"/>
      <c r="R95" s="68"/>
      <c r="S95" s="68"/>
      <c r="T95" s="68"/>
      <c r="U95" s="68"/>
      <c r="V95" s="68"/>
      <c r="W95" s="68"/>
      <c r="X95" s="68"/>
      <c r="Y95" s="68"/>
      <c r="Z95" s="68"/>
    </row>
    <row r="96" spans="1:26" ht="17">
      <c r="A96" s="68"/>
      <c r="B96" s="104"/>
      <c r="C96" s="104"/>
      <c r="D96" s="104"/>
      <c r="E96" s="68"/>
      <c r="F96" s="68"/>
      <c r="G96" s="68"/>
      <c r="H96" s="68"/>
      <c r="I96" s="68"/>
      <c r="J96" s="68"/>
      <c r="K96" s="68"/>
      <c r="L96" s="68"/>
      <c r="M96" s="68"/>
      <c r="N96" s="68"/>
      <c r="O96" s="68"/>
      <c r="P96" s="68"/>
      <c r="Q96" s="68"/>
      <c r="R96" s="68"/>
      <c r="S96" s="68"/>
      <c r="T96" s="68"/>
      <c r="U96" s="68"/>
      <c r="V96" s="68"/>
      <c r="W96" s="68"/>
      <c r="X96" s="68"/>
      <c r="Y96" s="68"/>
      <c r="Z96" s="68"/>
    </row>
    <row r="97" spans="1:26" ht="17">
      <c r="A97" s="68"/>
      <c r="B97" s="104"/>
      <c r="C97" s="104"/>
      <c r="D97" s="104"/>
      <c r="E97" s="68"/>
      <c r="F97" s="68"/>
      <c r="G97" s="68"/>
      <c r="H97" s="68"/>
      <c r="I97" s="68"/>
      <c r="J97" s="68"/>
      <c r="K97" s="68"/>
      <c r="L97" s="68"/>
      <c r="M97" s="68"/>
      <c r="N97" s="68"/>
      <c r="O97" s="68"/>
      <c r="P97" s="68"/>
      <c r="Q97" s="68"/>
      <c r="R97" s="68"/>
      <c r="S97" s="68"/>
      <c r="T97" s="68"/>
      <c r="U97" s="68"/>
      <c r="V97" s="68"/>
      <c r="W97" s="68"/>
      <c r="X97" s="68"/>
      <c r="Y97" s="68"/>
      <c r="Z97" s="68"/>
    </row>
    <row r="98" spans="1:26" ht="17">
      <c r="A98" s="68"/>
      <c r="B98" s="104"/>
      <c r="C98" s="104"/>
      <c r="D98" s="104"/>
      <c r="E98" s="68"/>
      <c r="F98" s="68"/>
      <c r="G98" s="68"/>
      <c r="H98" s="68"/>
      <c r="I98" s="68"/>
      <c r="J98" s="68"/>
      <c r="K98" s="68"/>
      <c r="L98" s="68"/>
      <c r="M98" s="68"/>
      <c r="N98" s="68"/>
      <c r="O98" s="68"/>
      <c r="P98" s="68"/>
      <c r="Q98" s="68"/>
      <c r="R98" s="68"/>
      <c r="S98" s="68"/>
      <c r="T98" s="68"/>
      <c r="U98" s="68"/>
      <c r="V98" s="68"/>
      <c r="W98" s="68"/>
      <c r="X98" s="68"/>
      <c r="Y98" s="68"/>
      <c r="Z98" s="68"/>
    </row>
    <row r="99" spans="1:26" ht="17">
      <c r="A99" s="68"/>
      <c r="B99" s="104"/>
      <c r="C99" s="104"/>
      <c r="D99" s="104"/>
      <c r="E99" s="68"/>
      <c r="F99" s="68"/>
      <c r="G99" s="68"/>
      <c r="H99" s="68"/>
      <c r="I99" s="68"/>
      <c r="J99" s="68"/>
      <c r="K99" s="68"/>
      <c r="L99" s="68"/>
      <c r="M99" s="68"/>
      <c r="N99" s="68"/>
      <c r="O99" s="68"/>
      <c r="P99" s="68"/>
      <c r="Q99" s="68"/>
      <c r="R99" s="68"/>
      <c r="S99" s="68"/>
      <c r="T99" s="68"/>
      <c r="U99" s="68"/>
      <c r="V99" s="68"/>
      <c r="W99" s="68"/>
      <c r="X99" s="68"/>
      <c r="Y99" s="68"/>
      <c r="Z99" s="68"/>
    </row>
    <row r="100" spans="1:26" ht="17">
      <c r="A100" s="68"/>
      <c r="B100" s="104"/>
      <c r="C100" s="104"/>
      <c r="D100" s="104"/>
      <c r="E100" s="68"/>
      <c r="F100" s="68"/>
      <c r="G100" s="68"/>
      <c r="H100" s="68"/>
      <c r="I100" s="68"/>
      <c r="J100" s="68"/>
      <c r="K100" s="68"/>
      <c r="L100" s="68"/>
      <c r="M100" s="68"/>
      <c r="N100" s="68"/>
      <c r="O100" s="68"/>
      <c r="P100" s="68"/>
      <c r="Q100" s="68"/>
      <c r="R100" s="68"/>
      <c r="S100" s="68"/>
      <c r="T100" s="68"/>
      <c r="U100" s="68"/>
      <c r="V100" s="68"/>
      <c r="W100" s="68"/>
      <c r="X100" s="68"/>
      <c r="Y100" s="68"/>
      <c r="Z100" s="68"/>
    </row>
    <row r="101" spans="1:26" ht="17">
      <c r="A101" s="68"/>
      <c r="B101" s="104"/>
      <c r="C101" s="104"/>
      <c r="D101" s="104"/>
      <c r="E101" s="68"/>
      <c r="F101" s="68"/>
      <c r="G101" s="68"/>
      <c r="H101" s="68"/>
      <c r="I101" s="68"/>
      <c r="J101" s="68"/>
      <c r="K101" s="68"/>
      <c r="L101" s="68"/>
      <c r="M101" s="68"/>
      <c r="N101" s="68"/>
      <c r="O101" s="68"/>
      <c r="P101" s="68"/>
      <c r="Q101" s="68"/>
      <c r="R101" s="68"/>
      <c r="S101" s="68"/>
      <c r="T101" s="68"/>
      <c r="U101" s="68"/>
      <c r="V101" s="68"/>
      <c r="W101" s="68"/>
      <c r="X101" s="68"/>
      <c r="Y101" s="68"/>
      <c r="Z101" s="68"/>
    </row>
    <row r="102" spans="1:26" ht="17">
      <c r="A102" s="68"/>
      <c r="B102" s="104"/>
      <c r="C102" s="104"/>
      <c r="D102" s="104"/>
      <c r="E102" s="68"/>
      <c r="F102" s="68"/>
      <c r="G102" s="68"/>
      <c r="H102" s="68"/>
      <c r="I102" s="68"/>
      <c r="J102" s="68"/>
      <c r="K102" s="68"/>
      <c r="L102" s="68"/>
      <c r="M102" s="68"/>
      <c r="N102" s="68"/>
      <c r="O102" s="68"/>
      <c r="P102" s="68"/>
      <c r="Q102" s="68"/>
      <c r="R102" s="68"/>
      <c r="S102" s="68"/>
      <c r="T102" s="68"/>
      <c r="U102" s="68"/>
      <c r="V102" s="68"/>
      <c r="W102" s="68"/>
      <c r="X102" s="68"/>
      <c r="Y102" s="68"/>
      <c r="Z102" s="68"/>
    </row>
    <row r="103" spans="1:26" ht="17">
      <c r="A103" s="68"/>
      <c r="B103" s="104"/>
      <c r="C103" s="104"/>
      <c r="D103" s="104"/>
      <c r="E103" s="68"/>
      <c r="F103" s="68"/>
      <c r="G103" s="68"/>
      <c r="H103" s="68"/>
      <c r="I103" s="68"/>
      <c r="J103" s="68"/>
      <c r="K103" s="68"/>
      <c r="L103" s="68"/>
      <c r="M103" s="68"/>
      <c r="N103" s="68"/>
      <c r="O103" s="68"/>
      <c r="P103" s="68"/>
      <c r="Q103" s="68"/>
      <c r="R103" s="68"/>
      <c r="S103" s="68"/>
      <c r="T103" s="68"/>
      <c r="U103" s="68"/>
      <c r="V103" s="68"/>
      <c r="W103" s="68"/>
      <c r="X103" s="68"/>
      <c r="Y103" s="68"/>
      <c r="Z103" s="68"/>
    </row>
    <row r="104" spans="1:26" ht="17">
      <c r="A104" s="68"/>
      <c r="B104" s="104"/>
      <c r="C104" s="104"/>
      <c r="D104" s="104"/>
      <c r="E104" s="68"/>
      <c r="F104" s="68"/>
      <c r="G104" s="68"/>
      <c r="H104" s="68"/>
      <c r="I104" s="68"/>
      <c r="J104" s="68"/>
      <c r="K104" s="68"/>
      <c r="L104" s="68"/>
      <c r="M104" s="68"/>
      <c r="N104" s="68"/>
      <c r="O104" s="68"/>
      <c r="P104" s="68"/>
      <c r="Q104" s="68"/>
      <c r="R104" s="68"/>
      <c r="S104" s="68"/>
      <c r="T104" s="68"/>
      <c r="U104" s="68"/>
      <c r="V104" s="68"/>
      <c r="W104" s="68"/>
      <c r="X104" s="68"/>
      <c r="Y104" s="68"/>
      <c r="Z104" s="68"/>
    </row>
    <row r="105" spans="1:26" ht="17">
      <c r="A105" s="68"/>
      <c r="B105" s="104"/>
      <c r="C105" s="104"/>
      <c r="D105" s="104"/>
      <c r="E105" s="68"/>
      <c r="F105" s="68"/>
      <c r="G105" s="68"/>
      <c r="H105" s="68"/>
      <c r="I105" s="68"/>
      <c r="J105" s="68"/>
      <c r="K105" s="68"/>
      <c r="L105" s="68"/>
      <c r="M105" s="68"/>
      <c r="N105" s="68"/>
      <c r="O105" s="68"/>
      <c r="P105" s="68"/>
      <c r="Q105" s="68"/>
      <c r="R105" s="68"/>
      <c r="S105" s="68"/>
      <c r="T105" s="68"/>
      <c r="U105" s="68"/>
      <c r="V105" s="68"/>
      <c r="W105" s="68"/>
      <c r="X105" s="68"/>
      <c r="Y105" s="68"/>
      <c r="Z105" s="68"/>
    </row>
    <row r="106" spans="1:26" ht="17">
      <c r="A106" s="68"/>
      <c r="B106" s="104"/>
      <c r="C106" s="104"/>
      <c r="D106" s="104"/>
      <c r="E106" s="68"/>
      <c r="F106" s="68"/>
      <c r="G106" s="68"/>
      <c r="H106" s="68"/>
      <c r="I106" s="68"/>
      <c r="J106" s="68"/>
      <c r="K106" s="68"/>
      <c r="L106" s="68"/>
      <c r="M106" s="68"/>
      <c r="N106" s="68"/>
      <c r="O106" s="68"/>
      <c r="P106" s="68"/>
      <c r="Q106" s="68"/>
      <c r="R106" s="68"/>
      <c r="S106" s="68"/>
      <c r="T106" s="68"/>
      <c r="U106" s="68"/>
      <c r="V106" s="68"/>
      <c r="W106" s="68"/>
      <c r="X106" s="68"/>
      <c r="Y106" s="68"/>
      <c r="Z106" s="68"/>
    </row>
    <row r="107" spans="1:26" ht="17">
      <c r="A107" s="68"/>
      <c r="B107" s="104"/>
      <c r="C107" s="104"/>
      <c r="D107" s="104"/>
      <c r="E107" s="68"/>
      <c r="F107" s="68"/>
      <c r="G107" s="68"/>
      <c r="H107" s="68"/>
      <c r="I107" s="68"/>
      <c r="J107" s="68"/>
      <c r="K107" s="68"/>
      <c r="L107" s="68"/>
      <c r="M107" s="68"/>
      <c r="N107" s="68"/>
      <c r="O107" s="68"/>
      <c r="P107" s="68"/>
      <c r="Q107" s="68"/>
      <c r="R107" s="68"/>
      <c r="S107" s="68"/>
      <c r="T107" s="68"/>
      <c r="U107" s="68"/>
      <c r="V107" s="68"/>
      <c r="W107" s="68"/>
      <c r="X107" s="68"/>
      <c r="Y107" s="68"/>
      <c r="Z107" s="68"/>
    </row>
    <row r="108" spans="1:26" ht="17">
      <c r="A108" s="68"/>
      <c r="B108" s="104"/>
      <c r="C108" s="104"/>
      <c r="D108" s="104"/>
      <c r="E108" s="68"/>
      <c r="F108" s="68"/>
      <c r="G108" s="68"/>
      <c r="H108" s="68"/>
      <c r="I108" s="68"/>
      <c r="J108" s="68"/>
      <c r="K108" s="68"/>
      <c r="L108" s="68"/>
      <c r="M108" s="68"/>
      <c r="N108" s="68"/>
      <c r="O108" s="68"/>
      <c r="P108" s="68"/>
      <c r="Q108" s="68"/>
      <c r="R108" s="68"/>
      <c r="S108" s="68"/>
      <c r="T108" s="68"/>
      <c r="U108" s="68"/>
      <c r="V108" s="68"/>
      <c r="W108" s="68"/>
      <c r="X108" s="68"/>
      <c r="Y108" s="68"/>
      <c r="Z108" s="68"/>
    </row>
    <row r="109" spans="1:26" ht="17">
      <c r="A109" s="68"/>
      <c r="B109" s="104"/>
      <c r="C109" s="104"/>
      <c r="D109" s="104"/>
      <c r="E109" s="68"/>
      <c r="F109" s="68"/>
      <c r="G109" s="68"/>
      <c r="H109" s="68"/>
      <c r="I109" s="68"/>
      <c r="J109" s="68"/>
      <c r="K109" s="68"/>
      <c r="L109" s="68"/>
      <c r="M109" s="68"/>
      <c r="N109" s="68"/>
      <c r="O109" s="68"/>
      <c r="P109" s="68"/>
      <c r="Q109" s="68"/>
      <c r="R109" s="68"/>
      <c r="S109" s="68"/>
      <c r="T109" s="68"/>
      <c r="U109" s="68"/>
      <c r="V109" s="68"/>
      <c r="W109" s="68"/>
      <c r="X109" s="68"/>
      <c r="Y109" s="68"/>
      <c r="Z109" s="68"/>
    </row>
    <row r="110" spans="1:26" ht="17">
      <c r="A110" s="68"/>
      <c r="B110" s="104"/>
      <c r="C110" s="104"/>
      <c r="D110" s="104"/>
      <c r="E110" s="68"/>
      <c r="F110" s="68"/>
      <c r="G110" s="68"/>
      <c r="H110" s="68"/>
      <c r="I110" s="68"/>
      <c r="J110" s="68"/>
      <c r="K110" s="68"/>
      <c r="L110" s="68"/>
      <c r="M110" s="68"/>
      <c r="N110" s="68"/>
      <c r="O110" s="68"/>
      <c r="P110" s="68"/>
      <c r="Q110" s="68"/>
      <c r="R110" s="68"/>
      <c r="S110" s="68"/>
      <c r="T110" s="68"/>
      <c r="U110" s="68"/>
      <c r="V110" s="68"/>
      <c r="W110" s="68"/>
      <c r="X110" s="68"/>
      <c r="Y110" s="68"/>
      <c r="Z110" s="68"/>
    </row>
    <row r="111" spans="1:26" ht="17">
      <c r="A111" s="68"/>
      <c r="B111" s="104"/>
      <c r="C111" s="104"/>
      <c r="D111" s="104"/>
      <c r="E111" s="68"/>
      <c r="F111" s="68"/>
      <c r="G111" s="68"/>
      <c r="H111" s="68"/>
      <c r="I111" s="68"/>
      <c r="J111" s="68"/>
      <c r="K111" s="68"/>
      <c r="L111" s="68"/>
      <c r="M111" s="68"/>
      <c r="N111" s="68"/>
      <c r="O111" s="68"/>
      <c r="P111" s="68"/>
      <c r="Q111" s="68"/>
      <c r="R111" s="68"/>
      <c r="S111" s="68"/>
      <c r="T111" s="68"/>
      <c r="U111" s="68"/>
      <c r="V111" s="68"/>
      <c r="W111" s="68"/>
      <c r="X111" s="68"/>
      <c r="Y111" s="68"/>
      <c r="Z111" s="68"/>
    </row>
    <row r="112" spans="1:26" ht="17">
      <c r="A112" s="68"/>
      <c r="B112" s="104"/>
      <c r="C112" s="104"/>
      <c r="D112" s="104"/>
      <c r="E112" s="68"/>
      <c r="F112" s="68"/>
      <c r="G112" s="68"/>
      <c r="H112" s="68"/>
      <c r="I112" s="68"/>
      <c r="J112" s="68"/>
      <c r="K112" s="68"/>
      <c r="L112" s="68"/>
      <c r="M112" s="68"/>
      <c r="N112" s="68"/>
      <c r="O112" s="68"/>
      <c r="P112" s="68"/>
      <c r="Q112" s="68"/>
      <c r="R112" s="68"/>
      <c r="S112" s="68"/>
      <c r="T112" s="68"/>
      <c r="U112" s="68"/>
      <c r="V112" s="68"/>
      <c r="W112" s="68"/>
      <c r="X112" s="68"/>
      <c r="Y112" s="68"/>
      <c r="Z112" s="68"/>
    </row>
    <row r="113" spans="1:26" ht="17">
      <c r="A113" s="68"/>
      <c r="B113" s="104"/>
      <c r="C113" s="104"/>
      <c r="D113" s="104"/>
      <c r="E113" s="68"/>
      <c r="F113" s="68"/>
      <c r="G113" s="68"/>
      <c r="H113" s="68"/>
      <c r="I113" s="68"/>
      <c r="J113" s="68"/>
      <c r="K113" s="68"/>
      <c r="L113" s="68"/>
      <c r="M113" s="68"/>
      <c r="N113" s="68"/>
      <c r="O113" s="68"/>
      <c r="P113" s="68"/>
      <c r="Q113" s="68"/>
      <c r="R113" s="68"/>
      <c r="S113" s="68"/>
      <c r="T113" s="68"/>
      <c r="U113" s="68"/>
      <c r="V113" s="68"/>
      <c r="W113" s="68"/>
      <c r="X113" s="68"/>
      <c r="Y113" s="68"/>
      <c r="Z113" s="68"/>
    </row>
    <row r="114" spans="1:26" ht="17">
      <c r="A114" s="68"/>
      <c r="B114" s="104"/>
      <c r="C114" s="104"/>
      <c r="D114" s="104"/>
      <c r="E114" s="68"/>
      <c r="F114" s="68"/>
      <c r="G114" s="68"/>
      <c r="H114" s="68"/>
      <c r="I114" s="68"/>
      <c r="J114" s="68"/>
      <c r="K114" s="68"/>
      <c r="L114" s="68"/>
      <c r="M114" s="68"/>
      <c r="N114" s="68"/>
      <c r="O114" s="68"/>
      <c r="P114" s="68"/>
      <c r="Q114" s="68"/>
      <c r="R114" s="68"/>
      <c r="S114" s="68"/>
      <c r="T114" s="68"/>
      <c r="U114" s="68"/>
      <c r="V114" s="68"/>
      <c r="W114" s="68"/>
      <c r="X114" s="68"/>
      <c r="Y114" s="68"/>
      <c r="Z114" s="68"/>
    </row>
    <row r="115" spans="1:26" ht="17">
      <c r="A115" s="68"/>
      <c r="B115" s="104"/>
      <c r="C115" s="104"/>
      <c r="D115" s="104"/>
      <c r="E115" s="68"/>
      <c r="F115" s="68"/>
      <c r="G115" s="68"/>
      <c r="H115" s="68"/>
      <c r="I115" s="68"/>
      <c r="J115" s="68"/>
      <c r="K115" s="68"/>
      <c r="L115" s="68"/>
      <c r="M115" s="68"/>
      <c r="N115" s="68"/>
      <c r="O115" s="68"/>
      <c r="P115" s="68"/>
      <c r="Q115" s="68"/>
      <c r="R115" s="68"/>
      <c r="S115" s="68"/>
      <c r="T115" s="68"/>
      <c r="U115" s="68"/>
      <c r="V115" s="68"/>
      <c r="W115" s="68"/>
      <c r="X115" s="68"/>
      <c r="Y115" s="68"/>
      <c r="Z115" s="68"/>
    </row>
    <row r="116" spans="1:26" ht="17">
      <c r="A116" s="68"/>
      <c r="B116" s="104"/>
      <c r="C116" s="104"/>
      <c r="D116" s="104"/>
      <c r="E116" s="68"/>
      <c r="F116" s="68"/>
      <c r="G116" s="68"/>
      <c r="H116" s="68"/>
      <c r="I116" s="68"/>
      <c r="J116" s="68"/>
      <c r="K116" s="68"/>
      <c r="L116" s="68"/>
      <c r="M116" s="68"/>
      <c r="N116" s="68"/>
      <c r="O116" s="68"/>
      <c r="P116" s="68"/>
      <c r="Q116" s="68"/>
      <c r="R116" s="68"/>
      <c r="S116" s="68"/>
      <c r="T116" s="68"/>
      <c r="U116" s="68"/>
      <c r="V116" s="68"/>
      <c r="W116" s="68"/>
      <c r="X116" s="68"/>
      <c r="Y116" s="68"/>
      <c r="Z116" s="68"/>
    </row>
    <row r="117" spans="1:26" ht="17">
      <c r="A117" s="68"/>
      <c r="B117" s="104"/>
      <c r="C117" s="104"/>
      <c r="D117" s="104"/>
      <c r="E117" s="68"/>
      <c r="F117" s="68"/>
      <c r="G117" s="68"/>
      <c r="H117" s="68"/>
      <c r="I117" s="68"/>
      <c r="J117" s="68"/>
      <c r="K117" s="68"/>
      <c r="L117" s="68"/>
      <c r="M117" s="68"/>
      <c r="N117" s="68"/>
      <c r="O117" s="68"/>
      <c r="P117" s="68"/>
      <c r="Q117" s="68"/>
      <c r="R117" s="68"/>
      <c r="S117" s="68"/>
      <c r="T117" s="68"/>
      <c r="U117" s="68"/>
      <c r="V117" s="68"/>
      <c r="W117" s="68"/>
      <c r="X117" s="68"/>
      <c r="Y117" s="68"/>
      <c r="Z117" s="68"/>
    </row>
    <row r="118" spans="1:26" ht="17">
      <c r="A118" s="68"/>
      <c r="B118" s="104"/>
      <c r="C118" s="104"/>
      <c r="D118" s="104"/>
      <c r="E118" s="68"/>
      <c r="F118" s="68"/>
      <c r="G118" s="68"/>
      <c r="H118" s="68"/>
      <c r="I118" s="68"/>
      <c r="J118" s="68"/>
      <c r="K118" s="68"/>
      <c r="L118" s="68"/>
      <c r="M118" s="68"/>
      <c r="N118" s="68"/>
      <c r="O118" s="68"/>
      <c r="P118" s="68"/>
      <c r="Q118" s="68"/>
      <c r="R118" s="68"/>
      <c r="S118" s="68"/>
      <c r="T118" s="68"/>
      <c r="U118" s="68"/>
      <c r="V118" s="68"/>
      <c r="W118" s="68"/>
      <c r="X118" s="68"/>
      <c r="Y118" s="68"/>
      <c r="Z118" s="68"/>
    </row>
    <row r="119" spans="1:26" ht="17">
      <c r="A119" s="68"/>
      <c r="B119" s="104"/>
      <c r="C119" s="104"/>
      <c r="D119" s="104"/>
      <c r="E119" s="68"/>
      <c r="F119" s="68"/>
      <c r="G119" s="68"/>
      <c r="H119" s="68"/>
      <c r="I119" s="68"/>
      <c r="J119" s="68"/>
      <c r="K119" s="68"/>
      <c r="L119" s="68"/>
      <c r="M119" s="68"/>
      <c r="N119" s="68"/>
      <c r="O119" s="68"/>
      <c r="P119" s="68"/>
      <c r="Q119" s="68"/>
      <c r="R119" s="68"/>
      <c r="S119" s="68"/>
      <c r="T119" s="68"/>
      <c r="U119" s="68"/>
      <c r="V119" s="68"/>
      <c r="W119" s="68"/>
      <c r="X119" s="68"/>
      <c r="Y119" s="68"/>
      <c r="Z119" s="68"/>
    </row>
    <row r="120" spans="1:26" ht="17">
      <c r="A120" s="68"/>
      <c r="B120" s="104"/>
      <c r="C120" s="104"/>
      <c r="D120" s="104"/>
      <c r="E120" s="68"/>
      <c r="F120" s="68"/>
      <c r="G120" s="68"/>
      <c r="H120" s="68"/>
      <c r="I120" s="68"/>
      <c r="J120" s="68"/>
      <c r="K120" s="68"/>
      <c r="L120" s="68"/>
      <c r="M120" s="68"/>
      <c r="N120" s="68"/>
      <c r="O120" s="68"/>
      <c r="P120" s="68"/>
      <c r="Q120" s="68"/>
      <c r="R120" s="68"/>
      <c r="S120" s="68"/>
      <c r="T120" s="68"/>
      <c r="U120" s="68"/>
      <c r="V120" s="68"/>
      <c r="W120" s="68"/>
      <c r="X120" s="68"/>
      <c r="Y120" s="68"/>
      <c r="Z120" s="68"/>
    </row>
    <row r="121" spans="1:26" ht="17">
      <c r="A121" s="68"/>
      <c r="B121" s="104"/>
      <c r="C121" s="104"/>
      <c r="D121" s="104"/>
      <c r="E121" s="68"/>
      <c r="F121" s="68"/>
      <c r="G121" s="68"/>
      <c r="H121" s="68"/>
      <c r="I121" s="68"/>
      <c r="J121" s="68"/>
      <c r="K121" s="68"/>
      <c r="L121" s="68"/>
      <c r="M121" s="68"/>
      <c r="N121" s="68"/>
      <c r="O121" s="68"/>
      <c r="P121" s="68"/>
      <c r="Q121" s="68"/>
      <c r="R121" s="68"/>
      <c r="S121" s="68"/>
      <c r="T121" s="68"/>
      <c r="U121" s="68"/>
      <c r="V121" s="68"/>
      <c r="W121" s="68"/>
      <c r="X121" s="68"/>
      <c r="Y121" s="68"/>
      <c r="Z121" s="68"/>
    </row>
    <row r="122" spans="1:26" ht="17">
      <c r="A122" s="68"/>
      <c r="B122" s="104"/>
      <c r="C122" s="104"/>
      <c r="D122" s="104"/>
      <c r="E122" s="68"/>
      <c r="F122" s="68"/>
      <c r="G122" s="68"/>
      <c r="H122" s="68"/>
      <c r="I122" s="68"/>
      <c r="J122" s="68"/>
      <c r="K122" s="68"/>
      <c r="L122" s="68"/>
      <c r="M122" s="68"/>
      <c r="N122" s="68"/>
      <c r="O122" s="68"/>
      <c r="P122" s="68"/>
      <c r="Q122" s="68"/>
      <c r="R122" s="68"/>
      <c r="S122" s="68"/>
      <c r="T122" s="68"/>
      <c r="U122" s="68"/>
      <c r="V122" s="68"/>
      <c r="W122" s="68"/>
      <c r="X122" s="68"/>
      <c r="Y122" s="68"/>
      <c r="Z122" s="68"/>
    </row>
    <row r="123" spans="1:26" ht="17">
      <c r="A123" s="68"/>
      <c r="B123" s="104"/>
      <c r="C123" s="104"/>
      <c r="D123" s="104"/>
      <c r="E123" s="68"/>
      <c r="F123" s="68"/>
      <c r="G123" s="68"/>
      <c r="H123" s="68"/>
      <c r="I123" s="68"/>
      <c r="J123" s="68"/>
      <c r="K123" s="68"/>
      <c r="L123" s="68"/>
      <c r="M123" s="68"/>
      <c r="N123" s="68"/>
      <c r="O123" s="68"/>
      <c r="P123" s="68"/>
      <c r="Q123" s="68"/>
      <c r="R123" s="68"/>
      <c r="S123" s="68"/>
      <c r="T123" s="68"/>
      <c r="U123" s="68"/>
      <c r="V123" s="68"/>
      <c r="W123" s="68"/>
      <c r="X123" s="68"/>
      <c r="Y123" s="68"/>
      <c r="Z123" s="68"/>
    </row>
    <row r="124" spans="1:26" ht="17">
      <c r="A124" s="68"/>
      <c r="B124" s="104"/>
      <c r="C124" s="104"/>
      <c r="D124" s="104"/>
      <c r="E124" s="68"/>
      <c r="F124" s="68"/>
      <c r="G124" s="68"/>
      <c r="H124" s="68"/>
      <c r="I124" s="68"/>
      <c r="J124" s="68"/>
      <c r="K124" s="68"/>
      <c r="L124" s="68"/>
      <c r="M124" s="68"/>
      <c r="N124" s="68"/>
      <c r="O124" s="68"/>
      <c r="P124" s="68"/>
      <c r="Q124" s="68"/>
      <c r="R124" s="68"/>
      <c r="S124" s="68"/>
      <c r="T124" s="68"/>
      <c r="U124" s="68"/>
      <c r="V124" s="68"/>
      <c r="W124" s="68"/>
      <c r="X124" s="68"/>
      <c r="Y124" s="68"/>
      <c r="Z124" s="68"/>
    </row>
    <row r="125" spans="1:26" ht="17">
      <c r="A125" s="68"/>
      <c r="B125" s="104"/>
      <c r="C125" s="104"/>
      <c r="D125" s="104"/>
      <c r="E125" s="68"/>
      <c r="F125" s="68"/>
      <c r="G125" s="68"/>
      <c r="H125" s="68"/>
      <c r="I125" s="68"/>
      <c r="J125" s="68"/>
      <c r="K125" s="68"/>
      <c r="L125" s="68"/>
      <c r="M125" s="68"/>
      <c r="N125" s="68"/>
      <c r="O125" s="68"/>
      <c r="P125" s="68"/>
      <c r="Q125" s="68"/>
      <c r="R125" s="68"/>
      <c r="S125" s="68"/>
      <c r="T125" s="68"/>
      <c r="U125" s="68"/>
      <c r="V125" s="68"/>
      <c r="W125" s="68"/>
      <c r="X125" s="68"/>
      <c r="Y125" s="68"/>
      <c r="Z125" s="68"/>
    </row>
    <row r="126" spans="1:26" ht="17">
      <c r="A126" s="68"/>
      <c r="B126" s="104"/>
      <c r="C126" s="104"/>
      <c r="D126" s="104"/>
      <c r="E126" s="68"/>
      <c r="F126" s="68"/>
      <c r="G126" s="68"/>
      <c r="H126" s="68"/>
      <c r="I126" s="68"/>
      <c r="J126" s="68"/>
      <c r="K126" s="68"/>
      <c r="L126" s="68"/>
      <c r="M126" s="68"/>
      <c r="N126" s="68"/>
      <c r="O126" s="68"/>
      <c r="P126" s="68"/>
      <c r="Q126" s="68"/>
      <c r="R126" s="68"/>
      <c r="S126" s="68"/>
      <c r="T126" s="68"/>
      <c r="U126" s="68"/>
      <c r="V126" s="68"/>
      <c r="W126" s="68"/>
      <c r="X126" s="68"/>
      <c r="Y126" s="68"/>
      <c r="Z126" s="68"/>
    </row>
    <row r="127" spans="1:26" ht="17">
      <c r="A127" s="68"/>
      <c r="B127" s="104"/>
      <c r="C127" s="104"/>
      <c r="D127" s="104"/>
      <c r="E127" s="68"/>
      <c r="F127" s="68"/>
      <c r="G127" s="68"/>
      <c r="H127" s="68"/>
      <c r="I127" s="68"/>
      <c r="J127" s="68"/>
      <c r="K127" s="68"/>
      <c r="L127" s="68"/>
      <c r="M127" s="68"/>
      <c r="N127" s="68"/>
      <c r="O127" s="68"/>
      <c r="P127" s="68"/>
      <c r="Q127" s="68"/>
      <c r="R127" s="68"/>
      <c r="S127" s="68"/>
      <c r="T127" s="68"/>
      <c r="U127" s="68"/>
      <c r="V127" s="68"/>
      <c r="W127" s="68"/>
      <c r="X127" s="68"/>
      <c r="Y127" s="68"/>
      <c r="Z127" s="68"/>
    </row>
    <row r="128" spans="1:26" ht="17">
      <c r="A128" s="68"/>
      <c r="B128" s="104"/>
      <c r="C128" s="104"/>
      <c r="D128" s="104"/>
      <c r="E128" s="68"/>
      <c r="F128" s="68"/>
      <c r="G128" s="68"/>
      <c r="H128" s="68"/>
      <c r="I128" s="68"/>
      <c r="J128" s="68"/>
      <c r="K128" s="68"/>
      <c r="L128" s="68"/>
      <c r="M128" s="68"/>
      <c r="N128" s="68"/>
      <c r="O128" s="68"/>
      <c r="P128" s="68"/>
      <c r="Q128" s="68"/>
      <c r="R128" s="68"/>
      <c r="S128" s="68"/>
      <c r="T128" s="68"/>
      <c r="U128" s="68"/>
      <c r="V128" s="68"/>
      <c r="W128" s="68"/>
      <c r="X128" s="68"/>
      <c r="Y128" s="68"/>
      <c r="Z128" s="68"/>
    </row>
    <row r="129" spans="1:26" ht="17">
      <c r="A129" s="68"/>
      <c r="B129" s="104"/>
      <c r="C129" s="104"/>
      <c r="D129" s="104"/>
      <c r="E129" s="68"/>
      <c r="F129" s="68"/>
      <c r="G129" s="68"/>
      <c r="H129" s="68"/>
      <c r="I129" s="68"/>
      <c r="J129" s="68"/>
      <c r="K129" s="68"/>
      <c r="L129" s="68"/>
      <c r="M129" s="68"/>
      <c r="N129" s="68"/>
      <c r="O129" s="68"/>
      <c r="P129" s="68"/>
      <c r="Q129" s="68"/>
      <c r="R129" s="68"/>
      <c r="S129" s="68"/>
      <c r="T129" s="68"/>
      <c r="U129" s="68"/>
      <c r="V129" s="68"/>
      <c r="W129" s="68"/>
      <c r="X129" s="68"/>
      <c r="Y129" s="68"/>
      <c r="Z129" s="68"/>
    </row>
    <row r="130" spans="1:26" ht="17">
      <c r="A130" s="68"/>
      <c r="B130" s="104"/>
      <c r="C130" s="104"/>
      <c r="D130" s="104"/>
      <c r="E130" s="68"/>
      <c r="F130" s="68"/>
      <c r="G130" s="68"/>
      <c r="H130" s="68"/>
      <c r="I130" s="68"/>
      <c r="J130" s="68"/>
      <c r="K130" s="68"/>
      <c r="L130" s="68"/>
      <c r="M130" s="68"/>
      <c r="N130" s="68"/>
      <c r="O130" s="68"/>
      <c r="P130" s="68"/>
      <c r="Q130" s="68"/>
      <c r="R130" s="68"/>
      <c r="S130" s="68"/>
      <c r="T130" s="68"/>
      <c r="U130" s="68"/>
      <c r="V130" s="68"/>
      <c r="W130" s="68"/>
      <c r="X130" s="68"/>
      <c r="Y130" s="68"/>
      <c r="Z130" s="68"/>
    </row>
    <row r="131" spans="1:26" ht="17">
      <c r="A131" s="68"/>
      <c r="B131" s="104"/>
      <c r="C131" s="104"/>
      <c r="D131" s="104"/>
      <c r="E131" s="68"/>
      <c r="F131" s="68"/>
      <c r="G131" s="68"/>
      <c r="H131" s="68"/>
      <c r="I131" s="68"/>
      <c r="J131" s="68"/>
      <c r="K131" s="68"/>
      <c r="L131" s="68"/>
      <c r="M131" s="68"/>
      <c r="N131" s="68"/>
      <c r="O131" s="68"/>
      <c r="P131" s="68"/>
      <c r="Q131" s="68"/>
      <c r="R131" s="68"/>
      <c r="S131" s="68"/>
      <c r="T131" s="68"/>
      <c r="U131" s="68"/>
      <c r="V131" s="68"/>
      <c r="W131" s="68"/>
      <c r="X131" s="68"/>
      <c r="Y131" s="68"/>
      <c r="Z131" s="68"/>
    </row>
    <row r="132" spans="1:26" ht="17">
      <c r="A132" s="68"/>
      <c r="B132" s="104"/>
      <c r="C132" s="104"/>
      <c r="D132" s="104"/>
      <c r="E132" s="68"/>
      <c r="F132" s="68"/>
      <c r="G132" s="68"/>
      <c r="H132" s="68"/>
      <c r="I132" s="68"/>
      <c r="J132" s="68"/>
      <c r="K132" s="68"/>
      <c r="L132" s="68"/>
      <c r="M132" s="68"/>
      <c r="N132" s="68"/>
      <c r="O132" s="68"/>
      <c r="P132" s="68"/>
      <c r="Q132" s="68"/>
      <c r="R132" s="68"/>
      <c r="S132" s="68"/>
      <c r="T132" s="68"/>
      <c r="U132" s="68"/>
      <c r="V132" s="68"/>
      <c r="W132" s="68"/>
      <c r="X132" s="68"/>
      <c r="Y132" s="68"/>
      <c r="Z132" s="68"/>
    </row>
    <row r="133" spans="1:26" ht="17">
      <c r="A133" s="68"/>
      <c r="B133" s="104"/>
      <c r="C133" s="104"/>
      <c r="D133" s="104"/>
      <c r="E133" s="68"/>
      <c r="F133" s="68"/>
      <c r="G133" s="68"/>
      <c r="H133" s="68"/>
      <c r="I133" s="68"/>
      <c r="J133" s="68"/>
      <c r="K133" s="68"/>
      <c r="L133" s="68"/>
      <c r="M133" s="68"/>
      <c r="N133" s="68"/>
      <c r="O133" s="68"/>
      <c r="P133" s="68"/>
      <c r="Q133" s="68"/>
      <c r="R133" s="68"/>
      <c r="S133" s="68"/>
      <c r="T133" s="68"/>
      <c r="U133" s="68"/>
      <c r="V133" s="68"/>
      <c r="W133" s="68"/>
      <c r="X133" s="68"/>
      <c r="Y133" s="68"/>
      <c r="Z133" s="68"/>
    </row>
    <row r="134" spans="1:26" ht="17">
      <c r="A134" s="68"/>
      <c r="B134" s="104"/>
      <c r="C134" s="104"/>
      <c r="D134" s="104"/>
      <c r="E134" s="68"/>
      <c r="F134" s="68"/>
      <c r="G134" s="68"/>
      <c r="H134" s="68"/>
      <c r="I134" s="68"/>
      <c r="J134" s="68"/>
      <c r="K134" s="68"/>
      <c r="L134" s="68"/>
      <c r="M134" s="68"/>
      <c r="N134" s="68"/>
      <c r="O134" s="68"/>
      <c r="P134" s="68"/>
      <c r="Q134" s="68"/>
      <c r="R134" s="68"/>
      <c r="S134" s="68"/>
      <c r="T134" s="68"/>
      <c r="U134" s="68"/>
      <c r="V134" s="68"/>
      <c r="W134" s="68"/>
      <c r="X134" s="68"/>
      <c r="Y134" s="68"/>
      <c r="Z134" s="68"/>
    </row>
    <row r="135" spans="1:26" ht="17">
      <c r="A135" s="68"/>
      <c r="B135" s="104"/>
      <c r="C135" s="104"/>
      <c r="D135" s="104"/>
      <c r="E135" s="68"/>
      <c r="F135" s="68"/>
      <c r="G135" s="68"/>
      <c r="H135" s="68"/>
      <c r="I135" s="68"/>
      <c r="J135" s="68"/>
      <c r="K135" s="68"/>
      <c r="L135" s="68"/>
      <c r="M135" s="68"/>
      <c r="N135" s="68"/>
      <c r="O135" s="68"/>
      <c r="P135" s="68"/>
      <c r="Q135" s="68"/>
      <c r="R135" s="68"/>
      <c r="S135" s="68"/>
      <c r="T135" s="68"/>
      <c r="U135" s="68"/>
      <c r="V135" s="68"/>
      <c r="W135" s="68"/>
      <c r="X135" s="68"/>
      <c r="Y135" s="68"/>
      <c r="Z135" s="68"/>
    </row>
    <row r="136" spans="1:26" ht="17">
      <c r="A136" s="68"/>
      <c r="B136" s="104"/>
      <c r="C136" s="104"/>
      <c r="D136" s="104"/>
      <c r="E136" s="68"/>
      <c r="F136" s="68"/>
      <c r="G136" s="68"/>
      <c r="H136" s="68"/>
      <c r="I136" s="68"/>
      <c r="J136" s="68"/>
      <c r="K136" s="68"/>
      <c r="L136" s="68"/>
      <c r="M136" s="68"/>
      <c r="N136" s="68"/>
      <c r="O136" s="68"/>
      <c r="P136" s="68"/>
      <c r="Q136" s="68"/>
      <c r="R136" s="68"/>
      <c r="S136" s="68"/>
      <c r="T136" s="68"/>
      <c r="U136" s="68"/>
      <c r="V136" s="68"/>
      <c r="W136" s="68"/>
      <c r="X136" s="68"/>
      <c r="Y136" s="68"/>
      <c r="Z136" s="68"/>
    </row>
    <row r="137" spans="1:26" ht="17">
      <c r="A137" s="68"/>
      <c r="B137" s="104"/>
      <c r="C137" s="104"/>
      <c r="D137" s="104"/>
      <c r="E137" s="68"/>
      <c r="F137" s="68"/>
      <c r="G137" s="68"/>
      <c r="H137" s="68"/>
      <c r="I137" s="68"/>
      <c r="J137" s="68"/>
      <c r="K137" s="68"/>
      <c r="L137" s="68"/>
      <c r="M137" s="68"/>
      <c r="N137" s="68"/>
      <c r="O137" s="68"/>
      <c r="P137" s="68"/>
      <c r="Q137" s="68"/>
      <c r="R137" s="68"/>
      <c r="S137" s="68"/>
      <c r="T137" s="68"/>
      <c r="U137" s="68"/>
      <c r="V137" s="68"/>
      <c r="W137" s="68"/>
      <c r="X137" s="68"/>
      <c r="Y137" s="68"/>
      <c r="Z137" s="68"/>
    </row>
    <row r="138" spans="1:26" ht="17">
      <c r="A138" s="68"/>
      <c r="B138" s="104"/>
      <c r="C138" s="104"/>
      <c r="D138" s="104"/>
      <c r="E138" s="68"/>
      <c r="F138" s="68"/>
      <c r="G138" s="68"/>
      <c r="H138" s="68"/>
      <c r="I138" s="68"/>
      <c r="J138" s="68"/>
      <c r="K138" s="68"/>
      <c r="L138" s="68"/>
      <c r="M138" s="68"/>
      <c r="N138" s="68"/>
      <c r="O138" s="68"/>
      <c r="P138" s="68"/>
      <c r="Q138" s="68"/>
      <c r="R138" s="68"/>
      <c r="S138" s="68"/>
      <c r="T138" s="68"/>
      <c r="U138" s="68"/>
      <c r="V138" s="68"/>
      <c r="W138" s="68"/>
      <c r="X138" s="68"/>
      <c r="Y138" s="68"/>
      <c r="Z138" s="68"/>
    </row>
    <row r="139" spans="1:26" ht="17">
      <c r="A139" s="68"/>
      <c r="B139" s="104"/>
      <c r="C139" s="104"/>
      <c r="D139" s="104"/>
      <c r="E139" s="68"/>
      <c r="F139" s="68"/>
      <c r="G139" s="68"/>
      <c r="H139" s="68"/>
      <c r="I139" s="68"/>
      <c r="J139" s="68"/>
      <c r="K139" s="68"/>
      <c r="L139" s="68"/>
      <c r="M139" s="68"/>
      <c r="N139" s="68"/>
      <c r="O139" s="68"/>
      <c r="P139" s="68"/>
      <c r="Q139" s="68"/>
      <c r="R139" s="68"/>
      <c r="S139" s="68"/>
      <c r="T139" s="68"/>
      <c r="U139" s="68"/>
      <c r="V139" s="68"/>
      <c r="W139" s="68"/>
      <c r="X139" s="68"/>
      <c r="Y139" s="68"/>
      <c r="Z139" s="68"/>
    </row>
    <row r="140" spans="1:26" ht="17">
      <c r="A140" s="68"/>
      <c r="B140" s="104"/>
      <c r="C140" s="104"/>
      <c r="D140" s="104"/>
      <c r="E140" s="68"/>
      <c r="F140" s="68"/>
      <c r="G140" s="68"/>
      <c r="H140" s="68"/>
      <c r="I140" s="68"/>
      <c r="J140" s="68"/>
      <c r="K140" s="68"/>
      <c r="L140" s="68"/>
      <c r="M140" s="68"/>
      <c r="N140" s="68"/>
      <c r="O140" s="68"/>
      <c r="P140" s="68"/>
      <c r="Q140" s="68"/>
      <c r="R140" s="68"/>
      <c r="S140" s="68"/>
      <c r="T140" s="68"/>
      <c r="U140" s="68"/>
      <c r="V140" s="68"/>
      <c r="W140" s="68"/>
      <c r="X140" s="68"/>
      <c r="Y140" s="68"/>
      <c r="Z140" s="68"/>
    </row>
    <row r="141" spans="1:26" ht="17">
      <c r="A141" s="68"/>
      <c r="B141" s="104"/>
      <c r="C141" s="104"/>
      <c r="D141" s="104"/>
      <c r="E141" s="68"/>
      <c r="F141" s="68"/>
      <c r="G141" s="68"/>
      <c r="H141" s="68"/>
      <c r="I141" s="68"/>
      <c r="J141" s="68"/>
      <c r="K141" s="68"/>
      <c r="L141" s="68"/>
      <c r="M141" s="68"/>
      <c r="N141" s="68"/>
      <c r="O141" s="68"/>
      <c r="P141" s="68"/>
      <c r="Q141" s="68"/>
      <c r="R141" s="68"/>
      <c r="S141" s="68"/>
      <c r="T141" s="68"/>
      <c r="U141" s="68"/>
      <c r="V141" s="68"/>
      <c r="W141" s="68"/>
      <c r="X141" s="68"/>
      <c r="Y141" s="68"/>
      <c r="Z141" s="68"/>
    </row>
    <row r="142" spans="1:26" ht="17">
      <c r="A142" s="68"/>
      <c r="B142" s="104"/>
      <c r="C142" s="104"/>
      <c r="D142" s="104"/>
      <c r="E142" s="68"/>
      <c r="F142" s="68"/>
      <c r="G142" s="68"/>
      <c r="H142" s="68"/>
      <c r="I142" s="68"/>
      <c r="J142" s="68"/>
      <c r="K142" s="68"/>
      <c r="L142" s="68"/>
      <c r="M142" s="68"/>
      <c r="N142" s="68"/>
      <c r="O142" s="68"/>
      <c r="P142" s="68"/>
      <c r="Q142" s="68"/>
      <c r="R142" s="68"/>
      <c r="S142" s="68"/>
      <c r="T142" s="68"/>
      <c r="U142" s="68"/>
      <c r="V142" s="68"/>
      <c r="W142" s="68"/>
      <c r="X142" s="68"/>
      <c r="Y142" s="68"/>
      <c r="Z142" s="68"/>
    </row>
    <row r="143" spans="1:26" ht="17">
      <c r="A143" s="68"/>
      <c r="B143" s="104"/>
      <c r="C143" s="104"/>
      <c r="D143" s="104"/>
      <c r="E143" s="68"/>
      <c r="F143" s="68"/>
      <c r="G143" s="68"/>
      <c r="H143" s="68"/>
      <c r="I143" s="68"/>
      <c r="J143" s="68"/>
      <c r="K143" s="68"/>
      <c r="L143" s="68"/>
      <c r="M143" s="68"/>
      <c r="N143" s="68"/>
      <c r="O143" s="68"/>
      <c r="P143" s="68"/>
      <c r="Q143" s="68"/>
      <c r="R143" s="68"/>
      <c r="S143" s="68"/>
      <c r="T143" s="68"/>
      <c r="U143" s="68"/>
      <c r="V143" s="68"/>
      <c r="W143" s="68"/>
      <c r="X143" s="68"/>
      <c r="Y143" s="68"/>
      <c r="Z143" s="68"/>
    </row>
    <row r="144" spans="1:26" ht="17">
      <c r="A144" s="68"/>
      <c r="B144" s="104"/>
      <c r="C144" s="104"/>
      <c r="D144" s="104"/>
      <c r="E144" s="68"/>
      <c r="F144" s="68"/>
      <c r="G144" s="68"/>
      <c r="H144" s="68"/>
      <c r="I144" s="68"/>
      <c r="J144" s="68"/>
      <c r="K144" s="68"/>
      <c r="L144" s="68"/>
      <c r="M144" s="68"/>
      <c r="N144" s="68"/>
      <c r="O144" s="68"/>
      <c r="P144" s="68"/>
      <c r="Q144" s="68"/>
      <c r="R144" s="68"/>
      <c r="S144" s="68"/>
      <c r="T144" s="68"/>
      <c r="U144" s="68"/>
      <c r="V144" s="68"/>
      <c r="W144" s="68"/>
      <c r="X144" s="68"/>
      <c r="Y144" s="68"/>
      <c r="Z144" s="68"/>
    </row>
    <row r="145" spans="1:26" ht="17">
      <c r="A145" s="68"/>
      <c r="B145" s="104"/>
      <c r="C145" s="104"/>
      <c r="D145" s="104"/>
      <c r="E145" s="68"/>
      <c r="F145" s="68"/>
      <c r="G145" s="68"/>
      <c r="H145" s="68"/>
      <c r="I145" s="68"/>
      <c r="J145" s="68"/>
      <c r="K145" s="68"/>
      <c r="L145" s="68"/>
      <c r="M145" s="68"/>
      <c r="N145" s="68"/>
      <c r="O145" s="68"/>
      <c r="P145" s="68"/>
      <c r="Q145" s="68"/>
      <c r="R145" s="68"/>
      <c r="S145" s="68"/>
      <c r="T145" s="68"/>
      <c r="U145" s="68"/>
      <c r="V145" s="68"/>
      <c r="W145" s="68"/>
      <c r="X145" s="68"/>
      <c r="Y145" s="68"/>
      <c r="Z145" s="68"/>
    </row>
    <row r="146" spans="1:26" ht="17">
      <c r="A146" s="68"/>
      <c r="B146" s="104"/>
      <c r="C146" s="104"/>
      <c r="D146" s="104"/>
      <c r="E146" s="68"/>
      <c r="F146" s="68"/>
      <c r="G146" s="68"/>
      <c r="H146" s="68"/>
      <c r="I146" s="68"/>
      <c r="J146" s="68"/>
      <c r="K146" s="68"/>
      <c r="L146" s="68"/>
      <c r="M146" s="68"/>
      <c r="N146" s="68"/>
      <c r="O146" s="68"/>
      <c r="P146" s="68"/>
      <c r="Q146" s="68"/>
      <c r="R146" s="68"/>
      <c r="S146" s="68"/>
      <c r="T146" s="68"/>
      <c r="U146" s="68"/>
      <c r="V146" s="68"/>
      <c r="W146" s="68"/>
      <c r="X146" s="68"/>
      <c r="Y146" s="68"/>
      <c r="Z146" s="68"/>
    </row>
    <row r="147" spans="1:26" ht="17">
      <c r="A147" s="68"/>
      <c r="B147" s="104"/>
      <c r="C147" s="104"/>
      <c r="D147" s="104"/>
      <c r="E147" s="68"/>
      <c r="F147" s="68"/>
      <c r="G147" s="68"/>
      <c r="H147" s="68"/>
      <c r="I147" s="68"/>
      <c r="J147" s="68"/>
      <c r="K147" s="68"/>
      <c r="L147" s="68"/>
      <c r="M147" s="68"/>
      <c r="N147" s="68"/>
      <c r="O147" s="68"/>
      <c r="P147" s="68"/>
      <c r="Q147" s="68"/>
      <c r="R147" s="68"/>
      <c r="S147" s="68"/>
      <c r="T147" s="68"/>
      <c r="U147" s="68"/>
      <c r="V147" s="68"/>
      <c r="W147" s="68"/>
      <c r="X147" s="68"/>
      <c r="Y147" s="68"/>
      <c r="Z147" s="68"/>
    </row>
    <row r="148" spans="1:26" ht="17">
      <c r="A148" s="68"/>
      <c r="B148" s="104"/>
      <c r="C148" s="104"/>
      <c r="D148" s="104"/>
      <c r="E148" s="68"/>
      <c r="F148" s="68"/>
      <c r="G148" s="68"/>
      <c r="H148" s="68"/>
      <c r="I148" s="68"/>
      <c r="J148" s="68"/>
      <c r="K148" s="68"/>
      <c r="L148" s="68"/>
      <c r="M148" s="68"/>
      <c r="N148" s="68"/>
      <c r="O148" s="68"/>
      <c r="P148" s="68"/>
      <c r="Q148" s="68"/>
      <c r="R148" s="68"/>
      <c r="S148" s="68"/>
      <c r="T148" s="68"/>
      <c r="U148" s="68"/>
      <c r="V148" s="68"/>
      <c r="W148" s="68"/>
      <c r="X148" s="68"/>
      <c r="Y148" s="68"/>
      <c r="Z148" s="68"/>
    </row>
    <row r="149" spans="1:26" ht="17">
      <c r="A149" s="68"/>
      <c r="B149" s="104"/>
      <c r="C149" s="104"/>
      <c r="D149" s="104"/>
      <c r="E149" s="68"/>
      <c r="F149" s="68"/>
      <c r="G149" s="68"/>
      <c r="H149" s="68"/>
      <c r="I149" s="68"/>
      <c r="J149" s="68"/>
      <c r="K149" s="68"/>
      <c r="L149" s="68"/>
      <c r="M149" s="68"/>
      <c r="N149" s="68"/>
      <c r="O149" s="68"/>
      <c r="P149" s="68"/>
      <c r="Q149" s="68"/>
      <c r="R149" s="68"/>
      <c r="S149" s="68"/>
      <c r="T149" s="68"/>
      <c r="U149" s="68"/>
      <c r="V149" s="68"/>
      <c r="W149" s="68"/>
      <c r="X149" s="68"/>
      <c r="Y149" s="68"/>
      <c r="Z149" s="68"/>
    </row>
    <row r="150" spans="1:26" ht="17">
      <c r="A150" s="68"/>
      <c r="B150" s="104"/>
      <c r="C150" s="104"/>
      <c r="D150" s="104"/>
      <c r="E150" s="68"/>
      <c r="F150" s="68"/>
      <c r="G150" s="68"/>
      <c r="H150" s="68"/>
      <c r="I150" s="68"/>
      <c r="J150" s="68"/>
      <c r="K150" s="68"/>
      <c r="L150" s="68"/>
      <c r="M150" s="68"/>
      <c r="N150" s="68"/>
      <c r="O150" s="68"/>
      <c r="P150" s="68"/>
      <c r="Q150" s="68"/>
      <c r="R150" s="68"/>
      <c r="S150" s="68"/>
      <c r="T150" s="68"/>
      <c r="U150" s="68"/>
      <c r="V150" s="68"/>
      <c r="W150" s="68"/>
      <c r="X150" s="68"/>
      <c r="Y150" s="68"/>
      <c r="Z150" s="68"/>
    </row>
    <row r="151" spans="1:26" ht="17">
      <c r="A151" s="68"/>
      <c r="B151" s="104"/>
      <c r="C151" s="104"/>
      <c r="D151" s="104"/>
      <c r="E151" s="68"/>
      <c r="F151" s="68"/>
      <c r="G151" s="68"/>
      <c r="H151" s="68"/>
      <c r="I151" s="68"/>
      <c r="J151" s="68"/>
      <c r="K151" s="68"/>
      <c r="L151" s="68"/>
      <c r="M151" s="68"/>
      <c r="N151" s="68"/>
      <c r="O151" s="68"/>
      <c r="P151" s="68"/>
      <c r="Q151" s="68"/>
      <c r="R151" s="68"/>
      <c r="S151" s="68"/>
      <c r="T151" s="68"/>
      <c r="U151" s="68"/>
      <c r="V151" s="68"/>
      <c r="W151" s="68"/>
      <c r="X151" s="68"/>
      <c r="Y151" s="68"/>
      <c r="Z151" s="68"/>
    </row>
    <row r="152" spans="1:26" ht="17">
      <c r="A152" s="68"/>
      <c r="B152" s="104"/>
      <c r="C152" s="104"/>
      <c r="D152" s="104"/>
      <c r="E152" s="68"/>
      <c r="F152" s="68"/>
      <c r="G152" s="68"/>
      <c r="H152" s="68"/>
      <c r="I152" s="68"/>
      <c r="J152" s="68"/>
      <c r="K152" s="68"/>
      <c r="L152" s="68"/>
      <c r="M152" s="68"/>
      <c r="N152" s="68"/>
      <c r="O152" s="68"/>
      <c r="P152" s="68"/>
      <c r="Q152" s="68"/>
      <c r="R152" s="68"/>
      <c r="S152" s="68"/>
      <c r="T152" s="68"/>
      <c r="U152" s="68"/>
      <c r="V152" s="68"/>
      <c r="W152" s="68"/>
      <c r="X152" s="68"/>
      <c r="Y152" s="68"/>
      <c r="Z152" s="68"/>
    </row>
    <row r="153" spans="1:26" ht="17">
      <c r="A153" s="68"/>
      <c r="B153" s="104"/>
      <c r="C153" s="104"/>
      <c r="D153" s="104"/>
      <c r="E153" s="68"/>
      <c r="F153" s="68"/>
      <c r="G153" s="68"/>
      <c r="H153" s="68"/>
      <c r="I153" s="68"/>
      <c r="J153" s="68"/>
      <c r="K153" s="68"/>
      <c r="L153" s="68"/>
      <c r="M153" s="68"/>
      <c r="N153" s="68"/>
      <c r="O153" s="68"/>
      <c r="P153" s="68"/>
      <c r="Q153" s="68"/>
      <c r="R153" s="68"/>
      <c r="S153" s="68"/>
      <c r="T153" s="68"/>
      <c r="U153" s="68"/>
      <c r="V153" s="68"/>
      <c r="W153" s="68"/>
      <c r="X153" s="68"/>
      <c r="Y153" s="68"/>
      <c r="Z153" s="68"/>
    </row>
    <row r="154" spans="1:26" ht="17">
      <c r="A154" s="68"/>
      <c r="B154" s="104"/>
      <c r="C154" s="104"/>
      <c r="D154" s="104"/>
      <c r="E154" s="68"/>
      <c r="F154" s="68"/>
      <c r="G154" s="68"/>
      <c r="H154" s="68"/>
      <c r="I154" s="68"/>
      <c r="J154" s="68"/>
      <c r="K154" s="68"/>
      <c r="L154" s="68"/>
      <c r="M154" s="68"/>
      <c r="N154" s="68"/>
      <c r="O154" s="68"/>
      <c r="P154" s="68"/>
      <c r="Q154" s="68"/>
      <c r="R154" s="68"/>
      <c r="S154" s="68"/>
      <c r="T154" s="68"/>
      <c r="U154" s="68"/>
      <c r="V154" s="68"/>
      <c r="W154" s="68"/>
      <c r="X154" s="68"/>
      <c r="Y154" s="68"/>
      <c r="Z154" s="68"/>
    </row>
    <row r="155" spans="1:26" ht="17">
      <c r="A155" s="68"/>
      <c r="B155" s="104"/>
      <c r="C155" s="104"/>
      <c r="D155" s="104"/>
      <c r="E155" s="68"/>
      <c r="F155" s="68"/>
      <c r="G155" s="68"/>
      <c r="H155" s="68"/>
      <c r="I155" s="68"/>
      <c r="J155" s="68"/>
      <c r="K155" s="68"/>
      <c r="L155" s="68"/>
      <c r="M155" s="68"/>
      <c r="N155" s="68"/>
      <c r="O155" s="68"/>
      <c r="P155" s="68"/>
      <c r="Q155" s="68"/>
      <c r="R155" s="68"/>
      <c r="S155" s="68"/>
      <c r="T155" s="68"/>
      <c r="U155" s="68"/>
      <c r="V155" s="68"/>
      <c r="W155" s="68"/>
      <c r="X155" s="68"/>
      <c r="Y155" s="68"/>
      <c r="Z155" s="68"/>
    </row>
    <row r="156" spans="1:26" ht="17">
      <c r="A156" s="68"/>
      <c r="B156" s="104"/>
      <c r="C156" s="104"/>
      <c r="D156" s="104"/>
      <c r="E156" s="68"/>
      <c r="F156" s="68"/>
      <c r="G156" s="68"/>
      <c r="H156" s="68"/>
      <c r="I156" s="68"/>
      <c r="J156" s="68"/>
      <c r="K156" s="68"/>
      <c r="L156" s="68"/>
      <c r="M156" s="68"/>
      <c r="N156" s="68"/>
      <c r="O156" s="68"/>
      <c r="P156" s="68"/>
      <c r="Q156" s="68"/>
      <c r="R156" s="68"/>
      <c r="S156" s="68"/>
      <c r="T156" s="68"/>
      <c r="U156" s="68"/>
      <c r="V156" s="68"/>
      <c r="W156" s="68"/>
      <c r="X156" s="68"/>
      <c r="Y156" s="68"/>
      <c r="Z156" s="68"/>
    </row>
    <row r="157" spans="1:26" ht="17">
      <c r="A157" s="68"/>
      <c r="B157" s="104"/>
      <c r="C157" s="104"/>
      <c r="D157" s="104"/>
      <c r="E157" s="68"/>
      <c r="F157" s="68"/>
      <c r="G157" s="68"/>
      <c r="H157" s="68"/>
      <c r="I157" s="68"/>
      <c r="J157" s="68"/>
      <c r="K157" s="68"/>
      <c r="L157" s="68"/>
      <c r="M157" s="68"/>
      <c r="N157" s="68"/>
      <c r="O157" s="68"/>
      <c r="P157" s="68"/>
      <c r="Q157" s="68"/>
      <c r="R157" s="68"/>
      <c r="S157" s="68"/>
      <c r="T157" s="68"/>
      <c r="U157" s="68"/>
      <c r="V157" s="68"/>
      <c r="W157" s="68"/>
      <c r="X157" s="68"/>
      <c r="Y157" s="68"/>
      <c r="Z157" s="68"/>
    </row>
    <row r="158" spans="1:26" ht="17">
      <c r="A158" s="68"/>
      <c r="B158" s="104"/>
      <c r="C158" s="104"/>
      <c r="D158" s="104"/>
      <c r="E158" s="68"/>
      <c r="F158" s="68"/>
      <c r="G158" s="68"/>
      <c r="H158" s="68"/>
      <c r="I158" s="68"/>
      <c r="J158" s="68"/>
      <c r="K158" s="68"/>
      <c r="L158" s="68"/>
      <c r="M158" s="68"/>
      <c r="N158" s="68"/>
      <c r="O158" s="68"/>
      <c r="P158" s="68"/>
      <c r="Q158" s="68"/>
      <c r="R158" s="68"/>
      <c r="S158" s="68"/>
      <c r="T158" s="68"/>
      <c r="U158" s="68"/>
      <c r="V158" s="68"/>
      <c r="W158" s="68"/>
      <c r="X158" s="68"/>
      <c r="Y158" s="68"/>
      <c r="Z158" s="68"/>
    </row>
    <row r="159" spans="1:26" ht="17">
      <c r="A159" s="68"/>
      <c r="B159" s="104"/>
      <c r="C159" s="104"/>
      <c r="D159" s="104"/>
      <c r="E159" s="68"/>
      <c r="F159" s="68"/>
      <c r="G159" s="68"/>
      <c r="H159" s="68"/>
      <c r="I159" s="68"/>
      <c r="J159" s="68"/>
      <c r="K159" s="68"/>
      <c r="L159" s="68"/>
      <c r="M159" s="68"/>
      <c r="N159" s="68"/>
      <c r="O159" s="68"/>
      <c r="P159" s="68"/>
      <c r="Q159" s="68"/>
      <c r="R159" s="68"/>
      <c r="S159" s="68"/>
      <c r="T159" s="68"/>
      <c r="U159" s="68"/>
      <c r="V159" s="68"/>
      <c r="W159" s="68"/>
      <c r="X159" s="68"/>
      <c r="Y159" s="68"/>
      <c r="Z159" s="68"/>
    </row>
    <row r="160" spans="1:26" ht="17">
      <c r="A160" s="68"/>
      <c r="B160" s="104"/>
      <c r="C160" s="104"/>
      <c r="D160" s="104"/>
      <c r="E160" s="68"/>
      <c r="F160" s="68"/>
      <c r="G160" s="68"/>
      <c r="H160" s="68"/>
      <c r="I160" s="68"/>
      <c r="J160" s="68"/>
      <c r="K160" s="68"/>
      <c r="L160" s="68"/>
      <c r="M160" s="68"/>
      <c r="N160" s="68"/>
      <c r="O160" s="68"/>
      <c r="P160" s="68"/>
      <c r="Q160" s="68"/>
      <c r="R160" s="68"/>
      <c r="S160" s="68"/>
      <c r="T160" s="68"/>
      <c r="U160" s="68"/>
      <c r="V160" s="68"/>
      <c r="W160" s="68"/>
      <c r="X160" s="68"/>
      <c r="Y160" s="68"/>
      <c r="Z160" s="68"/>
    </row>
    <row r="161" spans="1:26" ht="17">
      <c r="A161" s="68"/>
      <c r="B161" s="104"/>
      <c r="C161" s="104"/>
      <c r="D161" s="104"/>
      <c r="E161" s="68"/>
      <c r="F161" s="68"/>
      <c r="G161" s="68"/>
      <c r="H161" s="68"/>
      <c r="I161" s="68"/>
      <c r="J161" s="68"/>
      <c r="K161" s="68"/>
      <c r="L161" s="68"/>
      <c r="M161" s="68"/>
      <c r="N161" s="68"/>
      <c r="O161" s="68"/>
      <c r="P161" s="68"/>
      <c r="Q161" s="68"/>
      <c r="R161" s="68"/>
      <c r="S161" s="68"/>
      <c r="T161" s="68"/>
      <c r="U161" s="68"/>
      <c r="V161" s="68"/>
      <c r="W161" s="68"/>
      <c r="X161" s="68"/>
      <c r="Y161" s="68"/>
      <c r="Z161" s="68"/>
    </row>
    <row r="162" spans="1:26" ht="17">
      <c r="A162" s="68"/>
      <c r="B162" s="104"/>
      <c r="C162" s="104"/>
      <c r="D162" s="104"/>
      <c r="E162" s="68"/>
      <c r="F162" s="68"/>
      <c r="G162" s="68"/>
      <c r="H162" s="68"/>
      <c r="I162" s="68"/>
      <c r="J162" s="68"/>
      <c r="K162" s="68"/>
      <c r="L162" s="68"/>
      <c r="M162" s="68"/>
      <c r="N162" s="68"/>
      <c r="O162" s="68"/>
      <c r="P162" s="68"/>
      <c r="Q162" s="68"/>
      <c r="R162" s="68"/>
      <c r="S162" s="68"/>
      <c r="T162" s="68"/>
      <c r="U162" s="68"/>
      <c r="V162" s="68"/>
      <c r="W162" s="68"/>
      <c r="X162" s="68"/>
      <c r="Y162" s="68"/>
      <c r="Z162" s="68"/>
    </row>
    <row r="163" spans="1:26" ht="17">
      <c r="A163" s="68"/>
      <c r="B163" s="104"/>
      <c r="C163" s="104"/>
      <c r="D163" s="104"/>
      <c r="E163" s="68"/>
      <c r="F163" s="68"/>
      <c r="G163" s="68"/>
      <c r="H163" s="68"/>
      <c r="I163" s="68"/>
      <c r="J163" s="68"/>
      <c r="K163" s="68"/>
      <c r="L163" s="68"/>
      <c r="M163" s="68"/>
      <c r="N163" s="68"/>
      <c r="O163" s="68"/>
      <c r="P163" s="68"/>
      <c r="Q163" s="68"/>
      <c r="R163" s="68"/>
      <c r="S163" s="68"/>
      <c r="T163" s="68"/>
      <c r="U163" s="68"/>
      <c r="V163" s="68"/>
      <c r="W163" s="68"/>
      <c r="X163" s="68"/>
      <c r="Y163" s="68"/>
      <c r="Z163" s="68"/>
    </row>
    <row r="164" spans="1:26" ht="17">
      <c r="A164" s="68"/>
      <c r="B164" s="104"/>
      <c r="C164" s="104"/>
      <c r="D164" s="104"/>
      <c r="E164" s="68"/>
      <c r="F164" s="68"/>
      <c r="G164" s="68"/>
      <c r="H164" s="68"/>
      <c r="I164" s="68"/>
      <c r="J164" s="68"/>
      <c r="K164" s="68"/>
      <c r="L164" s="68"/>
      <c r="M164" s="68"/>
      <c r="N164" s="68"/>
      <c r="O164" s="68"/>
      <c r="P164" s="68"/>
      <c r="Q164" s="68"/>
      <c r="R164" s="68"/>
      <c r="S164" s="68"/>
      <c r="T164" s="68"/>
      <c r="U164" s="68"/>
      <c r="V164" s="68"/>
      <c r="W164" s="68"/>
      <c r="X164" s="68"/>
      <c r="Y164" s="68"/>
      <c r="Z164" s="68"/>
    </row>
    <row r="165" spans="1:26" ht="17">
      <c r="A165" s="68"/>
      <c r="B165" s="104"/>
      <c r="C165" s="104"/>
      <c r="D165" s="104"/>
      <c r="E165" s="68"/>
      <c r="F165" s="68"/>
      <c r="G165" s="68"/>
      <c r="H165" s="68"/>
      <c r="I165" s="68"/>
      <c r="J165" s="68"/>
      <c r="K165" s="68"/>
      <c r="L165" s="68"/>
      <c r="M165" s="68"/>
      <c r="N165" s="68"/>
      <c r="O165" s="68"/>
      <c r="P165" s="68"/>
      <c r="Q165" s="68"/>
      <c r="R165" s="68"/>
      <c r="S165" s="68"/>
      <c r="T165" s="68"/>
      <c r="U165" s="68"/>
      <c r="V165" s="68"/>
      <c r="W165" s="68"/>
      <c r="X165" s="68"/>
      <c r="Y165" s="68"/>
      <c r="Z165" s="68"/>
    </row>
    <row r="166" spans="1:26" ht="17">
      <c r="A166" s="68"/>
      <c r="B166" s="104"/>
      <c r="C166" s="104"/>
      <c r="D166" s="104"/>
      <c r="E166" s="68"/>
      <c r="F166" s="68"/>
      <c r="G166" s="68"/>
      <c r="H166" s="68"/>
      <c r="I166" s="68"/>
      <c r="J166" s="68"/>
      <c r="K166" s="68"/>
      <c r="L166" s="68"/>
      <c r="M166" s="68"/>
      <c r="N166" s="68"/>
      <c r="O166" s="68"/>
      <c r="P166" s="68"/>
      <c r="Q166" s="68"/>
      <c r="R166" s="68"/>
      <c r="S166" s="68"/>
      <c r="T166" s="68"/>
      <c r="U166" s="68"/>
      <c r="V166" s="68"/>
      <c r="W166" s="68"/>
      <c r="X166" s="68"/>
      <c r="Y166" s="68"/>
      <c r="Z166" s="68"/>
    </row>
    <row r="167" spans="1:26" ht="17">
      <c r="A167" s="68"/>
      <c r="B167" s="104"/>
      <c r="C167" s="104"/>
      <c r="D167" s="104"/>
      <c r="E167" s="68"/>
      <c r="F167" s="68"/>
      <c r="G167" s="68"/>
      <c r="H167" s="68"/>
      <c r="I167" s="68"/>
      <c r="J167" s="68"/>
      <c r="K167" s="68"/>
      <c r="L167" s="68"/>
      <c r="M167" s="68"/>
      <c r="N167" s="68"/>
      <c r="O167" s="68"/>
      <c r="P167" s="68"/>
      <c r="Q167" s="68"/>
      <c r="R167" s="68"/>
      <c r="S167" s="68"/>
      <c r="T167" s="68"/>
      <c r="U167" s="68"/>
      <c r="V167" s="68"/>
      <c r="W167" s="68"/>
      <c r="X167" s="68"/>
      <c r="Y167" s="68"/>
      <c r="Z167" s="68"/>
    </row>
    <row r="168" spans="1:26" ht="17">
      <c r="A168" s="68"/>
      <c r="B168" s="104"/>
      <c r="C168" s="104"/>
      <c r="D168" s="104"/>
      <c r="E168" s="68"/>
      <c r="F168" s="68"/>
      <c r="G168" s="68"/>
      <c r="H168" s="68"/>
      <c r="I168" s="68"/>
      <c r="J168" s="68"/>
      <c r="K168" s="68"/>
      <c r="L168" s="68"/>
      <c r="M168" s="68"/>
      <c r="N168" s="68"/>
      <c r="O168" s="68"/>
      <c r="P168" s="68"/>
      <c r="Q168" s="68"/>
      <c r="R168" s="68"/>
      <c r="S168" s="68"/>
      <c r="T168" s="68"/>
      <c r="U168" s="68"/>
      <c r="V168" s="68"/>
      <c r="W168" s="68"/>
      <c r="X168" s="68"/>
      <c r="Y168" s="68"/>
      <c r="Z168" s="68"/>
    </row>
    <row r="169" spans="1:26" ht="17">
      <c r="A169" s="68"/>
      <c r="B169" s="104"/>
      <c r="C169" s="104"/>
      <c r="D169" s="104"/>
      <c r="E169" s="68"/>
      <c r="F169" s="68"/>
      <c r="G169" s="68"/>
      <c r="H169" s="68"/>
      <c r="I169" s="68"/>
      <c r="J169" s="68"/>
      <c r="K169" s="68"/>
      <c r="L169" s="68"/>
      <c r="M169" s="68"/>
      <c r="N169" s="68"/>
      <c r="O169" s="68"/>
      <c r="P169" s="68"/>
      <c r="Q169" s="68"/>
      <c r="R169" s="68"/>
      <c r="S169" s="68"/>
      <c r="T169" s="68"/>
      <c r="U169" s="68"/>
      <c r="V169" s="68"/>
      <c r="W169" s="68"/>
      <c r="X169" s="68"/>
      <c r="Y169" s="68"/>
      <c r="Z169" s="68"/>
    </row>
    <row r="170" spans="1:26" ht="17">
      <c r="A170" s="68"/>
      <c r="B170" s="104"/>
      <c r="C170" s="104"/>
      <c r="D170" s="104"/>
      <c r="E170" s="68"/>
      <c r="F170" s="68"/>
      <c r="G170" s="68"/>
      <c r="H170" s="68"/>
      <c r="I170" s="68"/>
      <c r="J170" s="68"/>
      <c r="K170" s="68"/>
      <c r="L170" s="68"/>
      <c r="M170" s="68"/>
      <c r="N170" s="68"/>
      <c r="O170" s="68"/>
      <c r="P170" s="68"/>
      <c r="Q170" s="68"/>
      <c r="R170" s="68"/>
      <c r="S170" s="68"/>
      <c r="T170" s="68"/>
      <c r="U170" s="68"/>
      <c r="V170" s="68"/>
      <c r="W170" s="68"/>
      <c r="X170" s="68"/>
      <c r="Y170" s="68"/>
      <c r="Z170" s="68"/>
    </row>
    <row r="171" spans="1:26" ht="17">
      <c r="A171" s="68"/>
      <c r="B171" s="104"/>
      <c r="C171" s="104"/>
      <c r="D171" s="104"/>
      <c r="E171" s="68"/>
      <c r="F171" s="68"/>
      <c r="G171" s="68"/>
      <c r="H171" s="68"/>
      <c r="I171" s="68"/>
      <c r="J171" s="68"/>
      <c r="K171" s="68"/>
      <c r="L171" s="68"/>
      <c r="M171" s="68"/>
      <c r="N171" s="68"/>
      <c r="O171" s="68"/>
      <c r="P171" s="68"/>
      <c r="Q171" s="68"/>
      <c r="R171" s="68"/>
      <c r="S171" s="68"/>
      <c r="T171" s="68"/>
      <c r="U171" s="68"/>
      <c r="V171" s="68"/>
      <c r="W171" s="68"/>
      <c r="X171" s="68"/>
      <c r="Y171" s="68"/>
      <c r="Z171" s="68"/>
    </row>
    <row r="172" spans="1:26" ht="17">
      <c r="A172" s="68"/>
      <c r="B172" s="104"/>
      <c r="C172" s="104"/>
      <c r="D172" s="104"/>
      <c r="E172" s="68"/>
      <c r="F172" s="68"/>
      <c r="G172" s="68"/>
      <c r="H172" s="68"/>
      <c r="I172" s="68"/>
      <c r="J172" s="68"/>
      <c r="K172" s="68"/>
      <c r="L172" s="68"/>
      <c r="M172" s="68"/>
      <c r="N172" s="68"/>
      <c r="O172" s="68"/>
      <c r="P172" s="68"/>
      <c r="Q172" s="68"/>
      <c r="R172" s="68"/>
      <c r="S172" s="68"/>
      <c r="T172" s="68"/>
      <c r="U172" s="68"/>
      <c r="V172" s="68"/>
      <c r="W172" s="68"/>
      <c r="X172" s="68"/>
      <c r="Y172" s="68"/>
      <c r="Z172" s="68"/>
    </row>
    <row r="173" spans="1:26" ht="17">
      <c r="A173" s="68"/>
      <c r="B173" s="104"/>
      <c r="C173" s="104"/>
      <c r="D173" s="104"/>
      <c r="E173" s="68"/>
      <c r="F173" s="68"/>
      <c r="G173" s="68"/>
      <c r="H173" s="68"/>
      <c r="I173" s="68"/>
      <c r="J173" s="68"/>
      <c r="K173" s="68"/>
      <c r="L173" s="68"/>
      <c r="M173" s="68"/>
      <c r="N173" s="68"/>
      <c r="O173" s="68"/>
      <c r="P173" s="68"/>
      <c r="Q173" s="68"/>
      <c r="R173" s="68"/>
      <c r="S173" s="68"/>
      <c r="T173" s="68"/>
      <c r="U173" s="68"/>
      <c r="V173" s="68"/>
      <c r="W173" s="68"/>
      <c r="X173" s="68"/>
      <c r="Y173" s="68"/>
      <c r="Z173" s="68"/>
    </row>
    <row r="174" spans="1:26" ht="17">
      <c r="A174" s="68"/>
      <c r="B174" s="104"/>
      <c r="C174" s="104"/>
      <c r="D174" s="104"/>
      <c r="E174" s="68"/>
      <c r="F174" s="68"/>
      <c r="G174" s="68"/>
      <c r="H174" s="68"/>
      <c r="I174" s="68"/>
      <c r="J174" s="68"/>
      <c r="K174" s="68"/>
      <c r="L174" s="68"/>
      <c r="M174" s="68"/>
      <c r="N174" s="68"/>
      <c r="O174" s="68"/>
      <c r="P174" s="68"/>
      <c r="Q174" s="68"/>
      <c r="R174" s="68"/>
      <c r="S174" s="68"/>
      <c r="T174" s="68"/>
      <c r="U174" s="68"/>
      <c r="V174" s="68"/>
      <c r="W174" s="68"/>
      <c r="X174" s="68"/>
      <c r="Y174" s="68"/>
      <c r="Z174" s="68"/>
    </row>
    <row r="175" spans="1:26" ht="17">
      <c r="A175" s="68"/>
      <c r="B175" s="104"/>
      <c r="C175" s="104"/>
      <c r="D175" s="104"/>
      <c r="E175" s="68"/>
      <c r="F175" s="68"/>
      <c r="G175" s="68"/>
      <c r="H175" s="68"/>
      <c r="I175" s="68"/>
      <c r="J175" s="68"/>
      <c r="K175" s="68"/>
      <c r="L175" s="68"/>
      <c r="M175" s="68"/>
      <c r="N175" s="68"/>
      <c r="O175" s="68"/>
      <c r="P175" s="68"/>
      <c r="Q175" s="68"/>
      <c r="R175" s="68"/>
      <c r="S175" s="68"/>
      <c r="T175" s="68"/>
      <c r="U175" s="68"/>
      <c r="V175" s="68"/>
      <c r="W175" s="68"/>
      <c r="X175" s="68"/>
      <c r="Y175" s="68"/>
      <c r="Z175" s="68"/>
    </row>
    <row r="176" spans="1:26" ht="17">
      <c r="A176" s="68"/>
      <c r="B176" s="104"/>
      <c r="C176" s="104"/>
      <c r="D176" s="104"/>
      <c r="E176" s="68"/>
      <c r="F176" s="68"/>
      <c r="G176" s="68"/>
      <c r="H176" s="68"/>
      <c r="I176" s="68"/>
      <c r="J176" s="68"/>
      <c r="K176" s="68"/>
      <c r="L176" s="68"/>
      <c r="M176" s="68"/>
      <c r="N176" s="68"/>
      <c r="O176" s="68"/>
      <c r="P176" s="68"/>
      <c r="Q176" s="68"/>
      <c r="R176" s="68"/>
      <c r="S176" s="68"/>
      <c r="T176" s="68"/>
      <c r="U176" s="68"/>
      <c r="V176" s="68"/>
      <c r="W176" s="68"/>
      <c r="X176" s="68"/>
      <c r="Y176" s="68"/>
      <c r="Z176" s="68"/>
    </row>
    <row r="177" spans="1:26" ht="17">
      <c r="A177" s="68"/>
      <c r="B177" s="104"/>
      <c r="C177" s="104"/>
      <c r="D177" s="104"/>
      <c r="E177" s="68"/>
      <c r="F177" s="68"/>
      <c r="G177" s="68"/>
      <c r="H177" s="68"/>
      <c r="I177" s="68"/>
      <c r="J177" s="68"/>
      <c r="K177" s="68"/>
      <c r="L177" s="68"/>
      <c r="M177" s="68"/>
      <c r="N177" s="68"/>
      <c r="O177" s="68"/>
      <c r="P177" s="68"/>
      <c r="Q177" s="68"/>
      <c r="R177" s="68"/>
      <c r="S177" s="68"/>
      <c r="T177" s="68"/>
      <c r="U177" s="68"/>
      <c r="V177" s="68"/>
      <c r="W177" s="68"/>
      <c r="X177" s="68"/>
      <c r="Y177" s="68"/>
      <c r="Z177" s="68"/>
    </row>
    <row r="178" spans="1:26" ht="17">
      <c r="A178" s="68"/>
      <c r="B178" s="104"/>
      <c r="C178" s="104"/>
      <c r="D178" s="104"/>
      <c r="E178" s="68"/>
      <c r="F178" s="68"/>
      <c r="G178" s="68"/>
      <c r="H178" s="68"/>
      <c r="I178" s="68"/>
      <c r="J178" s="68"/>
      <c r="K178" s="68"/>
      <c r="L178" s="68"/>
      <c r="M178" s="68"/>
      <c r="N178" s="68"/>
      <c r="O178" s="68"/>
      <c r="P178" s="68"/>
      <c r="Q178" s="68"/>
      <c r="R178" s="68"/>
      <c r="S178" s="68"/>
      <c r="T178" s="68"/>
      <c r="U178" s="68"/>
      <c r="V178" s="68"/>
      <c r="W178" s="68"/>
      <c r="X178" s="68"/>
      <c r="Y178" s="68"/>
      <c r="Z178" s="68"/>
    </row>
    <row r="179" spans="1:26" ht="17">
      <c r="A179" s="68"/>
      <c r="B179" s="104"/>
      <c r="C179" s="104"/>
      <c r="D179" s="104"/>
      <c r="E179" s="68"/>
      <c r="F179" s="68"/>
      <c r="G179" s="68"/>
      <c r="H179" s="68"/>
      <c r="I179" s="68"/>
      <c r="J179" s="68"/>
      <c r="K179" s="68"/>
      <c r="L179" s="68"/>
      <c r="M179" s="68"/>
      <c r="N179" s="68"/>
      <c r="O179" s="68"/>
      <c r="P179" s="68"/>
      <c r="Q179" s="68"/>
      <c r="R179" s="68"/>
      <c r="S179" s="68"/>
      <c r="T179" s="68"/>
      <c r="U179" s="68"/>
      <c r="V179" s="68"/>
      <c r="W179" s="68"/>
      <c r="X179" s="68"/>
      <c r="Y179" s="68"/>
      <c r="Z179" s="68"/>
    </row>
    <row r="180" spans="1:26" ht="17">
      <c r="A180" s="68"/>
      <c r="B180" s="104"/>
      <c r="C180" s="104"/>
      <c r="D180" s="104"/>
      <c r="E180" s="68"/>
      <c r="F180" s="68"/>
      <c r="G180" s="68"/>
      <c r="H180" s="68"/>
      <c r="I180" s="68"/>
      <c r="J180" s="68"/>
      <c r="K180" s="68"/>
      <c r="L180" s="68"/>
      <c r="M180" s="68"/>
      <c r="N180" s="68"/>
      <c r="O180" s="68"/>
      <c r="P180" s="68"/>
      <c r="Q180" s="68"/>
      <c r="R180" s="68"/>
      <c r="S180" s="68"/>
      <c r="T180" s="68"/>
      <c r="U180" s="68"/>
      <c r="V180" s="68"/>
      <c r="W180" s="68"/>
      <c r="X180" s="68"/>
      <c r="Y180" s="68"/>
      <c r="Z180" s="68"/>
    </row>
    <row r="181" spans="1:26" ht="17">
      <c r="A181" s="68"/>
      <c r="B181" s="104"/>
      <c r="C181" s="104"/>
      <c r="D181" s="104"/>
      <c r="E181" s="68"/>
      <c r="F181" s="68"/>
      <c r="G181" s="68"/>
      <c r="H181" s="68"/>
      <c r="I181" s="68"/>
      <c r="J181" s="68"/>
      <c r="K181" s="68"/>
      <c r="L181" s="68"/>
      <c r="M181" s="68"/>
      <c r="N181" s="68"/>
      <c r="O181" s="68"/>
      <c r="P181" s="68"/>
      <c r="Q181" s="68"/>
      <c r="R181" s="68"/>
      <c r="S181" s="68"/>
      <c r="T181" s="68"/>
      <c r="U181" s="68"/>
      <c r="V181" s="68"/>
      <c r="W181" s="68"/>
      <c r="X181" s="68"/>
      <c r="Y181" s="68"/>
      <c r="Z181" s="68"/>
    </row>
    <row r="182" spans="1:26" ht="17">
      <c r="A182" s="68"/>
      <c r="B182" s="104"/>
      <c r="C182" s="104"/>
      <c r="D182" s="104"/>
      <c r="E182" s="68"/>
      <c r="F182" s="68"/>
      <c r="G182" s="68"/>
      <c r="H182" s="68"/>
      <c r="I182" s="68"/>
      <c r="J182" s="68"/>
      <c r="K182" s="68"/>
      <c r="L182" s="68"/>
      <c r="M182" s="68"/>
      <c r="N182" s="68"/>
      <c r="O182" s="68"/>
      <c r="P182" s="68"/>
      <c r="Q182" s="68"/>
      <c r="R182" s="68"/>
      <c r="S182" s="68"/>
      <c r="T182" s="68"/>
      <c r="U182" s="68"/>
      <c r="V182" s="68"/>
      <c r="W182" s="68"/>
      <c r="X182" s="68"/>
      <c r="Y182" s="68"/>
      <c r="Z182" s="68"/>
    </row>
    <row r="183" spans="1:26" ht="17">
      <c r="A183" s="68"/>
      <c r="B183" s="104"/>
      <c r="C183" s="104"/>
      <c r="D183" s="104"/>
      <c r="E183" s="68"/>
      <c r="F183" s="68"/>
      <c r="G183" s="68"/>
      <c r="H183" s="68"/>
      <c r="I183" s="68"/>
      <c r="J183" s="68"/>
      <c r="K183" s="68"/>
      <c r="L183" s="68"/>
      <c r="M183" s="68"/>
      <c r="N183" s="68"/>
      <c r="O183" s="68"/>
      <c r="P183" s="68"/>
      <c r="Q183" s="68"/>
      <c r="R183" s="68"/>
      <c r="S183" s="68"/>
      <c r="T183" s="68"/>
      <c r="U183" s="68"/>
      <c r="V183" s="68"/>
      <c r="W183" s="68"/>
      <c r="X183" s="68"/>
      <c r="Y183" s="68"/>
      <c r="Z183" s="68"/>
    </row>
    <row r="184" spans="1:26" ht="17">
      <c r="A184" s="68"/>
      <c r="B184" s="104"/>
      <c r="C184" s="104"/>
      <c r="D184" s="104"/>
      <c r="E184" s="68"/>
      <c r="F184" s="68"/>
      <c r="G184" s="68"/>
      <c r="H184" s="68"/>
      <c r="I184" s="68"/>
      <c r="J184" s="68"/>
      <c r="K184" s="68"/>
      <c r="L184" s="68"/>
      <c r="M184" s="68"/>
      <c r="N184" s="68"/>
      <c r="O184" s="68"/>
      <c r="P184" s="68"/>
      <c r="Q184" s="68"/>
      <c r="R184" s="68"/>
      <c r="S184" s="68"/>
      <c r="T184" s="68"/>
      <c r="U184" s="68"/>
      <c r="V184" s="68"/>
      <c r="W184" s="68"/>
      <c r="X184" s="68"/>
      <c r="Y184" s="68"/>
      <c r="Z184" s="68"/>
    </row>
    <row r="185" spans="1:26" ht="17">
      <c r="A185" s="68"/>
      <c r="B185" s="104"/>
      <c r="C185" s="104"/>
      <c r="D185" s="104"/>
      <c r="E185" s="68"/>
      <c r="F185" s="68"/>
      <c r="G185" s="68"/>
      <c r="H185" s="68"/>
      <c r="I185" s="68"/>
      <c r="J185" s="68"/>
      <c r="K185" s="68"/>
      <c r="L185" s="68"/>
      <c r="M185" s="68"/>
      <c r="N185" s="68"/>
      <c r="O185" s="68"/>
      <c r="P185" s="68"/>
      <c r="Q185" s="68"/>
      <c r="R185" s="68"/>
      <c r="S185" s="68"/>
      <c r="T185" s="68"/>
      <c r="U185" s="68"/>
      <c r="V185" s="68"/>
      <c r="W185" s="68"/>
      <c r="X185" s="68"/>
      <c r="Y185" s="68"/>
      <c r="Z185" s="68"/>
    </row>
    <row r="186" spans="1:26" ht="17">
      <c r="A186" s="68"/>
      <c r="B186" s="104"/>
      <c r="C186" s="104"/>
      <c r="D186" s="104"/>
      <c r="E186" s="68"/>
      <c r="F186" s="68"/>
      <c r="G186" s="68"/>
      <c r="H186" s="68"/>
      <c r="I186" s="68"/>
      <c r="J186" s="68"/>
      <c r="K186" s="68"/>
      <c r="L186" s="68"/>
      <c r="M186" s="68"/>
      <c r="N186" s="68"/>
      <c r="O186" s="68"/>
      <c r="P186" s="68"/>
      <c r="Q186" s="68"/>
      <c r="R186" s="68"/>
      <c r="S186" s="68"/>
      <c r="T186" s="68"/>
      <c r="U186" s="68"/>
      <c r="V186" s="68"/>
      <c r="W186" s="68"/>
      <c r="X186" s="68"/>
      <c r="Y186" s="68"/>
      <c r="Z186" s="68"/>
    </row>
    <row r="187" spans="1:26" ht="17">
      <c r="A187" s="68"/>
      <c r="B187" s="104"/>
      <c r="C187" s="104"/>
      <c r="D187" s="104"/>
      <c r="E187" s="68"/>
      <c r="F187" s="68"/>
      <c r="G187" s="68"/>
      <c r="H187" s="68"/>
      <c r="I187" s="68"/>
      <c r="J187" s="68"/>
      <c r="K187" s="68"/>
      <c r="L187" s="68"/>
      <c r="M187" s="68"/>
      <c r="N187" s="68"/>
      <c r="O187" s="68"/>
      <c r="P187" s="68"/>
      <c r="Q187" s="68"/>
      <c r="R187" s="68"/>
      <c r="S187" s="68"/>
      <c r="T187" s="68"/>
      <c r="U187" s="68"/>
      <c r="V187" s="68"/>
      <c r="W187" s="68"/>
      <c r="X187" s="68"/>
      <c r="Y187" s="68"/>
      <c r="Z187" s="68"/>
    </row>
    <row r="188" spans="1:26" ht="17">
      <c r="A188" s="68"/>
      <c r="B188" s="104"/>
      <c r="C188" s="104"/>
      <c r="D188" s="104"/>
      <c r="E188" s="68"/>
      <c r="F188" s="68"/>
      <c r="G188" s="68"/>
      <c r="H188" s="68"/>
      <c r="I188" s="68"/>
      <c r="J188" s="68"/>
      <c r="K188" s="68"/>
      <c r="L188" s="68"/>
      <c r="M188" s="68"/>
      <c r="N188" s="68"/>
      <c r="O188" s="68"/>
      <c r="P188" s="68"/>
      <c r="Q188" s="68"/>
      <c r="R188" s="68"/>
      <c r="S188" s="68"/>
      <c r="T188" s="68"/>
      <c r="U188" s="68"/>
      <c r="V188" s="68"/>
      <c r="W188" s="68"/>
      <c r="X188" s="68"/>
      <c r="Y188" s="68"/>
      <c r="Z188" s="68"/>
    </row>
    <row r="189" spans="1:26" ht="17">
      <c r="A189" s="68"/>
      <c r="B189" s="104"/>
      <c r="C189" s="104"/>
      <c r="D189" s="104"/>
      <c r="E189" s="68"/>
      <c r="F189" s="68"/>
      <c r="G189" s="68"/>
      <c r="H189" s="68"/>
      <c r="I189" s="68"/>
      <c r="J189" s="68"/>
      <c r="K189" s="68"/>
      <c r="L189" s="68"/>
      <c r="M189" s="68"/>
      <c r="N189" s="68"/>
      <c r="O189" s="68"/>
      <c r="P189" s="68"/>
      <c r="Q189" s="68"/>
      <c r="R189" s="68"/>
      <c r="S189" s="68"/>
      <c r="T189" s="68"/>
      <c r="U189" s="68"/>
      <c r="V189" s="68"/>
      <c r="W189" s="68"/>
      <c r="X189" s="68"/>
      <c r="Y189" s="68"/>
      <c r="Z189" s="68"/>
    </row>
    <row r="190" spans="1:26" ht="17">
      <c r="A190" s="68"/>
      <c r="B190" s="104"/>
      <c r="C190" s="104"/>
      <c r="D190" s="104"/>
      <c r="E190" s="68"/>
      <c r="F190" s="68"/>
      <c r="G190" s="68"/>
      <c r="H190" s="68"/>
      <c r="I190" s="68"/>
      <c r="J190" s="68"/>
      <c r="K190" s="68"/>
      <c r="L190" s="68"/>
      <c r="M190" s="68"/>
      <c r="N190" s="68"/>
      <c r="O190" s="68"/>
      <c r="P190" s="68"/>
      <c r="Q190" s="68"/>
      <c r="R190" s="68"/>
      <c r="S190" s="68"/>
      <c r="T190" s="68"/>
      <c r="U190" s="68"/>
      <c r="V190" s="68"/>
      <c r="W190" s="68"/>
      <c r="X190" s="68"/>
      <c r="Y190" s="68"/>
      <c r="Z190" s="68"/>
    </row>
    <row r="191" spans="1:26" ht="17">
      <c r="A191" s="68"/>
      <c r="B191" s="104"/>
      <c r="C191" s="104"/>
      <c r="D191" s="104"/>
      <c r="E191" s="68"/>
      <c r="F191" s="68"/>
      <c r="G191" s="68"/>
      <c r="H191" s="68"/>
      <c r="I191" s="68"/>
      <c r="J191" s="68"/>
      <c r="K191" s="68"/>
      <c r="L191" s="68"/>
      <c r="M191" s="68"/>
      <c r="N191" s="68"/>
      <c r="O191" s="68"/>
      <c r="P191" s="68"/>
      <c r="Q191" s="68"/>
      <c r="R191" s="68"/>
      <c r="S191" s="68"/>
      <c r="T191" s="68"/>
      <c r="U191" s="68"/>
      <c r="V191" s="68"/>
      <c r="W191" s="68"/>
      <c r="X191" s="68"/>
      <c r="Y191" s="68"/>
      <c r="Z191" s="68"/>
    </row>
    <row r="192" spans="1:26" ht="17">
      <c r="A192" s="68"/>
      <c r="B192" s="104"/>
      <c r="C192" s="104"/>
      <c r="D192" s="104"/>
      <c r="E192" s="68"/>
      <c r="F192" s="68"/>
      <c r="G192" s="68"/>
      <c r="H192" s="68"/>
      <c r="I192" s="68"/>
      <c r="J192" s="68"/>
      <c r="K192" s="68"/>
      <c r="L192" s="68"/>
      <c r="M192" s="68"/>
      <c r="N192" s="68"/>
      <c r="O192" s="68"/>
      <c r="P192" s="68"/>
      <c r="Q192" s="68"/>
      <c r="R192" s="68"/>
      <c r="S192" s="68"/>
      <c r="T192" s="68"/>
      <c r="U192" s="68"/>
      <c r="V192" s="68"/>
      <c r="W192" s="68"/>
      <c r="X192" s="68"/>
      <c r="Y192" s="68"/>
      <c r="Z192" s="68"/>
    </row>
    <row r="193" spans="1:26" ht="17">
      <c r="A193" s="68"/>
      <c r="B193" s="104"/>
      <c r="C193" s="104"/>
      <c r="D193" s="104"/>
      <c r="E193" s="68"/>
      <c r="F193" s="68"/>
      <c r="G193" s="68"/>
      <c r="H193" s="68"/>
      <c r="I193" s="68"/>
      <c r="J193" s="68"/>
      <c r="K193" s="68"/>
      <c r="L193" s="68"/>
      <c r="M193" s="68"/>
      <c r="N193" s="68"/>
      <c r="O193" s="68"/>
      <c r="P193" s="68"/>
      <c r="Q193" s="68"/>
      <c r="R193" s="68"/>
      <c r="S193" s="68"/>
      <c r="T193" s="68"/>
      <c r="U193" s="68"/>
      <c r="V193" s="68"/>
      <c r="W193" s="68"/>
      <c r="X193" s="68"/>
      <c r="Y193" s="68"/>
      <c r="Z193" s="68"/>
    </row>
    <row r="194" spans="1:26" ht="17">
      <c r="A194" s="68"/>
      <c r="B194" s="104"/>
      <c r="C194" s="104"/>
      <c r="D194" s="104"/>
      <c r="E194" s="68"/>
      <c r="F194" s="68"/>
      <c r="G194" s="68"/>
      <c r="H194" s="68"/>
      <c r="I194" s="68"/>
      <c r="J194" s="68"/>
      <c r="K194" s="68"/>
      <c r="L194" s="68"/>
      <c r="M194" s="68"/>
      <c r="N194" s="68"/>
      <c r="O194" s="68"/>
      <c r="P194" s="68"/>
      <c r="Q194" s="68"/>
      <c r="R194" s="68"/>
      <c r="S194" s="68"/>
      <c r="T194" s="68"/>
      <c r="U194" s="68"/>
      <c r="V194" s="68"/>
      <c r="W194" s="68"/>
      <c r="X194" s="68"/>
      <c r="Y194" s="68"/>
      <c r="Z194" s="68"/>
    </row>
    <row r="195" spans="1:26" ht="17">
      <c r="A195" s="68"/>
      <c r="B195" s="104"/>
      <c r="C195" s="104"/>
      <c r="D195" s="104"/>
      <c r="E195" s="68"/>
      <c r="F195" s="68"/>
      <c r="G195" s="68"/>
      <c r="H195" s="68"/>
      <c r="I195" s="68"/>
      <c r="J195" s="68"/>
      <c r="K195" s="68"/>
      <c r="L195" s="68"/>
      <c r="M195" s="68"/>
      <c r="N195" s="68"/>
      <c r="O195" s="68"/>
      <c r="P195" s="68"/>
      <c r="Q195" s="68"/>
      <c r="R195" s="68"/>
      <c r="S195" s="68"/>
      <c r="T195" s="68"/>
      <c r="U195" s="68"/>
      <c r="V195" s="68"/>
      <c r="W195" s="68"/>
      <c r="X195" s="68"/>
      <c r="Y195" s="68"/>
      <c r="Z195" s="68"/>
    </row>
    <row r="196" spans="1:26" ht="17">
      <c r="A196" s="68"/>
      <c r="B196" s="104"/>
      <c r="C196" s="104"/>
      <c r="D196" s="104"/>
      <c r="E196" s="68"/>
      <c r="F196" s="68"/>
      <c r="G196" s="68"/>
      <c r="H196" s="68"/>
      <c r="I196" s="68"/>
      <c r="J196" s="68"/>
      <c r="K196" s="68"/>
      <c r="L196" s="68"/>
      <c r="M196" s="68"/>
      <c r="N196" s="68"/>
      <c r="O196" s="68"/>
      <c r="P196" s="68"/>
      <c r="Q196" s="68"/>
      <c r="R196" s="68"/>
      <c r="S196" s="68"/>
      <c r="T196" s="68"/>
      <c r="U196" s="68"/>
      <c r="V196" s="68"/>
      <c r="W196" s="68"/>
      <c r="X196" s="68"/>
      <c r="Y196" s="68"/>
      <c r="Z196" s="68"/>
    </row>
    <row r="197" spans="1:26" ht="17">
      <c r="A197" s="68"/>
      <c r="B197" s="104"/>
      <c r="C197" s="104"/>
      <c r="D197" s="104"/>
      <c r="E197" s="68"/>
      <c r="F197" s="68"/>
      <c r="G197" s="68"/>
      <c r="H197" s="68"/>
      <c r="I197" s="68"/>
      <c r="J197" s="68"/>
      <c r="K197" s="68"/>
      <c r="L197" s="68"/>
      <c r="M197" s="68"/>
      <c r="N197" s="68"/>
      <c r="O197" s="68"/>
      <c r="P197" s="68"/>
      <c r="Q197" s="68"/>
      <c r="R197" s="68"/>
      <c r="S197" s="68"/>
      <c r="T197" s="68"/>
      <c r="U197" s="68"/>
      <c r="V197" s="68"/>
      <c r="W197" s="68"/>
      <c r="X197" s="68"/>
      <c r="Y197" s="68"/>
      <c r="Z197" s="68"/>
    </row>
    <row r="198" spans="1:26" ht="17">
      <c r="A198" s="68"/>
      <c r="B198" s="104"/>
      <c r="C198" s="104"/>
      <c r="D198" s="104"/>
      <c r="E198" s="68"/>
      <c r="F198" s="68"/>
      <c r="G198" s="68"/>
      <c r="H198" s="68"/>
      <c r="I198" s="68"/>
      <c r="J198" s="68"/>
      <c r="K198" s="68"/>
      <c r="L198" s="68"/>
      <c r="M198" s="68"/>
      <c r="N198" s="68"/>
      <c r="O198" s="68"/>
      <c r="P198" s="68"/>
      <c r="Q198" s="68"/>
      <c r="R198" s="68"/>
      <c r="S198" s="68"/>
      <c r="T198" s="68"/>
      <c r="U198" s="68"/>
      <c r="V198" s="68"/>
      <c r="W198" s="68"/>
      <c r="X198" s="68"/>
      <c r="Y198" s="68"/>
      <c r="Z198" s="68"/>
    </row>
    <row r="199" spans="1:26" ht="17">
      <c r="A199" s="68"/>
      <c r="B199" s="104"/>
      <c r="C199" s="104"/>
      <c r="D199" s="104"/>
      <c r="E199" s="68"/>
      <c r="F199" s="68"/>
      <c r="G199" s="68"/>
      <c r="H199" s="68"/>
      <c r="I199" s="68"/>
      <c r="J199" s="68"/>
      <c r="K199" s="68"/>
      <c r="L199" s="68"/>
      <c r="M199" s="68"/>
      <c r="N199" s="68"/>
      <c r="O199" s="68"/>
      <c r="P199" s="68"/>
      <c r="Q199" s="68"/>
      <c r="R199" s="68"/>
      <c r="S199" s="68"/>
      <c r="T199" s="68"/>
      <c r="U199" s="68"/>
      <c r="V199" s="68"/>
      <c r="W199" s="68"/>
      <c r="X199" s="68"/>
      <c r="Y199" s="68"/>
      <c r="Z199" s="68"/>
    </row>
    <row r="200" spans="1:26" ht="17">
      <c r="A200" s="68"/>
      <c r="B200" s="104"/>
      <c r="C200" s="104"/>
      <c r="D200" s="104"/>
      <c r="E200" s="68"/>
      <c r="F200" s="68"/>
      <c r="G200" s="68"/>
      <c r="H200" s="68"/>
      <c r="I200" s="68"/>
      <c r="J200" s="68"/>
      <c r="K200" s="68"/>
      <c r="L200" s="68"/>
      <c r="M200" s="68"/>
      <c r="N200" s="68"/>
      <c r="O200" s="68"/>
      <c r="P200" s="68"/>
      <c r="Q200" s="68"/>
      <c r="R200" s="68"/>
      <c r="S200" s="68"/>
      <c r="T200" s="68"/>
      <c r="U200" s="68"/>
      <c r="V200" s="68"/>
      <c r="W200" s="68"/>
      <c r="X200" s="68"/>
      <c r="Y200" s="68"/>
      <c r="Z200" s="68"/>
    </row>
    <row r="201" spans="1:26" ht="17">
      <c r="A201" s="68"/>
      <c r="B201" s="104"/>
      <c r="C201" s="104"/>
      <c r="D201" s="104"/>
      <c r="E201" s="68"/>
      <c r="F201" s="68"/>
      <c r="G201" s="68"/>
      <c r="H201" s="68"/>
      <c r="I201" s="68"/>
      <c r="J201" s="68"/>
      <c r="K201" s="68"/>
      <c r="L201" s="68"/>
      <c r="M201" s="68"/>
      <c r="N201" s="68"/>
      <c r="O201" s="68"/>
      <c r="P201" s="68"/>
      <c r="Q201" s="68"/>
      <c r="R201" s="68"/>
      <c r="S201" s="68"/>
      <c r="T201" s="68"/>
      <c r="U201" s="68"/>
      <c r="V201" s="68"/>
      <c r="W201" s="68"/>
      <c r="X201" s="68"/>
      <c r="Y201" s="68"/>
      <c r="Z201" s="68"/>
    </row>
    <row r="202" spans="1:26" ht="17">
      <c r="A202" s="68"/>
      <c r="B202" s="104"/>
      <c r="C202" s="104"/>
      <c r="D202" s="104"/>
      <c r="E202" s="68"/>
      <c r="F202" s="68"/>
      <c r="G202" s="68"/>
      <c r="H202" s="68"/>
      <c r="I202" s="68"/>
      <c r="J202" s="68"/>
      <c r="K202" s="68"/>
      <c r="L202" s="68"/>
      <c r="M202" s="68"/>
      <c r="N202" s="68"/>
      <c r="O202" s="68"/>
      <c r="P202" s="68"/>
      <c r="Q202" s="68"/>
      <c r="R202" s="68"/>
      <c r="S202" s="68"/>
      <c r="T202" s="68"/>
      <c r="U202" s="68"/>
      <c r="V202" s="68"/>
      <c r="W202" s="68"/>
      <c r="X202" s="68"/>
      <c r="Y202" s="68"/>
      <c r="Z202" s="68"/>
    </row>
    <row r="203" spans="1:26" ht="17">
      <c r="A203" s="68"/>
      <c r="B203" s="104"/>
      <c r="C203" s="104"/>
      <c r="D203" s="104"/>
      <c r="E203" s="68"/>
      <c r="F203" s="68"/>
      <c r="G203" s="68"/>
      <c r="H203" s="68"/>
      <c r="I203" s="68"/>
      <c r="J203" s="68"/>
      <c r="K203" s="68"/>
      <c r="L203" s="68"/>
      <c r="M203" s="68"/>
      <c r="N203" s="68"/>
      <c r="O203" s="68"/>
      <c r="P203" s="68"/>
      <c r="Q203" s="68"/>
      <c r="R203" s="68"/>
      <c r="S203" s="68"/>
      <c r="T203" s="68"/>
      <c r="U203" s="68"/>
      <c r="V203" s="68"/>
      <c r="W203" s="68"/>
      <c r="X203" s="68"/>
      <c r="Y203" s="68"/>
      <c r="Z203" s="68"/>
    </row>
    <row r="204" spans="1:26" ht="17">
      <c r="A204" s="68"/>
      <c r="B204" s="104"/>
      <c r="C204" s="104"/>
      <c r="D204" s="104"/>
      <c r="E204" s="68"/>
      <c r="F204" s="68"/>
      <c r="G204" s="68"/>
      <c r="H204" s="68"/>
      <c r="I204" s="68"/>
      <c r="J204" s="68"/>
      <c r="K204" s="68"/>
      <c r="L204" s="68"/>
      <c r="M204" s="68"/>
      <c r="N204" s="68"/>
      <c r="O204" s="68"/>
      <c r="P204" s="68"/>
      <c r="Q204" s="68"/>
      <c r="R204" s="68"/>
      <c r="S204" s="68"/>
      <c r="T204" s="68"/>
      <c r="U204" s="68"/>
      <c r="V204" s="68"/>
      <c r="W204" s="68"/>
      <c r="X204" s="68"/>
      <c r="Y204" s="68"/>
      <c r="Z204" s="68"/>
    </row>
    <row r="205" spans="1:26" ht="17">
      <c r="A205" s="68"/>
      <c r="B205" s="104"/>
      <c r="C205" s="104"/>
      <c r="D205" s="104"/>
      <c r="E205" s="68"/>
      <c r="F205" s="68"/>
      <c r="G205" s="68"/>
      <c r="H205" s="68"/>
      <c r="I205" s="68"/>
      <c r="J205" s="68"/>
      <c r="K205" s="68"/>
      <c r="L205" s="68"/>
      <c r="M205" s="68"/>
      <c r="N205" s="68"/>
      <c r="O205" s="68"/>
      <c r="P205" s="68"/>
      <c r="Q205" s="68"/>
      <c r="R205" s="68"/>
      <c r="S205" s="68"/>
      <c r="T205" s="68"/>
      <c r="U205" s="68"/>
      <c r="V205" s="68"/>
      <c r="W205" s="68"/>
      <c r="X205" s="68"/>
      <c r="Y205" s="68"/>
      <c r="Z205" s="68"/>
    </row>
    <row r="206" spans="1:26" ht="17">
      <c r="A206" s="68"/>
      <c r="B206" s="104"/>
      <c r="C206" s="104"/>
      <c r="D206" s="104"/>
      <c r="E206" s="68"/>
      <c r="F206" s="68"/>
      <c r="G206" s="68"/>
      <c r="H206" s="68"/>
      <c r="I206" s="68"/>
      <c r="J206" s="68"/>
      <c r="K206" s="68"/>
      <c r="L206" s="68"/>
      <c r="M206" s="68"/>
      <c r="N206" s="68"/>
      <c r="O206" s="68"/>
      <c r="P206" s="68"/>
      <c r="Q206" s="68"/>
      <c r="R206" s="68"/>
      <c r="S206" s="68"/>
      <c r="T206" s="68"/>
      <c r="U206" s="68"/>
      <c r="V206" s="68"/>
      <c r="W206" s="68"/>
      <c r="X206" s="68"/>
      <c r="Y206" s="68"/>
      <c r="Z206" s="68"/>
    </row>
    <row r="207" spans="1:26" ht="17">
      <c r="A207" s="68"/>
      <c r="B207" s="104"/>
      <c r="C207" s="104"/>
      <c r="D207" s="104"/>
      <c r="E207" s="68"/>
      <c r="F207" s="68"/>
      <c r="G207" s="68"/>
      <c r="H207" s="68"/>
      <c r="I207" s="68"/>
      <c r="J207" s="68"/>
      <c r="K207" s="68"/>
      <c r="L207" s="68"/>
      <c r="M207" s="68"/>
      <c r="N207" s="68"/>
      <c r="O207" s="68"/>
      <c r="P207" s="68"/>
      <c r="Q207" s="68"/>
      <c r="R207" s="68"/>
      <c r="S207" s="68"/>
      <c r="T207" s="68"/>
      <c r="U207" s="68"/>
      <c r="V207" s="68"/>
      <c r="W207" s="68"/>
      <c r="X207" s="68"/>
      <c r="Y207" s="68"/>
      <c r="Z207" s="68"/>
    </row>
    <row r="208" spans="1:26" ht="17">
      <c r="A208" s="68"/>
      <c r="B208" s="104"/>
      <c r="C208" s="104"/>
      <c r="D208" s="104"/>
      <c r="E208" s="68"/>
      <c r="F208" s="68"/>
      <c r="G208" s="68"/>
      <c r="H208" s="68"/>
      <c r="I208" s="68"/>
      <c r="J208" s="68"/>
      <c r="K208" s="68"/>
      <c r="L208" s="68"/>
      <c r="M208" s="68"/>
      <c r="N208" s="68"/>
      <c r="O208" s="68"/>
      <c r="P208" s="68"/>
      <c r="Q208" s="68"/>
      <c r="R208" s="68"/>
      <c r="S208" s="68"/>
      <c r="T208" s="68"/>
      <c r="U208" s="68"/>
      <c r="V208" s="68"/>
      <c r="W208" s="68"/>
      <c r="X208" s="68"/>
      <c r="Y208" s="68"/>
      <c r="Z208" s="68"/>
    </row>
    <row r="209" spans="1:26" ht="17">
      <c r="A209" s="68"/>
      <c r="B209" s="104"/>
      <c r="C209" s="104"/>
      <c r="D209" s="104"/>
      <c r="E209" s="68"/>
      <c r="F209" s="68"/>
      <c r="G209" s="68"/>
      <c r="H209" s="68"/>
      <c r="I209" s="68"/>
      <c r="J209" s="68"/>
      <c r="K209" s="68"/>
      <c r="L209" s="68"/>
      <c r="M209" s="68"/>
      <c r="N209" s="68"/>
      <c r="O209" s="68"/>
      <c r="P209" s="68"/>
      <c r="Q209" s="68"/>
      <c r="R209" s="68"/>
      <c r="S209" s="68"/>
      <c r="T209" s="68"/>
      <c r="U209" s="68"/>
      <c r="V209" s="68"/>
      <c r="W209" s="68"/>
      <c r="X209" s="68"/>
      <c r="Y209" s="68"/>
      <c r="Z209" s="68"/>
    </row>
    <row r="210" spans="1:26" ht="17">
      <c r="A210" s="68"/>
      <c r="B210" s="104"/>
      <c r="C210" s="104"/>
      <c r="D210" s="104"/>
      <c r="E210" s="68"/>
      <c r="F210" s="68"/>
      <c r="G210" s="68"/>
      <c r="H210" s="68"/>
      <c r="I210" s="68"/>
      <c r="J210" s="68"/>
      <c r="K210" s="68"/>
      <c r="L210" s="68"/>
      <c r="M210" s="68"/>
      <c r="N210" s="68"/>
      <c r="O210" s="68"/>
      <c r="P210" s="68"/>
      <c r="Q210" s="68"/>
      <c r="R210" s="68"/>
      <c r="S210" s="68"/>
      <c r="T210" s="68"/>
      <c r="U210" s="68"/>
      <c r="V210" s="68"/>
      <c r="W210" s="68"/>
      <c r="X210" s="68"/>
      <c r="Y210" s="68"/>
      <c r="Z210" s="68"/>
    </row>
    <row r="211" spans="1:26" ht="17">
      <c r="A211" s="68"/>
      <c r="B211" s="104"/>
      <c r="C211" s="104"/>
      <c r="D211" s="104"/>
      <c r="E211" s="68"/>
      <c r="F211" s="68"/>
      <c r="G211" s="68"/>
      <c r="H211" s="68"/>
      <c r="I211" s="68"/>
      <c r="J211" s="68"/>
      <c r="K211" s="68"/>
      <c r="L211" s="68"/>
      <c r="M211" s="68"/>
      <c r="N211" s="68"/>
      <c r="O211" s="68"/>
      <c r="P211" s="68"/>
      <c r="Q211" s="68"/>
      <c r="R211" s="68"/>
      <c r="S211" s="68"/>
      <c r="T211" s="68"/>
      <c r="U211" s="68"/>
      <c r="V211" s="68"/>
      <c r="W211" s="68"/>
      <c r="X211" s="68"/>
      <c r="Y211" s="68"/>
      <c r="Z211" s="68"/>
    </row>
    <row r="212" spans="1:26" ht="17">
      <c r="A212" s="68"/>
      <c r="B212" s="104"/>
      <c r="C212" s="104"/>
      <c r="D212" s="104"/>
      <c r="E212" s="68"/>
      <c r="F212" s="68"/>
      <c r="G212" s="68"/>
      <c r="H212" s="68"/>
      <c r="I212" s="68"/>
      <c r="J212" s="68"/>
      <c r="K212" s="68"/>
      <c r="L212" s="68"/>
      <c r="M212" s="68"/>
      <c r="N212" s="68"/>
      <c r="O212" s="68"/>
      <c r="P212" s="68"/>
      <c r="Q212" s="68"/>
      <c r="R212" s="68"/>
      <c r="S212" s="68"/>
      <c r="T212" s="68"/>
      <c r="U212" s="68"/>
      <c r="V212" s="68"/>
      <c r="W212" s="68"/>
      <c r="X212" s="68"/>
      <c r="Y212" s="68"/>
      <c r="Z212" s="68"/>
    </row>
    <row r="213" spans="1:26" ht="17">
      <c r="A213" s="68"/>
      <c r="B213" s="104"/>
      <c r="C213" s="104"/>
      <c r="D213" s="104"/>
      <c r="E213" s="68"/>
      <c r="F213" s="68"/>
      <c r="G213" s="68"/>
      <c r="H213" s="68"/>
      <c r="I213" s="68"/>
      <c r="J213" s="68"/>
      <c r="K213" s="68"/>
      <c r="L213" s="68"/>
      <c r="M213" s="68"/>
      <c r="N213" s="68"/>
      <c r="O213" s="68"/>
      <c r="P213" s="68"/>
      <c r="Q213" s="68"/>
      <c r="R213" s="68"/>
      <c r="S213" s="68"/>
      <c r="T213" s="68"/>
      <c r="U213" s="68"/>
      <c r="V213" s="68"/>
      <c r="W213" s="68"/>
      <c r="X213" s="68"/>
      <c r="Y213" s="68"/>
      <c r="Z213" s="68"/>
    </row>
    <row r="214" spans="1:26" ht="17">
      <c r="A214" s="68"/>
      <c r="B214" s="104"/>
      <c r="C214" s="104"/>
      <c r="D214" s="104"/>
      <c r="E214" s="68"/>
      <c r="F214" s="68"/>
      <c r="G214" s="68"/>
      <c r="H214" s="68"/>
      <c r="I214" s="68"/>
      <c r="J214" s="68"/>
      <c r="K214" s="68"/>
      <c r="L214" s="68"/>
      <c r="M214" s="68"/>
      <c r="N214" s="68"/>
      <c r="O214" s="68"/>
      <c r="P214" s="68"/>
      <c r="Q214" s="68"/>
      <c r="R214" s="68"/>
      <c r="S214" s="68"/>
      <c r="T214" s="68"/>
      <c r="U214" s="68"/>
      <c r="V214" s="68"/>
      <c r="W214" s="68"/>
      <c r="X214" s="68"/>
      <c r="Y214" s="68"/>
      <c r="Z214" s="68"/>
    </row>
    <row r="215" spans="1:26" ht="17">
      <c r="A215" s="68"/>
      <c r="B215" s="104"/>
      <c r="C215" s="104"/>
      <c r="D215" s="104"/>
      <c r="E215" s="68"/>
      <c r="F215" s="68"/>
      <c r="G215" s="68"/>
      <c r="H215" s="68"/>
      <c r="I215" s="68"/>
      <c r="J215" s="68"/>
      <c r="K215" s="68"/>
      <c r="L215" s="68"/>
      <c r="M215" s="68"/>
      <c r="N215" s="68"/>
      <c r="O215" s="68"/>
      <c r="P215" s="68"/>
      <c r="Q215" s="68"/>
      <c r="R215" s="68"/>
      <c r="S215" s="68"/>
      <c r="T215" s="68"/>
      <c r="U215" s="68"/>
      <c r="V215" s="68"/>
      <c r="W215" s="68"/>
      <c r="X215" s="68"/>
      <c r="Y215" s="68"/>
      <c r="Z215" s="68"/>
    </row>
    <row r="216" spans="1:26" ht="17">
      <c r="A216" s="68"/>
      <c r="B216" s="104"/>
      <c r="C216" s="104"/>
      <c r="D216" s="104"/>
      <c r="E216" s="68"/>
      <c r="F216" s="68"/>
      <c r="G216" s="68"/>
      <c r="H216" s="68"/>
      <c r="I216" s="68"/>
      <c r="J216" s="68"/>
      <c r="K216" s="68"/>
      <c r="L216" s="68"/>
      <c r="M216" s="68"/>
      <c r="N216" s="68"/>
      <c r="O216" s="68"/>
      <c r="P216" s="68"/>
      <c r="Q216" s="68"/>
      <c r="R216" s="68"/>
      <c r="S216" s="68"/>
      <c r="T216" s="68"/>
      <c r="U216" s="68"/>
      <c r="V216" s="68"/>
      <c r="W216" s="68"/>
      <c r="X216" s="68"/>
      <c r="Y216" s="68"/>
      <c r="Z216" s="68"/>
    </row>
    <row r="217" spans="1:26" ht="17">
      <c r="A217" s="68"/>
      <c r="B217" s="104"/>
      <c r="C217" s="104"/>
      <c r="D217" s="104"/>
      <c r="E217" s="68"/>
      <c r="F217" s="68"/>
      <c r="G217" s="68"/>
      <c r="H217" s="68"/>
      <c r="I217" s="68"/>
      <c r="J217" s="68"/>
      <c r="K217" s="68"/>
      <c r="L217" s="68"/>
      <c r="M217" s="68"/>
      <c r="N217" s="68"/>
      <c r="O217" s="68"/>
      <c r="P217" s="68"/>
      <c r="Q217" s="68"/>
      <c r="R217" s="68"/>
      <c r="S217" s="68"/>
      <c r="T217" s="68"/>
      <c r="U217" s="68"/>
      <c r="V217" s="68"/>
      <c r="W217" s="68"/>
      <c r="X217" s="68"/>
      <c r="Y217" s="68"/>
      <c r="Z217" s="68"/>
    </row>
    <row r="218" spans="1:26" ht="17">
      <c r="A218" s="68"/>
      <c r="B218" s="104"/>
      <c r="C218" s="104"/>
      <c r="D218" s="104"/>
      <c r="E218" s="68"/>
      <c r="F218" s="68"/>
      <c r="G218" s="68"/>
      <c r="H218" s="68"/>
      <c r="I218" s="68"/>
      <c r="J218" s="68"/>
      <c r="K218" s="68"/>
      <c r="L218" s="68"/>
      <c r="M218" s="68"/>
      <c r="N218" s="68"/>
      <c r="O218" s="68"/>
      <c r="P218" s="68"/>
      <c r="Q218" s="68"/>
      <c r="R218" s="68"/>
      <c r="S218" s="68"/>
      <c r="T218" s="68"/>
      <c r="U218" s="68"/>
      <c r="V218" s="68"/>
      <c r="W218" s="68"/>
      <c r="X218" s="68"/>
      <c r="Y218" s="68"/>
      <c r="Z218" s="68"/>
    </row>
    <row r="219" spans="1:26" ht="17">
      <c r="A219" s="68"/>
      <c r="B219" s="104"/>
      <c r="C219" s="104"/>
      <c r="D219" s="104"/>
      <c r="E219" s="68"/>
      <c r="F219" s="68"/>
      <c r="G219" s="68"/>
      <c r="H219" s="68"/>
      <c r="I219" s="68"/>
      <c r="J219" s="68"/>
      <c r="K219" s="68"/>
      <c r="L219" s="68"/>
      <c r="M219" s="68"/>
      <c r="N219" s="68"/>
      <c r="O219" s="68"/>
      <c r="P219" s="68"/>
      <c r="Q219" s="68"/>
      <c r="R219" s="68"/>
      <c r="S219" s="68"/>
      <c r="T219" s="68"/>
      <c r="U219" s="68"/>
      <c r="V219" s="68"/>
      <c r="W219" s="68"/>
      <c r="X219" s="68"/>
      <c r="Y219" s="68"/>
      <c r="Z219" s="68"/>
    </row>
    <row r="220" spans="1:26" ht="17">
      <c r="A220" s="68"/>
      <c r="B220" s="104"/>
      <c r="C220" s="104"/>
      <c r="D220" s="104"/>
      <c r="E220" s="68"/>
      <c r="F220" s="68"/>
      <c r="G220" s="68"/>
      <c r="H220" s="68"/>
      <c r="I220" s="68"/>
      <c r="J220" s="68"/>
      <c r="K220" s="68"/>
      <c r="L220" s="68"/>
      <c r="M220" s="68"/>
      <c r="N220" s="68"/>
      <c r="O220" s="68"/>
      <c r="P220" s="68"/>
      <c r="Q220" s="68"/>
      <c r="R220" s="68"/>
      <c r="S220" s="68"/>
      <c r="T220" s="68"/>
      <c r="U220" s="68"/>
      <c r="V220" s="68"/>
      <c r="W220" s="68"/>
      <c r="X220" s="68"/>
      <c r="Y220" s="68"/>
      <c r="Z220" s="68"/>
    </row>
    <row r="221" spans="1:26" ht="17">
      <c r="A221" s="68"/>
      <c r="B221" s="104"/>
      <c r="C221" s="104"/>
      <c r="D221" s="104"/>
      <c r="E221" s="68"/>
      <c r="F221" s="68"/>
      <c r="G221" s="68"/>
      <c r="H221" s="68"/>
      <c r="I221" s="68"/>
      <c r="J221" s="68"/>
      <c r="K221" s="68"/>
      <c r="L221" s="68"/>
      <c r="M221" s="68"/>
      <c r="N221" s="68"/>
      <c r="O221" s="68"/>
      <c r="P221" s="68"/>
      <c r="Q221" s="68"/>
      <c r="R221" s="68"/>
      <c r="S221" s="68"/>
      <c r="T221" s="68"/>
      <c r="U221" s="68"/>
      <c r="V221" s="68"/>
      <c r="W221" s="68"/>
      <c r="X221" s="68"/>
      <c r="Y221" s="68"/>
      <c r="Z221" s="68"/>
    </row>
    <row r="222" spans="1:26" ht="17">
      <c r="A222" s="68"/>
      <c r="B222" s="104"/>
      <c r="C222" s="104"/>
      <c r="D222" s="104"/>
      <c r="E222" s="68"/>
      <c r="F222" s="68"/>
      <c r="G222" s="68"/>
      <c r="H222" s="68"/>
      <c r="I222" s="68"/>
      <c r="J222" s="68"/>
      <c r="K222" s="68"/>
      <c r="L222" s="68"/>
      <c r="M222" s="68"/>
      <c r="N222" s="68"/>
      <c r="O222" s="68"/>
      <c r="P222" s="68"/>
      <c r="Q222" s="68"/>
      <c r="R222" s="68"/>
      <c r="S222" s="68"/>
      <c r="T222" s="68"/>
      <c r="U222" s="68"/>
      <c r="V222" s="68"/>
      <c r="W222" s="68"/>
      <c r="X222" s="68"/>
      <c r="Y222" s="68"/>
      <c r="Z222" s="68"/>
    </row>
    <row r="223" spans="1:26" ht="17">
      <c r="A223" s="68"/>
      <c r="B223" s="104"/>
      <c r="C223" s="104"/>
      <c r="D223" s="104"/>
      <c r="E223" s="68"/>
      <c r="F223" s="68"/>
      <c r="G223" s="68"/>
      <c r="H223" s="68"/>
      <c r="I223" s="68"/>
      <c r="J223" s="68"/>
      <c r="K223" s="68"/>
      <c r="L223" s="68"/>
      <c r="M223" s="68"/>
      <c r="N223" s="68"/>
      <c r="O223" s="68"/>
      <c r="P223" s="68"/>
      <c r="Q223" s="68"/>
      <c r="R223" s="68"/>
      <c r="S223" s="68"/>
      <c r="T223" s="68"/>
      <c r="U223" s="68"/>
      <c r="V223" s="68"/>
      <c r="W223" s="68"/>
      <c r="X223" s="68"/>
      <c r="Y223" s="68"/>
      <c r="Z223" s="68"/>
    </row>
    <row r="224" spans="1:26" ht="17">
      <c r="A224" s="68"/>
      <c r="B224" s="104"/>
      <c r="C224" s="104"/>
      <c r="D224" s="104"/>
      <c r="E224" s="68"/>
      <c r="F224" s="68"/>
      <c r="G224" s="68"/>
      <c r="H224" s="68"/>
      <c r="I224" s="68"/>
      <c r="J224" s="68"/>
      <c r="K224" s="68"/>
      <c r="L224" s="68"/>
      <c r="M224" s="68"/>
      <c r="N224" s="68"/>
      <c r="O224" s="68"/>
      <c r="P224" s="68"/>
      <c r="Q224" s="68"/>
      <c r="R224" s="68"/>
      <c r="S224" s="68"/>
      <c r="T224" s="68"/>
      <c r="U224" s="68"/>
      <c r="V224" s="68"/>
      <c r="W224" s="68"/>
      <c r="X224" s="68"/>
      <c r="Y224" s="68"/>
      <c r="Z224" s="68"/>
    </row>
    <row r="225" spans="1:26" ht="17">
      <c r="A225" s="68"/>
      <c r="B225" s="104"/>
      <c r="C225" s="104"/>
      <c r="D225" s="104"/>
      <c r="E225" s="68"/>
      <c r="F225" s="68"/>
      <c r="G225" s="68"/>
      <c r="H225" s="68"/>
      <c r="I225" s="68"/>
      <c r="J225" s="68"/>
      <c r="K225" s="68"/>
      <c r="L225" s="68"/>
      <c r="M225" s="68"/>
      <c r="N225" s="68"/>
      <c r="O225" s="68"/>
      <c r="P225" s="68"/>
      <c r="Q225" s="68"/>
      <c r="R225" s="68"/>
      <c r="S225" s="68"/>
      <c r="T225" s="68"/>
      <c r="U225" s="68"/>
      <c r="V225" s="68"/>
      <c r="W225" s="68"/>
      <c r="X225" s="68"/>
      <c r="Y225" s="68"/>
      <c r="Z225" s="68"/>
    </row>
    <row r="226" spans="1:26" ht="17">
      <c r="A226" s="68"/>
      <c r="B226" s="104"/>
      <c r="C226" s="104"/>
      <c r="D226" s="104"/>
      <c r="E226" s="68"/>
      <c r="F226" s="68"/>
      <c r="G226" s="68"/>
      <c r="H226" s="68"/>
      <c r="I226" s="68"/>
      <c r="J226" s="68"/>
      <c r="K226" s="68"/>
      <c r="L226" s="68"/>
      <c r="M226" s="68"/>
      <c r="N226" s="68"/>
      <c r="O226" s="68"/>
      <c r="P226" s="68"/>
      <c r="Q226" s="68"/>
      <c r="R226" s="68"/>
      <c r="S226" s="68"/>
      <c r="T226" s="68"/>
      <c r="U226" s="68"/>
      <c r="V226" s="68"/>
      <c r="W226" s="68"/>
      <c r="X226" s="68"/>
      <c r="Y226" s="68"/>
      <c r="Z226" s="68"/>
    </row>
    <row r="227" spans="1:26" ht="17">
      <c r="A227" s="68"/>
      <c r="B227" s="104"/>
      <c r="C227" s="104"/>
      <c r="D227" s="104"/>
      <c r="E227" s="68"/>
      <c r="F227" s="68"/>
      <c r="G227" s="68"/>
      <c r="H227" s="68"/>
      <c r="I227" s="68"/>
      <c r="J227" s="68"/>
      <c r="K227" s="68"/>
      <c r="L227" s="68"/>
      <c r="M227" s="68"/>
      <c r="N227" s="68"/>
      <c r="O227" s="68"/>
      <c r="P227" s="68"/>
      <c r="Q227" s="68"/>
      <c r="R227" s="68"/>
      <c r="S227" s="68"/>
      <c r="T227" s="68"/>
      <c r="U227" s="68"/>
      <c r="V227" s="68"/>
      <c r="W227" s="68"/>
      <c r="X227" s="68"/>
      <c r="Y227" s="68"/>
      <c r="Z227" s="68"/>
    </row>
    <row r="228" spans="1:26" ht="17">
      <c r="A228" s="68"/>
      <c r="B228" s="104"/>
      <c r="C228" s="104"/>
      <c r="D228" s="104"/>
      <c r="E228" s="68"/>
      <c r="F228" s="68"/>
      <c r="G228" s="68"/>
      <c r="H228" s="68"/>
      <c r="I228" s="68"/>
      <c r="J228" s="68"/>
      <c r="K228" s="68"/>
      <c r="L228" s="68"/>
      <c r="M228" s="68"/>
      <c r="N228" s="68"/>
      <c r="O228" s="68"/>
      <c r="P228" s="68"/>
      <c r="Q228" s="68"/>
      <c r="R228" s="68"/>
      <c r="S228" s="68"/>
      <c r="T228" s="68"/>
      <c r="U228" s="68"/>
      <c r="V228" s="68"/>
      <c r="W228" s="68"/>
      <c r="X228" s="68"/>
      <c r="Y228" s="68"/>
      <c r="Z228" s="68"/>
    </row>
    <row r="229" spans="1:26" ht="17">
      <c r="A229" s="68"/>
      <c r="B229" s="104"/>
      <c r="C229" s="104"/>
      <c r="D229" s="104"/>
      <c r="E229" s="68"/>
      <c r="F229" s="68"/>
      <c r="G229" s="68"/>
      <c r="H229" s="68"/>
      <c r="I229" s="68"/>
      <c r="J229" s="68"/>
      <c r="K229" s="68"/>
      <c r="L229" s="68"/>
      <c r="M229" s="68"/>
      <c r="N229" s="68"/>
      <c r="O229" s="68"/>
      <c r="P229" s="68"/>
      <c r="Q229" s="68"/>
      <c r="R229" s="68"/>
      <c r="S229" s="68"/>
      <c r="T229" s="68"/>
      <c r="U229" s="68"/>
      <c r="V229" s="68"/>
      <c r="W229" s="68"/>
      <c r="X229" s="68"/>
      <c r="Y229" s="68"/>
      <c r="Z229" s="68"/>
    </row>
    <row r="230" spans="1:26" ht="17">
      <c r="A230" s="68"/>
      <c r="B230" s="104"/>
      <c r="C230" s="104"/>
      <c r="D230" s="104"/>
      <c r="E230" s="68"/>
      <c r="F230" s="68"/>
      <c r="G230" s="68"/>
      <c r="H230" s="68"/>
      <c r="I230" s="68"/>
      <c r="J230" s="68"/>
      <c r="K230" s="68"/>
      <c r="L230" s="68"/>
      <c r="M230" s="68"/>
      <c r="N230" s="68"/>
      <c r="O230" s="68"/>
      <c r="P230" s="68"/>
      <c r="Q230" s="68"/>
      <c r="R230" s="68"/>
      <c r="S230" s="68"/>
      <c r="T230" s="68"/>
      <c r="U230" s="68"/>
      <c r="V230" s="68"/>
      <c r="W230" s="68"/>
      <c r="X230" s="68"/>
      <c r="Y230" s="68"/>
      <c r="Z230" s="68"/>
    </row>
    <row r="231" spans="1:26" ht="17">
      <c r="A231" s="68"/>
      <c r="B231" s="104"/>
      <c r="C231" s="104"/>
      <c r="D231" s="104"/>
      <c r="E231" s="68"/>
      <c r="F231" s="68"/>
      <c r="G231" s="68"/>
      <c r="H231" s="68"/>
      <c r="I231" s="68"/>
      <c r="J231" s="68"/>
      <c r="K231" s="68"/>
      <c r="L231" s="68"/>
      <c r="M231" s="68"/>
      <c r="N231" s="68"/>
      <c r="O231" s="68"/>
      <c r="P231" s="68"/>
      <c r="Q231" s="68"/>
      <c r="R231" s="68"/>
      <c r="S231" s="68"/>
      <c r="T231" s="68"/>
      <c r="U231" s="68"/>
      <c r="V231" s="68"/>
      <c r="W231" s="68"/>
      <c r="X231" s="68"/>
      <c r="Y231" s="68"/>
      <c r="Z231" s="68"/>
    </row>
    <row r="232" spans="1:26" ht="17">
      <c r="A232" s="68"/>
      <c r="B232" s="104"/>
      <c r="C232" s="104"/>
      <c r="D232" s="104"/>
      <c r="E232" s="68"/>
      <c r="F232" s="68"/>
      <c r="G232" s="68"/>
      <c r="H232" s="68"/>
      <c r="I232" s="68"/>
      <c r="J232" s="68"/>
      <c r="K232" s="68"/>
      <c r="L232" s="68"/>
      <c r="M232" s="68"/>
      <c r="N232" s="68"/>
      <c r="O232" s="68"/>
      <c r="P232" s="68"/>
      <c r="Q232" s="68"/>
      <c r="R232" s="68"/>
      <c r="S232" s="68"/>
      <c r="T232" s="68"/>
      <c r="U232" s="68"/>
      <c r="V232" s="68"/>
      <c r="W232" s="68"/>
      <c r="X232" s="68"/>
      <c r="Y232" s="68"/>
      <c r="Z232" s="68"/>
    </row>
    <row r="233" spans="1:26" ht="17">
      <c r="A233" s="68"/>
      <c r="B233" s="104"/>
      <c r="C233" s="104"/>
      <c r="D233" s="104"/>
      <c r="E233" s="68"/>
      <c r="F233" s="68"/>
      <c r="G233" s="68"/>
      <c r="H233" s="68"/>
      <c r="I233" s="68"/>
      <c r="J233" s="68"/>
      <c r="K233" s="68"/>
      <c r="L233" s="68"/>
      <c r="M233" s="68"/>
      <c r="N233" s="68"/>
      <c r="O233" s="68"/>
      <c r="P233" s="68"/>
      <c r="Q233" s="68"/>
      <c r="R233" s="68"/>
      <c r="S233" s="68"/>
      <c r="T233" s="68"/>
      <c r="U233" s="68"/>
      <c r="V233" s="68"/>
      <c r="W233" s="68"/>
      <c r="X233" s="68"/>
      <c r="Y233" s="68"/>
      <c r="Z233" s="68"/>
    </row>
    <row r="234" spans="1:26" ht="17">
      <c r="A234" s="68"/>
      <c r="B234" s="104"/>
      <c r="C234" s="104"/>
      <c r="D234" s="104"/>
      <c r="E234" s="68"/>
      <c r="F234" s="68"/>
      <c r="G234" s="68"/>
      <c r="H234" s="68"/>
      <c r="I234" s="68"/>
      <c r="J234" s="68"/>
      <c r="K234" s="68"/>
      <c r="L234" s="68"/>
      <c r="M234" s="68"/>
      <c r="N234" s="68"/>
      <c r="O234" s="68"/>
      <c r="P234" s="68"/>
      <c r="Q234" s="68"/>
      <c r="R234" s="68"/>
      <c r="S234" s="68"/>
      <c r="T234" s="68"/>
      <c r="U234" s="68"/>
      <c r="V234" s="68"/>
      <c r="W234" s="68"/>
      <c r="X234" s="68"/>
      <c r="Y234" s="68"/>
      <c r="Z234" s="68"/>
    </row>
    <row r="235" spans="1:26" ht="17">
      <c r="A235" s="68"/>
      <c r="B235" s="104"/>
      <c r="C235" s="104"/>
      <c r="D235" s="104"/>
      <c r="E235" s="68"/>
      <c r="F235" s="68"/>
      <c r="G235" s="68"/>
      <c r="H235" s="68"/>
      <c r="I235" s="68"/>
      <c r="J235" s="68"/>
      <c r="K235" s="68"/>
      <c r="L235" s="68"/>
      <c r="M235" s="68"/>
      <c r="N235" s="68"/>
      <c r="O235" s="68"/>
      <c r="P235" s="68"/>
      <c r="Q235" s="68"/>
      <c r="R235" s="68"/>
      <c r="S235" s="68"/>
      <c r="T235" s="68"/>
      <c r="U235" s="68"/>
      <c r="V235" s="68"/>
      <c r="W235" s="68"/>
      <c r="X235" s="68"/>
      <c r="Y235" s="68"/>
      <c r="Z235" s="68"/>
    </row>
    <row r="236" spans="1:26" ht="17">
      <c r="A236" s="68"/>
      <c r="B236" s="104"/>
      <c r="C236" s="104"/>
      <c r="D236" s="104"/>
      <c r="E236" s="68"/>
      <c r="F236" s="68"/>
      <c r="G236" s="68"/>
      <c r="H236" s="68"/>
      <c r="I236" s="68"/>
      <c r="J236" s="68"/>
      <c r="K236" s="68"/>
      <c r="L236" s="68"/>
      <c r="M236" s="68"/>
      <c r="N236" s="68"/>
      <c r="O236" s="68"/>
      <c r="P236" s="68"/>
      <c r="Q236" s="68"/>
      <c r="R236" s="68"/>
      <c r="S236" s="68"/>
      <c r="T236" s="68"/>
      <c r="U236" s="68"/>
      <c r="V236" s="68"/>
      <c r="W236" s="68"/>
      <c r="X236" s="68"/>
      <c r="Y236" s="68"/>
      <c r="Z236" s="68"/>
    </row>
    <row r="237" spans="1:26" ht="17">
      <c r="A237" s="68"/>
      <c r="B237" s="104"/>
      <c r="C237" s="104"/>
      <c r="D237" s="104"/>
      <c r="E237" s="68"/>
      <c r="F237" s="68"/>
      <c r="G237" s="68"/>
      <c r="H237" s="68"/>
      <c r="I237" s="68"/>
      <c r="J237" s="68"/>
      <c r="K237" s="68"/>
      <c r="L237" s="68"/>
      <c r="M237" s="68"/>
      <c r="N237" s="68"/>
      <c r="O237" s="68"/>
      <c r="P237" s="68"/>
      <c r="Q237" s="68"/>
      <c r="R237" s="68"/>
      <c r="S237" s="68"/>
      <c r="T237" s="68"/>
      <c r="U237" s="68"/>
      <c r="V237" s="68"/>
      <c r="W237" s="68"/>
      <c r="X237" s="68"/>
      <c r="Y237" s="68"/>
      <c r="Z237" s="68"/>
    </row>
    <row r="238" spans="1:26" ht="17">
      <c r="A238" s="68"/>
      <c r="B238" s="104"/>
      <c r="C238" s="104"/>
      <c r="D238" s="104"/>
      <c r="E238" s="68"/>
      <c r="F238" s="68"/>
      <c r="G238" s="68"/>
      <c r="H238" s="68"/>
      <c r="I238" s="68"/>
      <c r="J238" s="68"/>
      <c r="K238" s="68"/>
      <c r="L238" s="68"/>
      <c r="M238" s="68"/>
      <c r="N238" s="68"/>
      <c r="O238" s="68"/>
      <c r="P238" s="68"/>
      <c r="Q238" s="68"/>
      <c r="R238" s="68"/>
      <c r="S238" s="68"/>
      <c r="T238" s="68"/>
      <c r="U238" s="68"/>
      <c r="V238" s="68"/>
      <c r="W238" s="68"/>
      <c r="X238" s="68"/>
      <c r="Y238" s="68"/>
      <c r="Z238" s="68"/>
    </row>
    <row r="239" spans="1:26" ht="17">
      <c r="A239" s="68"/>
      <c r="B239" s="104"/>
      <c r="C239" s="104"/>
      <c r="D239" s="104"/>
      <c r="E239" s="68"/>
      <c r="F239" s="68"/>
      <c r="G239" s="68"/>
      <c r="H239" s="68"/>
      <c r="I239" s="68"/>
      <c r="J239" s="68"/>
      <c r="K239" s="68"/>
      <c r="L239" s="68"/>
      <c r="M239" s="68"/>
      <c r="N239" s="68"/>
      <c r="O239" s="68"/>
      <c r="P239" s="68"/>
      <c r="Q239" s="68"/>
      <c r="R239" s="68"/>
      <c r="S239" s="68"/>
      <c r="T239" s="68"/>
      <c r="U239" s="68"/>
      <c r="V239" s="68"/>
      <c r="W239" s="68"/>
      <c r="X239" s="68"/>
      <c r="Y239" s="68"/>
      <c r="Z239" s="68"/>
    </row>
    <row r="240" spans="1:26" ht="17">
      <c r="A240" s="68"/>
      <c r="B240" s="104"/>
      <c r="C240" s="104"/>
      <c r="D240" s="104"/>
      <c r="E240" s="68"/>
      <c r="F240" s="68"/>
      <c r="G240" s="68"/>
      <c r="H240" s="68"/>
      <c r="I240" s="68"/>
      <c r="J240" s="68"/>
      <c r="K240" s="68"/>
      <c r="L240" s="68"/>
      <c r="M240" s="68"/>
      <c r="N240" s="68"/>
      <c r="O240" s="68"/>
      <c r="P240" s="68"/>
      <c r="Q240" s="68"/>
      <c r="R240" s="68"/>
      <c r="S240" s="68"/>
      <c r="T240" s="68"/>
      <c r="U240" s="68"/>
      <c r="V240" s="68"/>
      <c r="W240" s="68"/>
      <c r="X240" s="68"/>
      <c r="Y240" s="68"/>
      <c r="Z240" s="68"/>
    </row>
    <row r="241" spans="1:26" ht="17">
      <c r="A241" s="68"/>
      <c r="B241" s="104"/>
      <c r="C241" s="104"/>
      <c r="D241" s="104"/>
      <c r="E241" s="68"/>
      <c r="F241" s="68"/>
      <c r="G241" s="68"/>
      <c r="H241" s="68"/>
      <c r="I241" s="68"/>
      <c r="J241" s="68"/>
      <c r="K241" s="68"/>
      <c r="L241" s="68"/>
      <c r="M241" s="68"/>
      <c r="N241" s="68"/>
      <c r="O241" s="68"/>
      <c r="P241" s="68"/>
      <c r="Q241" s="68"/>
      <c r="R241" s="68"/>
      <c r="S241" s="68"/>
      <c r="T241" s="68"/>
      <c r="U241" s="68"/>
      <c r="V241" s="68"/>
      <c r="W241" s="68"/>
      <c r="X241" s="68"/>
      <c r="Y241" s="68"/>
      <c r="Z241" s="68"/>
    </row>
    <row r="242" spans="1:26" ht="17">
      <c r="A242" s="68"/>
      <c r="B242" s="104"/>
      <c r="C242" s="104"/>
      <c r="D242" s="104"/>
      <c r="E242" s="68"/>
      <c r="F242" s="68"/>
      <c r="G242" s="68"/>
      <c r="H242" s="68"/>
      <c r="I242" s="68"/>
      <c r="J242" s="68"/>
      <c r="K242" s="68"/>
      <c r="L242" s="68"/>
      <c r="M242" s="68"/>
      <c r="N242" s="68"/>
      <c r="O242" s="68"/>
      <c r="P242" s="68"/>
      <c r="Q242" s="68"/>
      <c r="R242" s="68"/>
      <c r="S242" s="68"/>
      <c r="T242" s="68"/>
      <c r="U242" s="68"/>
      <c r="V242" s="68"/>
      <c r="W242" s="68"/>
      <c r="X242" s="68"/>
      <c r="Y242" s="68"/>
      <c r="Z242" s="68"/>
    </row>
    <row r="243" spans="1:26" ht="17">
      <c r="A243" s="68"/>
      <c r="B243" s="104"/>
      <c r="C243" s="104"/>
      <c r="D243" s="104"/>
      <c r="E243" s="68"/>
      <c r="F243" s="68"/>
      <c r="G243" s="68"/>
      <c r="H243" s="68"/>
      <c r="I243" s="68"/>
      <c r="J243" s="68"/>
      <c r="K243" s="68"/>
      <c r="L243" s="68"/>
      <c r="M243" s="68"/>
      <c r="N243" s="68"/>
      <c r="O243" s="68"/>
      <c r="P243" s="68"/>
      <c r="Q243" s="68"/>
      <c r="R243" s="68"/>
      <c r="S243" s="68"/>
      <c r="T243" s="68"/>
      <c r="U243" s="68"/>
      <c r="V243" s="68"/>
      <c r="W243" s="68"/>
      <c r="X243" s="68"/>
      <c r="Y243" s="68"/>
      <c r="Z243" s="68"/>
    </row>
    <row r="244" spans="1:26" ht="17">
      <c r="A244" s="68"/>
      <c r="B244" s="104"/>
      <c r="C244" s="104"/>
      <c r="D244" s="104"/>
      <c r="E244" s="68"/>
      <c r="F244" s="68"/>
      <c r="G244" s="68"/>
      <c r="H244" s="68"/>
      <c r="I244" s="68"/>
      <c r="J244" s="68"/>
      <c r="K244" s="68"/>
      <c r="L244" s="68"/>
      <c r="M244" s="68"/>
      <c r="N244" s="68"/>
      <c r="O244" s="68"/>
      <c r="P244" s="68"/>
      <c r="Q244" s="68"/>
      <c r="R244" s="68"/>
      <c r="S244" s="68"/>
      <c r="T244" s="68"/>
      <c r="U244" s="68"/>
      <c r="V244" s="68"/>
      <c r="W244" s="68"/>
      <c r="X244" s="68"/>
      <c r="Y244" s="68"/>
      <c r="Z244" s="68"/>
    </row>
    <row r="245" spans="1:26" ht="17">
      <c r="A245" s="68"/>
      <c r="B245" s="104"/>
      <c r="C245" s="104"/>
      <c r="D245" s="104"/>
      <c r="E245" s="68"/>
      <c r="F245" s="68"/>
      <c r="G245" s="68"/>
      <c r="H245" s="68"/>
      <c r="I245" s="68"/>
      <c r="J245" s="68"/>
      <c r="K245" s="68"/>
      <c r="L245" s="68"/>
      <c r="M245" s="68"/>
      <c r="N245" s="68"/>
      <c r="O245" s="68"/>
      <c r="P245" s="68"/>
      <c r="Q245" s="68"/>
      <c r="R245" s="68"/>
      <c r="S245" s="68"/>
      <c r="T245" s="68"/>
      <c r="U245" s="68"/>
      <c r="V245" s="68"/>
      <c r="W245" s="68"/>
      <c r="X245" s="68"/>
      <c r="Y245" s="68"/>
      <c r="Z245" s="68"/>
    </row>
    <row r="246" spans="1:26" ht="17">
      <c r="A246" s="68"/>
      <c r="B246" s="104"/>
      <c r="C246" s="104"/>
      <c r="D246" s="104"/>
      <c r="E246" s="68"/>
      <c r="F246" s="68"/>
      <c r="G246" s="68"/>
      <c r="H246" s="68"/>
      <c r="I246" s="68"/>
      <c r="J246" s="68"/>
      <c r="K246" s="68"/>
      <c r="L246" s="68"/>
      <c r="M246" s="68"/>
      <c r="N246" s="68"/>
      <c r="O246" s="68"/>
      <c r="P246" s="68"/>
      <c r="Q246" s="68"/>
      <c r="R246" s="68"/>
      <c r="S246" s="68"/>
      <c r="T246" s="68"/>
      <c r="U246" s="68"/>
      <c r="V246" s="68"/>
      <c r="W246" s="68"/>
      <c r="X246" s="68"/>
      <c r="Y246" s="68"/>
      <c r="Z246" s="68"/>
    </row>
    <row r="247" spans="1:26" ht="17">
      <c r="A247" s="68"/>
      <c r="B247" s="104"/>
      <c r="C247" s="104"/>
      <c r="D247" s="104"/>
      <c r="E247" s="68"/>
      <c r="F247" s="68"/>
      <c r="G247" s="68"/>
      <c r="H247" s="68"/>
      <c r="I247" s="68"/>
      <c r="J247" s="68"/>
      <c r="K247" s="68"/>
      <c r="L247" s="68"/>
      <c r="M247" s="68"/>
      <c r="N247" s="68"/>
      <c r="O247" s="68"/>
      <c r="P247" s="68"/>
      <c r="Q247" s="68"/>
      <c r="R247" s="68"/>
      <c r="S247" s="68"/>
      <c r="T247" s="68"/>
      <c r="U247" s="68"/>
      <c r="V247" s="68"/>
      <c r="W247" s="68"/>
      <c r="X247" s="68"/>
      <c r="Y247" s="68"/>
      <c r="Z247" s="68"/>
    </row>
    <row r="248" spans="1:26" ht="17">
      <c r="A248" s="68"/>
      <c r="B248" s="104"/>
      <c r="C248" s="104"/>
      <c r="D248" s="104"/>
      <c r="E248" s="68"/>
      <c r="F248" s="68"/>
      <c r="G248" s="68"/>
      <c r="H248" s="68"/>
      <c r="I248" s="68"/>
      <c r="J248" s="68"/>
      <c r="K248" s="68"/>
      <c r="L248" s="68"/>
      <c r="M248" s="68"/>
      <c r="N248" s="68"/>
      <c r="O248" s="68"/>
      <c r="P248" s="68"/>
      <c r="Q248" s="68"/>
      <c r="R248" s="68"/>
      <c r="S248" s="68"/>
      <c r="T248" s="68"/>
      <c r="U248" s="68"/>
      <c r="V248" s="68"/>
      <c r="W248" s="68"/>
      <c r="X248" s="68"/>
      <c r="Y248" s="68"/>
      <c r="Z248" s="68"/>
    </row>
    <row r="249" spans="1:26" ht="17">
      <c r="A249" s="68"/>
      <c r="B249" s="104"/>
      <c r="C249" s="104"/>
      <c r="D249" s="104"/>
      <c r="E249" s="68"/>
      <c r="F249" s="68"/>
      <c r="G249" s="68"/>
      <c r="H249" s="68"/>
      <c r="I249" s="68"/>
      <c r="J249" s="68"/>
      <c r="K249" s="68"/>
      <c r="L249" s="68"/>
      <c r="M249" s="68"/>
      <c r="N249" s="68"/>
      <c r="O249" s="68"/>
      <c r="P249" s="68"/>
      <c r="Q249" s="68"/>
      <c r="R249" s="68"/>
      <c r="S249" s="68"/>
      <c r="T249" s="68"/>
      <c r="U249" s="68"/>
      <c r="V249" s="68"/>
      <c r="W249" s="68"/>
      <c r="X249" s="68"/>
      <c r="Y249" s="68"/>
      <c r="Z249" s="68"/>
    </row>
    <row r="250" spans="1:26" ht="17">
      <c r="A250" s="68"/>
      <c r="B250" s="104"/>
      <c r="C250" s="104"/>
      <c r="D250" s="104"/>
      <c r="E250" s="68"/>
      <c r="F250" s="68"/>
      <c r="G250" s="68"/>
      <c r="H250" s="68"/>
      <c r="I250" s="68"/>
      <c r="J250" s="68"/>
      <c r="K250" s="68"/>
      <c r="L250" s="68"/>
      <c r="M250" s="68"/>
      <c r="N250" s="68"/>
      <c r="O250" s="68"/>
      <c r="P250" s="68"/>
      <c r="Q250" s="68"/>
      <c r="R250" s="68"/>
      <c r="S250" s="68"/>
      <c r="T250" s="68"/>
      <c r="U250" s="68"/>
      <c r="V250" s="68"/>
      <c r="W250" s="68"/>
      <c r="X250" s="68"/>
      <c r="Y250" s="68"/>
      <c r="Z250" s="68"/>
    </row>
    <row r="251" spans="1:26" ht="17">
      <c r="A251" s="68"/>
      <c r="B251" s="104"/>
      <c r="C251" s="104"/>
      <c r="D251" s="104"/>
      <c r="E251" s="68"/>
      <c r="F251" s="68"/>
      <c r="G251" s="68"/>
      <c r="H251" s="68"/>
      <c r="I251" s="68"/>
      <c r="J251" s="68"/>
      <c r="K251" s="68"/>
      <c r="L251" s="68"/>
      <c r="M251" s="68"/>
      <c r="N251" s="68"/>
      <c r="O251" s="68"/>
      <c r="P251" s="68"/>
      <c r="Q251" s="68"/>
      <c r="R251" s="68"/>
      <c r="S251" s="68"/>
      <c r="T251" s="68"/>
      <c r="U251" s="68"/>
      <c r="V251" s="68"/>
      <c r="W251" s="68"/>
      <c r="X251" s="68"/>
      <c r="Y251" s="68"/>
      <c r="Z251" s="68"/>
    </row>
    <row r="252" spans="1:26" ht="17">
      <c r="A252" s="68"/>
      <c r="B252" s="104"/>
      <c r="C252" s="104"/>
      <c r="D252" s="104"/>
      <c r="E252" s="68"/>
      <c r="F252" s="68"/>
      <c r="G252" s="68"/>
      <c r="H252" s="68"/>
      <c r="I252" s="68"/>
      <c r="J252" s="68"/>
      <c r="K252" s="68"/>
      <c r="L252" s="68"/>
      <c r="M252" s="68"/>
      <c r="N252" s="68"/>
      <c r="O252" s="68"/>
      <c r="P252" s="68"/>
      <c r="Q252" s="68"/>
      <c r="R252" s="68"/>
      <c r="S252" s="68"/>
      <c r="T252" s="68"/>
      <c r="U252" s="68"/>
      <c r="V252" s="68"/>
      <c r="W252" s="68"/>
      <c r="X252" s="68"/>
      <c r="Y252" s="68"/>
      <c r="Z252" s="68"/>
    </row>
    <row r="253" spans="1:26" ht="17">
      <c r="A253" s="68"/>
      <c r="B253" s="104"/>
      <c r="C253" s="104"/>
      <c r="D253" s="104"/>
      <c r="E253" s="68"/>
      <c r="F253" s="68"/>
      <c r="G253" s="68"/>
      <c r="H253" s="68"/>
      <c r="I253" s="68"/>
      <c r="J253" s="68"/>
      <c r="K253" s="68"/>
      <c r="L253" s="68"/>
      <c r="M253" s="68"/>
      <c r="N253" s="68"/>
      <c r="O253" s="68"/>
      <c r="P253" s="68"/>
      <c r="Q253" s="68"/>
      <c r="R253" s="68"/>
      <c r="S253" s="68"/>
      <c r="T253" s="68"/>
      <c r="U253" s="68"/>
      <c r="V253" s="68"/>
      <c r="W253" s="68"/>
      <c r="X253" s="68"/>
      <c r="Y253" s="68"/>
      <c r="Z253" s="68"/>
    </row>
    <row r="254" spans="1:26" ht="17">
      <c r="A254" s="68"/>
      <c r="B254" s="104"/>
      <c r="C254" s="104"/>
      <c r="D254" s="104"/>
      <c r="E254" s="68"/>
      <c r="F254" s="68"/>
      <c r="G254" s="68"/>
      <c r="H254" s="68"/>
      <c r="I254" s="68"/>
      <c r="J254" s="68"/>
      <c r="K254" s="68"/>
      <c r="L254" s="68"/>
      <c r="M254" s="68"/>
      <c r="N254" s="68"/>
      <c r="O254" s="68"/>
      <c r="P254" s="68"/>
      <c r="Q254" s="68"/>
      <c r="R254" s="68"/>
      <c r="S254" s="68"/>
      <c r="T254" s="68"/>
      <c r="U254" s="68"/>
      <c r="V254" s="68"/>
      <c r="W254" s="68"/>
      <c r="X254" s="68"/>
      <c r="Y254" s="68"/>
      <c r="Z254" s="68"/>
    </row>
    <row r="255" spans="1:26" ht="17">
      <c r="A255" s="68"/>
      <c r="B255" s="104"/>
      <c r="C255" s="104"/>
      <c r="D255" s="104"/>
      <c r="E255" s="68"/>
      <c r="F255" s="68"/>
      <c r="G255" s="68"/>
      <c r="H255" s="68"/>
      <c r="I255" s="68"/>
      <c r="J255" s="68"/>
      <c r="K255" s="68"/>
      <c r="L255" s="68"/>
      <c r="M255" s="68"/>
      <c r="N255" s="68"/>
      <c r="O255" s="68"/>
      <c r="P255" s="68"/>
      <c r="Q255" s="68"/>
      <c r="R255" s="68"/>
      <c r="S255" s="68"/>
      <c r="T255" s="68"/>
      <c r="U255" s="68"/>
      <c r="V255" s="68"/>
      <c r="W255" s="68"/>
      <c r="X255" s="68"/>
      <c r="Y255" s="68"/>
      <c r="Z255" s="68"/>
    </row>
    <row r="256" spans="1:26" ht="17">
      <c r="A256" s="68"/>
      <c r="B256" s="104"/>
      <c r="C256" s="104"/>
      <c r="D256" s="104"/>
      <c r="E256" s="68"/>
      <c r="F256" s="68"/>
      <c r="G256" s="68"/>
      <c r="H256" s="68"/>
      <c r="I256" s="68"/>
      <c r="J256" s="68"/>
      <c r="K256" s="68"/>
      <c r="L256" s="68"/>
      <c r="M256" s="68"/>
      <c r="N256" s="68"/>
      <c r="O256" s="68"/>
      <c r="P256" s="68"/>
      <c r="Q256" s="68"/>
      <c r="R256" s="68"/>
      <c r="S256" s="68"/>
      <c r="T256" s="68"/>
      <c r="U256" s="68"/>
      <c r="V256" s="68"/>
      <c r="W256" s="68"/>
      <c r="X256" s="68"/>
      <c r="Y256" s="68"/>
      <c r="Z256" s="68"/>
    </row>
    <row r="257" spans="1:26" ht="17">
      <c r="A257" s="68"/>
      <c r="B257" s="104"/>
      <c r="C257" s="104"/>
      <c r="D257" s="104"/>
      <c r="E257" s="68"/>
      <c r="F257" s="68"/>
      <c r="G257" s="68"/>
      <c r="H257" s="68"/>
      <c r="I257" s="68"/>
      <c r="J257" s="68"/>
      <c r="K257" s="68"/>
      <c r="L257" s="68"/>
      <c r="M257" s="68"/>
      <c r="N257" s="68"/>
      <c r="O257" s="68"/>
      <c r="P257" s="68"/>
      <c r="Q257" s="68"/>
      <c r="R257" s="68"/>
      <c r="S257" s="68"/>
      <c r="T257" s="68"/>
      <c r="U257" s="68"/>
      <c r="V257" s="68"/>
      <c r="W257" s="68"/>
      <c r="X257" s="68"/>
      <c r="Y257" s="68"/>
      <c r="Z257" s="68"/>
    </row>
    <row r="258" spans="1:26" ht="17">
      <c r="A258" s="68"/>
      <c r="B258" s="104"/>
      <c r="C258" s="104"/>
      <c r="D258" s="104"/>
      <c r="E258" s="68"/>
      <c r="F258" s="68"/>
      <c r="G258" s="68"/>
      <c r="H258" s="68"/>
      <c r="I258" s="68"/>
      <c r="J258" s="68"/>
      <c r="K258" s="68"/>
      <c r="L258" s="68"/>
      <c r="M258" s="68"/>
      <c r="N258" s="68"/>
      <c r="O258" s="68"/>
      <c r="P258" s="68"/>
      <c r="Q258" s="68"/>
      <c r="R258" s="68"/>
      <c r="S258" s="68"/>
      <c r="T258" s="68"/>
      <c r="U258" s="68"/>
      <c r="V258" s="68"/>
      <c r="W258" s="68"/>
      <c r="X258" s="68"/>
      <c r="Y258" s="68"/>
      <c r="Z258" s="68"/>
    </row>
    <row r="259" spans="1:26" ht="17">
      <c r="A259" s="68"/>
      <c r="B259" s="104"/>
      <c r="C259" s="104"/>
      <c r="D259" s="104"/>
      <c r="E259" s="68"/>
      <c r="F259" s="68"/>
      <c r="G259" s="68"/>
      <c r="H259" s="68"/>
      <c r="I259" s="68"/>
      <c r="J259" s="68"/>
      <c r="K259" s="68"/>
      <c r="L259" s="68"/>
      <c r="M259" s="68"/>
      <c r="N259" s="68"/>
      <c r="O259" s="68"/>
      <c r="P259" s="68"/>
      <c r="Q259" s="68"/>
      <c r="R259" s="68"/>
      <c r="S259" s="68"/>
      <c r="T259" s="68"/>
      <c r="U259" s="68"/>
      <c r="V259" s="68"/>
      <c r="W259" s="68"/>
      <c r="X259" s="68"/>
      <c r="Y259" s="68"/>
      <c r="Z259" s="68"/>
    </row>
    <row r="260" spans="1:26" ht="17">
      <c r="A260" s="68"/>
      <c r="B260" s="104"/>
      <c r="C260" s="104"/>
      <c r="D260" s="104"/>
      <c r="E260" s="68"/>
      <c r="F260" s="68"/>
      <c r="G260" s="68"/>
      <c r="H260" s="68"/>
      <c r="I260" s="68"/>
      <c r="J260" s="68"/>
      <c r="K260" s="68"/>
      <c r="L260" s="68"/>
      <c r="M260" s="68"/>
      <c r="N260" s="68"/>
      <c r="O260" s="68"/>
      <c r="P260" s="68"/>
      <c r="Q260" s="68"/>
      <c r="R260" s="68"/>
      <c r="S260" s="68"/>
      <c r="T260" s="68"/>
      <c r="U260" s="68"/>
      <c r="V260" s="68"/>
      <c r="W260" s="68"/>
      <c r="X260" s="68"/>
      <c r="Y260" s="68"/>
      <c r="Z260" s="68"/>
    </row>
    <row r="261" spans="1:26" ht="17">
      <c r="A261" s="68"/>
      <c r="B261" s="104"/>
      <c r="C261" s="104"/>
      <c r="D261" s="104"/>
      <c r="E261" s="68"/>
      <c r="F261" s="68"/>
      <c r="G261" s="68"/>
      <c r="H261" s="68"/>
      <c r="I261" s="68"/>
      <c r="J261" s="68"/>
      <c r="K261" s="68"/>
      <c r="L261" s="68"/>
      <c r="M261" s="68"/>
      <c r="N261" s="68"/>
      <c r="O261" s="68"/>
      <c r="P261" s="68"/>
      <c r="Q261" s="68"/>
      <c r="R261" s="68"/>
      <c r="S261" s="68"/>
      <c r="T261" s="68"/>
      <c r="U261" s="68"/>
      <c r="V261" s="68"/>
      <c r="W261" s="68"/>
      <c r="X261" s="68"/>
      <c r="Y261" s="68"/>
      <c r="Z261" s="68"/>
    </row>
    <row r="262" spans="1:26" ht="17">
      <c r="A262" s="68"/>
      <c r="B262" s="104"/>
      <c r="C262" s="104"/>
      <c r="D262" s="104"/>
      <c r="E262" s="68"/>
      <c r="F262" s="68"/>
      <c r="G262" s="68"/>
      <c r="H262" s="68"/>
      <c r="I262" s="68"/>
      <c r="J262" s="68"/>
      <c r="K262" s="68"/>
      <c r="L262" s="68"/>
      <c r="M262" s="68"/>
      <c r="N262" s="68"/>
      <c r="O262" s="68"/>
      <c r="P262" s="68"/>
      <c r="Q262" s="68"/>
      <c r="R262" s="68"/>
      <c r="S262" s="68"/>
      <c r="T262" s="68"/>
      <c r="U262" s="68"/>
      <c r="V262" s="68"/>
      <c r="W262" s="68"/>
      <c r="X262" s="68"/>
      <c r="Y262" s="68"/>
      <c r="Z262" s="68"/>
    </row>
    <row r="263" spans="1:26" ht="17">
      <c r="A263" s="68"/>
      <c r="B263" s="104"/>
      <c r="C263" s="104"/>
      <c r="D263" s="104"/>
      <c r="E263" s="68"/>
      <c r="F263" s="68"/>
      <c r="G263" s="68"/>
      <c r="H263" s="68"/>
      <c r="I263" s="68"/>
      <c r="J263" s="68"/>
      <c r="K263" s="68"/>
      <c r="L263" s="68"/>
      <c r="M263" s="68"/>
      <c r="N263" s="68"/>
      <c r="O263" s="68"/>
      <c r="P263" s="68"/>
      <c r="Q263" s="68"/>
      <c r="R263" s="68"/>
      <c r="S263" s="68"/>
      <c r="T263" s="68"/>
      <c r="U263" s="68"/>
      <c r="V263" s="68"/>
      <c r="W263" s="68"/>
      <c r="X263" s="68"/>
      <c r="Y263" s="68"/>
      <c r="Z263" s="68"/>
    </row>
    <row r="264" spans="1:26" ht="17">
      <c r="A264" s="68"/>
      <c r="B264" s="104"/>
      <c r="C264" s="104"/>
      <c r="D264" s="104"/>
      <c r="E264" s="68"/>
      <c r="F264" s="68"/>
      <c r="G264" s="68"/>
      <c r="H264" s="68"/>
      <c r="I264" s="68"/>
      <c r="J264" s="68"/>
      <c r="K264" s="68"/>
      <c r="L264" s="68"/>
      <c r="M264" s="68"/>
      <c r="N264" s="68"/>
      <c r="O264" s="68"/>
      <c r="P264" s="68"/>
      <c r="Q264" s="68"/>
      <c r="R264" s="68"/>
      <c r="S264" s="68"/>
      <c r="T264" s="68"/>
      <c r="U264" s="68"/>
      <c r="V264" s="68"/>
      <c r="W264" s="68"/>
      <c r="X264" s="68"/>
      <c r="Y264" s="68"/>
      <c r="Z264" s="68"/>
    </row>
    <row r="265" spans="1:26" ht="17">
      <c r="A265" s="68"/>
      <c r="B265" s="104"/>
      <c r="C265" s="104"/>
      <c r="D265" s="104"/>
      <c r="E265" s="68"/>
      <c r="F265" s="68"/>
      <c r="G265" s="68"/>
      <c r="H265" s="68"/>
      <c r="I265" s="68"/>
      <c r="J265" s="68"/>
      <c r="K265" s="68"/>
      <c r="L265" s="68"/>
      <c r="M265" s="68"/>
      <c r="N265" s="68"/>
      <c r="O265" s="68"/>
      <c r="P265" s="68"/>
      <c r="Q265" s="68"/>
      <c r="R265" s="68"/>
      <c r="S265" s="68"/>
      <c r="T265" s="68"/>
      <c r="U265" s="68"/>
      <c r="V265" s="68"/>
      <c r="W265" s="68"/>
      <c r="X265" s="68"/>
      <c r="Y265" s="68"/>
      <c r="Z265" s="68"/>
    </row>
    <row r="266" spans="1:26" ht="17">
      <c r="A266" s="68"/>
      <c r="B266" s="104"/>
      <c r="C266" s="104"/>
      <c r="D266" s="104"/>
      <c r="E266" s="68"/>
      <c r="F266" s="68"/>
      <c r="G266" s="68"/>
      <c r="H266" s="68"/>
      <c r="I266" s="68"/>
      <c r="J266" s="68"/>
      <c r="K266" s="68"/>
      <c r="L266" s="68"/>
      <c r="M266" s="68"/>
      <c r="N266" s="68"/>
      <c r="O266" s="68"/>
      <c r="P266" s="68"/>
      <c r="Q266" s="68"/>
      <c r="R266" s="68"/>
      <c r="S266" s="68"/>
      <c r="T266" s="68"/>
      <c r="U266" s="68"/>
      <c r="V266" s="68"/>
      <c r="W266" s="68"/>
      <c r="X266" s="68"/>
      <c r="Y266" s="68"/>
      <c r="Z266" s="68"/>
    </row>
    <row r="267" spans="1:26" ht="17">
      <c r="A267" s="68"/>
      <c r="B267" s="104"/>
      <c r="C267" s="104"/>
      <c r="D267" s="104"/>
      <c r="E267" s="68"/>
      <c r="F267" s="68"/>
      <c r="G267" s="68"/>
      <c r="H267" s="68"/>
      <c r="I267" s="68"/>
      <c r="J267" s="68"/>
      <c r="K267" s="68"/>
      <c r="L267" s="68"/>
      <c r="M267" s="68"/>
      <c r="N267" s="68"/>
      <c r="O267" s="68"/>
      <c r="P267" s="68"/>
      <c r="Q267" s="68"/>
      <c r="R267" s="68"/>
      <c r="S267" s="68"/>
      <c r="T267" s="68"/>
      <c r="U267" s="68"/>
      <c r="V267" s="68"/>
      <c r="W267" s="68"/>
      <c r="X267" s="68"/>
      <c r="Y267" s="68"/>
      <c r="Z267" s="68"/>
    </row>
    <row r="268" spans="1:26" ht="17">
      <c r="A268" s="68"/>
      <c r="B268" s="104"/>
      <c r="C268" s="104"/>
      <c r="D268" s="104"/>
      <c r="E268" s="68"/>
      <c r="F268" s="68"/>
      <c r="G268" s="68"/>
      <c r="H268" s="68"/>
      <c r="I268" s="68"/>
      <c r="J268" s="68"/>
      <c r="K268" s="68"/>
      <c r="L268" s="68"/>
      <c r="M268" s="68"/>
      <c r="N268" s="68"/>
      <c r="O268" s="68"/>
      <c r="P268" s="68"/>
      <c r="Q268" s="68"/>
      <c r="R268" s="68"/>
      <c r="S268" s="68"/>
      <c r="T268" s="68"/>
      <c r="U268" s="68"/>
      <c r="V268" s="68"/>
      <c r="W268" s="68"/>
      <c r="X268" s="68"/>
      <c r="Y268" s="68"/>
      <c r="Z268" s="68"/>
    </row>
    <row r="269" spans="1:26" ht="17">
      <c r="A269" s="68"/>
      <c r="B269" s="104"/>
      <c r="C269" s="104"/>
      <c r="D269" s="104"/>
      <c r="E269" s="68"/>
      <c r="F269" s="68"/>
      <c r="G269" s="68"/>
      <c r="H269" s="68"/>
      <c r="I269" s="68"/>
      <c r="J269" s="68"/>
      <c r="K269" s="68"/>
      <c r="L269" s="68"/>
      <c r="M269" s="68"/>
      <c r="N269" s="68"/>
      <c r="O269" s="68"/>
      <c r="P269" s="68"/>
      <c r="Q269" s="68"/>
      <c r="R269" s="68"/>
      <c r="S269" s="68"/>
      <c r="T269" s="68"/>
      <c r="U269" s="68"/>
      <c r="V269" s="68"/>
      <c r="W269" s="68"/>
      <c r="X269" s="68"/>
      <c r="Y269" s="68"/>
      <c r="Z269" s="68"/>
    </row>
    <row r="270" spans="1:26" ht="17">
      <c r="A270" s="68"/>
      <c r="B270" s="104"/>
      <c r="C270" s="104"/>
      <c r="D270" s="104"/>
      <c r="E270" s="68"/>
      <c r="F270" s="68"/>
      <c r="G270" s="68"/>
      <c r="H270" s="68"/>
      <c r="I270" s="68"/>
      <c r="J270" s="68"/>
      <c r="K270" s="68"/>
      <c r="L270" s="68"/>
      <c r="M270" s="68"/>
      <c r="N270" s="68"/>
      <c r="O270" s="68"/>
      <c r="P270" s="68"/>
      <c r="Q270" s="68"/>
      <c r="R270" s="68"/>
      <c r="S270" s="68"/>
      <c r="T270" s="68"/>
      <c r="U270" s="68"/>
      <c r="V270" s="68"/>
      <c r="W270" s="68"/>
      <c r="X270" s="68"/>
      <c r="Y270" s="68"/>
      <c r="Z270" s="68"/>
    </row>
    <row r="271" spans="1:26" ht="17">
      <c r="A271" s="68"/>
      <c r="B271" s="104"/>
      <c r="C271" s="104"/>
      <c r="D271" s="104"/>
      <c r="E271" s="68"/>
      <c r="F271" s="68"/>
      <c r="G271" s="68"/>
      <c r="H271" s="68"/>
      <c r="I271" s="68"/>
      <c r="J271" s="68"/>
      <c r="K271" s="68"/>
      <c r="L271" s="68"/>
      <c r="M271" s="68"/>
      <c r="N271" s="68"/>
      <c r="O271" s="68"/>
      <c r="P271" s="68"/>
      <c r="Q271" s="68"/>
      <c r="R271" s="68"/>
      <c r="S271" s="68"/>
      <c r="T271" s="68"/>
      <c r="U271" s="68"/>
      <c r="V271" s="68"/>
      <c r="W271" s="68"/>
      <c r="X271" s="68"/>
      <c r="Y271" s="68"/>
      <c r="Z271" s="68"/>
    </row>
    <row r="272" spans="1:26" ht="17">
      <c r="A272" s="68"/>
      <c r="B272" s="104"/>
      <c r="C272" s="104"/>
      <c r="D272" s="104"/>
      <c r="E272" s="68"/>
      <c r="F272" s="68"/>
      <c r="G272" s="68"/>
      <c r="H272" s="68"/>
      <c r="I272" s="68"/>
      <c r="J272" s="68"/>
      <c r="K272" s="68"/>
      <c r="L272" s="68"/>
      <c r="M272" s="68"/>
      <c r="N272" s="68"/>
      <c r="O272" s="68"/>
      <c r="P272" s="68"/>
      <c r="Q272" s="68"/>
      <c r="R272" s="68"/>
      <c r="S272" s="68"/>
      <c r="T272" s="68"/>
      <c r="U272" s="68"/>
      <c r="V272" s="68"/>
      <c r="W272" s="68"/>
      <c r="X272" s="68"/>
      <c r="Y272" s="68"/>
      <c r="Z272" s="68"/>
    </row>
    <row r="273" spans="1:26" ht="17">
      <c r="A273" s="68"/>
      <c r="B273" s="104"/>
      <c r="C273" s="104"/>
      <c r="D273" s="104"/>
      <c r="E273" s="68"/>
      <c r="F273" s="68"/>
      <c r="G273" s="68"/>
      <c r="H273" s="68"/>
      <c r="I273" s="68"/>
      <c r="J273" s="68"/>
      <c r="K273" s="68"/>
      <c r="L273" s="68"/>
      <c r="M273" s="68"/>
      <c r="N273" s="68"/>
      <c r="O273" s="68"/>
      <c r="P273" s="68"/>
      <c r="Q273" s="68"/>
      <c r="R273" s="68"/>
      <c r="S273" s="68"/>
      <c r="T273" s="68"/>
      <c r="U273" s="68"/>
      <c r="V273" s="68"/>
      <c r="W273" s="68"/>
      <c r="X273" s="68"/>
      <c r="Y273" s="68"/>
      <c r="Z273" s="68"/>
    </row>
    <row r="274" spans="1:26" ht="17">
      <c r="A274" s="68"/>
      <c r="B274" s="104"/>
      <c r="C274" s="104"/>
      <c r="D274" s="104"/>
      <c r="E274" s="68"/>
      <c r="F274" s="68"/>
      <c r="G274" s="68"/>
      <c r="H274" s="68"/>
      <c r="I274" s="68"/>
      <c r="J274" s="68"/>
      <c r="K274" s="68"/>
      <c r="L274" s="68"/>
      <c r="M274" s="68"/>
      <c r="N274" s="68"/>
      <c r="O274" s="68"/>
      <c r="P274" s="68"/>
      <c r="Q274" s="68"/>
      <c r="R274" s="68"/>
      <c r="S274" s="68"/>
      <c r="T274" s="68"/>
      <c r="U274" s="68"/>
      <c r="V274" s="68"/>
      <c r="W274" s="68"/>
      <c r="X274" s="68"/>
      <c r="Y274" s="68"/>
      <c r="Z274" s="68"/>
    </row>
    <row r="275" spans="1:26" ht="17">
      <c r="A275" s="68"/>
      <c r="B275" s="104"/>
      <c r="C275" s="104"/>
      <c r="D275" s="104"/>
      <c r="E275" s="68"/>
      <c r="F275" s="68"/>
      <c r="G275" s="68"/>
      <c r="H275" s="68"/>
      <c r="I275" s="68"/>
      <c r="J275" s="68"/>
      <c r="K275" s="68"/>
      <c r="L275" s="68"/>
      <c r="M275" s="68"/>
      <c r="N275" s="68"/>
      <c r="O275" s="68"/>
      <c r="P275" s="68"/>
      <c r="Q275" s="68"/>
      <c r="R275" s="68"/>
      <c r="S275" s="68"/>
      <c r="T275" s="68"/>
      <c r="U275" s="68"/>
      <c r="V275" s="68"/>
      <c r="W275" s="68"/>
      <c r="X275" s="68"/>
      <c r="Y275" s="68"/>
      <c r="Z275" s="68"/>
    </row>
    <row r="276" spans="1:26" ht="17">
      <c r="A276" s="68"/>
      <c r="B276" s="104"/>
      <c r="C276" s="104"/>
      <c r="D276" s="104"/>
      <c r="E276" s="68"/>
      <c r="F276" s="68"/>
      <c r="G276" s="68"/>
      <c r="H276" s="68"/>
      <c r="I276" s="68"/>
      <c r="J276" s="68"/>
      <c r="K276" s="68"/>
      <c r="L276" s="68"/>
      <c r="M276" s="68"/>
      <c r="N276" s="68"/>
      <c r="O276" s="68"/>
      <c r="P276" s="68"/>
      <c r="Q276" s="68"/>
      <c r="R276" s="68"/>
      <c r="S276" s="68"/>
      <c r="T276" s="68"/>
      <c r="U276" s="68"/>
      <c r="V276" s="68"/>
      <c r="W276" s="68"/>
      <c r="X276" s="68"/>
      <c r="Y276" s="68"/>
      <c r="Z276" s="68"/>
    </row>
    <row r="277" spans="1:26" ht="17">
      <c r="A277" s="68"/>
      <c r="B277" s="104"/>
      <c r="C277" s="104"/>
      <c r="D277" s="104"/>
      <c r="E277" s="68"/>
      <c r="F277" s="68"/>
      <c r="G277" s="68"/>
      <c r="H277" s="68"/>
      <c r="I277" s="68"/>
      <c r="J277" s="68"/>
      <c r="K277" s="68"/>
      <c r="L277" s="68"/>
      <c r="M277" s="68"/>
      <c r="N277" s="68"/>
      <c r="O277" s="68"/>
      <c r="P277" s="68"/>
      <c r="Q277" s="68"/>
      <c r="R277" s="68"/>
      <c r="S277" s="68"/>
      <c r="T277" s="68"/>
      <c r="U277" s="68"/>
      <c r="V277" s="68"/>
      <c r="W277" s="68"/>
      <c r="X277" s="68"/>
      <c r="Y277" s="68"/>
      <c r="Z277" s="68"/>
    </row>
    <row r="278" spans="1:26" ht="17">
      <c r="A278" s="68"/>
      <c r="B278" s="104"/>
      <c r="C278" s="104"/>
      <c r="D278" s="104"/>
      <c r="E278" s="68"/>
      <c r="F278" s="68"/>
      <c r="G278" s="68"/>
      <c r="H278" s="68"/>
      <c r="I278" s="68"/>
      <c r="J278" s="68"/>
      <c r="K278" s="68"/>
      <c r="L278" s="68"/>
      <c r="M278" s="68"/>
      <c r="N278" s="68"/>
      <c r="O278" s="68"/>
      <c r="P278" s="68"/>
      <c r="Q278" s="68"/>
      <c r="R278" s="68"/>
      <c r="S278" s="68"/>
      <c r="T278" s="68"/>
      <c r="U278" s="68"/>
      <c r="V278" s="68"/>
      <c r="W278" s="68"/>
      <c r="X278" s="68"/>
      <c r="Y278" s="68"/>
      <c r="Z278" s="68"/>
    </row>
    <row r="279" spans="1:26" ht="17">
      <c r="A279" s="68"/>
      <c r="B279" s="104"/>
      <c r="C279" s="104"/>
      <c r="D279" s="104"/>
      <c r="E279" s="68"/>
      <c r="F279" s="68"/>
      <c r="G279" s="68"/>
      <c r="H279" s="68"/>
      <c r="I279" s="68"/>
      <c r="J279" s="68"/>
      <c r="K279" s="68"/>
      <c r="L279" s="68"/>
      <c r="M279" s="68"/>
      <c r="N279" s="68"/>
      <c r="O279" s="68"/>
      <c r="P279" s="68"/>
      <c r="Q279" s="68"/>
      <c r="R279" s="68"/>
      <c r="S279" s="68"/>
      <c r="T279" s="68"/>
      <c r="U279" s="68"/>
      <c r="V279" s="68"/>
      <c r="W279" s="68"/>
      <c r="X279" s="68"/>
      <c r="Y279" s="68"/>
      <c r="Z279" s="68"/>
    </row>
    <row r="280" spans="1:26" ht="17">
      <c r="A280" s="68"/>
      <c r="B280" s="104"/>
      <c r="C280" s="104"/>
      <c r="D280" s="104"/>
      <c r="E280" s="68"/>
      <c r="F280" s="68"/>
      <c r="G280" s="68"/>
      <c r="H280" s="68"/>
      <c r="I280" s="68"/>
      <c r="J280" s="68"/>
      <c r="K280" s="68"/>
      <c r="L280" s="68"/>
      <c r="M280" s="68"/>
      <c r="N280" s="68"/>
      <c r="O280" s="68"/>
      <c r="P280" s="68"/>
      <c r="Q280" s="68"/>
      <c r="R280" s="68"/>
      <c r="S280" s="68"/>
      <c r="T280" s="68"/>
      <c r="U280" s="68"/>
      <c r="V280" s="68"/>
      <c r="W280" s="68"/>
      <c r="X280" s="68"/>
      <c r="Y280" s="68"/>
      <c r="Z280" s="68"/>
    </row>
    <row r="281" spans="1:26" ht="17">
      <c r="A281" s="68"/>
      <c r="B281" s="104"/>
      <c r="C281" s="104"/>
      <c r="D281" s="104"/>
      <c r="E281" s="68"/>
      <c r="F281" s="68"/>
      <c r="G281" s="68"/>
      <c r="H281" s="68"/>
      <c r="I281" s="68"/>
      <c r="J281" s="68"/>
      <c r="K281" s="68"/>
      <c r="L281" s="68"/>
      <c r="M281" s="68"/>
      <c r="N281" s="68"/>
      <c r="O281" s="68"/>
      <c r="P281" s="68"/>
      <c r="Q281" s="68"/>
      <c r="R281" s="68"/>
      <c r="S281" s="68"/>
      <c r="T281" s="68"/>
      <c r="U281" s="68"/>
      <c r="V281" s="68"/>
      <c r="W281" s="68"/>
      <c r="X281" s="68"/>
      <c r="Y281" s="68"/>
      <c r="Z281" s="68"/>
    </row>
    <row r="282" spans="1:26" ht="17">
      <c r="A282" s="68"/>
      <c r="B282" s="104"/>
      <c r="C282" s="104"/>
      <c r="D282" s="104"/>
      <c r="E282" s="68"/>
      <c r="F282" s="68"/>
      <c r="G282" s="68"/>
      <c r="H282" s="68"/>
      <c r="I282" s="68"/>
      <c r="J282" s="68"/>
      <c r="K282" s="68"/>
      <c r="L282" s="68"/>
      <c r="M282" s="68"/>
      <c r="N282" s="68"/>
      <c r="O282" s="68"/>
      <c r="P282" s="68"/>
      <c r="Q282" s="68"/>
      <c r="R282" s="68"/>
      <c r="S282" s="68"/>
      <c r="T282" s="68"/>
      <c r="U282" s="68"/>
      <c r="V282" s="68"/>
      <c r="W282" s="68"/>
      <c r="X282" s="68"/>
      <c r="Y282" s="68"/>
      <c r="Z282" s="68"/>
    </row>
    <row r="283" spans="1:26" ht="17">
      <c r="A283" s="68"/>
      <c r="B283" s="104"/>
      <c r="C283" s="104"/>
      <c r="D283" s="104"/>
      <c r="E283" s="68"/>
      <c r="F283" s="68"/>
      <c r="G283" s="68"/>
      <c r="H283" s="68"/>
      <c r="I283" s="68"/>
      <c r="J283" s="68"/>
      <c r="K283" s="68"/>
      <c r="L283" s="68"/>
      <c r="M283" s="68"/>
      <c r="N283" s="68"/>
      <c r="O283" s="68"/>
      <c r="P283" s="68"/>
      <c r="Q283" s="68"/>
      <c r="R283" s="68"/>
      <c r="S283" s="68"/>
      <c r="T283" s="68"/>
      <c r="U283" s="68"/>
      <c r="V283" s="68"/>
      <c r="W283" s="68"/>
      <c r="X283" s="68"/>
      <c r="Y283" s="68"/>
      <c r="Z283" s="68"/>
    </row>
    <row r="284" spans="1:26" ht="17">
      <c r="A284" s="68"/>
      <c r="B284" s="104"/>
      <c r="C284" s="104"/>
      <c r="D284" s="104"/>
      <c r="E284" s="68"/>
      <c r="F284" s="68"/>
      <c r="G284" s="68"/>
      <c r="H284" s="68"/>
      <c r="I284" s="68"/>
      <c r="J284" s="68"/>
      <c r="K284" s="68"/>
      <c r="L284" s="68"/>
      <c r="M284" s="68"/>
      <c r="N284" s="68"/>
      <c r="O284" s="68"/>
      <c r="P284" s="68"/>
      <c r="Q284" s="68"/>
      <c r="R284" s="68"/>
      <c r="S284" s="68"/>
      <c r="T284" s="68"/>
      <c r="U284" s="68"/>
      <c r="V284" s="68"/>
      <c r="W284" s="68"/>
      <c r="X284" s="68"/>
      <c r="Y284" s="68"/>
      <c r="Z284" s="68"/>
    </row>
    <row r="285" spans="1:26" ht="17">
      <c r="A285" s="68"/>
      <c r="B285" s="104"/>
      <c r="C285" s="104"/>
      <c r="D285" s="104"/>
      <c r="E285" s="68"/>
      <c r="F285" s="68"/>
      <c r="G285" s="68"/>
      <c r="H285" s="68"/>
      <c r="I285" s="68"/>
      <c r="J285" s="68"/>
      <c r="K285" s="68"/>
      <c r="L285" s="68"/>
      <c r="M285" s="68"/>
      <c r="N285" s="68"/>
      <c r="O285" s="68"/>
      <c r="P285" s="68"/>
      <c r="Q285" s="68"/>
      <c r="R285" s="68"/>
      <c r="S285" s="68"/>
      <c r="T285" s="68"/>
      <c r="U285" s="68"/>
      <c r="V285" s="68"/>
      <c r="W285" s="68"/>
      <c r="X285" s="68"/>
      <c r="Y285" s="68"/>
      <c r="Z285" s="68"/>
    </row>
    <row r="286" spans="1:26" ht="17">
      <c r="A286" s="68"/>
      <c r="B286" s="104"/>
      <c r="C286" s="104"/>
      <c r="D286" s="104"/>
      <c r="E286" s="68"/>
      <c r="F286" s="68"/>
      <c r="G286" s="68"/>
      <c r="H286" s="68"/>
      <c r="I286" s="68"/>
      <c r="J286" s="68"/>
      <c r="K286" s="68"/>
      <c r="L286" s="68"/>
      <c r="M286" s="68"/>
      <c r="N286" s="68"/>
      <c r="O286" s="68"/>
      <c r="P286" s="68"/>
      <c r="Q286" s="68"/>
      <c r="R286" s="68"/>
      <c r="S286" s="68"/>
      <c r="T286" s="68"/>
      <c r="U286" s="68"/>
      <c r="V286" s="68"/>
      <c r="W286" s="68"/>
      <c r="X286" s="68"/>
      <c r="Y286" s="68"/>
      <c r="Z286" s="68"/>
    </row>
    <row r="287" spans="1:26" ht="17">
      <c r="A287" s="68"/>
      <c r="B287" s="104"/>
      <c r="C287" s="104"/>
      <c r="D287" s="104"/>
      <c r="E287" s="68"/>
      <c r="F287" s="68"/>
      <c r="G287" s="68"/>
      <c r="H287" s="68"/>
      <c r="I287" s="68"/>
      <c r="J287" s="68"/>
      <c r="K287" s="68"/>
      <c r="L287" s="68"/>
      <c r="M287" s="68"/>
      <c r="N287" s="68"/>
      <c r="O287" s="68"/>
      <c r="P287" s="68"/>
      <c r="Q287" s="68"/>
      <c r="R287" s="68"/>
      <c r="S287" s="68"/>
      <c r="T287" s="68"/>
      <c r="U287" s="68"/>
      <c r="V287" s="68"/>
      <c r="W287" s="68"/>
      <c r="X287" s="68"/>
      <c r="Y287" s="68"/>
      <c r="Z287" s="68"/>
    </row>
    <row r="288" spans="1:26" ht="17">
      <c r="A288" s="68"/>
      <c r="B288" s="104"/>
      <c r="C288" s="104"/>
      <c r="D288" s="104"/>
      <c r="E288" s="68"/>
      <c r="F288" s="68"/>
      <c r="G288" s="68"/>
      <c r="H288" s="68"/>
      <c r="I288" s="68"/>
      <c r="J288" s="68"/>
      <c r="K288" s="68"/>
      <c r="L288" s="68"/>
      <c r="M288" s="68"/>
      <c r="N288" s="68"/>
      <c r="O288" s="68"/>
      <c r="P288" s="68"/>
      <c r="Q288" s="68"/>
      <c r="R288" s="68"/>
      <c r="S288" s="68"/>
      <c r="T288" s="68"/>
      <c r="U288" s="68"/>
      <c r="V288" s="68"/>
      <c r="W288" s="68"/>
      <c r="X288" s="68"/>
      <c r="Y288" s="68"/>
      <c r="Z288" s="68"/>
    </row>
    <row r="289" spans="1:26" ht="17">
      <c r="A289" s="68"/>
      <c r="B289" s="104"/>
      <c r="C289" s="104"/>
      <c r="D289" s="104"/>
      <c r="E289" s="68"/>
      <c r="F289" s="68"/>
      <c r="G289" s="68"/>
      <c r="H289" s="68"/>
      <c r="I289" s="68"/>
      <c r="J289" s="68"/>
      <c r="K289" s="68"/>
      <c r="L289" s="68"/>
      <c r="M289" s="68"/>
      <c r="N289" s="68"/>
      <c r="O289" s="68"/>
      <c r="P289" s="68"/>
      <c r="Q289" s="68"/>
      <c r="R289" s="68"/>
      <c r="S289" s="68"/>
      <c r="T289" s="68"/>
      <c r="U289" s="68"/>
      <c r="V289" s="68"/>
      <c r="W289" s="68"/>
      <c r="X289" s="68"/>
      <c r="Y289" s="68"/>
      <c r="Z289" s="68"/>
    </row>
    <row r="290" spans="1:26" ht="17">
      <c r="A290" s="68"/>
      <c r="B290" s="104"/>
      <c r="C290" s="104"/>
      <c r="D290" s="104"/>
      <c r="E290" s="68"/>
      <c r="F290" s="68"/>
      <c r="G290" s="68"/>
      <c r="H290" s="68"/>
      <c r="I290" s="68"/>
      <c r="J290" s="68"/>
      <c r="K290" s="68"/>
      <c r="L290" s="68"/>
      <c r="M290" s="68"/>
      <c r="N290" s="68"/>
      <c r="O290" s="68"/>
      <c r="P290" s="68"/>
      <c r="Q290" s="68"/>
      <c r="R290" s="68"/>
      <c r="S290" s="68"/>
      <c r="T290" s="68"/>
      <c r="U290" s="68"/>
      <c r="V290" s="68"/>
      <c r="W290" s="68"/>
      <c r="X290" s="68"/>
      <c r="Y290" s="68"/>
      <c r="Z290" s="68"/>
    </row>
    <row r="291" spans="1:26" ht="17">
      <c r="A291" s="68"/>
      <c r="B291" s="104"/>
      <c r="C291" s="104"/>
      <c r="D291" s="104"/>
      <c r="E291" s="68"/>
      <c r="F291" s="68"/>
      <c r="G291" s="68"/>
      <c r="H291" s="68"/>
      <c r="I291" s="68"/>
      <c r="J291" s="68"/>
      <c r="K291" s="68"/>
      <c r="L291" s="68"/>
      <c r="M291" s="68"/>
      <c r="N291" s="68"/>
      <c r="O291" s="68"/>
      <c r="P291" s="68"/>
      <c r="Q291" s="68"/>
      <c r="R291" s="68"/>
      <c r="S291" s="68"/>
      <c r="T291" s="68"/>
      <c r="U291" s="68"/>
      <c r="V291" s="68"/>
      <c r="W291" s="68"/>
      <c r="X291" s="68"/>
      <c r="Y291" s="68"/>
      <c r="Z291" s="68"/>
    </row>
    <row r="292" spans="1:26" ht="17">
      <c r="A292" s="68"/>
      <c r="B292" s="104"/>
      <c r="C292" s="104"/>
      <c r="D292" s="104"/>
      <c r="E292" s="68"/>
      <c r="F292" s="68"/>
      <c r="G292" s="68"/>
      <c r="H292" s="68"/>
      <c r="I292" s="68"/>
      <c r="J292" s="68"/>
      <c r="K292" s="68"/>
      <c r="L292" s="68"/>
      <c r="M292" s="68"/>
      <c r="N292" s="68"/>
      <c r="O292" s="68"/>
      <c r="P292" s="68"/>
      <c r="Q292" s="68"/>
      <c r="R292" s="68"/>
      <c r="S292" s="68"/>
      <c r="T292" s="68"/>
      <c r="U292" s="68"/>
      <c r="V292" s="68"/>
      <c r="W292" s="68"/>
      <c r="X292" s="68"/>
      <c r="Y292" s="68"/>
      <c r="Z292" s="68"/>
    </row>
    <row r="293" spans="1:26" ht="17">
      <c r="A293" s="68"/>
      <c r="B293" s="104"/>
      <c r="C293" s="104"/>
      <c r="D293" s="104"/>
      <c r="E293" s="68"/>
      <c r="F293" s="68"/>
      <c r="G293" s="68"/>
      <c r="H293" s="68"/>
      <c r="I293" s="68"/>
      <c r="J293" s="68"/>
      <c r="K293" s="68"/>
      <c r="L293" s="68"/>
      <c r="M293" s="68"/>
      <c r="N293" s="68"/>
      <c r="O293" s="68"/>
      <c r="P293" s="68"/>
      <c r="Q293" s="68"/>
      <c r="R293" s="68"/>
      <c r="S293" s="68"/>
      <c r="T293" s="68"/>
      <c r="U293" s="68"/>
      <c r="V293" s="68"/>
      <c r="W293" s="68"/>
      <c r="X293" s="68"/>
      <c r="Y293" s="68"/>
      <c r="Z293" s="68"/>
    </row>
    <row r="294" spans="1:26" ht="17">
      <c r="A294" s="68"/>
      <c r="B294" s="104"/>
      <c r="C294" s="104"/>
      <c r="D294" s="104"/>
      <c r="E294" s="68"/>
      <c r="F294" s="68"/>
      <c r="G294" s="68"/>
      <c r="H294" s="68"/>
      <c r="I294" s="68"/>
      <c r="J294" s="68"/>
      <c r="K294" s="68"/>
      <c r="L294" s="68"/>
      <c r="M294" s="68"/>
      <c r="N294" s="68"/>
      <c r="O294" s="68"/>
      <c r="P294" s="68"/>
      <c r="Q294" s="68"/>
      <c r="R294" s="68"/>
      <c r="S294" s="68"/>
      <c r="T294" s="68"/>
      <c r="U294" s="68"/>
      <c r="V294" s="68"/>
      <c r="W294" s="68"/>
      <c r="X294" s="68"/>
      <c r="Y294" s="68"/>
      <c r="Z294" s="68"/>
    </row>
    <row r="295" spans="1:26" ht="17">
      <c r="A295" s="68"/>
      <c r="B295" s="104"/>
      <c r="C295" s="104"/>
      <c r="D295" s="104"/>
      <c r="E295" s="68"/>
      <c r="F295" s="68"/>
      <c r="G295" s="68"/>
      <c r="H295" s="68"/>
      <c r="I295" s="68"/>
      <c r="J295" s="68"/>
      <c r="K295" s="68"/>
      <c r="L295" s="68"/>
      <c r="M295" s="68"/>
      <c r="N295" s="68"/>
      <c r="O295" s="68"/>
      <c r="P295" s="68"/>
      <c r="Q295" s="68"/>
      <c r="R295" s="68"/>
      <c r="S295" s="68"/>
      <c r="T295" s="68"/>
      <c r="U295" s="68"/>
      <c r="V295" s="68"/>
      <c r="W295" s="68"/>
      <c r="X295" s="68"/>
      <c r="Y295" s="68"/>
      <c r="Z295" s="68"/>
    </row>
    <row r="296" spans="1:26" ht="17">
      <c r="A296" s="68"/>
      <c r="B296" s="104"/>
      <c r="C296" s="104"/>
      <c r="D296" s="104"/>
      <c r="E296" s="68"/>
      <c r="F296" s="68"/>
      <c r="G296" s="68"/>
      <c r="H296" s="68"/>
      <c r="I296" s="68"/>
      <c r="J296" s="68"/>
      <c r="K296" s="68"/>
      <c r="L296" s="68"/>
      <c r="M296" s="68"/>
      <c r="N296" s="68"/>
      <c r="O296" s="68"/>
      <c r="P296" s="68"/>
      <c r="Q296" s="68"/>
      <c r="R296" s="68"/>
      <c r="S296" s="68"/>
      <c r="T296" s="68"/>
      <c r="U296" s="68"/>
      <c r="V296" s="68"/>
      <c r="W296" s="68"/>
      <c r="X296" s="68"/>
      <c r="Y296" s="68"/>
      <c r="Z296" s="68"/>
    </row>
    <row r="297" spans="1:26" ht="17">
      <c r="A297" s="68"/>
      <c r="B297" s="104"/>
      <c r="C297" s="104"/>
      <c r="D297" s="104"/>
      <c r="E297" s="68"/>
      <c r="F297" s="68"/>
      <c r="G297" s="68"/>
      <c r="H297" s="68"/>
      <c r="I297" s="68"/>
      <c r="J297" s="68"/>
      <c r="K297" s="68"/>
      <c r="L297" s="68"/>
      <c r="M297" s="68"/>
      <c r="N297" s="68"/>
      <c r="O297" s="68"/>
      <c r="P297" s="68"/>
      <c r="Q297" s="68"/>
      <c r="R297" s="68"/>
      <c r="S297" s="68"/>
      <c r="T297" s="68"/>
      <c r="U297" s="68"/>
      <c r="V297" s="68"/>
      <c r="W297" s="68"/>
      <c r="X297" s="68"/>
      <c r="Y297" s="68"/>
      <c r="Z297" s="68"/>
    </row>
    <row r="298" spans="1:26" ht="17">
      <c r="A298" s="68"/>
      <c r="B298" s="104"/>
      <c r="C298" s="104"/>
      <c r="D298" s="104"/>
      <c r="E298" s="68"/>
      <c r="F298" s="68"/>
      <c r="G298" s="68"/>
      <c r="H298" s="68"/>
      <c r="I298" s="68"/>
      <c r="J298" s="68"/>
      <c r="K298" s="68"/>
      <c r="L298" s="68"/>
      <c r="M298" s="68"/>
      <c r="N298" s="68"/>
      <c r="O298" s="68"/>
      <c r="P298" s="68"/>
      <c r="Q298" s="68"/>
      <c r="R298" s="68"/>
      <c r="S298" s="68"/>
      <c r="T298" s="68"/>
      <c r="U298" s="68"/>
      <c r="V298" s="68"/>
      <c r="W298" s="68"/>
      <c r="X298" s="68"/>
      <c r="Y298" s="68"/>
      <c r="Z298" s="68"/>
    </row>
    <row r="299" spans="1:26" ht="17">
      <c r="A299" s="68"/>
      <c r="B299" s="104"/>
      <c r="C299" s="104"/>
      <c r="D299" s="104"/>
      <c r="E299" s="68"/>
      <c r="F299" s="68"/>
      <c r="G299" s="68"/>
      <c r="H299" s="68"/>
      <c r="I299" s="68"/>
      <c r="J299" s="68"/>
      <c r="K299" s="68"/>
      <c r="L299" s="68"/>
      <c r="M299" s="68"/>
      <c r="N299" s="68"/>
      <c r="O299" s="68"/>
      <c r="P299" s="68"/>
      <c r="Q299" s="68"/>
      <c r="R299" s="68"/>
      <c r="S299" s="68"/>
      <c r="T299" s="68"/>
      <c r="U299" s="68"/>
      <c r="V299" s="68"/>
      <c r="W299" s="68"/>
      <c r="X299" s="68"/>
      <c r="Y299" s="68"/>
      <c r="Z299" s="68"/>
    </row>
    <row r="300" spans="1:26" ht="17">
      <c r="A300" s="68"/>
      <c r="B300" s="104"/>
      <c r="C300" s="104"/>
      <c r="D300" s="104"/>
      <c r="E300" s="68"/>
      <c r="F300" s="68"/>
      <c r="G300" s="68"/>
      <c r="H300" s="68"/>
      <c r="I300" s="68"/>
      <c r="J300" s="68"/>
      <c r="K300" s="68"/>
      <c r="L300" s="68"/>
      <c r="M300" s="68"/>
      <c r="N300" s="68"/>
      <c r="O300" s="68"/>
      <c r="P300" s="68"/>
      <c r="Q300" s="68"/>
      <c r="R300" s="68"/>
      <c r="S300" s="68"/>
      <c r="T300" s="68"/>
      <c r="U300" s="68"/>
      <c r="V300" s="68"/>
      <c r="W300" s="68"/>
      <c r="X300" s="68"/>
      <c r="Y300" s="68"/>
      <c r="Z300" s="68"/>
    </row>
    <row r="301" spans="1:26" ht="17">
      <c r="A301" s="68"/>
      <c r="B301" s="104"/>
      <c r="C301" s="104"/>
      <c r="D301" s="104"/>
      <c r="E301" s="68"/>
      <c r="F301" s="68"/>
      <c r="G301" s="68"/>
      <c r="H301" s="68"/>
      <c r="I301" s="68"/>
      <c r="J301" s="68"/>
      <c r="K301" s="68"/>
      <c r="L301" s="68"/>
      <c r="M301" s="68"/>
      <c r="N301" s="68"/>
      <c r="O301" s="68"/>
      <c r="P301" s="68"/>
      <c r="Q301" s="68"/>
      <c r="R301" s="68"/>
      <c r="S301" s="68"/>
      <c r="T301" s="68"/>
      <c r="U301" s="68"/>
      <c r="V301" s="68"/>
      <c r="W301" s="68"/>
      <c r="X301" s="68"/>
      <c r="Y301" s="68"/>
      <c r="Z301" s="68"/>
    </row>
    <row r="302" spans="1:26" ht="17">
      <c r="A302" s="68"/>
      <c r="B302" s="104"/>
      <c r="C302" s="104"/>
      <c r="D302" s="104"/>
      <c r="E302" s="68"/>
      <c r="F302" s="68"/>
      <c r="G302" s="68"/>
      <c r="H302" s="68"/>
      <c r="I302" s="68"/>
      <c r="J302" s="68"/>
      <c r="K302" s="68"/>
      <c r="L302" s="68"/>
      <c r="M302" s="68"/>
      <c r="N302" s="68"/>
      <c r="O302" s="68"/>
      <c r="P302" s="68"/>
      <c r="Q302" s="68"/>
      <c r="R302" s="68"/>
      <c r="S302" s="68"/>
      <c r="T302" s="68"/>
      <c r="U302" s="68"/>
      <c r="V302" s="68"/>
      <c r="W302" s="68"/>
      <c r="X302" s="68"/>
      <c r="Y302" s="68"/>
      <c r="Z302" s="68"/>
    </row>
    <row r="303" spans="1:26" ht="17">
      <c r="A303" s="68"/>
      <c r="B303" s="104"/>
      <c r="C303" s="104"/>
      <c r="D303" s="104"/>
      <c r="E303" s="68"/>
      <c r="F303" s="68"/>
      <c r="G303" s="68"/>
      <c r="H303" s="68"/>
      <c r="I303" s="68"/>
      <c r="J303" s="68"/>
      <c r="K303" s="68"/>
      <c r="L303" s="68"/>
      <c r="M303" s="68"/>
      <c r="N303" s="68"/>
      <c r="O303" s="68"/>
      <c r="P303" s="68"/>
      <c r="Q303" s="68"/>
      <c r="R303" s="68"/>
      <c r="S303" s="68"/>
      <c r="T303" s="68"/>
      <c r="U303" s="68"/>
      <c r="V303" s="68"/>
      <c r="W303" s="68"/>
      <c r="X303" s="68"/>
      <c r="Y303" s="68"/>
      <c r="Z303" s="68"/>
    </row>
    <row r="304" spans="1:26" ht="17">
      <c r="A304" s="68"/>
      <c r="B304" s="104"/>
      <c r="C304" s="104"/>
      <c r="D304" s="104"/>
      <c r="E304" s="68"/>
      <c r="F304" s="68"/>
      <c r="G304" s="68"/>
      <c r="H304" s="68"/>
      <c r="I304" s="68"/>
      <c r="J304" s="68"/>
      <c r="K304" s="68"/>
      <c r="L304" s="68"/>
      <c r="M304" s="68"/>
      <c r="N304" s="68"/>
      <c r="O304" s="68"/>
      <c r="P304" s="68"/>
      <c r="Q304" s="68"/>
      <c r="R304" s="68"/>
      <c r="S304" s="68"/>
      <c r="T304" s="68"/>
      <c r="U304" s="68"/>
      <c r="V304" s="68"/>
      <c r="W304" s="68"/>
      <c r="X304" s="68"/>
      <c r="Y304" s="68"/>
      <c r="Z304" s="68"/>
    </row>
    <row r="305" spans="1:26" ht="17">
      <c r="A305" s="68"/>
      <c r="B305" s="104"/>
      <c r="C305" s="104"/>
      <c r="D305" s="104"/>
      <c r="E305" s="68"/>
      <c r="F305" s="68"/>
      <c r="G305" s="68"/>
      <c r="H305" s="68"/>
      <c r="I305" s="68"/>
      <c r="J305" s="68"/>
      <c r="K305" s="68"/>
      <c r="L305" s="68"/>
      <c r="M305" s="68"/>
      <c r="N305" s="68"/>
      <c r="O305" s="68"/>
      <c r="P305" s="68"/>
      <c r="Q305" s="68"/>
      <c r="R305" s="68"/>
      <c r="S305" s="68"/>
      <c r="T305" s="68"/>
      <c r="U305" s="68"/>
      <c r="V305" s="68"/>
      <c r="W305" s="68"/>
      <c r="X305" s="68"/>
      <c r="Y305" s="68"/>
      <c r="Z305" s="68"/>
    </row>
    <row r="306" spans="1:26" ht="17">
      <c r="A306" s="68"/>
      <c r="B306" s="104"/>
      <c r="C306" s="104"/>
      <c r="D306" s="104"/>
      <c r="E306" s="68"/>
      <c r="F306" s="68"/>
      <c r="G306" s="68"/>
      <c r="H306" s="68"/>
      <c r="I306" s="68"/>
      <c r="J306" s="68"/>
      <c r="K306" s="68"/>
      <c r="L306" s="68"/>
      <c r="M306" s="68"/>
      <c r="N306" s="68"/>
      <c r="O306" s="68"/>
      <c r="P306" s="68"/>
      <c r="Q306" s="68"/>
      <c r="R306" s="68"/>
      <c r="S306" s="68"/>
      <c r="T306" s="68"/>
      <c r="U306" s="68"/>
      <c r="V306" s="68"/>
      <c r="W306" s="68"/>
      <c r="X306" s="68"/>
      <c r="Y306" s="68"/>
      <c r="Z306" s="68"/>
    </row>
    <row r="307" spans="1:26" ht="17">
      <c r="A307" s="68"/>
      <c r="B307" s="104"/>
      <c r="C307" s="104"/>
      <c r="D307" s="104"/>
      <c r="E307" s="68"/>
      <c r="F307" s="68"/>
      <c r="G307" s="68"/>
      <c r="H307" s="68"/>
      <c r="I307" s="68"/>
      <c r="J307" s="68"/>
      <c r="K307" s="68"/>
      <c r="L307" s="68"/>
      <c r="M307" s="68"/>
      <c r="N307" s="68"/>
      <c r="O307" s="68"/>
      <c r="P307" s="68"/>
      <c r="Q307" s="68"/>
      <c r="R307" s="68"/>
      <c r="S307" s="68"/>
      <c r="T307" s="68"/>
      <c r="U307" s="68"/>
      <c r="V307" s="68"/>
      <c r="W307" s="68"/>
      <c r="X307" s="68"/>
      <c r="Y307" s="68"/>
      <c r="Z307" s="68"/>
    </row>
    <row r="308" spans="1:26" ht="17">
      <c r="A308" s="68"/>
      <c r="B308" s="104"/>
      <c r="C308" s="104"/>
      <c r="D308" s="104"/>
      <c r="E308" s="68"/>
      <c r="F308" s="68"/>
      <c r="G308" s="68"/>
      <c r="H308" s="68"/>
      <c r="I308" s="68"/>
      <c r="J308" s="68"/>
      <c r="K308" s="68"/>
      <c r="L308" s="68"/>
      <c r="M308" s="68"/>
      <c r="N308" s="68"/>
      <c r="O308" s="68"/>
      <c r="P308" s="68"/>
      <c r="Q308" s="68"/>
      <c r="R308" s="68"/>
      <c r="S308" s="68"/>
      <c r="T308" s="68"/>
      <c r="U308" s="68"/>
      <c r="V308" s="68"/>
      <c r="W308" s="68"/>
      <c r="X308" s="68"/>
      <c r="Y308" s="68"/>
      <c r="Z308" s="68"/>
    </row>
    <row r="309" spans="1:26" ht="17">
      <c r="A309" s="68"/>
      <c r="B309" s="104"/>
      <c r="C309" s="104"/>
      <c r="D309" s="104"/>
      <c r="E309" s="68"/>
      <c r="F309" s="68"/>
      <c r="G309" s="68"/>
      <c r="H309" s="68"/>
      <c r="I309" s="68"/>
      <c r="J309" s="68"/>
      <c r="K309" s="68"/>
      <c r="L309" s="68"/>
      <c r="M309" s="68"/>
      <c r="N309" s="68"/>
      <c r="O309" s="68"/>
      <c r="P309" s="68"/>
      <c r="Q309" s="68"/>
      <c r="R309" s="68"/>
      <c r="S309" s="68"/>
      <c r="T309" s="68"/>
      <c r="U309" s="68"/>
      <c r="V309" s="68"/>
      <c r="W309" s="68"/>
      <c r="X309" s="68"/>
      <c r="Y309" s="68"/>
      <c r="Z309" s="68"/>
    </row>
    <row r="310" spans="1:26" ht="17">
      <c r="A310" s="68"/>
      <c r="B310" s="104"/>
      <c r="C310" s="104"/>
      <c r="D310" s="104"/>
      <c r="E310" s="68"/>
      <c r="F310" s="68"/>
      <c r="G310" s="68"/>
      <c r="H310" s="68"/>
      <c r="I310" s="68"/>
      <c r="J310" s="68"/>
      <c r="K310" s="68"/>
      <c r="L310" s="68"/>
      <c r="M310" s="68"/>
      <c r="N310" s="68"/>
      <c r="O310" s="68"/>
      <c r="P310" s="68"/>
      <c r="Q310" s="68"/>
      <c r="R310" s="68"/>
      <c r="S310" s="68"/>
      <c r="T310" s="68"/>
      <c r="U310" s="68"/>
      <c r="V310" s="68"/>
      <c r="W310" s="68"/>
      <c r="X310" s="68"/>
      <c r="Y310" s="68"/>
      <c r="Z310" s="68"/>
    </row>
    <row r="311" spans="1:26" ht="17">
      <c r="A311" s="68"/>
      <c r="B311" s="104"/>
      <c r="C311" s="104"/>
      <c r="D311" s="104"/>
      <c r="E311" s="68"/>
      <c r="F311" s="68"/>
      <c r="G311" s="68"/>
      <c r="H311" s="68"/>
      <c r="I311" s="68"/>
      <c r="J311" s="68"/>
      <c r="K311" s="68"/>
      <c r="L311" s="68"/>
      <c r="M311" s="68"/>
      <c r="N311" s="68"/>
      <c r="O311" s="68"/>
      <c r="P311" s="68"/>
      <c r="Q311" s="68"/>
      <c r="R311" s="68"/>
      <c r="S311" s="68"/>
      <c r="T311" s="68"/>
      <c r="U311" s="68"/>
      <c r="V311" s="68"/>
      <c r="W311" s="68"/>
      <c r="X311" s="68"/>
      <c r="Y311" s="68"/>
      <c r="Z311" s="68"/>
    </row>
    <row r="312" spans="1:26" ht="17">
      <c r="A312" s="68"/>
      <c r="B312" s="104"/>
      <c r="C312" s="104"/>
      <c r="D312" s="104"/>
      <c r="E312" s="68"/>
      <c r="F312" s="68"/>
      <c r="G312" s="68"/>
      <c r="H312" s="68"/>
      <c r="I312" s="68"/>
      <c r="J312" s="68"/>
      <c r="K312" s="68"/>
      <c r="L312" s="68"/>
      <c r="M312" s="68"/>
      <c r="N312" s="68"/>
      <c r="O312" s="68"/>
      <c r="P312" s="68"/>
      <c r="Q312" s="68"/>
      <c r="R312" s="68"/>
      <c r="S312" s="68"/>
      <c r="T312" s="68"/>
      <c r="U312" s="68"/>
      <c r="V312" s="68"/>
      <c r="W312" s="68"/>
      <c r="X312" s="68"/>
      <c r="Y312" s="68"/>
      <c r="Z312" s="68"/>
    </row>
    <row r="313" spans="1:26" ht="17">
      <c r="A313" s="68"/>
      <c r="B313" s="104"/>
      <c r="C313" s="104"/>
      <c r="D313" s="104"/>
      <c r="E313" s="68"/>
      <c r="F313" s="68"/>
      <c r="G313" s="68"/>
      <c r="H313" s="68"/>
      <c r="I313" s="68"/>
      <c r="J313" s="68"/>
      <c r="K313" s="68"/>
      <c r="L313" s="68"/>
      <c r="M313" s="68"/>
      <c r="N313" s="68"/>
      <c r="O313" s="68"/>
      <c r="P313" s="68"/>
      <c r="Q313" s="68"/>
      <c r="R313" s="68"/>
      <c r="S313" s="68"/>
      <c r="T313" s="68"/>
      <c r="U313" s="68"/>
      <c r="V313" s="68"/>
      <c r="W313" s="68"/>
      <c r="X313" s="68"/>
      <c r="Y313" s="68"/>
      <c r="Z313" s="68"/>
    </row>
    <row r="314" spans="1:26" ht="17">
      <c r="A314" s="68"/>
      <c r="B314" s="104"/>
      <c r="C314" s="104"/>
      <c r="D314" s="104"/>
      <c r="E314" s="68"/>
      <c r="F314" s="68"/>
      <c r="G314" s="68"/>
      <c r="H314" s="68"/>
      <c r="I314" s="68"/>
      <c r="J314" s="68"/>
      <c r="K314" s="68"/>
      <c r="L314" s="68"/>
      <c r="M314" s="68"/>
      <c r="N314" s="68"/>
      <c r="O314" s="68"/>
      <c r="P314" s="68"/>
      <c r="Q314" s="68"/>
      <c r="R314" s="68"/>
      <c r="S314" s="68"/>
      <c r="T314" s="68"/>
      <c r="U314" s="68"/>
      <c r="V314" s="68"/>
      <c r="W314" s="68"/>
      <c r="X314" s="68"/>
      <c r="Y314" s="68"/>
      <c r="Z314" s="68"/>
    </row>
    <row r="315" spans="1:26" ht="17">
      <c r="A315" s="68"/>
      <c r="B315" s="104"/>
      <c r="C315" s="104"/>
      <c r="D315" s="104"/>
      <c r="E315" s="68"/>
      <c r="F315" s="68"/>
      <c r="G315" s="68"/>
      <c r="H315" s="68"/>
      <c r="I315" s="68"/>
      <c r="J315" s="68"/>
      <c r="K315" s="68"/>
      <c r="L315" s="68"/>
      <c r="M315" s="68"/>
      <c r="N315" s="68"/>
      <c r="O315" s="68"/>
      <c r="P315" s="68"/>
      <c r="Q315" s="68"/>
      <c r="R315" s="68"/>
      <c r="S315" s="68"/>
      <c r="T315" s="68"/>
      <c r="U315" s="68"/>
      <c r="V315" s="68"/>
      <c r="W315" s="68"/>
      <c r="X315" s="68"/>
      <c r="Y315" s="68"/>
      <c r="Z315" s="68"/>
    </row>
    <row r="316" spans="1:26" ht="17">
      <c r="A316" s="68"/>
      <c r="B316" s="104"/>
      <c r="C316" s="104"/>
      <c r="D316" s="104"/>
      <c r="E316" s="68"/>
      <c r="F316" s="68"/>
      <c r="G316" s="68"/>
      <c r="H316" s="68"/>
      <c r="I316" s="68"/>
      <c r="J316" s="68"/>
      <c r="K316" s="68"/>
      <c r="L316" s="68"/>
      <c r="M316" s="68"/>
      <c r="N316" s="68"/>
      <c r="O316" s="68"/>
      <c r="P316" s="68"/>
      <c r="Q316" s="68"/>
      <c r="R316" s="68"/>
      <c r="S316" s="68"/>
      <c r="T316" s="68"/>
      <c r="U316" s="68"/>
      <c r="V316" s="68"/>
      <c r="W316" s="68"/>
      <c r="X316" s="68"/>
      <c r="Y316" s="68"/>
      <c r="Z316" s="68"/>
    </row>
    <row r="317" spans="1:26" ht="17">
      <c r="A317" s="68"/>
      <c r="B317" s="104"/>
      <c r="C317" s="104"/>
      <c r="D317" s="104"/>
      <c r="E317" s="68"/>
      <c r="F317" s="68"/>
      <c r="G317" s="68"/>
      <c r="H317" s="68"/>
      <c r="I317" s="68"/>
      <c r="J317" s="68"/>
      <c r="K317" s="68"/>
      <c r="L317" s="68"/>
      <c r="M317" s="68"/>
      <c r="N317" s="68"/>
      <c r="O317" s="68"/>
      <c r="P317" s="68"/>
      <c r="Q317" s="68"/>
      <c r="R317" s="68"/>
      <c r="S317" s="68"/>
      <c r="T317" s="68"/>
      <c r="U317" s="68"/>
      <c r="V317" s="68"/>
      <c r="W317" s="68"/>
      <c r="X317" s="68"/>
      <c r="Y317" s="68"/>
      <c r="Z317" s="68"/>
    </row>
    <row r="318" spans="1:26" ht="17">
      <c r="A318" s="68"/>
      <c r="B318" s="104"/>
      <c r="C318" s="104"/>
      <c r="D318" s="104"/>
      <c r="E318" s="68"/>
      <c r="F318" s="68"/>
      <c r="G318" s="68"/>
      <c r="H318" s="68"/>
      <c r="I318" s="68"/>
      <c r="J318" s="68"/>
      <c r="K318" s="68"/>
      <c r="L318" s="68"/>
      <c r="M318" s="68"/>
      <c r="N318" s="68"/>
      <c r="O318" s="68"/>
      <c r="P318" s="68"/>
      <c r="Q318" s="68"/>
      <c r="R318" s="68"/>
      <c r="S318" s="68"/>
      <c r="T318" s="68"/>
      <c r="U318" s="68"/>
      <c r="V318" s="68"/>
      <c r="W318" s="68"/>
      <c r="X318" s="68"/>
      <c r="Y318" s="68"/>
      <c r="Z318" s="68"/>
    </row>
    <row r="319" spans="1:26" ht="17">
      <c r="A319" s="68"/>
      <c r="B319" s="104"/>
      <c r="C319" s="104"/>
      <c r="D319" s="104"/>
      <c r="E319" s="68"/>
      <c r="F319" s="68"/>
      <c r="G319" s="68"/>
      <c r="H319" s="68"/>
      <c r="I319" s="68"/>
      <c r="J319" s="68"/>
      <c r="K319" s="68"/>
      <c r="L319" s="68"/>
      <c r="M319" s="68"/>
      <c r="N319" s="68"/>
      <c r="O319" s="68"/>
      <c r="P319" s="68"/>
      <c r="Q319" s="68"/>
      <c r="R319" s="68"/>
      <c r="S319" s="68"/>
      <c r="T319" s="68"/>
      <c r="U319" s="68"/>
      <c r="V319" s="68"/>
      <c r="W319" s="68"/>
      <c r="X319" s="68"/>
      <c r="Y319" s="68"/>
      <c r="Z319" s="68"/>
    </row>
    <row r="320" spans="1:26" ht="17">
      <c r="A320" s="68"/>
      <c r="B320" s="104"/>
      <c r="C320" s="104"/>
      <c r="D320" s="104"/>
      <c r="E320" s="68"/>
      <c r="F320" s="68"/>
      <c r="G320" s="68"/>
      <c r="H320" s="68"/>
      <c r="I320" s="68"/>
      <c r="J320" s="68"/>
      <c r="K320" s="68"/>
      <c r="L320" s="68"/>
      <c r="M320" s="68"/>
      <c r="N320" s="68"/>
      <c r="O320" s="68"/>
      <c r="P320" s="68"/>
      <c r="Q320" s="68"/>
      <c r="R320" s="68"/>
      <c r="S320" s="68"/>
      <c r="T320" s="68"/>
      <c r="U320" s="68"/>
      <c r="V320" s="68"/>
      <c r="W320" s="68"/>
      <c r="X320" s="68"/>
      <c r="Y320" s="68"/>
      <c r="Z320" s="68"/>
    </row>
    <row r="321" spans="1:26" ht="17">
      <c r="A321" s="68"/>
      <c r="B321" s="104"/>
      <c r="C321" s="104"/>
      <c r="D321" s="104"/>
      <c r="E321" s="68"/>
      <c r="F321" s="68"/>
      <c r="G321" s="68"/>
      <c r="H321" s="68"/>
      <c r="I321" s="68"/>
      <c r="J321" s="68"/>
      <c r="K321" s="68"/>
      <c r="L321" s="68"/>
      <c r="M321" s="68"/>
      <c r="N321" s="68"/>
      <c r="O321" s="68"/>
      <c r="P321" s="68"/>
      <c r="Q321" s="68"/>
      <c r="R321" s="68"/>
      <c r="S321" s="68"/>
      <c r="T321" s="68"/>
      <c r="U321" s="68"/>
      <c r="V321" s="68"/>
      <c r="W321" s="68"/>
      <c r="X321" s="68"/>
      <c r="Y321" s="68"/>
      <c r="Z321" s="68"/>
    </row>
    <row r="322" spans="1:26" ht="17">
      <c r="A322" s="68"/>
      <c r="B322" s="104"/>
      <c r="C322" s="104"/>
      <c r="D322" s="104"/>
      <c r="E322" s="68"/>
      <c r="F322" s="68"/>
      <c r="G322" s="68"/>
      <c r="H322" s="68"/>
      <c r="I322" s="68"/>
      <c r="J322" s="68"/>
      <c r="K322" s="68"/>
      <c r="L322" s="68"/>
      <c r="M322" s="68"/>
      <c r="N322" s="68"/>
      <c r="O322" s="68"/>
      <c r="P322" s="68"/>
      <c r="Q322" s="68"/>
      <c r="R322" s="68"/>
      <c r="S322" s="68"/>
      <c r="T322" s="68"/>
      <c r="U322" s="68"/>
      <c r="V322" s="68"/>
      <c r="W322" s="68"/>
      <c r="X322" s="68"/>
      <c r="Y322" s="68"/>
      <c r="Z322" s="68"/>
    </row>
    <row r="323" spans="1:26" ht="17">
      <c r="A323" s="68"/>
      <c r="B323" s="104"/>
      <c r="C323" s="104"/>
      <c r="D323" s="104"/>
      <c r="E323" s="68"/>
      <c r="F323" s="68"/>
      <c r="G323" s="68"/>
      <c r="H323" s="68"/>
      <c r="I323" s="68"/>
      <c r="J323" s="68"/>
      <c r="K323" s="68"/>
      <c r="L323" s="68"/>
      <c r="M323" s="68"/>
      <c r="N323" s="68"/>
      <c r="O323" s="68"/>
      <c r="P323" s="68"/>
      <c r="Q323" s="68"/>
      <c r="R323" s="68"/>
      <c r="S323" s="68"/>
      <c r="T323" s="68"/>
      <c r="U323" s="68"/>
      <c r="V323" s="68"/>
      <c r="W323" s="68"/>
      <c r="X323" s="68"/>
      <c r="Y323" s="68"/>
      <c r="Z323" s="68"/>
    </row>
    <row r="324" spans="1:26" ht="17">
      <c r="A324" s="68"/>
      <c r="B324" s="104"/>
      <c r="C324" s="104"/>
      <c r="D324" s="104"/>
      <c r="E324" s="68"/>
      <c r="F324" s="68"/>
      <c r="G324" s="68"/>
      <c r="H324" s="68"/>
      <c r="I324" s="68"/>
      <c r="J324" s="68"/>
      <c r="K324" s="68"/>
      <c r="L324" s="68"/>
      <c r="M324" s="68"/>
      <c r="N324" s="68"/>
      <c r="O324" s="68"/>
      <c r="P324" s="68"/>
      <c r="Q324" s="68"/>
      <c r="R324" s="68"/>
      <c r="S324" s="68"/>
      <c r="T324" s="68"/>
      <c r="U324" s="68"/>
      <c r="V324" s="68"/>
      <c r="W324" s="68"/>
      <c r="X324" s="68"/>
      <c r="Y324" s="68"/>
      <c r="Z324" s="68"/>
    </row>
    <row r="325" spans="1:26" ht="17">
      <c r="A325" s="68"/>
      <c r="B325" s="104"/>
      <c r="C325" s="104"/>
      <c r="D325" s="104"/>
      <c r="E325" s="68"/>
      <c r="F325" s="68"/>
      <c r="G325" s="68"/>
      <c r="H325" s="68"/>
      <c r="I325" s="68"/>
      <c r="J325" s="68"/>
      <c r="K325" s="68"/>
      <c r="L325" s="68"/>
      <c r="M325" s="68"/>
      <c r="N325" s="68"/>
      <c r="O325" s="68"/>
      <c r="P325" s="68"/>
      <c r="Q325" s="68"/>
      <c r="R325" s="68"/>
      <c r="S325" s="68"/>
      <c r="T325" s="68"/>
      <c r="U325" s="68"/>
      <c r="V325" s="68"/>
      <c r="W325" s="68"/>
      <c r="X325" s="68"/>
      <c r="Y325" s="68"/>
      <c r="Z325" s="68"/>
    </row>
    <row r="326" spans="1:26" ht="17">
      <c r="A326" s="68"/>
      <c r="B326" s="104"/>
      <c r="C326" s="104"/>
      <c r="D326" s="104"/>
      <c r="E326" s="68"/>
      <c r="F326" s="68"/>
      <c r="G326" s="68"/>
      <c r="H326" s="68"/>
      <c r="I326" s="68"/>
      <c r="J326" s="68"/>
      <c r="K326" s="68"/>
      <c r="L326" s="68"/>
      <c r="M326" s="68"/>
      <c r="N326" s="68"/>
      <c r="O326" s="68"/>
      <c r="P326" s="68"/>
      <c r="Q326" s="68"/>
      <c r="R326" s="68"/>
      <c r="S326" s="68"/>
      <c r="T326" s="68"/>
      <c r="U326" s="68"/>
      <c r="V326" s="68"/>
      <c r="W326" s="68"/>
      <c r="X326" s="68"/>
      <c r="Y326" s="68"/>
      <c r="Z326" s="68"/>
    </row>
    <row r="327" spans="1:26" ht="17">
      <c r="A327" s="68"/>
      <c r="B327" s="104"/>
      <c r="C327" s="104"/>
      <c r="D327" s="104"/>
      <c r="E327" s="68"/>
      <c r="F327" s="68"/>
      <c r="G327" s="68"/>
      <c r="H327" s="68"/>
      <c r="I327" s="68"/>
      <c r="J327" s="68"/>
      <c r="K327" s="68"/>
      <c r="L327" s="68"/>
      <c r="M327" s="68"/>
      <c r="N327" s="68"/>
      <c r="O327" s="68"/>
      <c r="P327" s="68"/>
      <c r="Q327" s="68"/>
      <c r="R327" s="68"/>
      <c r="S327" s="68"/>
      <c r="T327" s="68"/>
      <c r="U327" s="68"/>
      <c r="V327" s="68"/>
      <c r="W327" s="68"/>
      <c r="X327" s="68"/>
      <c r="Y327" s="68"/>
      <c r="Z327" s="68"/>
    </row>
    <row r="328" spans="1:26" ht="17">
      <c r="A328" s="68"/>
      <c r="B328" s="104"/>
      <c r="C328" s="104"/>
      <c r="D328" s="104"/>
      <c r="E328" s="68"/>
      <c r="F328" s="68"/>
      <c r="G328" s="68"/>
      <c r="H328" s="68"/>
      <c r="I328" s="68"/>
      <c r="J328" s="68"/>
      <c r="K328" s="68"/>
      <c r="L328" s="68"/>
      <c r="M328" s="68"/>
      <c r="N328" s="68"/>
      <c r="O328" s="68"/>
      <c r="P328" s="68"/>
      <c r="Q328" s="68"/>
      <c r="R328" s="68"/>
      <c r="S328" s="68"/>
      <c r="T328" s="68"/>
      <c r="U328" s="68"/>
      <c r="V328" s="68"/>
      <c r="W328" s="68"/>
      <c r="X328" s="68"/>
      <c r="Y328" s="68"/>
      <c r="Z328" s="68"/>
    </row>
    <row r="329" spans="1:26" ht="17">
      <c r="A329" s="68"/>
      <c r="B329" s="104"/>
      <c r="C329" s="104"/>
      <c r="D329" s="104"/>
      <c r="E329" s="68"/>
      <c r="F329" s="68"/>
      <c r="G329" s="68"/>
      <c r="H329" s="68"/>
      <c r="I329" s="68"/>
      <c r="J329" s="68"/>
      <c r="K329" s="68"/>
      <c r="L329" s="68"/>
      <c r="M329" s="68"/>
      <c r="N329" s="68"/>
      <c r="O329" s="68"/>
      <c r="P329" s="68"/>
      <c r="Q329" s="68"/>
      <c r="R329" s="68"/>
      <c r="S329" s="68"/>
      <c r="T329" s="68"/>
      <c r="U329" s="68"/>
      <c r="V329" s="68"/>
      <c r="W329" s="68"/>
      <c r="X329" s="68"/>
      <c r="Y329" s="68"/>
      <c r="Z329" s="68"/>
    </row>
    <row r="330" spans="1:26" ht="17">
      <c r="A330" s="68"/>
      <c r="B330" s="104"/>
      <c r="C330" s="104"/>
      <c r="D330" s="104"/>
      <c r="E330" s="68"/>
      <c r="F330" s="68"/>
      <c r="G330" s="68"/>
      <c r="H330" s="68"/>
      <c r="I330" s="68"/>
      <c r="J330" s="68"/>
      <c r="K330" s="68"/>
      <c r="L330" s="68"/>
      <c r="M330" s="68"/>
      <c r="N330" s="68"/>
      <c r="O330" s="68"/>
      <c r="P330" s="68"/>
      <c r="Q330" s="68"/>
      <c r="R330" s="68"/>
      <c r="S330" s="68"/>
      <c r="T330" s="68"/>
      <c r="U330" s="68"/>
      <c r="V330" s="68"/>
      <c r="W330" s="68"/>
      <c r="X330" s="68"/>
      <c r="Y330" s="68"/>
      <c r="Z330" s="68"/>
    </row>
    <row r="331" spans="1:26" ht="17">
      <c r="A331" s="68"/>
      <c r="B331" s="104"/>
      <c r="C331" s="104"/>
      <c r="D331" s="104"/>
      <c r="E331" s="68"/>
      <c r="F331" s="68"/>
      <c r="G331" s="68"/>
      <c r="H331" s="68"/>
      <c r="I331" s="68"/>
      <c r="J331" s="68"/>
      <c r="K331" s="68"/>
      <c r="L331" s="68"/>
      <c r="M331" s="68"/>
      <c r="N331" s="68"/>
      <c r="O331" s="68"/>
      <c r="P331" s="68"/>
      <c r="Q331" s="68"/>
      <c r="R331" s="68"/>
      <c r="S331" s="68"/>
      <c r="T331" s="68"/>
      <c r="U331" s="68"/>
      <c r="V331" s="68"/>
      <c r="W331" s="68"/>
      <c r="X331" s="68"/>
      <c r="Y331" s="68"/>
      <c r="Z331" s="68"/>
    </row>
    <row r="332" spans="1:26" ht="17">
      <c r="A332" s="68"/>
      <c r="B332" s="104"/>
      <c r="C332" s="104"/>
      <c r="D332" s="104"/>
      <c r="E332" s="68"/>
      <c r="F332" s="68"/>
      <c r="G332" s="68"/>
      <c r="H332" s="68"/>
      <c r="I332" s="68"/>
      <c r="J332" s="68"/>
      <c r="K332" s="68"/>
      <c r="L332" s="68"/>
      <c r="M332" s="68"/>
      <c r="N332" s="68"/>
      <c r="O332" s="68"/>
      <c r="P332" s="68"/>
      <c r="Q332" s="68"/>
      <c r="R332" s="68"/>
      <c r="S332" s="68"/>
      <c r="T332" s="68"/>
      <c r="U332" s="68"/>
      <c r="V332" s="68"/>
      <c r="W332" s="68"/>
      <c r="X332" s="68"/>
      <c r="Y332" s="68"/>
      <c r="Z332" s="68"/>
    </row>
    <row r="333" spans="1:26" ht="17">
      <c r="A333" s="68"/>
      <c r="B333" s="104"/>
      <c r="C333" s="104"/>
      <c r="D333" s="104"/>
      <c r="E333" s="68"/>
      <c r="F333" s="68"/>
      <c r="G333" s="68"/>
      <c r="H333" s="68"/>
      <c r="I333" s="68"/>
      <c r="J333" s="68"/>
      <c r="K333" s="68"/>
      <c r="L333" s="68"/>
      <c r="M333" s="68"/>
      <c r="N333" s="68"/>
      <c r="O333" s="68"/>
      <c r="P333" s="68"/>
      <c r="Q333" s="68"/>
      <c r="R333" s="68"/>
      <c r="S333" s="68"/>
      <c r="T333" s="68"/>
      <c r="U333" s="68"/>
      <c r="V333" s="68"/>
      <c r="W333" s="68"/>
      <c r="X333" s="68"/>
      <c r="Y333" s="68"/>
      <c r="Z333" s="68"/>
    </row>
    <row r="334" spans="1:26" ht="17">
      <c r="A334" s="68"/>
      <c r="B334" s="104"/>
      <c r="C334" s="104"/>
      <c r="D334" s="104"/>
      <c r="E334" s="68"/>
      <c r="F334" s="68"/>
      <c r="G334" s="68"/>
      <c r="H334" s="68"/>
      <c r="I334" s="68"/>
      <c r="J334" s="68"/>
      <c r="K334" s="68"/>
      <c r="L334" s="68"/>
      <c r="M334" s="68"/>
      <c r="N334" s="68"/>
      <c r="O334" s="68"/>
      <c r="P334" s="68"/>
      <c r="Q334" s="68"/>
      <c r="R334" s="68"/>
      <c r="S334" s="68"/>
      <c r="T334" s="68"/>
      <c r="U334" s="68"/>
      <c r="V334" s="68"/>
      <c r="W334" s="68"/>
      <c r="X334" s="68"/>
      <c r="Y334" s="68"/>
      <c r="Z334" s="68"/>
    </row>
    <row r="335" spans="1:26" ht="17">
      <c r="A335" s="68"/>
      <c r="B335" s="104"/>
      <c r="C335" s="104"/>
      <c r="D335" s="104"/>
      <c r="E335" s="68"/>
      <c r="F335" s="68"/>
      <c r="G335" s="68"/>
      <c r="H335" s="68"/>
      <c r="I335" s="68"/>
      <c r="J335" s="68"/>
      <c r="K335" s="68"/>
      <c r="L335" s="68"/>
      <c r="M335" s="68"/>
      <c r="N335" s="68"/>
      <c r="O335" s="68"/>
      <c r="P335" s="68"/>
      <c r="Q335" s="68"/>
      <c r="R335" s="68"/>
      <c r="S335" s="68"/>
      <c r="T335" s="68"/>
      <c r="U335" s="68"/>
      <c r="V335" s="68"/>
      <c r="W335" s="68"/>
      <c r="X335" s="68"/>
      <c r="Y335" s="68"/>
      <c r="Z335" s="68"/>
    </row>
    <row r="336" spans="1:26" ht="17">
      <c r="A336" s="68"/>
      <c r="B336" s="104"/>
      <c r="C336" s="104"/>
      <c r="D336" s="104"/>
      <c r="E336" s="68"/>
      <c r="F336" s="68"/>
      <c r="G336" s="68"/>
      <c r="H336" s="68"/>
      <c r="I336" s="68"/>
      <c r="J336" s="68"/>
      <c r="K336" s="68"/>
      <c r="L336" s="68"/>
      <c r="M336" s="68"/>
      <c r="N336" s="68"/>
      <c r="O336" s="68"/>
      <c r="P336" s="68"/>
      <c r="Q336" s="68"/>
      <c r="R336" s="68"/>
      <c r="S336" s="68"/>
      <c r="T336" s="68"/>
      <c r="U336" s="68"/>
      <c r="V336" s="68"/>
      <c r="W336" s="68"/>
      <c r="X336" s="68"/>
      <c r="Y336" s="68"/>
      <c r="Z336" s="68"/>
    </row>
    <row r="337" spans="1:26" ht="17">
      <c r="A337" s="68"/>
      <c r="B337" s="104"/>
      <c r="C337" s="104"/>
      <c r="D337" s="104"/>
      <c r="E337" s="68"/>
      <c r="F337" s="68"/>
      <c r="G337" s="68"/>
      <c r="H337" s="68"/>
      <c r="I337" s="68"/>
      <c r="J337" s="68"/>
      <c r="K337" s="68"/>
      <c r="L337" s="68"/>
      <c r="M337" s="68"/>
      <c r="N337" s="68"/>
      <c r="O337" s="68"/>
      <c r="P337" s="68"/>
      <c r="Q337" s="68"/>
      <c r="R337" s="68"/>
      <c r="S337" s="68"/>
      <c r="T337" s="68"/>
      <c r="U337" s="68"/>
      <c r="V337" s="68"/>
      <c r="W337" s="68"/>
      <c r="X337" s="68"/>
      <c r="Y337" s="68"/>
      <c r="Z337" s="68"/>
    </row>
    <row r="338" spans="1:26" ht="17">
      <c r="A338" s="68"/>
      <c r="B338" s="104"/>
      <c r="C338" s="104"/>
      <c r="D338" s="104"/>
      <c r="E338" s="68"/>
      <c r="F338" s="68"/>
      <c r="G338" s="68"/>
      <c r="H338" s="68"/>
      <c r="I338" s="68"/>
      <c r="J338" s="68"/>
      <c r="K338" s="68"/>
      <c r="L338" s="68"/>
      <c r="M338" s="68"/>
      <c r="N338" s="68"/>
      <c r="O338" s="68"/>
      <c r="P338" s="68"/>
      <c r="Q338" s="68"/>
      <c r="R338" s="68"/>
      <c r="S338" s="68"/>
      <c r="T338" s="68"/>
      <c r="U338" s="68"/>
      <c r="V338" s="68"/>
      <c r="W338" s="68"/>
      <c r="X338" s="68"/>
      <c r="Y338" s="68"/>
      <c r="Z338" s="68"/>
    </row>
    <row r="339" spans="1:26" ht="17">
      <c r="A339" s="68"/>
      <c r="B339" s="104"/>
      <c r="C339" s="104"/>
      <c r="D339" s="104"/>
      <c r="E339" s="68"/>
      <c r="F339" s="68"/>
      <c r="G339" s="68"/>
      <c r="H339" s="68"/>
      <c r="I339" s="68"/>
      <c r="J339" s="68"/>
      <c r="K339" s="68"/>
      <c r="L339" s="68"/>
      <c r="M339" s="68"/>
      <c r="N339" s="68"/>
      <c r="O339" s="68"/>
      <c r="P339" s="68"/>
      <c r="Q339" s="68"/>
      <c r="R339" s="68"/>
      <c r="S339" s="68"/>
      <c r="T339" s="68"/>
      <c r="U339" s="68"/>
      <c r="V339" s="68"/>
      <c r="W339" s="68"/>
      <c r="X339" s="68"/>
      <c r="Y339" s="68"/>
      <c r="Z339" s="68"/>
    </row>
    <row r="340" spans="1:26" ht="17">
      <c r="A340" s="68"/>
      <c r="B340" s="104"/>
      <c r="C340" s="104"/>
      <c r="D340" s="104"/>
      <c r="E340" s="68"/>
      <c r="F340" s="68"/>
      <c r="G340" s="68"/>
      <c r="H340" s="68"/>
      <c r="I340" s="68"/>
      <c r="J340" s="68"/>
      <c r="K340" s="68"/>
      <c r="L340" s="68"/>
      <c r="M340" s="68"/>
      <c r="N340" s="68"/>
      <c r="O340" s="68"/>
      <c r="P340" s="68"/>
      <c r="Q340" s="68"/>
      <c r="R340" s="68"/>
      <c r="S340" s="68"/>
      <c r="T340" s="68"/>
      <c r="U340" s="68"/>
      <c r="V340" s="68"/>
      <c r="W340" s="68"/>
      <c r="X340" s="68"/>
      <c r="Y340" s="68"/>
      <c r="Z340" s="68"/>
    </row>
    <row r="341" spans="1:26" ht="17">
      <c r="A341" s="68"/>
      <c r="B341" s="104"/>
      <c r="C341" s="104"/>
      <c r="D341" s="104"/>
      <c r="E341" s="68"/>
      <c r="F341" s="68"/>
      <c r="G341" s="68"/>
      <c r="H341" s="68"/>
      <c r="I341" s="68"/>
      <c r="J341" s="68"/>
      <c r="K341" s="68"/>
      <c r="L341" s="68"/>
      <c r="M341" s="68"/>
      <c r="N341" s="68"/>
      <c r="O341" s="68"/>
      <c r="P341" s="68"/>
      <c r="Q341" s="68"/>
      <c r="R341" s="68"/>
      <c r="S341" s="68"/>
      <c r="T341" s="68"/>
      <c r="U341" s="68"/>
      <c r="V341" s="68"/>
      <c r="W341" s="68"/>
      <c r="X341" s="68"/>
      <c r="Y341" s="68"/>
      <c r="Z341" s="68"/>
    </row>
    <row r="342" spans="1:26" ht="17">
      <c r="A342" s="68"/>
      <c r="B342" s="104"/>
      <c r="C342" s="104"/>
      <c r="D342" s="104"/>
      <c r="E342" s="68"/>
      <c r="F342" s="68"/>
      <c r="G342" s="68"/>
      <c r="H342" s="68"/>
      <c r="I342" s="68"/>
      <c r="J342" s="68"/>
      <c r="K342" s="68"/>
      <c r="L342" s="68"/>
      <c r="M342" s="68"/>
      <c r="N342" s="68"/>
      <c r="O342" s="68"/>
      <c r="P342" s="68"/>
      <c r="Q342" s="68"/>
      <c r="R342" s="68"/>
      <c r="S342" s="68"/>
      <c r="T342" s="68"/>
      <c r="U342" s="68"/>
      <c r="V342" s="68"/>
      <c r="W342" s="68"/>
      <c r="X342" s="68"/>
      <c r="Y342" s="68"/>
      <c r="Z342" s="68"/>
    </row>
    <row r="343" spans="1:26" ht="17">
      <c r="A343" s="68"/>
      <c r="B343" s="104"/>
      <c r="C343" s="104"/>
      <c r="D343" s="104"/>
      <c r="E343" s="68"/>
      <c r="F343" s="68"/>
      <c r="G343" s="68"/>
      <c r="H343" s="68"/>
      <c r="I343" s="68"/>
      <c r="J343" s="68"/>
      <c r="K343" s="68"/>
      <c r="L343" s="68"/>
      <c r="M343" s="68"/>
      <c r="N343" s="68"/>
      <c r="O343" s="68"/>
      <c r="P343" s="68"/>
      <c r="Q343" s="68"/>
      <c r="R343" s="68"/>
      <c r="S343" s="68"/>
      <c r="T343" s="68"/>
      <c r="U343" s="68"/>
      <c r="V343" s="68"/>
      <c r="W343" s="68"/>
      <c r="X343" s="68"/>
      <c r="Y343" s="68"/>
      <c r="Z343" s="68"/>
    </row>
    <row r="344" spans="1:26" ht="17">
      <c r="A344" s="68"/>
      <c r="B344" s="104"/>
      <c r="C344" s="104"/>
      <c r="D344" s="104"/>
      <c r="E344" s="68"/>
      <c r="F344" s="68"/>
      <c r="G344" s="68"/>
      <c r="H344" s="68"/>
      <c r="I344" s="68"/>
      <c r="J344" s="68"/>
      <c r="K344" s="68"/>
      <c r="L344" s="68"/>
      <c r="M344" s="68"/>
      <c r="N344" s="68"/>
      <c r="O344" s="68"/>
      <c r="P344" s="68"/>
      <c r="Q344" s="68"/>
      <c r="R344" s="68"/>
      <c r="S344" s="68"/>
      <c r="T344" s="68"/>
      <c r="U344" s="68"/>
      <c r="V344" s="68"/>
      <c r="W344" s="68"/>
      <c r="X344" s="68"/>
      <c r="Y344" s="68"/>
      <c r="Z344" s="68"/>
    </row>
    <row r="345" spans="1:26" ht="17">
      <c r="A345" s="68"/>
      <c r="B345" s="104"/>
      <c r="C345" s="104"/>
      <c r="D345" s="104"/>
      <c r="E345" s="68"/>
      <c r="F345" s="68"/>
      <c r="G345" s="68"/>
      <c r="H345" s="68"/>
      <c r="I345" s="68"/>
      <c r="J345" s="68"/>
      <c r="K345" s="68"/>
      <c r="L345" s="68"/>
      <c r="M345" s="68"/>
      <c r="N345" s="68"/>
      <c r="O345" s="68"/>
      <c r="P345" s="68"/>
      <c r="Q345" s="68"/>
      <c r="R345" s="68"/>
      <c r="S345" s="68"/>
      <c r="T345" s="68"/>
      <c r="U345" s="68"/>
      <c r="V345" s="68"/>
      <c r="W345" s="68"/>
      <c r="X345" s="68"/>
      <c r="Y345" s="68"/>
      <c r="Z345" s="68"/>
    </row>
    <row r="346" spans="1:26" ht="17">
      <c r="A346" s="68"/>
      <c r="B346" s="104"/>
      <c r="C346" s="104"/>
      <c r="D346" s="104"/>
      <c r="E346" s="68"/>
      <c r="F346" s="68"/>
      <c r="G346" s="68"/>
      <c r="H346" s="68"/>
      <c r="I346" s="68"/>
      <c r="J346" s="68"/>
      <c r="K346" s="68"/>
      <c r="L346" s="68"/>
      <c r="M346" s="68"/>
      <c r="N346" s="68"/>
      <c r="O346" s="68"/>
      <c r="P346" s="68"/>
      <c r="Q346" s="68"/>
      <c r="R346" s="68"/>
      <c r="S346" s="68"/>
      <c r="T346" s="68"/>
      <c r="U346" s="68"/>
      <c r="V346" s="68"/>
      <c r="W346" s="68"/>
      <c r="X346" s="68"/>
      <c r="Y346" s="68"/>
      <c r="Z346" s="68"/>
    </row>
    <row r="347" spans="1:26" ht="17">
      <c r="A347" s="68"/>
      <c r="B347" s="104"/>
      <c r="C347" s="104"/>
      <c r="D347" s="104"/>
      <c r="E347" s="68"/>
      <c r="F347" s="68"/>
      <c r="G347" s="68"/>
      <c r="H347" s="68"/>
      <c r="I347" s="68"/>
      <c r="J347" s="68"/>
      <c r="K347" s="68"/>
      <c r="L347" s="68"/>
      <c r="M347" s="68"/>
      <c r="N347" s="68"/>
      <c r="O347" s="68"/>
      <c r="P347" s="68"/>
      <c r="Q347" s="68"/>
      <c r="R347" s="68"/>
      <c r="S347" s="68"/>
      <c r="T347" s="68"/>
      <c r="U347" s="68"/>
      <c r="V347" s="68"/>
      <c r="W347" s="68"/>
      <c r="X347" s="68"/>
      <c r="Y347" s="68"/>
      <c r="Z347" s="68"/>
    </row>
    <row r="348" spans="1:26" ht="17">
      <c r="A348" s="68"/>
      <c r="B348" s="104"/>
      <c r="C348" s="104"/>
      <c r="D348" s="104"/>
      <c r="E348" s="68"/>
      <c r="F348" s="68"/>
      <c r="G348" s="68"/>
      <c r="H348" s="68"/>
      <c r="I348" s="68"/>
      <c r="J348" s="68"/>
      <c r="K348" s="68"/>
      <c r="L348" s="68"/>
      <c r="M348" s="68"/>
      <c r="N348" s="68"/>
      <c r="O348" s="68"/>
      <c r="P348" s="68"/>
      <c r="Q348" s="68"/>
      <c r="R348" s="68"/>
      <c r="S348" s="68"/>
      <c r="T348" s="68"/>
      <c r="U348" s="68"/>
      <c r="V348" s="68"/>
      <c r="W348" s="68"/>
      <c r="X348" s="68"/>
      <c r="Y348" s="68"/>
      <c r="Z348" s="68"/>
    </row>
    <row r="349" spans="1:26" ht="17">
      <c r="A349" s="68"/>
      <c r="B349" s="104"/>
      <c r="C349" s="104"/>
      <c r="D349" s="104"/>
      <c r="E349" s="68"/>
      <c r="F349" s="68"/>
      <c r="G349" s="68"/>
      <c r="H349" s="68"/>
      <c r="I349" s="68"/>
      <c r="J349" s="68"/>
      <c r="K349" s="68"/>
      <c r="L349" s="68"/>
      <c r="M349" s="68"/>
      <c r="N349" s="68"/>
      <c r="O349" s="68"/>
      <c r="P349" s="68"/>
      <c r="Q349" s="68"/>
      <c r="R349" s="68"/>
      <c r="S349" s="68"/>
      <c r="T349" s="68"/>
      <c r="U349" s="68"/>
      <c r="V349" s="68"/>
      <c r="W349" s="68"/>
      <c r="X349" s="68"/>
      <c r="Y349" s="68"/>
      <c r="Z349" s="68"/>
    </row>
    <row r="350" spans="1:26" ht="17">
      <c r="A350" s="68"/>
      <c r="B350" s="104"/>
      <c r="C350" s="104"/>
      <c r="D350" s="104"/>
      <c r="E350" s="68"/>
      <c r="F350" s="68"/>
      <c r="G350" s="68"/>
      <c r="H350" s="68"/>
      <c r="I350" s="68"/>
      <c r="J350" s="68"/>
      <c r="K350" s="68"/>
      <c r="L350" s="68"/>
      <c r="M350" s="68"/>
      <c r="N350" s="68"/>
      <c r="O350" s="68"/>
      <c r="P350" s="68"/>
      <c r="Q350" s="68"/>
      <c r="R350" s="68"/>
      <c r="S350" s="68"/>
      <c r="T350" s="68"/>
      <c r="U350" s="68"/>
      <c r="V350" s="68"/>
      <c r="W350" s="68"/>
      <c r="X350" s="68"/>
      <c r="Y350" s="68"/>
      <c r="Z350" s="68"/>
    </row>
    <row r="351" spans="1:26" ht="17">
      <c r="A351" s="68"/>
      <c r="B351" s="104"/>
      <c r="C351" s="104"/>
      <c r="D351" s="104"/>
      <c r="E351" s="68"/>
      <c r="F351" s="68"/>
      <c r="G351" s="68"/>
      <c r="H351" s="68"/>
      <c r="I351" s="68"/>
      <c r="J351" s="68"/>
      <c r="K351" s="68"/>
      <c r="L351" s="68"/>
      <c r="M351" s="68"/>
      <c r="N351" s="68"/>
      <c r="O351" s="68"/>
      <c r="P351" s="68"/>
      <c r="Q351" s="68"/>
      <c r="R351" s="68"/>
      <c r="S351" s="68"/>
      <c r="T351" s="68"/>
      <c r="U351" s="68"/>
      <c r="V351" s="68"/>
      <c r="W351" s="68"/>
      <c r="X351" s="68"/>
      <c r="Y351" s="68"/>
      <c r="Z351" s="68"/>
    </row>
    <row r="352" spans="1:26" ht="17">
      <c r="A352" s="68"/>
      <c r="B352" s="104"/>
      <c r="C352" s="104"/>
      <c r="D352" s="104"/>
      <c r="E352" s="68"/>
      <c r="F352" s="68"/>
      <c r="G352" s="68"/>
      <c r="H352" s="68"/>
      <c r="I352" s="68"/>
      <c r="J352" s="68"/>
      <c r="K352" s="68"/>
      <c r="L352" s="68"/>
      <c r="M352" s="68"/>
      <c r="N352" s="68"/>
      <c r="O352" s="68"/>
      <c r="P352" s="68"/>
      <c r="Q352" s="68"/>
      <c r="R352" s="68"/>
      <c r="S352" s="68"/>
      <c r="T352" s="68"/>
      <c r="U352" s="68"/>
      <c r="V352" s="68"/>
      <c r="W352" s="68"/>
      <c r="X352" s="68"/>
      <c r="Y352" s="68"/>
      <c r="Z352" s="68"/>
    </row>
    <row r="353" spans="1:26" ht="17">
      <c r="A353" s="68"/>
      <c r="B353" s="104"/>
      <c r="C353" s="104"/>
      <c r="D353" s="104"/>
      <c r="E353" s="68"/>
      <c r="F353" s="68"/>
      <c r="G353" s="68"/>
      <c r="H353" s="68"/>
      <c r="I353" s="68"/>
      <c r="J353" s="68"/>
      <c r="K353" s="68"/>
      <c r="L353" s="68"/>
      <c r="M353" s="68"/>
      <c r="N353" s="68"/>
      <c r="O353" s="68"/>
      <c r="P353" s="68"/>
      <c r="Q353" s="68"/>
      <c r="R353" s="68"/>
      <c r="S353" s="68"/>
      <c r="T353" s="68"/>
      <c r="U353" s="68"/>
      <c r="V353" s="68"/>
      <c r="W353" s="68"/>
      <c r="X353" s="68"/>
      <c r="Y353" s="68"/>
      <c r="Z353" s="68"/>
    </row>
    <row r="354" spans="1:26" ht="17">
      <c r="A354" s="68"/>
      <c r="B354" s="104"/>
      <c r="C354" s="104"/>
      <c r="D354" s="104"/>
      <c r="E354" s="68"/>
      <c r="F354" s="68"/>
      <c r="G354" s="68"/>
      <c r="H354" s="68"/>
      <c r="I354" s="68"/>
      <c r="J354" s="68"/>
      <c r="K354" s="68"/>
      <c r="L354" s="68"/>
      <c r="M354" s="68"/>
      <c r="N354" s="68"/>
      <c r="O354" s="68"/>
      <c r="P354" s="68"/>
      <c r="Q354" s="68"/>
      <c r="R354" s="68"/>
      <c r="S354" s="68"/>
      <c r="T354" s="68"/>
      <c r="U354" s="68"/>
      <c r="V354" s="68"/>
      <c r="W354" s="68"/>
      <c r="X354" s="68"/>
      <c r="Y354" s="68"/>
      <c r="Z354" s="68"/>
    </row>
    <row r="355" spans="1:26" ht="17">
      <c r="A355" s="68"/>
      <c r="B355" s="104"/>
      <c r="C355" s="104"/>
      <c r="D355" s="104"/>
      <c r="E355" s="68"/>
      <c r="F355" s="68"/>
      <c r="G355" s="68"/>
      <c r="H355" s="68"/>
      <c r="I355" s="68"/>
      <c r="J355" s="68"/>
      <c r="K355" s="68"/>
      <c r="L355" s="68"/>
      <c r="M355" s="68"/>
      <c r="N355" s="68"/>
      <c r="O355" s="68"/>
      <c r="P355" s="68"/>
      <c r="Q355" s="68"/>
      <c r="R355" s="68"/>
      <c r="S355" s="68"/>
      <c r="T355" s="68"/>
      <c r="U355" s="68"/>
      <c r="V355" s="68"/>
      <c r="W355" s="68"/>
      <c r="X355" s="68"/>
      <c r="Y355" s="68"/>
      <c r="Z355" s="68"/>
    </row>
    <row r="356" spans="1:26" ht="17">
      <c r="A356" s="68"/>
      <c r="B356" s="104"/>
      <c r="C356" s="104"/>
      <c r="D356" s="104"/>
      <c r="E356" s="68"/>
      <c r="F356" s="68"/>
      <c r="G356" s="68"/>
      <c r="H356" s="68"/>
      <c r="I356" s="68"/>
      <c r="J356" s="68"/>
      <c r="K356" s="68"/>
      <c r="L356" s="68"/>
      <c r="M356" s="68"/>
      <c r="N356" s="68"/>
      <c r="O356" s="68"/>
      <c r="P356" s="68"/>
      <c r="Q356" s="68"/>
      <c r="R356" s="68"/>
      <c r="S356" s="68"/>
      <c r="T356" s="68"/>
      <c r="U356" s="68"/>
      <c r="V356" s="68"/>
      <c r="W356" s="68"/>
      <c r="X356" s="68"/>
      <c r="Y356" s="68"/>
      <c r="Z356" s="68"/>
    </row>
    <row r="357" spans="1:26" ht="17">
      <c r="A357" s="68"/>
      <c r="B357" s="104"/>
      <c r="C357" s="104"/>
      <c r="D357" s="104"/>
      <c r="E357" s="68"/>
      <c r="F357" s="68"/>
      <c r="G357" s="68"/>
      <c r="H357" s="68"/>
      <c r="I357" s="68"/>
      <c r="J357" s="68"/>
      <c r="K357" s="68"/>
      <c r="L357" s="68"/>
      <c r="M357" s="68"/>
      <c r="N357" s="68"/>
      <c r="O357" s="68"/>
      <c r="P357" s="68"/>
      <c r="Q357" s="68"/>
      <c r="R357" s="68"/>
      <c r="S357" s="68"/>
      <c r="T357" s="68"/>
      <c r="U357" s="68"/>
      <c r="V357" s="68"/>
      <c r="W357" s="68"/>
      <c r="X357" s="68"/>
      <c r="Y357" s="68"/>
      <c r="Z357" s="68"/>
    </row>
    <row r="358" spans="1:26" ht="17">
      <c r="A358" s="68"/>
      <c r="B358" s="104"/>
      <c r="C358" s="104"/>
      <c r="D358" s="104"/>
      <c r="E358" s="68"/>
      <c r="F358" s="68"/>
      <c r="G358" s="68"/>
      <c r="H358" s="68"/>
      <c r="I358" s="68"/>
      <c r="J358" s="68"/>
      <c r="K358" s="68"/>
      <c r="L358" s="68"/>
      <c r="M358" s="68"/>
      <c r="N358" s="68"/>
      <c r="O358" s="68"/>
      <c r="P358" s="68"/>
      <c r="Q358" s="68"/>
      <c r="R358" s="68"/>
      <c r="S358" s="68"/>
      <c r="T358" s="68"/>
      <c r="U358" s="68"/>
      <c r="V358" s="68"/>
      <c r="W358" s="68"/>
      <c r="X358" s="68"/>
      <c r="Y358" s="68"/>
      <c r="Z358" s="68"/>
    </row>
    <row r="359" spans="1:26" ht="17">
      <c r="A359" s="68"/>
      <c r="B359" s="104"/>
      <c r="C359" s="104"/>
      <c r="D359" s="104"/>
      <c r="E359" s="68"/>
      <c r="F359" s="68"/>
      <c r="G359" s="68"/>
      <c r="H359" s="68"/>
      <c r="I359" s="68"/>
      <c r="J359" s="68"/>
      <c r="K359" s="68"/>
      <c r="L359" s="68"/>
      <c r="M359" s="68"/>
      <c r="N359" s="68"/>
      <c r="O359" s="68"/>
      <c r="P359" s="68"/>
      <c r="Q359" s="68"/>
      <c r="R359" s="68"/>
      <c r="S359" s="68"/>
      <c r="T359" s="68"/>
      <c r="U359" s="68"/>
      <c r="V359" s="68"/>
      <c r="W359" s="68"/>
      <c r="X359" s="68"/>
      <c r="Y359" s="68"/>
      <c r="Z359" s="68"/>
    </row>
    <row r="360" spans="1:26" ht="17">
      <c r="A360" s="68"/>
      <c r="B360" s="104"/>
      <c r="C360" s="104"/>
      <c r="D360" s="104"/>
      <c r="E360" s="68"/>
      <c r="F360" s="68"/>
      <c r="G360" s="68"/>
      <c r="H360" s="68"/>
      <c r="I360" s="68"/>
      <c r="J360" s="68"/>
      <c r="K360" s="68"/>
      <c r="L360" s="68"/>
      <c r="M360" s="68"/>
      <c r="N360" s="68"/>
      <c r="O360" s="68"/>
      <c r="P360" s="68"/>
      <c r="Q360" s="68"/>
      <c r="R360" s="68"/>
      <c r="S360" s="68"/>
      <c r="T360" s="68"/>
      <c r="U360" s="68"/>
      <c r="V360" s="68"/>
      <c r="W360" s="68"/>
      <c r="X360" s="68"/>
      <c r="Y360" s="68"/>
      <c r="Z360" s="68"/>
    </row>
    <row r="361" spans="1:26" ht="17">
      <c r="A361" s="68"/>
      <c r="B361" s="104"/>
      <c r="C361" s="104"/>
      <c r="D361" s="104"/>
      <c r="E361" s="68"/>
      <c r="F361" s="68"/>
      <c r="G361" s="68"/>
      <c r="H361" s="68"/>
      <c r="I361" s="68"/>
      <c r="J361" s="68"/>
      <c r="K361" s="68"/>
      <c r="L361" s="68"/>
      <c r="M361" s="68"/>
      <c r="N361" s="68"/>
      <c r="O361" s="68"/>
      <c r="P361" s="68"/>
      <c r="Q361" s="68"/>
      <c r="R361" s="68"/>
      <c r="S361" s="68"/>
      <c r="T361" s="68"/>
      <c r="U361" s="68"/>
      <c r="V361" s="68"/>
      <c r="W361" s="68"/>
      <c r="X361" s="68"/>
      <c r="Y361" s="68"/>
      <c r="Z361" s="68"/>
    </row>
    <row r="362" spans="1:26" ht="17">
      <c r="A362" s="68"/>
      <c r="B362" s="104"/>
      <c r="C362" s="104"/>
      <c r="D362" s="104"/>
      <c r="E362" s="68"/>
      <c r="F362" s="68"/>
      <c r="G362" s="68"/>
      <c r="H362" s="68"/>
      <c r="I362" s="68"/>
      <c r="J362" s="68"/>
      <c r="K362" s="68"/>
      <c r="L362" s="68"/>
      <c r="M362" s="68"/>
      <c r="N362" s="68"/>
      <c r="O362" s="68"/>
      <c r="P362" s="68"/>
      <c r="Q362" s="68"/>
      <c r="R362" s="68"/>
      <c r="S362" s="68"/>
      <c r="T362" s="68"/>
      <c r="U362" s="68"/>
      <c r="V362" s="68"/>
      <c r="W362" s="68"/>
      <c r="X362" s="68"/>
      <c r="Y362" s="68"/>
      <c r="Z362" s="68"/>
    </row>
    <row r="363" spans="1:26" ht="17">
      <c r="A363" s="68"/>
      <c r="B363" s="104"/>
      <c r="C363" s="104"/>
      <c r="D363" s="104"/>
      <c r="E363" s="68"/>
      <c r="F363" s="68"/>
      <c r="G363" s="68"/>
      <c r="H363" s="68"/>
      <c r="I363" s="68"/>
      <c r="J363" s="68"/>
      <c r="K363" s="68"/>
      <c r="L363" s="68"/>
      <c r="M363" s="68"/>
      <c r="N363" s="68"/>
      <c r="O363" s="68"/>
      <c r="P363" s="68"/>
      <c r="Q363" s="68"/>
      <c r="R363" s="68"/>
      <c r="S363" s="68"/>
      <c r="T363" s="68"/>
      <c r="U363" s="68"/>
      <c r="V363" s="68"/>
      <c r="W363" s="68"/>
      <c r="X363" s="68"/>
      <c r="Y363" s="68"/>
      <c r="Z363" s="68"/>
    </row>
    <row r="364" spans="1:26" ht="17">
      <c r="A364" s="68"/>
      <c r="B364" s="104"/>
      <c r="C364" s="104"/>
      <c r="D364" s="104"/>
      <c r="E364" s="68"/>
      <c r="F364" s="68"/>
      <c r="G364" s="68"/>
      <c r="H364" s="68"/>
      <c r="I364" s="68"/>
      <c r="J364" s="68"/>
      <c r="K364" s="68"/>
      <c r="L364" s="68"/>
      <c r="M364" s="68"/>
      <c r="N364" s="68"/>
      <c r="O364" s="68"/>
      <c r="P364" s="68"/>
      <c r="Q364" s="68"/>
      <c r="R364" s="68"/>
      <c r="S364" s="68"/>
      <c r="T364" s="68"/>
      <c r="U364" s="68"/>
      <c r="V364" s="68"/>
      <c r="W364" s="68"/>
      <c r="X364" s="68"/>
      <c r="Y364" s="68"/>
      <c r="Z364" s="68"/>
    </row>
    <row r="365" spans="1:26" ht="17">
      <c r="A365" s="68"/>
      <c r="B365" s="104"/>
      <c r="C365" s="104"/>
      <c r="D365" s="104"/>
      <c r="E365" s="68"/>
      <c r="F365" s="68"/>
      <c r="G365" s="68"/>
      <c r="H365" s="68"/>
      <c r="I365" s="68"/>
      <c r="J365" s="68"/>
      <c r="K365" s="68"/>
      <c r="L365" s="68"/>
      <c r="M365" s="68"/>
      <c r="N365" s="68"/>
      <c r="O365" s="68"/>
      <c r="P365" s="68"/>
      <c r="Q365" s="68"/>
      <c r="R365" s="68"/>
      <c r="S365" s="68"/>
      <c r="T365" s="68"/>
      <c r="U365" s="68"/>
      <c r="V365" s="68"/>
      <c r="W365" s="68"/>
      <c r="X365" s="68"/>
      <c r="Y365" s="68"/>
      <c r="Z365" s="68"/>
    </row>
    <row r="366" spans="1:26" ht="17">
      <c r="A366" s="68"/>
      <c r="B366" s="104"/>
      <c r="C366" s="104"/>
      <c r="D366" s="104"/>
      <c r="E366" s="68"/>
      <c r="F366" s="68"/>
      <c r="G366" s="68"/>
      <c r="H366" s="68"/>
      <c r="I366" s="68"/>
      <c r="J366" s="68"/>
      <c r="K366" s="68"/>
      <c r="L366" s="68"/>
      <c r="M366" s="68"/>
      <c r="N366" s="68"/>
      <c r="O366" s="68"/>
      <c r="P366" s="68"/>
      <c r="Q366" s="68"/>
      <c r="R366" s="68"/>
      <c r="S366" s="68"/>
      <c r="T366" s="68"/>
      <c r="U366" s="68"/>
      <c r="V366" s="68"/>
      <c r="W366" s="68"/>
      <c r="X366" s="68"/>
      <c r="Y366" s="68"/>
      <c r="Z366" s="68"/>
    </row>
    <row r="367" spans="1:26" ht="17">
      <c r="A367" s="68"/>
      <c r="B367" s="104"/>
      <c r="C367" s="104"/>
      <c r="D367" s="104"/>
      <c r="E367" s="68"/>
      <c r="F367" s="68"/>
      <c r="G367" s="68"/>
      <c r="H367" s="68"/>
      <c r="I367" s="68"/>
      <c r="J367" s="68"/>
      <c r="K367" s="68"/>
      <c r="L367" s="68"/>
      <c r="M367" s="68"/>
      <c r="N367" s="68"/>
      <c r="O367" s="68"/>
      <c r="P367" s="68"/>
      <c r="Q367" s="68"/>
      <c r="R367" s="68"/>
      <c r="S367" s="68"/>
      <c r="T367" s="68"/>
      <c r="U367" s="68"/>
      <c r="V367" s="68"/>
      <c r="W367" s="68"/>
      <c r="X367" s="68"/>
      <c r="Y367" s="68"/>
      <c r="Z367" s="68"/>
    </row>
    <row r="368" spans="1:26" ht="17">
      <c r="A368" s="68"/>
      <c r="B368" s="104"/>
      <c r="C368" s="104"/>
      <c r="D368" s="104"/>
      <c r="E368" s="68"/>
      <c r="F368" s="68"/>
      <c r="G368" s="68"/>
      <c r="H368" s="68"/>
      <c r="I368" s="68"/>
      <c r="J368" s="68"/>
      <c r="K368" s="68"/>
      <c r="L368" s="68"/>
      <c r="M368" s="68"/>
      <c r="N368" s="68"/>
      <c r="O368" s="68"/>
      <c r="P368" s="68"/>
      <c r="Q368" s="68"/>
      <c r="R368" s="68"/>
      <c r="S368" s="68"/>
      <c r="T368" s="68"/>
      <c r="U368" s="68"/>
      <c r="V368" s="68"/>
      <c r="W368" s="68"/>
      <c r="X368" s="68"/>
      <c r="Y368" s="68"/>
      <c r="Z368" s="68"/>
    </row>
    <row r="369" spans="1:26" ht="17">
      <c r="A369" s="68"/>
      <c r="B369" s="104"/>
      <c r="C369" s="104"/>
      <c r="D369" s="104"/>
      <c r="E369" s="68"/>
      <c r="F369" s="68"/>
      <c r="G369" s="68"/>
      <c r="H369" s="68"/>
      <c r="I369" s="68"/>
      <c r="J369" s="68"/>
      <c r="K369" s="68"/>
      <c r="L369" s="68"/>
      <c r="M369" s="68"/>
      <c r="N369" s="68"/>
      <c r="O369" s="68"/>
      <c r="P369" s="68"/>
      <c r="Q369" s="68"/>
      <c r="R369" s="68"/>
      <c r="S369" s="68"/>
      <c r="T369" s="68"/>
      <c r="U369" s="68"/>
      <c r="V369" s="68"/>
      <c r="W369" s="68"/>
      <c r="X369" s="68"/>
      <c r="Y369" s="68"/>
      <c r="Z369" s="68"/>
    </row>
    <row r="370" spans="1:26" ht="17">
      <c r="A370" s="68"/>
      <c r="B370" s="104"/>
      <c r="C370" s="104"/>
      <c r="D370" s="104"/>
      <c r="E370" s="68"/>
      <c r="F370" s="68"/>
      <c r="G370" s="68"/>
      <c r="H370" s="68"/>
      <c r="I370" s="68"/>
      <c r="J370" s="68"/>
      <c r="K370" s="68"/>
      <c r="L370" s="68"/>
      <c r="M370" s="68"/>
      <c r="N370" s="68"/>
      <c r="O370" s="68"/>
      <c r="P370" s="68"/>
      <c r="Q370" s="68"/>
      <c r="R370" s="68"/>
      <c r="S370" s="68"/>
      <c r="T370" s="68"/>
      <c r="U370" s="68"/>
      <c r="V370" s="68"/>
      <c r="W370" s="68"/>
      <c r="X370" s="68"/>
      <c r="Y370" s="68"/>
      <c r="Z370" s="68"/>
    </row>
    <row r="371" spans="1:26" ht="17">
      <c r="A371" s="68"/>
      <c r="B371" s="104"/>
      <c r="C371" s="104"/>
      <c r="D371" s="104"/>
      <c r="E371" s="68"/>
      <c r="F371" s="68"/>
      <c r="G371" s="68"/>
      <c r="H371" s="68"/>
      <c r="I371" s="68"/>
      <c r="J371" s="68"/>
      <c r="K371" s="68"/>
      <c r="L371" s="68"/>
      <c r="M371" s="68"/>
      <c r="N371" s="68"/>
      <c r="O371" s="68"/>
      <c r="P371" s="68"/>
      <c r="Q371" s="68"/>
      <c r="R371" s="68"/>
      <c r="S371" s="68"/>
      <c r="T371" s="68"/>
      <c r="U371" s="68"/>
      <c r="V371" s="68"/>
      <c r="W371" s="68"/>
      <c r="X371" s="68"/>
      <c r="Y371" s="68"/>
      <c r="Z371" s="68"/>
    </row>
    <row r="372" spans="1:26" ht="17">
      <c r="A372" s="68"/>
      <c r="B372" s="104"/>
      <c r="C372" s="104"/>
      <c r="D372" s="104"/>
      <c r="E372" s="68"/>
      <c r="F372" s="68"/>
      <c r="G372" s="68"/>
      <c r="H372" s="68"/>
      <c r="I372" s="68"/>
      <c r="J372" s="68"/>
      <c r="K372" s="68"/>
      <c r="L372" s="68"/>
      <c r="M372" s="68"/>
      <c r="N372" s="68"/>
      <c r="O372" s="68"/>
      <c r="P372" s="68"/>
      <c r="Q372" s="68"/>
      <c r="R372" s="68"/>
      <c r="S372" s="68"/>
      <c r="T372" s="68"/>
      <c r="U372" s="68"/>
      <c r="V372" s="68"/>
      <c r="W372" s="68"/>
      <c r="X372" s="68"/>
      <c r="Y372" s="68"/>
      <c r="Z372" s="68"/>
    </row>
    <row r="373" spans="1:26" ht="17">
      <c r="A373" s="68"/>
      <c r="B373" s="104"/>
      <c r="C373" s="104"/>
      <c r="D373" s="104"/>
      <c r="E373" s="68"/>
      <c r="F373" s="68"/>
      <c r="G373" s="68"/>
      <c r="H373" s="68"/>
      <c r="I373" s="68"/>
      <c r="J373" s="68"/>
      <c r="K373" s="68"/>
      <c r="L373" s="68"/>
      <c r="M373" s="68"/>
      <c r="N373" s="68"/>
      <c r="O373" s="68"/>
      <c r="P373" s="68"/>
      <c r="Q373" s="68"/>
      <c r="R373" s="68"/>
      <c r="S373" s="68"/>
      <c r="T373" s="68"/>
      <c r="U373" s="68"/>
      <c r="V373" s="68"/>
      <c r="W373" s="68"/>
      <c r="X373" s="68"/>
      <c r="Y373" s="68"/>
      <c r="Z373" s="68"/>
    </row>
    <row r="374" spans="1:26" ht="17">
      <c r="A374" s="68"/>
      <c r="B374" s="104"/>
      <c r="C374" s="104"/>
      <c r="D374" s="104"/>
      <c r="E374" s="68"/>
      <c r="F374" s="68"/>
      <c r="G374" s="68"/>
      <c r="H374" s="68"/>
      <c r="I374" s="68"/>
      <c r="J374" s="68"/>
      <c r="K374" s="68"/>
      <c r="L374" s="68"/>
      <c r="M374" s="68"/>
      <c r="N374" s="68"/>
      <c r="O374" s="68"/>
      <c r="P374" s="68"/>
      <c r="Q374" s="68"/>
      <c r="R374" s="68"/>
      <c r="S374" s="68"/>
      <c r="T374" s="68"/>
      <c r="U374" s="68"/>
      <c r="V374" s="68"/>
      <c r="W374" s="68"/>
      <c r="X374" s="68"/>
      <c r="Y374" s="68"/>
      <c r="Z374" s="68"/>
    </row>
    <row r="375" spans="1:26" ht="17">
      <c r="A375" s="68"/>
      <c r="B375" s="104"/>
      <c r="C375" s="104"/>
      <c r="D375" s="104"/>
      <c r="E375" s="68"/>
      <c r="F375" s="68"/>
      <c r="G375" s="68"/>
      <c r="H375" s="68"/>
      <c r="I375" s="68"/>
      <c r="J375" s="68"/>
      <c r="K375" s="68"/>
      <c r="L375" s="68"/>
      <c r="M375" s="68"/>
      <c r="N375" s="68"/>
      <c r="O375" s="68"/>
      <c r="P375" s="68"/>
      <c r="Q375" s="68"/>
      <c r="R375" s="68"/>
      <c r="S375" s="68"/>
      <c r="T375" s="68"/>
      <c r="U375" s="68"/>
      <c r="V375" s="68"/>
      <c r="W375" s="68"/>
      <c r="X375" s="68"/>
      <c r="Y375" s="68"/>
      <c r="Z375" s="68"/>
    </row>
    <row r="376" spans="1:26" ht="17">
      <c r="A376" s="68"/>
      <c r="B376" s="104"/>
      <c r="C376" s="104"/>
      <c r="D376" s="104"/>
      <c r="E376" s="68"/>
      <c r="F376" s="68"/>
      <c r="G376" s="68"/>
      <c r="H376" s="68"/>
      <c r="I376" s="68"/>
      <c r="J376" s="68"/>
      <c r="K376" s="68"/>
      <c r="L376" s="68"/>
      <c r="M376" s="68"/>
      <c r="N376" s="68"/>
      <c r="O376" s="68"/>
      <c r="P376" s="68"/>
      <c r="Q376" s="68"/>
      <c r="R376" s="68"/>
      <c r="S376" s="68"/>
      <c r="T376" s="68"/>
      <c r="U376" s="68"/>
      <c r="V376" s="68"/>
      <c r="W376" s="68"/>
      <c r="X376" s="68"/>
      <c r="Y376" s="68"/>
      <c r="Z376" s="68"/>
    </row>
    <row r="377" spans="1:26" ht="17">
      <c r="A377" s="68"/>
      <c r="B377" s="104"/>
      <c r="C377" s="104"/>
      <c r="D377" s="104"/>
      <c r="E377" s="68"/>
      <c r="F377" s="68"/>
      <c r="G377" s="68"/>
      <c r="H377" s="68"/>
      <c r="I377" s="68"/>
      <c r="J377" s="68"/>
      <c r="K377" s="68"/>
      <c r="L377" s="68"/>
      <c r="M377" s="68"/>
      <c r="N377" s="68"/>
      <c r="O377" s="68"/>
      <c r="P377" s="68"/>
      <c r="Q377" s="68"/>
      <c r="R377" s="68"/>
      <c r="S377" s="68"/>
      <c r="T377" s="68"/>
      <c r="U377" s="68"/>
      <c r="V377" s="68"/>
      <c r="W377" s="68"/>
      <c r="X377" s="68"/>
      <c r="Y377" s="68"/>
      <c r="Z377" s="68"/>
    </row>
    <row r="378" spans="1:26" ht="17">
      <c r="A378" s="68"/>
      <c r="B378" s="104"/>
      <c r="C378" s="104"/>
      <c r="D378" s="104"/>
      <c r="E378" s="68"/>
      <c r="F378" s="68"/>
      <c r="G378" s="68"/>
      <c r="H378" s="68"/>
      <c r="I378" s="68"/>
      <c r="J378" s="68"/>
      <c r="K378" s="68"/>
      <c r="L378" s="68"/>
      <c r="M378" s="68"/>
      <c r="N378" s="68"/>
      <c r="O378" s="68"/>
      <c r="P378" s="68"/>
      <c r="Q378" s="68"/>
      <c r="R378" s="68"/>
      <c r="S378" s="68"/>
      <c r="T378" s="68"/>
      <c r="U378" s="68"/>
      <c r="V378" s="68"/>
      <c r="W378" s="68"/>
      <c r="X378" s="68"/>
      <c r="Y378" s="68"/>
      <c r="Z378" s="68"/>
    </row>
    <row r="379" spans="1:26" ht="17">
      <c r="A379" s="68"/>
      <c r="B379" s="104"/>
      <c r="C379" s="104"/>
      <c r="D379" s="104"/>
      <c r="E379" s="68"/>
      <c r="F379" s="68"/>
      <c r="G379" s="68"/>
      <c r="H379" s="68"/>
      <c r="I379" s="68"/>
      <c r="J379" s="68"/>
      <c r="K379" s="68"/>
      <c r="L379" s="68"/>
      <c r="M379" s="68"/>
      <c r="N379" s="68"/>
      <c r="O379" s="68"/>
      <c r="P379" s="68"/>
      <c r="Q379" s="68"/>
      <c r="R379" s="68"/>
      <c r="S379" s="68"/>
      <c r="T379" s="68"/>
      <c r="U379" s="68"/>
      <c r="V379" s="68"/>
      <c r="W379" s="68"/>
      <c r="X379" s="68"/>
      <c r="Y379" s="68"/>
      <c r="Z379" s="68"/>
    </row>
    <row r="380" spans="1:26" ht="17">
      <c r="A380" s="68"/>
      <c r="B380" s="104"/>
      <c r="C380" s="104"/>
      <c r="D380" s="104"/>
      <c r="E380" s="68"/>
      <c r="F380" s="68"/>
      <c r="G380" s="68"/>
      <c r="H380" s="68"/>
      <c r="I380" s="68"/>
      <c r="J380" s="68"/>
      <c r="K380" s="68"/>
      <c r="L380" s="68"/>
      <c r="M380" s="68"/>
      <c r="N380" s="68"/>
      <c r="O380" s="68"/>
      <c r="P380" s="68"/>
      <c r="Q380" s="68"/>
      <c r="R380" s="68"/>
      <c r="S380" s="68"/>
      <c r="T380" s="68"/>
      <c r="U380" s="68"/>
      <c r="V380" s="68"/>
      <c r="W380" s="68"/>
      <c r="X380" s="68"/>
      <c r="Y380" s="68"/>
      <c r="Z380" s="68"/>
    </row>
    <row r="381" spans="1:26" ht="17">
      <c r="A381" s="68"/>
      <c r="B381" s="104"/>
      <c r="C381" s="104"/>
      <c r="D381" s="104"/>
      <c r="E381" s="68"/>
      <c r="F381" s="68"/>
      <c r="G381" s="68"/>
      <c r="H381" s="68"/>
      <c r="I381" s="68"/>
      <c r="J381" s="68"/>
      <c r="K381" s="68"/>
      <c r="L381" s="68"/>
      <c r="M381" s="68"/>
      <c r="N381" s="68"/>
      <c r="O381" s="68"/>
      <c r="P381" s="68"/>
      <c r="Q381" s="68"/>
      <c r="R381" s="68"/>
      <c r="S381" s="68"/>
      <c r="T381" s="68"/>
      <c r="U381" s="68"/>
      <c r="V381" s="68"/>
      <c r="W381" s="68"/>
      <c r="X381" s="68"/>
      <c r="Y381" s="68"/>
      <c r="Z381" s="68"/>
    </row>
    <row r="382" spans="1:26" ht="17">
      <c r="A382" s="68"/>
      <c r="B382" s="104"/>
      <c r="C382" s="104"/>
      <c r="D382" s="104"/>
      <c r="E382" s="68"/>
      <c r="F382" s="68"/>
      <c r="G382" s="68"/>
      <c r="H382" s="68"/>
      <c r="I382" s="68"/>
      <c r="J382" s="68"/>
      <c r="K382" s="68"/>
      <c r="L382" s="68"/>
      <c r="M382" s="68"/>
      <c r="N382" s="68"/>
      <c r="O382" s="68"/>
      <c r="P382" s="68"/>
      <c r="Q382" s="68"/>
      <c r="R382" s="68"/>
      <c r="S382" s="68"/>
      <c r="T382" s="68"/>
      <c r="U382" s="68"/>
      <c r="V382" s="68"/>
      <c r="W382" s="68"/>
      <c r="X382" s="68"/>
      <c r="Y382" s="68"/>
      <c r="Z382" s="68"/>
    </row>
    <row r="383" spans="1:26" ht="17">
      <c r="A383" s="68"/>
      <c r="B383" s="104"/>
      <c r="C383" s="104"/>
      <c r="D383" s="104"/>
      <c r="E383" s="68"/>
      <c r="F383" s="68"/>
      <c r="G383" s="68"/>
      <c r="H383" s="68"/>
      <c r="I383" s="68"/>
      <c r="J383" s="68"/>
      <c r="K383" s="68"/>
      <c r="L383" s="68"/>
      <c r="M383" s="68"/>
      <c r="N383" s="68"/>
      <c r="O383" s="68"/>
      <c r="P383" s="68"/>
      <c r="Q383" s="68"/>
      <c r="R383" s="68"/>
      <c r="S383" s="68"/>
      <c r="T383" s="68"/>
      <c r="U383" s="68"/>
      <c r="V383" s="68"/>
      <c r="W383" s="68"/>
      <c r="X383" s="68"/>
      <c r="Y383" s="68"/>
      <c r="Z383" s="68"/>
    </row>
    <row r="384" spans="1:26" ht="17">
      <c r="A384" s="68"/>
      <c r="B384" s="104"/>
      <c r="C384" s="104"/>
      <c r="D384" s="104"/>
      <c r="E384" s="68"/>
      <c r="F384" s="68"/>
      <c r="G384" s="68"/>
      <c r="H384" s="68"/>
      <c r="I384" s="68"/>
      <c r="J384" s="68"/>
      <c r="K384" s="68"/>
      <c r="L384" s="68"/>
      <c r="M384" s="68"/>
      <c r="N384" s="68"/>
      <c r="O384" s="68"/>
      <c r="P384" s="68"/>
      <c r="Q384" s="68"/>
      <c r="R384" s="68"/>
      <c r="S384" s="68"/>
      <c r="T384" s="68"/>
      <c r="U384" s="68"/>
      <c r="V384" s="68"/>
      <c r="W384" s="68"/>
      <c r="X384" s="68"/>
      <c r="Y384" s="68"/>
      <c r="Z384" s="68"/>
    </row>
    <row r="385" spans="1:26" ht="17">
      <c r="A385" s="68"/>
      <c r="B385" s="104"/>
      <c r="C385" s="104"/>
      <c r="D385" s="104"/>
      <c r="E385" s="68"/>
      <c r="F385" s="68"/>
      <c r="G385" s="68"/>
      <c r="H385" s="68"/>
      <c r="I385" s="68"/>
      <c r="J385" s="68"/>
      <c r="K385" s="68"/>
      <c r="L385" s="68"/>
      <c r="M385" s="68"/>
      <c r="N385" s="68"/>
      <c r="O385" s="68"/>
      <c r="P385" s="68"/>
      <c r="Q385" s="68"/>
      <c r="R385" s="68"/>
      <c r="S385" s="68"/>
      <c r="T385" s="68"/>
      <c r="U385" s="68"/>
      <c r="V385" s="68"/>
      <c r="W385" s="68"/>
      <c r="X385" s="68"/>
      <c r="Y385" s="68"/>
      <c r="Z385" s="68"/>
    </row>
    <row r="386" spans="1:26" ht="17">
      <c r="A386" s="68"/>
      <c r="B386" s="104"/>
      <c r="C386" s="104"/>
      <c r="D386" s="104"/>
      <c r="E386" s="68"/>
      <c r="F386" s="68"/>
      <c r="G386" s="68"/>
      <c r="H386" s="68"/>
      <c r="I386" s="68"/>
      <c r="J386" s="68"/>
      <c r="K386" s="68"/>
      <c r="L386" s="68"/>
      <c r="M386" s="68"/>
      <c r="N386" s="68"/>
      <c r="O386" s="68"/>
      <c r="P386" s="68"/>
      <c r="Q386" s="68"/>
      <c r="R386" s="68"/>
      <c r="S386" s="68"/>
      <c r="T386" s="68"/>
      <c r="U386" s="68"/>
      <c r="V386" s="68"/>
      <c r="W386" s="68"/>
      <c r="X386" s="68"/>
      <c r="Y386" s="68"/>
      <c r="Z386" s="68"/>
    </row>
    <row r="387" spans="1:26" ht="17">
      <c r="A387" s="68"/>
      <c r="B387" s="104"/>
      <c r="C387" s="104"/>
      <c r="D387" s="104"/>
      <c r="E387" s="68"/>
      <c r="F387" s="68"/>
      <c r="G387" s="68"/>
      <c r="H387" s="68"/>
      <c r="I387" s="68"/>
      <c r="J387" s="68"/>
      <c r="K387" s="68"/>
      <c r="L387" s="68"/>
      <c r="M387" s="68"/>
      <c r="N387" s="68"/>
      <c r="O387" s="68"/>
      <c r="P387" s="68"/>
      <c r="Q387" s="68"/>
      <c r="R387" s="68"/>
      <c r="S387" s="68"/>
      <c r="T387" s="68"/>
      <c r="U387" s="68"/>
      <c r="V387" s="68"/>
      <c r="W387" s="68"/>
      <c r="X387" s="68"/>
      <c r="Y387" s="68"/>
      <c r="Z387" s="68"/>
    </row>
    <row r="388" spans="1:26" ht="17">
      <c r="A388" s="68"/>
      <c r="B388" s="104"/>
      <c r="C388" s="104"/>
      <c r="D388" s="104"/>
      <c r="E388" s="68"/>
      <c r="F388" s="68"/>
      <c r="G388" s="68"/>
      <c r="H388" s="68"/>
      <c r="I388" s="68"/>
      <c r="J388" s="68"/>
      <c r="K388" s="68"/>
      <c r="L388" s="68"/>
      <c r="M388" s="68"/>
      <c r="N388" s="68"/>
      <c r="O388" s="68"/>
      <c r="P388" s="68"/>
      <c r="Q388" s="68"/>
      <c r="R388" s="68"/>
      <c r="S388" s="68"/>
      <c r="T388" s="68"/>
      <c r="U388" s="68"/>
      <c r="V388" s="68"/>
      <c r="W388" s="68"/>
      <c r="X388" s="68"/>
      <c r="Y388" s="68"/>
      <c r="Z388" s="68"/>
    </row>
    <row r="389" spans="1:26" ht="17">
      <c r="A389" s="68"/>
      <c r="B389" s="104"/>
      <c r="C389" s="104"/>
      <c r="D389" s="104"/>
      <c r="E389" s="68"/>
      <c r="F389" s="68"/>
      <c r="G389" s="68"/>
      <c r="H389" s="68"/>
      <c r="I389" s="68"/>
      <c r="J389" s="68"/>
      <c r="K389" s="68"/>
      <c r="L389" s="68"/>
      <c r="M389" s="68"/>
      <c r="N389" s="68"/>
      <c r="O389" s="68"/>
      <c r="P389" s="68"/>
      <c r="Q389" s="68"/>
      <c r="R389" s="68"/>
      <c r="S389" s="68"/>
      <c r="T389" s="68"/>
      <c r="U389" s="68"/>
      <c r="V389" s="68"/>
      <c r="W389" s="68"/>
      <c r="X389" s="68"/>
      <c r="Y389" s="68"/>
      <c r="Z389" s="68"/>
    </row>
    <row r="390" spans="1:26" ht="17">
      <c r="A390" s="68"/>
      <c r="B390" s="104"/>
      <c r="C390" s="104"/>
      <c r="D390" s="104"/>
      <c r="E390" s="68"/>
      <c r="F390" s="68"/>
      <c r="G390" s="68"/>
      <c r="H390" s="68"/>
      <c r="I390" s="68"/>
      <c r="J390" s="68"/>
      <c r="K390" s="68"/>
      <c r="L390" s="68"/>
      <c r="M390" s="68"/>
      <c r="N390" s="68"/>
      <c r="O390" s="68"/>
      <c r="P390" s="68"/>
      <c r="Q390" s="68"/>
      <c r="R390" s="68"/>
      <c r="S390" s="68"/>
      <c r="T390" s="68"/>
      <c r="U390" s="68"/>
      <c r="V390" s="68"/>
      <c r="W390" s="68"/>
      <c r="X390" s="68"/>
      <c r="Y390" s="68"/>
      <c r="Z390" s="68"/>
    </row>
    <row r="391" spans="1:26" ht="17">
      <c r="A391" s="68"/>
      <c r="B391" s="104"/>
      <c r="C391" s="104"/>
      <c r="D391" s="104"/>
      <c r="E391" s="68"/>
      <c r="F391" s="68"/>
      <c r="G391" s="68"/>
      <c r="H391" s="68"/>
      <c r="I391" s="68"/>
      <c r="J391" s="68"/>
      <c r="K391" s="68"/>
      <c r="L391" s="68"/>
      <c r="M391" s="68"/>
      <c r="N391" s="68"/>
      <c r="O391" s="68"/>
      <c r="P391" s="68"/>
      <c r="Q391" s="68"/>
      <c r="R391" s="68"/>
      <c r="S391" s="68"/>
      <c r="T391" s="68"/>
      <c r="U391" s="68"/>
      <c r="V391" s="68"/>
      <c r="W391" s="68"/>
      <c r="X391" s="68"/>
      <c r="Y391" s="68"/>
      <c r="Z391" s="68"/>
    </row>
    <row r="392" spans="1:26" ht="17">
      <c r="A392" s="68"/>
      <c r="B392" s="104"/>
      <c r="C392" s="104"/>
      <c r="D392" s="104"/>
      <c r="E392" s="68"/>
      <c r="F392" s="68"/>
      <c r="G392" s="68"/>
      <c r="H392" s="68"/>
      <c r="I392" s="68"/>
      <c r="J392" s="68"/>
      <c r="K392" s="68"/>
      <c r="L392" s="68"/>
      <c r="M392" s="68"/>
      <c r="N392" s="68"/>
      <c r="O392" s="68"/>
      <c r="P392" s="68"/>
      <c r="Q392" s="68"/>
      <c r="R392" s="68"/>
      <c r="S392" s="68"/>
      <c r="T392" s="68"/>
      <c r="U392" s="68"/>
      <c r="V392" s="68"/>
      <c r="W392" s="68"/>
      <c r="X392" s="68"/>
      <c r="Y392" s="68"/>
      <c r="Z392" s="68"/>
    </row>
    <row r="393" spans="1:26" ht="17">
      <c r="A393" s="68"/>
      <c r="B393" s="104"/>
      <c r="C393" s="104"/>
      <c r="D393" s="104"/>
      <c r="E393" s="68"/>
      <c r="F393" s="68"/>
      <c r="G393" s="68"/>
      <c r="H393" s="68"/>
      <c r="I393" s="68"/>
      <c r="J393" s="68"/>
      <c r="K393" s="68"/>
      <c r="L393" s="68"/>
      <c r="M393" s="68"/>
      <c r="N393" s="68"/>
      <c r="O393" s="68"/>
      <c r="P393" s="68"/>
      <c r="Q393" s="68"/>
      <c r="R393" s="68"/>
      <c r="S393" s="68"/>
      <c r="T393" s="68"/>
      <c r="U393" s="68"/>
      <c r="V393" s="68"/>
      <c r="W393" s="68"/>
      <c r="X393" s="68"/>
      <c r="Y393" s="68"/>
      <c r="Z393" s="68"/>
    </row>
    <row r="394" spans="1:26" ht="17">
      <c r="A394" s="68"/>
      <c r="B394" s="104"/>
      <c r="C394" s="104"/>
      <c r="D394" s="104"/>
      <c r="E394" s="68"/>
      <c r="F394" s="68"/>
      <c r="G394" s="68"/>
      <c r="H394" s="68"/>
      <c r="I394" s="68"/>
      <c r="J394" s="68"/>
      <c r="K394" s="68"/>
      <c r="L394" s="68"/>
      <c r="M394" s="68"/>
      <c r="N394" s="68"/>
      <c r="O394" s="68"/>
      <c r="P394" s="68"/>
      <c r="Q394" s="68"/>
      <c r="R394" s="68"/>
      <c r="S394" s="68"/>
      <c r="T394" s="68"/>
      <c r="U394" s="68"/>
      <c r="V394" s="68"/>
      <c r="W394" s="68"/>
      <c r="X394" s="68"/>
      <c r="Y394" s="68"/>
      <c r="Z394" s="68"/>
    </row>
    <row r="395" spans="1:26" ht="17">
      <c r="A395" s="68"/>
      <c r="B395" s="104"/>
      <c r="C395" s="104"/>
      <c r="D395" s="104"/>
      <c r="E395" s="68"/>
      <c r="F395" s="68"/>
      <c r="G395" s="68"/>
      <c r="H395" s="68"/>
      <c r="I395" s="68"/>
      <c r="J395" s="68"/>
      <c r="K395" s="68"/>
      <c r="L395" s="68"/>
      <c r="M395" s="68"/>
      <c r="N395" s="68"/>
      <c r="O395" s="68"/>
      <c r="P395" s="68"/>
      <c r="Q395" s="68"/>
      <c r="R395" s="68"/>
      <c r="S395" s="68"/>
      <c r="T395" s="68"/>
      <c r="U395" s="68"/>
      <c r="V395" s="68"/>
      <c r="W395" s="68"/>
      <c r="X395" s="68"/>
      <c r="Y395" s="68"/>
      <c r="Z395" s="68"/>
    </row>
    <row r="396" spans="1:26" ht="17">
      <c r="A396" s="68"/>
      <c r="B396" s="104"/>
      <c r="C396" s="104"/>
      <c r="D396" s="104"/>
      <c r="E396" s="68"/>
      <c r="F396" s="68"/>
      <c r="G396" s="68"/>
      <c r="H396" s="68"/>
      <c r="I396" s="68"/>
      <c r="J396" s="68"/>
      <c r="K396" s="68"/>
      <c r="L396" s="68"/>
      <c r="M396" s="68"/>
      <c r="N396" s="68"/>
      <c r="O396" s="68"/>
      <c r="P396" s="68"/>
      <c r="Q396" s="68"/>
      <c r="R396" s="68"/>
      <c r="S396" s="68"/>
      <c r="T396" s="68"/>
      <c r="U396" s="68"/>
      <c r="V396" s="68"/>
      <c r="W396" s="68"/>
      <c r="X396" s="68"/>
      <c r="Y396" s="68"/>
      <c r="Z396" s="68"/>
    </row>
    <row r="397" spans="1:26" ht="17">
      <c r="A397" s="68"/>
      <c r="B397" s="104"/>
      <c r="C397" s="104"/>
      <c r="D397" s="104"/>
      <c r="E397" s="68"/>
      <c r="F397" s="68"/>
      <c r="G397" s="68"/>
      <c r="H397" s="68"/>
      <c r="I397" s="68"/>
      <c r="J397" s="68"/>
      <c r="K397" s="68"/>
      <c r="L397" s="68"/>
      <c r="M397" s="68"/>
      <c r="N397" s="68"/>
      <c r="O397" s="68"/>
      <c r="P397" s="68"/>
      <c r="Q397" s="68"/>
      <c r="R397" s="68"/>
      <c r="S397" s="68"/>
      <c r="T397" s="68"/>
      <c r="U397" s="68"/>
      <c r="V397" s="68"/>
      <c r="W397" s="68"/>
      <c r="X397" s="68"/>
      <c r="Y397" s="68"/>
      <c r="Z397" s="68"/>
    </row>
    <row r="398" spans="1:26" ht="17">
      <c r="A398" s="68"/>
      <c r="B398" s="104"/>
      <c r="C398" s="104"/>
      <c r="D398" s="104"/>
      <c r="E398" s="68"/>
      <c r="F398" s="68"/>
      <c r="G398" s="68"/>
      <c r="H398" s="68"/>
      <c r="I398" s="68"/>
      <c r="J398" s="68"/>
      <c r="K398" s="68"/>
      <c r="L398" s="68"/>
      <c r="M398" s="68"/>
      <c r="N398" s="68"/>
      <c r="O398" s="68"/>
      <c r="P398" s="68"/>
      <c r="Q398" s="68"/>
      <c r="R398" s="68"/>
      <c r="S398" s="68"/>
      <c r="T398" s="68"/>
      <c r="U398" s="68"/>
      <c r="V398" s="68"/>
      <c r="W398" s="68"/>
      <c r="X398" s="68"/>
      <c r="Y398" s="68"/>
      <c r="Z398" s="68"/>
    </row>
    <row r="399" spans="1:26" ht="17">
      <c r="A399" s="68"/>
      <c r="B399" s="104"/>
      <c r="C399" s="104"/>
      <c r="D399" s="104"/>
      <c r="E399" s="68"/>
      <c r="F399" s="68"/>
      <c r="G399" s="68"/>
      <c r="H399" s="68"/>
      <c r="I399" s="68"/>
      <c r="J399" s="68"/>
      <c r="K399" s="68"/>
      <c r="L399" s="68"/>
      <c r="M399" s="68"/>
      <c r="N399" s="68"/>
      <c r="O399" s="68"/>
      <c r="P399" s="68"/>
      <c r="Q399" s="68"/>
      <c r="R399" s="68"/>
      <c r="S399" s="68"/>
      <c r="T399" s="68"/>
      <c r="U399" s="68"/>
      <c r="V399" s="68"/>
      <c r="W399" s="68"/>
      <c r="X399" s="68"/>
      <c r="Y399" s="68"/>
      <c r="Z399" s="68"/>
    </row>
    <row r="400" spans="1:26" ht="17">
      <c r="A400" s="68"/>
      <c r="B400" s="104"/>
      <c r="C400" s="104"/>
      <c r="D400" s="104"/>
      <c r="E400" s="68"/>
      <c r="F400" s="68"/>
      <c r="G400" s="68"/>
      <c r="H400" s="68"/>
      <c r="I400" s="68"/>
      <c r="J400" s="68"/>
      <c r="K400" s="68"/>
      <c r="L400" s="68"/>
      <c r="M400" s="68"/>
      <c r="N400" s="68"/>
      <c r="O400" s="68"/>
      <c r="P400" s="68"/>
      <c r="Q400" s="68"/>
      <c r="R400" s="68"/>
      <c r="S400" s="68"/>
      <c r="T400" s="68"/>
      <c r="U400" s="68"/>
      <c r="V400" s="68"/>
      <c r="W400" s="68"/>
      <c r="X400" s="68"/>
      <c r="Y400" s="68"/>
      <c r="Z400" s="68"/>
    </row>
    <row r="401" spans="1:26" ht="17">
      <c r="A401" s="68"/>
      <c r="B401" s="104"/>
      <c r="C401" s="104"/>
      <c r="D401" s="104"/>
      <c r="E401" s="68"/>
      <c r="F401" s="68"/>
      <c r="G401" s="68"/>
      <c r="H401" s="68"/>
      <c r="I401" s="68"/>
      <c r="J401" s="68"/>
      <c r="K401" s="68"/>
      <c r="L401" s="68"/>
      <c r="M401" s="68"/>
      <c r="N401" s="68"/>
      <c r="O401" s="68"/>
      <c r="P401" s="68"/>
      <c r="Q401" s="68"/>
      <c r="R401" s="68"/>
      <c r="S401" s="68"/>
      <c r="T401" s="68"/>
      <c r="U401" s="68"/>
      <c r="V401" s="68"/>
      <c r="W401" s="68"/>
      <c r="X401" s="68"/>
      <c r="Y401" s="68"/>
      <c r="Z401" s="68"/>
    </row>
    <row r="402" spans="1:26" ht="17">
      <c r="A402" s="68"/>
      <c r="B402" s="104"/>
      <c r="C402" s="104"/>
      <c r="D402" s="104"/>
      <c r="E402" s="68"/>
      <c r="F402" s="68"/>
      <c r="G402" s="68"/>
      <c r="H402" s="68"/>
      <c r="I402" s="68"/>
      <c r="J402" s="68"/>
      <c r="K402" s="68"/>
      <c r="L402" s="68"/>
      <c r="M402" s="68"/>
      <c r="N402" s="68"/>
      <c r="O402" s="68"/>
      <c r="P402" s="68"/>
      <c r="Q402" s="68"/>
      <c r="R402" s="68"/>
      <c r="S402" s="68"/>
      <c r="T402" s="68"/>
      <c r="U402" s="68"/>
      <c r="V402" s="68"/>
      <c r="W402" s="68"/>
      <c r="X402" s="68"/>
      <c r="Y402" s="68"/>
      <c r="Z402" s="68"/>
    </row>
    <row r="403" spans="1:26" ht="17">
      <c r="A403" s="68"/>
      <c r="B403" s="104"/>
      <c r="C403" s="104"/>
      <c r="D403" s="104"/>
      <c r="E403" s="68"/>
      <c r="F403" s="68"/>
      <c r="G403" s="68"/>
      <c r="H403" s="68"/>
      <c r="I403" s="68"/>
      <c r="J403" s="68"/>
      <c r="K403" s="68"/>
      <c r="L403" s="68"/>
      <c r="M403" s="68"/>
      <c r="N403" s="68"/>
      <c r="O403" s="68"/>
      <c r="P403" s="68"/>
      <c r="Q403" s="68"/>
      <c r="R403" s="68"/>
      <c r="S403" s="68"/>
      <c r="T403" s="68"/>
      <c r="U403" s="68"/>
      <c r="V403" s="68"/>
      <c r="W403" s="68"/>
      <c r="X403" s="68"/>
      <c r="Y403" s="68"/>
      <c r="Z403" s="68"/>
    </row>
    <row r="404" spans="1:26" ht="17">
      <c r="A404" s="68"/>
      <c r="B404" s="104"/>
      <c r="C404" s="104"/>
      <c r="D404" s="104"/>
      <c r="E404" s="68"/>
      <c r="F404" s="68"/>
      <c r="G404" s="68"/>
      <c r="H404" s="68"/>
      <c r="I404" s="68"/>
      <c r="J404" s="68"/>
      <c r="K404" s="68"/>
      <c r="L404" s="68"/>
      <c r="M404" s="68"/>
      <c r="N404" s="68"/>
      <c r="O404" s="68"/>
      <c r="P404" s="68"/>
      <c r="Q404" s="68"/>
      <c r="R404" s="68"/>
      <c r="S404" s="68"/>
      <c r="T404" s="68"/>
      <c r="U404" s="68"/>
      <c r="V404" s="68"/>
      <c r="W404" s="68"/>
      <c r="X404" s="68"/>
      <c r="Y404" s="68"/>
      <c r="Z404" s="68"/>
    </row>
    <row r="405" spans="1:26" ht="17">
      <c r="A405" s="68"/>
      <c r="B405" s="104"/>
      <c r="C405" s="104"/>
      <c r="D405" s="104"/>
      <c r="E405" s="68"/>
      <c r="F405" s="68"/>
      <c r="G405" s="68"/>
      <c r="H405" s="68"/>
      <c r="I405" s="68"/>
      <c r="J405" s="68"/>
      <c r="K405" s="68"/>
      <c r="L405" s="68"/>
      <c r="M405" s="68"/>
      <c r="N405" s="68"/>
      <c r="O405" s="68"/>
      <c r="P405" s="68"/>
      <c r="Q405" s="68"/>
      <c r="R405" s="68"/>
      <c r="S405" s="68"/>
      <c r="T405" s="68"/>
      <c r="U405" s="68"/>
      <c r="V405" s="68"/>
      <c r="W405" s="68"/>
      <c r="X405" s="68"/>
      <c r="Y405" s="68"/>
      <c r="Z405" s="68"/>
    </row>
    <row r="406" spans="1:26" ht="17">
      <c r="A406" s="68"/>
      <c r="B406" s="104"/>
      <c r="C406" s="104"/>
      <c r="D406" s="104"/>
      <c r="E406" s="68"/>
      <c r="F406" s="68"/>
      <c r="G406" s="68"/>
      <c r="H406" s="68"/>
      <c r="I406" s="68"/>
      <c r="J406" s="68"/>
      <c r="K406" s="68"/>
      <c r="L406" s="68"/>
      <c r="M406" s="68"/>
      <c r="N406" s="68"/>
      <c r="O406" s="68"/>
      <c r="P406" s="68"/>
      <c r="Q406" s="68"/>
      <c r="R406" s="68"/>
      <c r="S406" s="68"/>
      <c r="T406" s="68"/>
      <c r="U406" s="68"/>
      <c r="V406" s="68"/>
      <c r="W406" s="68"/>
      <c r="X406" s="68"/>
      <c r="Y406" s="68"/>
      <c r="Z406" s="68"/>
    </row>
    <row r="407" spans="1:26" ht="17">
      <c r="A407" s="68"/>
      <c r="B407" s="104"/>
      <c r="C407" s="104"/>
      <c r="D407" s="104"/>
      <c r="E407" s="68"/>
      <c r="F407" s="68"/>
      <c r="G407" s="68"/>
      <c r="H407" s="68"/>
      <c r="I407" s="68"/>
      <c r="J407" s="68"/>
      <c r="K407" s="68"/>
      <c r="L407" s="68"/>
      <c r="M407" s="68"/>
      <c r="N407" s="68"/>
      <c r="O407" s="68"/>
      <c r="P407" s="68"/>
      <c r="Q407" s="68"/>
      <c r="R407" s="68"/>
      <c r="S407" s="68"/>
      <c r="T407" s="68"/>
      <c r="U407" s="68"/>
      <c r="V407" s="68"/>
      <c r="W407" s="68"/>
      <c r="X407" s="68"/>
      <c r="Y407" s="68"/>
      <c r="Z407" s="68"/>
    </row>
    <row r="408" spans="1:26" ht="17">
      <c r="A408" s="68"/>
      <c r="B408" s="104"/>
      <c r="C408" s="104"/>
      <c r="D408" s="104"/>
      <c r="E408" s="68"/>
      <c r="F408" s="68"/>
      <c r="G408" s="68"/>
      <c r="H408" s="68"/>
      <c r="I408" s="68"/>
      <c r="J408" s="68"/>
      <c r="K408" s="68"/>
      <c r="L408" s="68"/>
      <c r="M408" s="68"/>
      <c r="N408" s="68"/>
      <c r="O408" s="68"/>
      <c r="P408" s="68"/>
      <c r="Q408" s="68"/>
      <c r="R408" s="68"/>
      <c r="S408" s="68"/>
      <c r="T408" s="68"/>
      <c r="U408" s="68"/>
      <c r="V408" s="68"/>
      <c r="W408" s="68"/>
      <c r="X408" s="68"/>
      <c r="Y408" s="68"/>
      <c r="Z408" s="68"/>
    </row>
    <row r="409" spans="1:26" ht="17">
      <c r="A409" s="68"/>
      <c r="B409" s="104"/>
      <c r="C409" s="104"/>
      <c r="D409" s="104"/>
      <c r="E409" s="68"/>
      <c r="F409" s="68"/>
      <c r="G409" s="68"/>
      <c r="H409" s="68"/>
      <c r="I409" s="68"/>
      <c r="J409" s="68"/>
      <c r="K409" s="68"/>
      <c r="L409" s="68"/>
      <c r="M409" s="68"/>
      <c r="N409" s="68"/>
      <c r="O409" s="68"/>
      <c r="P409" s="68"/>
      <c r="Q409" s="68"/>
      <c r="R409" s="68"/>
      <c r="S409" s="68"/>
      <c r="T409" s="68"/>
      <c r="U409" s="68"/>
      <c r="V409" s="68"/>
      <c r="W409" s="68"/>
      <c r="X409" s="68"/>
      <c r="Y409" s="68"/>
      <c r="Z409" s="68"/>
    </row>
    <row r="410" spans="1:26" ht="17">
      <c r="A410" s="68"/>
      <c r="B410" s="104"/>
      <c r="C410" s="104"/>
      <c r="D410" s="104"/>
      <c r="E410" s="68"/>
      <c r="F410" s="68"/>
      <c r="G410" s="68"/>
      <c r="H410" s="68"/>
      <c r="I410" s="68"/>
      <c r="J410" s="68"/>
      <c r="K410" s="68"/>
      <c r="L410" s="68"/>
      <c r="M410" s="68"/>
      <c r="N410" s="68"/>
      <c r="O410" s="68"/>
      <c r="P410" s="68"/>
      <c r="Q410" s="68"/>
      <c r="R410" s="68"/>
      <c r="S410" s="68"/>
      <c r="T410" s="68"/>
      <c r="U410" s="68"/>
      <c r="V410" s="68"/>
      <c r="W410" s="68"/>
      <c r="X410" s="68"/>
      <c r="Y410" s="68"/>
      <c r="Z410" s="68"/>
    </row>
    <row r="411" spans="1:26" ht="17">
      <c r="A411" s="68"/>
      <c r="B411" s="104"/>
      <c r="C411" s="104"/>
      <c r="D411" s="104"/>
      <c r="E411" s="68"/>
      <c r="F411" s="68"/>
      <c r="G411" s="68"/>
      <c r="H411" s="68"/>
      <c r="I411" s="68"/>
      <c r="J411" s="68"/>
      <c r="K411" s="68"/>
      <c r="L411" s="68"/>
      <c r="M411" s="68"/>
      <c r="N411" s="68"/>
      <c r="O411" s="68"/>
      <c r="P411" s="68"/>
      <c r="Q411" s="68"/>
      <c r="R411" s="68"/>
      <c r="S411" s="68"/>
      <c r="T411" s="68"/>
      <c r="U411" s="68"/>
      <c r="V411" s="68"/>
      <c r="W411" s="68"/>
      <c r="X411" s="68"/>
      <c r="Y411" s="68"/>
      <c r="Z411" s="68"/>
    </row>
    <row r="412" spans="1:26" ht="17">
      <c r="A412" s="68"/>
      <c r="B412" s="104"/>
      <c r="C412" s="104"/>
      <c r="D412" s="104"/>
      <c r="E412" s="68"/>
      <c r="F412" s="68"/>
      <c r="G412" s="68"/>
      <c r="H412" s="68"/>
      <c r="I412" s="68"/>
      <c r="J412" s="68"/>
      <c r="K412" s="68"/>
      <c r="L412" s="68"/>
      <c r="M412" s="68"/>
      <c r="N412" s="68"/>
      <c r="O412" s="68"/>
      <c r="P412" s="68"/>
      <c r="Q412" s="68"/>
      <c r="R412" s="68"/>
      <c r="S412" s="68"/>
      <c r="T412" s="68"/>
      <c r="U412" s="68"/>
      <c r="V412" s="68"/>
      <c r="W412" s="68"/>
      <c r="X412" s="68"/>
      <c r="Y412" s="68"/>
      <c r="Z412" s="68"/>
    </row>
    <row r="413" spans="1:26" ht="17">
      <c r="A413" s="68"/>
      <c r="B413" s="104"/>
      <c r="C413" s="104"/>
      <c r="D413" s="104"/>
      <c r="E413" s="68"/>
      <c r="F413" s="68"/>
      <c r="G413" s="68"/>
      <c r="H413" s="68"/>
      <c r="I413" s="68"/>
      <c r="J413" s="68"/>
      <c r="K413" s="68"/>
      <c r="L413" s="68"/>
      <c r="M413" s="68"/>
      <c r="N413" s="68"/>
      <c r="O413" s="68"/>
      <c r="P413" s="68"/>
      <c r="Q413" s="68"/>
      <c r="R413" s="68"/>
      <c r="S413" s="68"/>
      <c r="T413" s="68"/>
      <c r="U413" s="68"/>
      <c r="V413" s="68"/>
      <c r="W413" s="68"/>
      <c r="X413" s="68"/>
      <c r="Y413" s="68"/>
      <c r="Z413" s="68"/>
    </row>
    <row r="414" spans="1:26" ht="17">
      <c r="A414" s="68"/>
      <c r="B414" s="104"/>
      <c r="C414" s="104"/>
      <c r="D414" s="104"/>
      <c r="E414" s="68"/>
      <c r="F414" s="68"/>
      <c r="G414" s="68"/>
      <c r="H414" s="68"/>
      <c r="I414" s="68"/>
      <c r="J414" s="68"/>
      <c r="K414" s="68"/>
      <c r="L414" s="68"/>
      <c r="M414" s="68"/>
      <c r="N414" s="68"/>
      <c r="O414" s="68"/>
      <c r="P414" s="68"/>
      <c r="Q414" s="68"/>
      <c r="R414" s="68"/>
      <c r="S414" s="68"/>
      <c r="T414" s="68"/>
      <c r="U414" s="68"/>
      <c r="V414" s="68"/>
      <c r="W414" s="68"/>
      <c r="X414" s="68"/>
      <c r="Y414" s="68"/>
      <c r="Z414" s="68"/>
    </row>
    <row r="415" spans="1:26" ht="17">
      <c r="A415" s="68"/>
      <c r="B415" s="104"/>
      <c r="C415" s="104"/>
      <c r="D415" s="104"/>
      <c r="E415" s="68"/>
      <c r="F415" s="68"/>
      <c r="G415" s="68"/>
      <c r="H415" s="68"/>
      <c r="I415" s="68"/>
      <c r="J415" s="68"/>
      <c r="K415" s="68"/>
      <c r="L415" s="68"/>
      <c r="M415" s="68"/>
      <c r="N415" s="68"/>
      <c r="O415" s="68"/>
      <c r="P415" s="68"/>
      <c r="Q415" s="68"/>
      <c r="R415" s="68"/>
      <c r="S415" s="68"/>
      <c r="T415" s="68"/>
      <c r="U415" s="68"/>
      <c r="V415" s="68"/>
      <c r="W415" s="68"/>
      <c r="X415" s="68"/>
      <c r="Y415" s="68"/>
      <c r="Z415" s="68"/>
    </row>
    <row r="416" spans="1:26" ht="17">
      <c r="A416" s="68"/>
      <c r="B416" s="104"/>
      <c r="C416" s="104"/>
      <c r="D416" s="104"/>
      <c r="E416" s="68"/>
      <c r="F416" s="68"/>
      <c r="G416" s="68"/>
      <c r="H416" s="68"/>
      <c r="I416" s="68"/>
      <c r="J416" s="68"/>
      <c r="K416" s="68"/>
      <c r="L416" s="68"/>
      <c r="M416" s="68"/>
      <c r="N416" s="68"/>
      <c r="O416" s="68"/>
      <c r="P416" s="68"/>
      <c r="Q416" s="68"/>
      <c r="R416" s="68"/>
      <c r="S416" s="68"/>
      <c r="T416" s="68"/>
      <c r="U416" s="68"/>
      <c r="V416" s="68"/>
      <c r="W416" s="68"/>
      <c r="X416" s="68"/>
      <c r="Y416" s="68"/>
      <c r="Z416" s="68"/>
    </row>
    <row r="417" spans="1:26" ht="17">
      <c r="A417" s="68"/>
      <c r="B417" s="104"/>
      <c r="C417" s="104"/>
      <c r="D417" s="104"/>
      <c r="E417" s="68"/>
      <c r="F417" s="68"/>
      <c r="G417" s="68"/>
      <c r="H417" s="68"/>
      <c r="I417" s="68"/>
      <c r="J417" s="68"/>
      <c r="K417" s="68"/>
      <c r="L417" s="68"/>
      <c r="M417" s="68"/>
      <c r="N417" s="68"/>
      <c r="O417" s="68"/>
      <c r="P417" s="68"/>
      <c r="Q417" s="68"/>
      <c r="R417" s="68"/>
      <c r="S417" s="68"/>
      <c r="T417" s="68"/>
      <c r="U417" s="68"/>
      <c r="V417" s="68"/>
      <c r="W417" s="68"/>
      <c r="X417" s="68"/>
      <c r="Y417" s="68"/>
      <c r="Z417" s="68"/>
    </row>
    <row r="418" spans="1:26" ht="17">
      <c r="A418" s="68"/>
      <c r="B418" s="104"/>
      <c r="C418" s="104"/>
      <c r="D418" s="104"/>
      <c r="E418" s="68"/>
      <c r="F418" s="68"/>
      <c r="G418" s="68"/>
      <c r="H418" s="68"/>
      <c r="I418" s="68"/>
      <c r="J418" s="68"/>
      <c r="K418" s="68"/>
      <c r="L418" s="68"/>
      <c r="M418" s="68"/>
      <c r="N418" s="68"/>
      <c r="O418" s="68"/>
      <c r="P418" s="68"/>
      <c r="Q418" s="68"/>
      <c r="R418" s="68"/>
      <c r="S418" s="68"/>
      <c r="T418" s="68"/>
      <c r="U418" s="68"/>
      <c r="V418" s="68"/>
      <c r="W418" s="68"/>
      <c r="X418" s="68"/>
      <c r="Y418" s="68"/>
      <c r="Z418" s="68"/>
    </row>
    <row r="419" spans="1:26" ht="17">
      <c r="A419" s="68"/>
      <c r="B419" s="104"/>
      <c r="C419" s="104"/>
      <c r="D419" s="104"/>
      <c r="E419" s="68"/>
      <c r="F419" s="68"/>
      <c r="G419" s="68"/>
      <c r="H419" s="68"/>
      <c r="I419" s="68"/>
      <c r="J419" s="68"/>
      <c r="K419" s="68"/>
      <c r="L419" s="68"/>
      <c r="M419" s="68"/>
      <c r="N419" s="68"/>
      <c r="O419" s="68"/>
      <c r="P419" s="68"/>
      <c r="Q419" s="68"/>
      <c r="R419" s="68"/>
      <c r="S419" s="68"/>
      <c r="T419" s="68"/>
      <c r="U419" s="68"/>
      <c r="V419" s="68"/>
      <c r="W419" s="68"/>
      <c r="X419" s="68"/>
      <c r="Y419" s="68"/>
      <c r="Z419" s="68"/>
    </row>
    <row r="420" spans="1:26" ht="17">
      <c r="A420" s="68"/>
      <c r="B420" s="104"/>
      <c r="C420" s="104"/>
      <c r="D420" s="104"/>
      <c r="E420" s="68"/>
      <c r="F420" s="68"/>
      <c r="G420" s="68"/>
      <c r="H420" s="68"/>
      <c r="I420" s="68"/>
      <c r="J420" s="68"/>
      <c r="K420" s="68"/>
      <c r="L420" s="68"/>
      <c r="M420" s="68"/>
      <c r="N420" s="68"/>
      <c r="O420" s="68"/>
      <c r="P420" s="68"/>
      <c r="Q420" s="68"/>
      <c r="R420" s="68"/>
      <c r="S420" s="68"/>
      <c r="T420" s="68"/>
      <c r="U420" s="68"/>
      <c r="V420" s="68"/>
      <c r="W420" s="68"/>
      <c r="X420" s="68"/>
      <c r="Y420" s="68"/>
      <c r="Z420" s="68"/>
    </row>
    <row r="421" spans="1:26" ht="17">
      <c r="A421" s="68"/>
      <c r="B421" s="104"/>
      <c r="C421" s="104"/>
      <c r="D421" s="104"/>
      <c r="E421" s="68"/>
      <c r="F421" s="68"/>
      <c r="G421" s="68"/>
      <c r="H421" s="68"/>
      <c r="I421" s="68"/>
      <c r="J421" s="68"/>
      <c r="K421" s="68"/>
      <c r="L421" s="68"/>
      <c r="M421" s="68"/>
      <c r="N421" s="68"/>
      <c r="O421" s="68"/>
      <c r="P421" s="68"/>
      <c r="Q421" s="68"/>
      <c r="R421" s="68"/>
      <c r="S421" s="68"/>
      <c r="T421" s="68"/>
      <c r="U421" s="68"/>
      <c r="V421" s="68"/>
      <c r="W421" s="68"/>
      <c r="X421" s="68"/>
      <c r="Y421" s="68"/>
      <c r="Z421" s="68"/>
    </row>
    <row r="422" spans="1:26" ht="17">
      <c r="A422" s="68"/>
      <c r="B422" s="104"/>
      <c r="C422" s="104"/>
      <c r="D422" s="104"/>
      <c r="E422" s="68"/>
      <c r="F422" s="68"/>
      <c r="G422" s="68"/>
      <c r="H422" s="68"/>
      <c r="I422" s="68"/>
      <c r="J422" s="68"/>
      <c r="K422" s="68"/>
      <c r="L422" s="68"/>
      <c r="M422" s="68"/>
      <c r="N422" s="68"/>
      <c r="O422" s="68"/>
      <c r="P422" s="68"/>
      <c r="Q422" s="68"/>
      <c r="R422" s="68"/>
      <c r="S422" s="68"/>
      <c r="T422" s="68"/>
      <c r="U422" s="68"/>
      <c r="V422" s="68"/>
      <c r="W422" s="68"/>
      <c r="X422" s="68"/>
      <c r="Y422" s="68"/>
      <c r="Z422" s="68"/>
    </row>
    <row r="423" spans="1:26" ht="17">
      <c r="A423" s="68"/>
      <c r="B423" s="104"/>
      <c r="C423" s="104"/>
      <c r="D423" s="104"/>
      <c r="E423" s="68"/>
      <c r="F423" s="68"/>
      <c r="G423" s="68"/>
      <c r="H423" s="68"/>
      <c r="I423" s="68"/>
      <c r="J423" s="68"/>
      <c r="K423" s="68"/>
      <c r="L423" s="68"/>
      <c r="M423" s="68"/>
      <c r="N423" s="68"/>
      <c r="O423" s="68"/>
      <c r="P423" s="68"/>
      <c r="Q423" s="68"/>
      <c r="R423" s="68"/>
      <c r="S423" s="68"/>
      <c r="T423" s="68"/>
      <c r="U423" s="68"/>
      <c r="V423" s="68"/>
      <c r="W423" s="68"/>
      <c r="X423" s="68"/>
      <c r="Y423" s="68"/>
      <c r="Z423" s="68"/>
    </row>
    <row r="424" spans="1:26" ht="17">
      <c r="A424" s="68"/>
      <c r="B424" s="104"/>
      <c r="C424" s="104"/>
      <c r="D424" s="104"/>
      <c r="E424" s="68"/>
      <c r="F424" s="68"/>
      <c r="G424" s="68"/>
      <c r="H424" s="68"/>
      <c r="I424" s="68"/>
      <c r="J424" s="68"/>
      <c r="K424" s="68"/>
      <c r="L424" s="68"/>
      <c r="M424" s="68"/>
      <c r="N424" s="68"/>
      <c r="O424" s="68"/>
      <c r="P424" s="68"/>
      <c r="Q424" s="68"/>
      <c r="R424" s="68"/>
      <c r="S424" s="68"/>
      <c r="T424" s="68"/>
      <c r="U424" s="68"/>
      <c r="V424" s="68"/>
      <c r="W424" s="68"/>
      <c r="X424" s="68"/>
      <c r="Y424" s="68"/>
      <c r="Z424" s="68"/>
    </row>
    <row r="425" spans="1:26" ht="17">
      <c r="A425" s="68"/>
      <c r="B425" s="104"/>
      <c r="C425" s="104"/>
      <c r="D425" s="104"/>
      <c r="E425" s="68"/>
      <c r="F425" s="68"/>
      <c r="G425" s="68"/>
      <c r="H425" s="68"/>
      <c r="I425" s="68"/>
      <c r="J425" s="68"/>
      <c r="K425" s="68"/>
      <c r="L425" s="68"/>
      <c r="M425" s="68"/>
      <c r="N425" s="68"/>
      <c r="O425" s="68"/>
      <c r="P425" s="68"/>
      <c r="Q425" s="68"/>
      <c r="R425" s="68"/>
      <c r="S425" s="68"/>
      <c r="T425" s="68"/>
      <c r="U425" s="68"/>
      <c r="V425" s="68"/>
      <c r="W425" s="68"/>
      <c r="X425" s="68"/>
      <c r="Y425" s="68"/>
      <c r="Z425" s="68"/>
    </row>
    <row r="426" spans="1:26" ht="17">
      <c r="A426" s="68"/>
      <c r="B426" s="104"/>
      <c r="C426" s="104"/>
      <c r="D426" s="104"/>
      <c r="E426" s="68"/>
      <c r="F426" s="68"/>
      <c r="G426" s="68"/>
      <c r="H426" s="68"/>
      <c r="I426" s="68"/>
      <c r="J426" s="68"/>
      <c r="K426" s="68"/>
      <c r="L426" s="68"/>
      <c r="M426" s="68"/>
      <c r="N426" s="68"/>
      <c r="O426" s="68"/>
      <c r="P426" s="68"/>
      <c r="Q426" s="68"/>
      <c r="R426" s="68"/>
      <c r="S426" s="68"/>
      <c r="T426" s="68"/>
      <c r="U426" s="68"/>
      <c r="V426" s="68"/>
      <c r="W426" s="68"/>
      <c r="X426" s="68"/>
      <c r="Y426" s="68"/>
      <c r="Z426" s="68"/>
    </row>
    <row r="427" spans="1:26" ht="17">
      <c r="A427" s="68"/>
      <c r="B427" s="104"/>
      <c r="C427" s="104"/>
      <c r="D427" s="104"/>
      <c r="E427" s="68"/>
      <c r="F427" s="68"/>
      <c r="G427" s="68"/>
      <c r="H427" s="68"/>
      <c r="I427" s="68"/>
      <c r="J427" s="68"/>
      <c r="K427" s="68"/>
      <c r="L427" s="68"/>
      <c r="M427" s="68"/>
      <c r="N427" s="68"/>
      <c r="O427" s="68"/>
      <c r="P427" s="68"/>
      <c r="Q427" s="68"/>
      <c r="R427" s="68"/>
      <c r="S427" s="68"/>
      <c r="T427" s="68"/>
      <c r="U427" s="68"/>
      <c r="V427" s="68"/>
      <c r="W427" s="68"/>
      <c r="X427" s="68"/>
      <c r="Y427" s="68"/>
      <c r="Z427" s="68"/>
    </row>
    <row r="428" spans="1:26" ht="17">
      <c r="A428" s="68"/>
      <c r="B428" s="104"/>
      <c r="C428" s="104"/>
      <c r="D428" s="104"/>
      <c r="E428" s="68"/>
      <c r="F428" s="68"/>
      <c r="G428" s="68"/>
      <c r="H428" s="68"/>
      <c r="I428" s="68"/>
      <c r="J428" s="68"/>
      <c r="K428" s="68"/>
      <c r="L428" s="68"/>
      <c r="M428" s="68"/>
      <c r="N428" s="68"/>
      <c r="O428" s="68"/>
      <c r="P428" s="68"/>
      <c r="Q428" s="68"/>
      <c r="R428" s="68"/>
      <c r="S428" s="68"/>
      <c r="T428" s="68"/>
      <c r="U428" s="68"/>
      <c r="V428" s="68"/>
      <c r="W428" s="68"/>
      <c r="X428" s="68"/>
      <c r="Y428" s="68"/>
      <c r="Z428" s="68"/>
    </row>
    <row r="429" spans="1:26" ht="17">
      <c r="A429" s="68"/>
      <c r="B429" s="104"/>
      <c r="C429" s="104"/>
      <c r="D429" s="104"/>
      <c r="E429" s="68"/>
      <c r="F429" s="68"/>
      <c r="G429" s="68"/>
      <c r="H429" s="68"/>
      <c r="I429" s="68"/>
      <c r="J429" s="68"/>
      <c r="K429" s="68"/>
      <c r="L429" s="68"/>
      <c r="M429" s="68"/>
      <c r="N429" s="68"/>
      <c r="O429" s="68"/>
      <c r="P429" s="68"/>
      <c r="Q429" s="68"/>
      <c r="R429" s="68"/>
      <c r="S429" s="68"/>
      <c r="T429" s="68"/>
      <c r="U429" s="68"/>
      <c r="V429" s="68"/>
      <c r="W429" s="68"/>
      <c r="X429" s="68"/>
      <c r="Y429" s="68"/>
      <c r="Z429" s="68"/>
    </row>
    <row r="430" spans="1:26" ht="17">
      <c r="A430" s="68"/>
      <c r="B430" s="104"/>
      <c r="C430" s="104"/>
      <c r="D430" s="104"/>
      <c r="E430" s="68"/>
      <c r="F430" s="68"/>
      <c r="G430" s="68"/>
      <c r="H430" s="68"/>
      <c r="I430" s="68"/>
      <c r="J430" s="68"/>
      <c r="K430" s="68"/>
      <c r="L430" s="68"/>
      <c r="M430" s="68"/>
      <c r="N430" s="68"/>
      <c r="O430" s="68"/>
      <c r="P430" s="68"/>
      <c r="Q430" s="68"/>
      <c r="R430" s="68"/>
      <c r="S430" s="68"/>
      <c r="T430" s="68"/>
      <c r="U430" s="68"/>
      <c r="V430" s="68"/>
      <c r="W430" s="68"/>
      <c r="X430" s="68"/>
      <c r="Y430" s="68"/>
      <c r="Z430" s="68"/>
    </row>
    <row r="431" spans="1:26" ht="17">
      <c r="A431" s="68"/>
      <c r="B431" s="104"/>
      <c r="C431" s="104"/>
      <c r="D431" s="104"/>
      <c r="E431" s="68"/>
      <c r="F431" s="68"/>
      <c r="G431" s="68"/>
      <c r="H431" s="68"/>
      <c r="I431" s="68"/>
      <c r="J431" s="68"/>
      <c r="K431" s="68"/>
      <c r="L431" s="68"/>
      <c r="M431" s="68"/>
      <c r="N431" s="68"/>
      <c r="O431" s="68"/>
      <c r="P431" s="68"/>
      <c r="Q431" s="68"/>
      <c r="R431" s="68"/>
      <c r="S431" s="68"/>
      <c r="T431" s="68"/>
      <c r="U431" s="68"/>
      <c r="V431" s="68"/>
      <c r="W431" s="68"/>
      <c r="X431" s="68"/>
      <c r="Y431" s="68"/>
      <c r="Z431" s="68"/>
    </row>
    <row r="432" spans="1:26" ht="17">
      <c r="A432" s="68"/>
      <c r="B432" s="104"/>
      <c r="C432" s="104"/>
      <c r="D432" s="104"/>
      <c r="E432" s="68"/>
      <c r="F432" s="68"/>
      <c r="G432" s="68"/>
      <c r="H432" s="68"/>
      <c r="I432" s="68"/>
      <c r="J432" s="68"/>
      <c r="K432" s="68"/>
      <c r="L432" s="68"/>
      <c r="M432" s="68"/>
      <c r="N432" s="68"/>
      <c r="O432" s="68"/>
      <c r="P432" s="68"/>
      <c r="Q432" s="68"/>
      <c r="R432" s="68"/>
      <c r="S432" s="68"/>
      <c r="T432" s="68"/>
      <c r="U432" s="68"/>
      <c r="V432" s="68"/>
      <c r="W432" s="68"/>
      <c r="X432" s="68"/>
      <c r="Y432" s="68"/>
      <c r="Z432" s="68"/>
    </row>
    <row r="433" spans="1:26" ht="17">
      <c r="A433" s="68"/>
      <c r="B433" s="104"/>
      <c r="C433" s="104"/>
      <c r="D433" s="104"/>
      <c r="E433" s="68"/>
      <c r="F433" s="68"/>
      <c r="G433" s="68"/>
      <c r="H433" s="68"/>
      <c r="I433" s="68"/>
      <c r="J433" s="68"/>
      <c r="K433" s="68"/>
      <c r="L433" s="68"/>
      <c r="M433" s="68"/>
      <c r="N433" s="68"/>
      <c r="O433" s="68"/>
      <c r="P433" s="68"/>
      <c r="Q433" s="68"/>
      <c r="R433" s="68"/>
      <c r="S433" s="68"/>
      <c r="T433" s="68"/>
      <c r="U433" s="68"/>
      <c r="V433" s="68"/>
      <c r="W433" s="68"/>
      <c r="X433" s="68"/>
      <c r="Y433" s="68"/>
      <c r="Z433" s="68"/>
    </row>
    <row r="434" spans="1:26" ht="17">
      <c r="A434" s="68"/>
      <c r="B434" s="104"/>
      <c r="C434" s="104"/>
      <c r="D434" s="104"/>
      <c r="E434" s="68"/>
      <c r="F434" s="68"/>
      <c r="G434" s="68"/>
      <c r="H434" s="68"/>
      <c r="I434" s="68"/>
      <c r="J434" s="68"/>
      <c r="K434" s="68"/>
      <c r="L434" s="68"/>
      <c r="M434" s="68"/>
      <c r="N434" s="68"/>
      <c r="O434" s="68"/>
      <c r="P434" s="68"/>
      <c r="Q434" s="68"/>
      <c r="R434" s="68"/>
      <c r="S434" s="68"/>
      <c r="T434" s="68"/>
      <c r="U434" s="68"/>
      <c r="V434" s="68"/>
      <c r="W434" s="68"/>
      <c r="X434" s="68"/>
      <c r="Y434" s="68"/>
      <c r="Z434" s="68"/>
    </row>
    <row r="435" spans="1:26" ht="17">
      <c r="A435" s="68"/>
      <c r="B435" s="104"/>
      <c r="C435" s="104"/>
      <c r="D435" s="104"/>
      <c r="E435" s="68"/>
      <c r="F435" s="68"/>
      <c r="G435" s="68"/>
      <c r="H435" s="68"/>
      <c r="I435" s="68"/>
      <c r="J435" s="68"/>
      <c r="K435" s="68"/>
      <c r="L435" s="68"/>
      <c r="M435" s="68"/>
      <c r="N435" s="68"/>
      <c r="O435" s="68"/>
      <c r="P435" s="68"/>
      <c r="Q435" s="68"/>
      <c r="R435" s="68"/>
      <c r="S435" s="68"/>
      <c r="T435" s="68"/>
      <c r="U435" s="68"/>
      <c r="V435" s="68"/>
      <c r="W435" s="68"/>
      <c r="X435" s="68"/>
      <c r="Y435" s="68"/>
      <c r="Z435" s="68"/>
    </row>
    <row r="436" spans="1:26" ht="17">
      <c r="A436" s="68"/>
      <c r="B436" s="104"/>
      <c r="C436" s="104"/>
      <c r="D436" s="104"/>
      <c r="E436" s="68"/>
      <c r="F436" s="68"/>
      <c r="G436" s="68"/>
      <c r="H436" s="68"/>
      <c r="I436" s="68"/>
      <c r="J436" s="68"/>
      <c r="K436" s="68"/>
      <c r="L436" s="68"/>
      <c r="M436" s="68"/>
      <c r="N436" s="68"/>
      <c r="O436" s="68"/>
      <c r="P436" s="68"/>
      <c r="Q436" s="68"/>
      <c r="R436" s="68"/>
      <c r="S436" s="68"/>
      <c r="T436" s="68"/>
      <c r="U436" s="68"/>
      <c r="V436" s="68"/>
      <c r="W436" s="68"/>
      <c r="X436" s="68"/>
      <c r="Y436" s="68"/>
      <c r="Z436" s="68"/>
    </row>
    <row r="437" spans="1:26" ht="17">
      <c r="A437" s="68"/>
      <c r="B437" s="104"/>
      <c r="C437" s="104"/>
      <c r="D437" s="104"/>
      <c r="E437" s="68"/>
      <c r="F437" s="68"/>
      <c r="G437" s="68"/>
      <c r="H437" s="68"/>
      <c r="I437" s="68"/>
      <c r="J437" s="68"/>
      <c r="K437" s="68"/>
      <c r="L437" s="68"/>
      <c r="M437" s="68"/>
      <c r="N437" s="68"/>
      <c r="O437" s="68"/>
      <c r="P437" s="68"/>
      <c r="Q437" s="68"/>
      <c r="R437" s="68"/>
      <c r="S437" s="68"/>
      <c r="T437" s="68"/>
      <c r="U437" s="68"/>
      <c r="V437" s="68"/>
      <c r="W437" s="68"/>
      <c r="X437" s="68"/>
      <c r="Y437" s="68"/>
      <c r="Z437" s="68"/>
    </row>
    <row r="438" spans="1:26" ht="17">
      <c r="A438" s="68"/>
      <c r="B438" s="104"/>
      <c r="C438" s="104"/>
      <c r="D438" s="104"/>
      <c r="E438" s="68"/>
      <c r="F438" s="68"/>
      <c r="G438" s="68"/>
      <c r="H438" s="68"/>
      <c r="I438" s="68"/>
      <c r="J438" s="68"/>
      <c r="K438" s="68"/>
      <c r="L438" s="68"/>
      <c r="M438" s="68"/>
      <c r="N438" s="68"/>
      <c r="O438" s="68"/>
      <c r="P438" s="68"/>
      <c r="Q438" s="68"/>
      <c r="R438" s="68"/>
      <c r="S438" s="68"/>
      <c r="T438" s="68"/>
      <c r="U438" s="68"/>
      <c r="V438" s="68"/>
      <c r="W438" s="68"/>
      <c r="X438" s="68"/>
      <c r="Y438" s="68"/>
      <c r="Z438" s="68"/>
    </row>
    <row r="439" spans="1:26" ht="17">
      <c r="A439" s="68"/>
      <c r="B439" s="104"/>
      <c r="C439" s="104"/>
      <c r="D439" s="104"/>
      <c r="E439" s="68"/>
      <c r="F439" s="68"/>
      <c r="G439" s="68"/>
      <c r="H439" s="68"/>
      <c r="I439" s="68"/>
      <c r="J439" s="68"/>
      <c r="K439" s="68"/>
      <c r="L439" s="68"/>
      <c r="M439" s="68"/>
      <c r="N439" s="68"/>
      <c r="O439" s="68"/>
      <c r="P439" s="68"/>
      <c r="Q439" s="68"/>
      <c r="R439" s="68"/>
      <c r="S439" s="68"/>
      <c r="T439" s="68"/>
      <c r="U439" s="68"/>
      <c r="V439" s="68"/>
      <c r="W439" s="68"/>
      <c r="X439" s="68"/>
      <c r="Y439" s="68"/>
      <c r="Z439" s="68"/>
    </row>
    <row r="440" spans="1:26" ht="17">
      <c r="A440" s="68"/>
      <c r="B440" s="104"/>
      <c r="C440" s="104"/>
      <c r="D440" s="104"/>
      <c r="E440" s="68"/>
      <c r="F440" s="68"/>
      <c r="G440" s="68"/>
      <c r="H440" s="68"/>
      <c r="I440" s="68"/>
      <c r="J440" s="68"/>
      <c r="K440" s="68"/>
      <c r="L440" s="68"/>
      <c r="M440" s="68"/>
      <c r="N440" s="68"/>
      <c r="O440" s="68"/>
      <c r="P440" s="68"/>
      <c r="Q440" s="68"/>
      <c r="R440" s="68"/>
      <c r="S440" s="68"/>
      <c r="T440" s="68"/>
      <c r="U440" s="68"/>
      <c r="V440" s="68"/>
      <c r="W440" s="68"/>
      <c r="X440" s="68"/>
      <c r="Y440" s="68"/>
      <c r="Z440" s="68"/>
    </row>
    <row r="441" spans="1:26" ht="17">
      <c r="A441" s="68"/>
      <c r="B441" s="104"/>
      <c r="C441" s="104"/>
      <c r="D441" s="104"/>
      <c r="E441" s="68"/>
      <c r="F441" s="68"/>
      <c r="G441" s="68"/>
      <c r="H441" s="68"/>
      <c r="I441" s="68"/>
      <c r="J441" s="68"/>
      <c r="K441" s="68"/>
      <c r="L441" s="68"/>
      <c r="M441" s="68"/>
      <c r="N441" s="68"/>
      <c r="O441" s="68"/>
      <c r="P441" s="68"/>
      <c r="Q441" s="68"/>
      <c r="R441" s="68"/>
      <c r="S441" s="68"/>
      <c r="T441" s="68"/>
      <c r="U441" s="68"/>
      <c r="V441" s="68"/>
      <c r="W441" s="68"/>
      <c r="X441" s="68"/>
      <c r="Y441" s="68"/>
      <c r="Z441" s="68"/>
    </row>
    <row r="442" spans="1:26" ht="17">
      <c r="A442" s="68"/>
      <c r="B442" s="104"/>
      <c r="C442" s="104"/>
      <c r="D442" s="104"/>
      <c r="E442" s="68"/>
      <c r="F442" s="68"/>
      <c r="G442" s="68"/>
      <c r="H442" s="68"/>
      <c r="I442" s="68"/>
      <c r="J442" s="68"/>
      <c r="K442" s="68"/>
      <c r="L442" s="68"/>
      <c r="M442" s="68"/>
      <c r="N442" s="68"/>
      <c r="O442" s="68"/>
      <c r="P442" s="68"/>
      <c r="Q442" s="68"/>
      <c r="R442" s="68"/>
      <c r="S442" s="68"/>
      <c r="T442" s="68"/>
      <c r="U442" s="68"/>
      <c r="V442" s="68"/>
      <c r="W442" s="68"/>
      <c r="X442" s="68"/>
      <c r="Y442" s="68"/>
      <c r="Z442" s="68"/>
    </row>
    <row r="443" spans="1:26" ht="17">
      <c r="A443" s="68"/>
      <c r="B443" s="104"/>
      <c r="C443" s="104"/>
      <c r="D443" s="104"/>
      <c r="E443" s="68"/>
      <c r="F443" s="68"/>
      <c r="G443" s="68"/>
      <c r="H443" s="68"/>
      <c r="I443" s="68"/>
      <c r="J443" s="68"/>
      <c r="K443" s="68"/>
      <c r="L443" s="68"/>
      <c r="M443" s="68"/>
      <c r="N443" s="68"/>
      <c r="O443" s="68"/>
      <c r="P443" s="68"/>
      <c r="Q443" s="68"/>
      <c r="R443" s="68"/>
      <c r="S443" s="68"/>
      <c r="T443" s="68"/>
      <c r="U443" s="68"/>
      <c r="V443" s="68"/>
      <c r="W443" s="68"/>
      <c r="X443" s="68"/>
      <c r="Y443" s="68"/>
      <c r="Z443" s="68"/>
    </row>
    <row r="444" spans="1:26" ht="17">
      <c r="A444" s="68"/>
      <c r="B444" s="104"/>
      <c r="C444" s="104"/>
      <c r="D444" s="104"/>
      <c r="E444" s="68"/>
      <c r="F444" s="68"/>
      <c r="G444" s="68"/>
      <c r="H444" s="68"/>
      <c r="I444" s="68"/>
      <c r="J444" s="68"/>
      <c r="K444" s="68"/>
      <c r="L444" s="68"/>
      <c r="M444" s="68"/>
      <c r="N444" s="68"/>
      <c r="O444" s="68"/>
      <c r="P444" s="68"/>
      <c r="Q444" s="68"/>
      <c r="R444" s="68"/>
      <c r="S444" s="68"/>
      <c r="T444" s="68"/>
      <c r="U444" s="68"/>
      <c r="V444" s="68"/>
      <c r="W444" s="68"/>
      <c r="X444" s="68"/>
      <c r="Y444" s="68"/>
      <c r="Z444" s="68"/>
    </row>
    <row r="445" spans="1:26" ht="17">
      <c r="A445" s="68"/>
      <c r="B445" s="104"/>
      <c r="C445" s="104"/>
      <c r="D445" s="104"/>
      <c r="E445" s="68"/>
      <c r="F445" s="68"/>
      <c r="G445" s="68"/>
      <c r="H445" s="68"/>
      <c r="I445" s="68"/>
      <c r="J445" s="68"/>
      <c r="K445" s="68"/>
      <c r="L445" s="68"/>
      <c r="M445" s="68"/>
      <c r="N445" s="68"/>
      <c r="O445" s="68"/>
      <c r="P445" s="68"/>
      <c r="Q445" s="68"/>
      <c r="R445" s="68"/>
      <c r="S445" s="68"/>
      <c r="T445" s="68"/>
      <c r="U445" s="68"/>
      <c r="V445" s="68"/>
      <c r="W445" s="68"/>
      <c r="X445" s="68"/>
      <c r="Y445" s="68"/>
      <c r="Z445" s="68"/>
    </row>
    <row r="446" spans="1:26" ht="17">
      <c r="A446" s="68"/>
      <c r="B446" s="104"/>
      <c r="C446" s="104"/>
      <c r="D446" s="104"/>
      <c r="E446" s="68"/>
      <c r="F446" s="68"/>
      <c r="G446" s="68"/>
      <c r="H446" s="68"/>
      <c r="I446" s="68"/>
      <c r="J446" s="68"/>
      <c r="K446" s="68"/>
      <c r="L446" s="68"/>
      <c r="M446" s="68"/>
      <c r="N446" s="68"/>
      <c r="O446" s="68"/>
      <c r="P446" s="68"/>
      <c r="Q446" s="68"/>
      <c r="R446" s="68"/>
      <c r="S446" s="68"/>
      <c r="T446" s="68"/>
      <c r="U446" s="68"/>
      <c r="V446" s="68"/>
      <c r="W446" s="68"/>
      <c r="X446" s="68"/>
      <c r="Y446" s="68"/>
      <c r="Z446" s="68"/>
    </row>
    <row r="447" spans="1:26" ht="17">
      <c r="A447" s="68"/>
      <c r="B447" s="104"/>
      <c r="C447" s="104"/>
      <c r="D447" s="104"/>
      <c r="E447" s="68"/>
      <c r="F447" s="68"/>
      <c r="G447" s="68"/>
      <c r="H447" s="68"/>
      <c r="I447" s="68"/>
      <c r="J447" s="68"/>
      <c r="K447" s="68"/>
      <c r="L447" s="68"/>
      <c r="M447" s="68"/>
      <c r="N447" s="68"/>
      <c r="O447" s="68"/>
      <c r="P447" s="68"/>
      <c r="Q447" s="68"/>
      <c r="R447" s="68"/>
      <c r="S447" s="68"/>
      <c r="T447" s="68"/>
      <c r="U447" s="68"/>
      <c r="V447" s="68"/>
      <c r="W447" s="68"/>
      <c r="X447" s="68"/>
      <c r="Y447" s="68"/>
      <c r="Z447" s="68"/>
    </row>
    <row r="448" spans="1:26" ht="17">
      <c r="A448" s="68"/>
      <c r="B448" s="104"/>
      <c r="C448" s="104"/>
      <c r="D448" s="104"/>
      <c r="E448" s="68"/>
      <c r="F448" s="68"/>
      <c r="G448" s="68"/>
      <c r="H448" s="68"/>
      <c r="I448" s="68"/>
      <c r="J448" s="68"/>
      <c r="K448" s="68"/>
      <c r="L448" s="68"/>
      <c r="M448" s="68"/>
      <c r="N448" s="68"/>
      <c r="O448" s="68"/>
      <c r="P448" s="68"/>
      <c r="Q448" s="68"/>
      <c r="R448" s="68"/>
      <c r="S448" s="68"/>
      <c r="T448" s="68"/>
      <c r="U448" s="68"/>
      <c r="V448" s="68"/>
      <c r="W448" s="68"/>
      <c r="X448" s="68"/>
      <c r="Y448" s="68"/>
      <c r="Z448" s="68"/>
    </row>
    <row r="449" spans="1:26" ht="17">
      <c r="A449" s="68"/>
      <c r="B449" s="104"/>
      <c r="C449" s="104"/>
      <c r="D449" s="104"/>
      <c r="E449" s="68"/>
      <c r="F449" s="68"/>
      <c r="G449" s="68"/>
      <c r="H449" s="68"/>
      <c r="I449" s="68"/>
      <c r="J449" s="68"/>
      <c r="K449" s="68"/>
      <c r="L449" s="68"/>
      <c r="M449" s="68"/>
      <c r="N449" s="68"/>
      <c r="O449" s="68"/>
      <c r="P449" s="68"/>
      <c r="Q449" s="68"/>
      <c r="R449" s="68"/>
      <c r="S449" s="68"/>
      <c r="T449" s="68"/>
      <c r="U449" s="68"/>
      <c r="V449" s="68"/>
      <c r="W449" s="68"/>
      <c r="X449" s="68"/>
      <c r="Y449" s="68"/>
      <c r="Z449" s="68"/>
    </row>
    <row r="450" spans="1:26" ht="17">
      <c r="A450" s="68"/>
      <c r="B450" s="104"/>
      <c r="C450" s="104"/>
      <c r="D450" s="104"/>
      <c r="E450" s="68"/>
      <c r="F450" s="68"/>
      <c r="G450" s="68"/>
      <c r="H450" s="68"/>
      <c r="I450" s="68"/>
      <c r="J450" s="68"/>
      <c r="K450" s="68"/>
      <c r="L450" s="68"/>
      <c r="M450" s="68"/>
      <c r="N450" s="68"/>
      <c r="O450" s="68"/>
      <c r="P450" s="68"/>
      <c r="Q450" s="68"/>
      <c r="R450" s="68"/>
      <c r="S450" s="68"/>
      <c r="T450" s="68"/>
      <c r="U450" s="68"/>
      <c r="V450" s="68"/>
      <c r="W450" s="68"/>
      <c r="X450" s="68"/>
      <c r="Y450" s="68"/>
      <c r="Z450" s="68"/>
    </row>
    <row r="451" spans="1:26" ht="17">
      <c r="A451" s="68"/>
      <c r="B451" s="104"/>
      <c r="C451" s="104"/>
      <c r="D451" s="104"/>
      <c r="E451" s="68"/>
      <c r="F451" s="68"/>
      <c r="G451" s="68"/>
      <c r="H451" s="68"/>
      <c r="I451" s="68"/>
      <c r="J451" s="68"/>
      <c r="K451" s="68"/>
      <c r="L451" s="68"/>
      <c r="M451" s="68"/>
      <c r="N451" s="68"/>
      <c r="O451" s="68"/>
      <c r="P451" s="68"/>
      <c r="Q451" s="68"/>
      <c r="R451" s="68"/>
      <c r="S451" s="68"/>
      <c r="T451" s="68"/>
      <c r="U451" s="68"/>
      <c r="V451" s="68"/>
      <c r="W451" s="68"/>
      <c r="X451" s="68"/>
      <c r="Y451" s="68"/>
      <c r="Z451" s="68"/>
    </row>
    <row r="452" spans="1:26" ht="17">
      <c r="A452" s="68"/>
      <c r="B452" s="104"/>
      <c r="C452" s="104"/>
      <c r="D452" s="104"/>
      <c r="E452" s="68"/>
      <c r="F452" s="68"/>
      <c r="G452" s="68"/>
      <c r="H452" s="68"/>
      <c r="I452" s="68"/>
      <c r="J452" s="68"/>
      <c r="K452" s="68"/>
      <c r="L452" s="68"/>
      <c r="M452" s="68"/>
      <c r="N452" s="68"/>
      <c r="O452" s="68"/>
      <c r="P452" s="68"/>
      <c r="Q452" s="68"/>
      <c r="R452" s="68"/>
      <c r="S452" s="68"/>
      <c r="T452" s="68"/>
      <c r="U452" s="68"/>
      <c r="V452" s="68"/>
      <c r="W452" s="68"/>
      <c r="X452" s="68"/>
      <c r="Y452" s="68"/>
      <c r="Z452" s="68"/>
    </row>
    <row r="453" spans="1:26" ht="17">
      <c r="A453" s="68"/>
      <c r="B453" s="104"/>
      <c r="C453" s="104"/>
      <c r="D453" s="104"/>
      <c r="E453" s="68"/>
      <c r="F453" s="68"/>
      <c r="G453" s="68"/>
      <c r="H453" s="68"/>
      <c r="I453" s="68"/>
      <c r="J453" s="68"/>
      <c r="K453" s="68"/>
      <c r="L453" s="68"/>
      <c r="M453" s="68"/>
      <c r="N453" s="68"/>
      <c r="O453" s="68"/>
      <c r="P453" s="68"/>
      <c r="Q453" s="68"/>
      <c r="R453" s="68"/>
      <c r="S453" s="68"/>
      <c r="T453" s="68"/>
      <c r="U453" s="68"/>
      <c r="V453" s="68"/>
      <c r="W453" s="68"/>
      <c r="X453" s="68"/>
      <c r="Y453" s="68"/>
      <c r="Z453" s="68"/>
    </row>
    <row r="454" spans="1:26" ht="17">
      <c r="A454" s="68"/>
      <c r="B454" s="104"/>
      <c r="C454" s="104"/>
      <c r="D454" s="104"/>
      <c r="E454" s="68"/>
      <c r="F454" s="68"/>
      <c r="G454" s="68"/>
      <c r="H454" s="68"/>
      <c r="I454" s="68"/>
      <c r="J454" s="68"/>
      <c r="K454" s="68"/>
      <c r="L454" s="68"/>
      <c r="M454" s="68"/>
      <c r="N454" s="68"/>
      <c r="O454" s="68"/>
      <c r="P454" s="68"/>
      <c r="Q454" s="68"/>
      <c r="R454" s="68"/>
      <c r="S454" s="68"/>
      <c r="T454" s="68"/>
      <c r="U454" s="68"/>
      <c r="V454" s="68"/>
      <c r="W454" s="68"/>
      <c r="X454" s="68"/>
      <c r="Y454" s="68"/>
      <c r="Z454" s="68"/>
    </row>
    <row r="455" spans="1:26" ht="17">
      <c r="A455" s="68"/>
      <c r="B455" s="104"/>
      <c r="C455" s="104"/>
      <c r="D455" s="104"/>
      <c r="E455" s="68"/>
      <c r="F455" s="68"/>
      <c r="G455" s="68"/>
      <c r="H455" s="68"/>
      <c r="I455" s="68"/>
      <c r="J455" s="68"/>
      <c r="K455" s="68"/>
      <c r="L455" s="68"/>
      <c r="M455" s="68"/>
      <c r="N455" s="68"/>
      <c r="O455" s="68"/>
      <c r="P455" s="68"/>
      <c r="Q455" s="68"/>
      <c r="R455" s="68"/>
      <c r="S455" s="68"/>
      <c r="T455" s="68"/>
      <c r="U455" s="68"/>
      <c r="V455" s="68"/>
      <c r="W455" s="68"/>
      <c r="X455" s="68"/>
      <c r="Y455" s="68"/>
      <c r="Z455" s="68"/>
    </row>
    <row r="456" spans="1:26" ht="17">
      <c r="A456" s="68"/>
      <c r="B456" s="104"/>
      <c r="C456" s="104"/>
      <c r="D456" s="104"/>
      <c r="E456" s="68"/>
      <c r="F456" s="68"/>
      <c r="G456" s="68"/>
      <c r="H456" s="68"/>
      <c r="I456" s="68"/>
      <c r="J456" s="68"/>
      <c r="K456" s="68"/>
      <c r="L456" s="68"/>
      <c r="M456" s="68"/>
      <c r="N456" s="68"/>
      <c r="O456" s="68"/>
      <c r="P456" s="68"/>
      <c r="Q456" s="68"/>
      <c r="R456" s="68"/>
      <c r="S456" s="68"/>
      <c r="T456" s="68"/>
      <c r="U456" s="68"/>
      <c r="V456" s="68"/>
      <c r="W456" s="68"/>
      <c r="X456" s="68"/>
      <c r="Y456" s="68"/>
      <c r="Z456" s="68"/>
    </row>
    <row r="457" spans="1:26" ht="17">
      <c r="A457" s="68"/>
      <c r="B457" s="104"/>
      <c r="C457" s="104"/>
      <c r="D457" s="104"/>
      <c r="E457" s="68"/>
      <c r="F457" s="68"/>
      <c r="G457" s="68"/>
      <c r="H457" s="68"/>
      <c r="I457" s="68"/>
      <c r="J457" s="68"/>
      <c r="K457" s="68"/>
      <c r="L457" s="68"/>
      <c r="M457" s="68"/>
      <c r="N457" s="68"/>
      <c r="O457" s="68"/>
      <c r="P457" s="68"/>
      <c r="Q457" s="68"/>
      <c r="R457" s="68"/>
      <c r="S457" s="68"/>
      <c r="T457" s="68"/>
      <c r="U457" s="68"/>
      <c r="V457" s="68"/>
      <c r="W457" s="68"/>
      <c r="X457" s="68"/>
      <c r="Y457" s="68"/>
      <c r="Z457" s="68"/>
    </row>
    <row r="458" spans="1:26" ht="17">
      <c r="A458" s="68"/>
      <c r="B458" s="104"/>
      <c r="C458" s="104"/>
      <c r="D458" s="104"/>
      <c r="E458" s="68"/>
      <c r="F458" s="68"/>
      <c r="G458" s="68"/>
      <c r="H458" s="68"/>
      <c r="I458" s="68"/>
      <c r="J458" s="68"/>
      <c r="K458" s="68"/>
      <c r="L458" s="68"/>
      <c r="M458" s="68"/>
      <c r="N458" s="68"/>
      <c r="O458" s="68"/>
      <c r="P458" s="68"/>
      <c r="Q458" s="68"/>
      <c r="R458" s="68"/>
      <c r="S458" s="68"/>
      <c r="T458" s="68"/>
      <c r="U458" s="68"/>
      <c r="V458" s="68"/>
      <c r="W458" s="68"/>
      <c r="X458" s="68"/>
      <c r="Y458" s="68"/>
      <c r="Z458" s="68"/>
    </row>
    <row r="459" spans="1:26" ht="17">
      <c r="A459" s="68"/>
      <c r="B459" s="104"/>
      <c r="C459" s="104"/>
      <c r="D459" s="104"/>
      <c r="E459" s="68"/>
      <c r="F459" s="68"/>
      <c r="G459" s="68"/>
      <c r="H459" s="68"/>
      <c r="I459" s="68"/>
      <c r="J459" s="68"/>
      <c r="K459" s="68"/>
      <c r="L459" s="68"/>
      <c r="M459" s="68"/>
      <c r="N459" s="68"/>
      <c r="O459" s="68"/>
      <c r="P459" s="68"/>
      <c r="Q459" s="68"/>
      <c r="R459" s="68"/>
      <c r="S459" s="68"/>
      <c r="T459" s="68"/>
      <c r="U459" s="68"/>
      <c r="V459" s="68"/>
      <c r="W459" s="68"/>
      <c r="X459" s="68"/>
      <c r="Y459" s="68"/>
      <c r="Z459" s="68"/>
    </row>
    <row r="460" spans="1:26" ht="17">
      <c r="A460" s="68"/>
      <c r="B460" s="104"/>
      <c r="C460" s="104"/>
      <c r="D460" s="104"/>
      <c r="E460" s="68"/>
      <c r="F460" s="68"/>
      <c r="G460" s="68"/>
      <c r="H460" s="68"/>
      <c r="I460" s="68"/>
      <c r="J460" s="68"/>
      <c r="K460" s="68"/>
      <c r="L460" s="68"/>
      <c r="M460" s="68"/>
      <c r="N460" s="68"/>
      <c r="O460" s="68"/>
      <c r="P460" s="68"/>
      <c r="Q460" s="68"/>
      <c r="R460" s="68"/>
      <c r="S460" s="68"/>
      <c r="T460" s="68"/>
      <c r="U460" s="68"/>
      <c r="V460" s="68"/>
      <c r="W460" s="68"/>
      <c r="X460" s="68"/>
      <c r="Y460" s="68"/>
      <c r="Z460" s="68"/>
    </row>
    <row r="461" spans="1:26" ht="17">
      <c r="A461" s="68"/>
      <c r="B461" s="104"/>
      <c r="C461" s="104"/>
      <c r="D461" s="104"/>
      <c r="E461" s="68"/>
      <c r="F461" s="68"/>
      <c r="G461" s="68"/>
      <c r="H461" s="68"/>
      <c r="I461" s="68"/>
      <c r="J461" s="68"/>
      <c r="K461" s="68"/>
      <c r="L461" s="68"/>
      <c r="M461" s="68"/>
      <c r="N461" s="68"/>
      <c r="O461" s="68"/>
      <c r="P461" s="68"/>
      <c r="Q461" s="68"/>
      <c r="R461" s="68"/>
      <c r="S461" s="68"/>
      <c r="T461" s="68"/>
      <c r="U461" s="68"/>
      <c r="V461" s="68"/>
      <c r="W461" s="68"/>
      <c r="X461" s="68"/>
      <c r="Y461" s="68"/>
      <c r="Z461" s="68"/>
    </row>
    <row r="462" spans="1:26" ht="17">
      <c r="A462" s="68"/>
      <c r="B462" s="104"/>
      <c r="C462" s="104"/>
      <c r="D462" s="104"/>
      <c r="E462" s="68"/>
      <c r="F462" s="68"/>
      <c r="G462" s="68"/>
      <c r="H462" s="68"/>
      <c r="I462" s="68"/>
      <c r="J462" s="68"/>
      <c r="K462" s="68"/>
      <c r="L462" s="68"/>
      <c r="M462" s="68"/>
      <c r="N462" s="68"/>
      <c r="O462" s="68"/>
      <c r="P462" s="68"/>
      <c r="Q462" s="68"/>
      <c r="R462" s="68"/>
      <c r="S462" s="68"/>
      <c r="T462" s="68"/>
      <c r="U462" s="68"/>
      <c r="V462" s="68"/>
      <c r="W462" s="68"/>
      <c r="X462" s="68"/>
      <c r="Y462" s="68"/>
      <c r="Z462" s="68"/>
    </row>
    <row r="463" spans="1:26" ht="17">
      <c r="A463" s="68"/>
      <c r="B463" s="104"/>
      <c r="C463" s="104"/>
      <c r="D463" s="104"/>
      <c r="E463" s="68"/>
      <c r="F463" s="68"/>
      <c r="G463" s="68"/>
      <c r="H463" s="68"/>
      <c r="I463" s="68"/>
      <c r="J463" s="68"/>
      <c r="K463" s="68"/>
      <c r="L463" s="68"/>
      <c r="M463" s="68"/>
      <c r="N463" s="68"/>
      <c r="O463" s="68"/>
      <c r="P463" s="68"/>
      <c r="Q463" s="68"/>
      <c r="R463" s="68"/>
      <c r="S463" s="68"/>
      <c r="T463" s="68"/>
      <c r="U463" s="68"/>
      <c r="V463" s="68"/>
      <c r="W463" s="68"/>
      <c r="X463" s="68"/>
      <c r="Y463" s="68"/>
      <c r="Z463" s="68"/>
    </row>
    <row r="464" spans="1:26" ht="17">
      <c r="A464" s="68"/>
      <c r="B464" s="104"/>
      <c r="C464" s="104"/>
      <c r="D464" s="104"/>
      <c r="E464" s="68"/>
      <c r="F464" s="68"/>
      <c r="G464" s="68"/>
      <c r="H464" s="68"/>
      <c r="I464" s="68"/>
      <c r="J464" s="68"/>
      <c r="K464" s="68"/>
      <c r="L464" s="68"/>
      <c r="M464" s="68"/>
      <c r="N464" s="68"/>
      <c r="O464" s="68"/>
      <c r="P464" s="68"/>
      <c r="Q464" s="68"/>
      <c r="R464" s="68"/>
      <c r="S464" s="68"/>
      <c r="T464" s="68"/>
      <c r="U464" s="68"/>
      <c r="V464" s="68"/>
      <c r="W464" s="68"/>
      <c r="X464" s="68"/>
      <c r="Y464" s="68"/>
      <c r="Z464" s="68"/>
    </row>
    <row r="465" spans="1:26" ht="17">
      <c r="A465" s="68"/>
      <c r="B465" s="104"/>
      <c r="C465" s="104"/>
      <c r="D465" s="104"/>
      <c r="E465" s="68"/>
      <c r="F465" s="68"/>
      <c r="G465" s="68"/>
      <c r="H465" s="68"/>
      <c r="I465" s="68"/>
      <c r="J465" s="68"/>
      <c r="K465" s="68"/>
      <c r="L465" s="68"/>
      <c r="M465" s="68"/>
      <c r="N465" s="68"/>
      <c r="O465" s="68"/>
      <c r="P465" s="68"/>
      <c r="Q465" s="68"/>
      <c r="R465" s="68"/>
      <c r="S465" s="68"/>
      <c r="T465" s="68"/>
      <c r="U465" s="68"/>
      <c r="V465" s="68"/>
      <c r="W465" s="68"/>
      <c r="X465" s="68"/>
      <c r="Y465" s="68"/>
      <c r="Z465" s="68"/>
    </row>
    <row r="466" spans="1:26" ht="17">
      <c r="A466" s="68"/>
      <c r="B466" s="104"/>
      <c r="C466" s="104"/>
      <c r="D466" s="104"/>
      <c r="E466" s="68"/>
      <c r="F466" s="68"/>
      <c r="G466" s="68"/>
      <c r="H466" s="68"/>
      <c r="I466" s="68"/>
      <c r="J466" s="68"/>
      <c r="K466" s="68"/>
      <c r="L466" s="68"/>
      <c r="M466" s="68"/>
      <c r="N466" s="68"/>
      <c r="O466" s="68"/>
      <c r="P466" s="68"/>
      <c r="Q466" s="68"/>
      <c r="R466" s="68"/>
      <c r="S466" s="68"/>
      <c r="T466" s="68"/>
      <c r="U466" s="68"/>
      <c r="V466" s="68"/>
      <c r="W466" s="68"/>
      <c r="X466" s="68"/>
      <c r="Y466" s="68"/>
      <c r="Z466" s="68"/>
    </row>
    <row r="467" spans="1:26" ht="17">
      <c r="A467" s="68"/>
      <c r="B467" s="104"/>
      <c r="C467" s="104"/>
      <c r="D467" s="104"/>
      <c r="E467" s="68"/>
      <c r="F467" s="68"/>
      <c r="G467" s="68"/>
      <c r="H467" s="68"/>
      <c r="I467" s="68"/>
      <c r="J467" s="68"/>
      <c r="K467" s="68"/>
      <c r="L467" s="68"/>
      <c r="M467" s="68"/>
      <c r="N467" s="68"/>
      <c r="O467" s="68"/>
      <c r="P467" s="68"/>
      <c r="Q467" s="68"/>
      <c r="R467" s="68"/>
      <c r="S467" s="68"/>
      <c r="T467" s="68"/>
      <c r="U467" s="68"/>
      <c r="V467" s="68"/>
      <c r="W467" s="68"/>
      <c r="X467" s="68"/>
      <c r="Y467" s="68"/>
      <c r="Z467" s="68"/>
    </row>
    <row r="468" spans="1:26" ht="17">
      <c r="A468" s="68"/>
      <c r="B468" s="104"/>
      <c r="C468" s="104"/>
      <c r="D468" s="104"/>
      <c r="E468" s="68"/>
      <c r="F468" s="68"/>
      <c r="G468" s="68"/>
      <c r="H468" s="68"/>
      <c r="I468" s="68"/>
      <c r="J468" s="68"/>
      <c r="K468" s="68"/>
      <c r="L468" s="68"/>
      <c r="M468" s="68"/>
      <c r="N468" s="68"/>
      <c r="O468" s="68"/>
      <c r="P468" s="68"/>
      <c r="Q468" s="68"/>
      <c r="R468" s="68"/>
      <c r="S468" s="68"/>
      <c r="T468" s="68"/>
      <c r="U468" s="68"/>
      <c r="V468" s="68"/>
      <c r="W468" s="68"/>
      <c r="X468" s="68"/>
      <c r="Y468" s="68"/>
      <c r="Z468" s="68"/>
    </row>
    <row r="469" spans="1:26" ht="17">
      <c r="A469" s="68"/>
      <c r="B469" s="104"/>
      <c r="C469" s="104"/>
      <c r="D469" s="104"/>
      <c r="E469" s="68"/>
      <c r="F469" s="68"/>
      <c r="G469" s="68"/>
      <c r="H469" s="68"/>
      <c r="I469" s="68"/>
      <c r="J469" s="68"/>
      <c r="K469" s="68"/>
      <c r="L469" s="68"/>
      <c r="M469" s="68"/>
      <c r="N469" s="68"/>
      <c r="O469" s="68"/>
      <c r="P469" s="68"/>
      <c r="Q469" s="68"/>
      <c r="R469" s="68"/>
      <c r="S469" s="68"/>
      <c r="T469" s="68"/>
      <c r="U469" s="68"/>
      <c r="V469" s="68"/>
      <c r="W469" s="68"/>
      <c r="X469" s="68"/>
      <c r="Y469" s="68"/>
      <c r="Z469" s="68"/>
    </row>
    <row r="470" spans="1:26" ht="17">
      <c r="A470" s="68"/>
      <c r="B470" s="104"/>
      <c r="C470" s="104"/>
      <c r="D470" s="104"/>
      <c r="E470" s="68"/>
      <c r="F470" s="68"/>
      <c r="G470" s="68"/>
      <c r="H470" s="68"/>
      <c r="I470" s="68"/>
      <c r="J470" s="68"/>
      <c r="K470" s="68"/>
      <c r="L470" s="68"/>
      <c r="M470" s="68"/>
      <c r="N470" s="68"/>
      <c r="O470" s="68"/>
      <c r="P470" s="68"/>
      <c r="Q470" s="68"/>
      <c r="R470" s="68"/>
      <c r="S470" s="68"/>
      <c r="T470" s="68"/>
      <c r="U470" s="68"/>
      <c r="V470" s="68"/>
      <c r="W470" s="68"/>
      <c r="X470" s="68"/>
      <c r="Y470" s="68"/>
      <c r="Z470" s="68"/>
    </row>
    <row r="471" spans="1:26" ht="17">
      <c r="A471" s="68"/>
      <c r="B471" s="104"/>
      <c r="C471" s="104"/>
      <c r="D471" s="104"/>
      <c r="E471" s="68"/>
      <c r="F471" s="68"/>
      <c r="G471" s="68"/>
      <c r="H471" s="68"/>
      <c r="I471" s="68"/>
      <c r="J471" s="68"/>
      <c r="K471" s="68"/>
      <c r="L471" s="68"/>
      <c r="M471" s="68"/>
      <c r="N471" s="68"/>
      <c r="O471" s="68"/>
      <c r="P471" s="68"/>
      <c r="Q471" s="68"/>
      <c r="R471" s="68"/>
      <c r="S471" s="68"/>
      <c r="T471" s="68"/>
      <c r="U471" s="68"/>
      <c r="V471" s="68"/>
      <c r="W471" s="68"/>
      <c r="X471" s="68"/>
      <c r="Y471" s="68"/>
      <c r="Z471" s="68"/>
    </row>
    <row r="472" spans="1:26" ht="17">
      <c r="A472" s="68"/>
      <c r="B472" s="104"/>
      <c r="C472" s="104"/>
      <c r="D472" s="104"/>
      <c r="E472" s="68"/>
      <c r="F472" s="68"/>
      <c r="G472" s="68"/>
      <c r="H472" s="68"/>
      <c r="I472" s="68"/>
      <c r="J472" s="68"/>
      <c r="K472" s="68"/>
      <c r="L472" s="68"/>
      <c r="M472" s="68"/>
      <c r="N472" s="68"/>
      <c r="O472" s="68"/>
      <c r="P472" s="68"/>
      <c r="Q472" s="68"/>
      <c r="R472" s="68"/>
      <c r="S472" s="68"/>
      <c r="T472" s="68"/>
      <c r="U472" s="68"/>
      <c r="V472" s="68"/>
      <c r="W472" s="68"/>
      <c r="X472" s="68"/>
      <c r="Y472" s="68"/>
      <c r="Z472" s="68"/>
    </row>
    <row r="473" spans="1:26" ht="17">
      <c r="A473" s="68"/>
      <c r="B473" s="104"/>
      <c r="C473" s="104"/>
      <c r="D473" s="104"/>
      <c r="E473" s="68"/>
      <c r="F473" s="68"/>
      <c r="G473" s="68"/>
      <c r="H473" s="68"/>
      <c r="I473" s="68"/>
      <c r="J473" s="68"/>
      <c r="K473" s="68"/>
      <c r="L473" s="68"/>
      <c r="M473" s="68"/>
      <c r="N473" s="68"/>
      <c r="O473" s="68"/>
      <c r="P473" s="68"/>
      <c r="Q473" s="68"/>
      <c r="R473" s="68"/>
      <c r="S473" s="68"/>
      <c r="T473" s="68"/>
      <c r="U473" s="68"/>
      <c r="V473" s="68"/>
      <c r="W473" s="68"/>
      <c r="X473" s="68"/>
      <c r="Y473" s="68"/>
      <c r="Z473" s="68"/>
    </row>
    <row r="474" spans="1:26" ht="17">
      <c r="A474" s="68"/>
      <c r="B474" s="104"/>
      <c r="C474" s="104"/>
      <c r="D474" s="104"/>
      <c r="E474" s="68"/>
      <c r="F474" s="68"/>
      <c r="G474" s="68"/>
      <c r="H474" s="68"/>
      <c r="I474" s="68"/>
      <c r="J474" s="68"/>
      <c r="K474" s="68"/>
      <c r="L474" s="68"/>
      <c r="M474" s="68"/>
      <c r="N474" s="68"/>
      <c r="O474" s="68"/>
      <c r="P474" s="68"/>
      <c r="Q474" s="68"/>
      <c r="R474" s="68"/>
      <c r="S474" s="68"/>
      <c r="T474" s="68"/>
      <c r="U474" s="68"/>
      <c r="V474" s="68"/>
      <c r="W474" s="68"/>
      <c r="X474" s="68"/>
      <c r="Y474" s="68"/>
      <c r="Z474" s="68"/>
    </row>
    <row r="475" spans="1:26" ht="17">
      <c r="A475" s="68"/>
      <c r="B475" s="104"/>
      <c r="C475" s="104"/>
      <c r="D475" s="104"/>
      <c r="E475" s="68"/>
      <c r="F475" s="68"/>
      <c r="G475" s="68"/>
      <c r="H475" s="68"/>
      <c r="I475" s="68"/>
      <c r="J475" s="68"/>
      <c r="K475" s="68"/>
      <c r="L475" s="68"/>
      <c r="M475" s="68"/>
      <c r="N475" s="68"/>
      <c r="O475" s="68"/>
      <c r="P475" s="68"/>
      <c r="Q475" s="68"/>
      <c r="R475" s="68"/>
      <c r="S475" s="68"/>
      <c r="T475" s="68"/>
      <c r="U475" s="68"/>
      <c r="V475" s="68"/>
      <c r="W475" s="68"/>
      <c r="X475" s="68"/>
      <c r="Y475" s="68"/>
      <c r="Z475" s="68"/>
    </row>
    <row r="476" spans="1:26" ht="17">
      <c r="A476" s="68"/>
      <c r="B476" s="104"/>
      <c r="C476" s="104"/>
      <c r="D476" s="104"/>
      <c r="E476" s="68"/>
      <c r="F476" s="68"/>
      <c r="G476" s="68"/>
      <c r="H476" s="68"/>
      <c r="I476" s="68"/>
      <c r="J476" s="68"/>
      <c r="K476" s="68"/>
      <c r="L476" s="68"/>
      <c r="M476" s="68"/>
      <c r="N476" s="68"/>
      <c r="O476" s="68"/>
      <c r="P476" s="68"/>
      <c r="Q476" s="68"/>
      <c r="R476" s="68"/>
      <c r="S476" s="68"/>
      <c r="T476" s="68"/>
      <c r="U476" s="68"/>
      <c r="V476" s="68"/>
      <c r="W476" s="68"/>
      <c r="X476" s="68"/>
      <c r="Y476" s="68"/>
      <c r="Z476" s="68"/>
    </row>
    <row r="477" spans="1:26" ht="17">
      <c r="A477" s="68"/>
      <c r="B477" s="104"/>
      <c r="C477" s="104"/>
      <c r="D477" s="104"/>
      <c r="E477" s="68"/>
      <c r="F477" s="68"/>
      <c r="G477" s="68"/>
      <c r="H477" s="68"/>
      <c r="I477" s="68"/>
      <c r="J477" s="68"/>
      <c r="K477" s="68"/>
      <c r="L477" s="68"/>
      <c r="M477" s="68"/>
      <c r="N477" s="68"/>
      <c r="O477" s="68"/>
      <c r="P477" s="68"/>
      <c r="Q477" s="68"/>
      <c r="R477" s="68"/>
      <c r="S477" s="68"/>
      <c r="T477" s="68"/>
      <c r="U477" s="68"/>
      <c r="V477" s="68"/>
      <c r="W477" s="68"/>
      <c r="X477" s="68"/>
      <c r="Y477" s="68"/>
      <c r="Z477" s="68"/>
    </row>
    <row r="478" spans="1:26" ht="17">
      <c r="A478" s="68"/>
      <c r="B478" s="104"/>
      <c r="C478" s="104"/>
      <c r="D478" s="104"/>
      <c r="E478" s="68"/>
      <c r="F478" s="68"/>
      <c r="G478" s="68"/>
      <c r="H478" s="68"/>
      <c r="I478" s="68"/>
      <c r="J478" s="68"/>
      <c r="K478" s="68"/>
      <c r="L478" s="68"/>
      <c r="M478" s="68"/>
      <c r="N478" s="68"/>
      <c r="O478" s="68"/>
      <c r="P478" s="68"/>
      <c r="Q478" s="68"/>
      <c r="R478" s="68"/>
      <c r="S478" s="68"/>
      <c r="T478" s="68"/>
      <c r="U478" s="68"/>
      <c r="V478" s="68"/>
      <c r="W478" s="68"/>
      <c r="X478" s="68"/>
      <c r="Y478" s="68"/>
      <c r="Z478" s="68"/>
    </row>
    <row r="479" spans="1:26" ht="17">
      <c r="A479" s="68"/>
      <c r="B479" s="104"/>
      <c r="C479" s="104"/>
      <c r="D479" s="104"/>
      <c r="E479" s="68"/>
      <c r="F479" s="68"/>
      <c r="G479" s="68"/>
      <c r="H479" s="68"/>
      <c r="I479" s="68"/>
      <c r="J479" s="68"/>
      <c r="K479" s="68"/>
      <c r="L479" s="68"/>
      <c r="M479" s="68"/>
      <c r="N479" s="68"/>
      <c r="O479" s="68"/>
      <c r="P479" s="68"/>
      <c r="Q479" s="68"/>
      <c r="R479" s="68"/>
      <c r="S479" s="68"/>
      <c r="T479" s="68"/>
      <c r="U479" s="68"/>
      <c r="V479" s="68"/>
      <c r="W479" s="68"/>
      <c r="X479" s="68"/>
      <c r="Y479" s="68"/>
      <c r="Z479" s="68"/>
    </row>
    <row r="480" spans="1:26" ht="17">
      <c r="A480" s="68"/>
      <c r="B480" s="104"/>
      <c r="C480" s="104"/>
      <c r="D480" s="104"/>
      <c r="E480" s="68"/>
      <c r="F480" s="68"/>
      <c r="G480" s="68"/>
      <c r="H480" s="68"/>
      <c r="I480" s="68"/>
      <c r="J480" s="68"/>
      <c r="K480" s="68"/>
      <c r="L480" s="68"/>
      <c r="M480" s="68"/>
      <c r="N480" s="68"/>
      <c r="O480" s="68"/>
      <c r="P480" s="68"/>
      <c r="Q480" s="68"/>
      <c r="R480" s="68"/>
      <c r="S480" s="68"/>
      <c r="T480" s="68"/>
      <c r="U480" s="68"/>
      <c r="V480" s="68"/>
      <c r="W480" s="68"/>
      <c r="X480" s="68"/>
      <c r="Y480" s="68"/>
      <c r="Z480" s="68"/>
    </row>
    <row r="481" spans="1:26" ht="17">
      <c r="A481" s="68"/>
      <c r="B481" s="104"/>
      <c r="C481" s="104"/>
      <c r="D481" s="104"/>
      <c r="E481" s="68"/>
      <c r="F481" s="68"/>
      <c r="G481" s="68"/>
      <c r="H481" s="68"/>
      <c r="I481" s="68"/>
      <c r="J481" s="68"/>
      <c r="K481" s="68"/>
      <c r="L481" s="68"/>
      <c r="M481" s="68"/>
      <c r="N481" s="68"/>
      <c r="O481" s="68"/>
      <c r="P481" s="68"/>
      <c r="Q481" s="68"/>
      <c r="R481" s="68"/>
      <c r="S481" s="68"/>
      <c r="T481" s="68"/>
      <c r="U481" s="68"/>
      <c r="V481" s="68"/>
      <c r="W481" s="68"/>
      <c r="X481" s="68"/>
      <c r="Y481" s="68"/>
      <c r="Z481" s="68"/>
    </row>
    <row r="482" spans="1:26" ht="17">
      <c r="A482" s="68"/>
      <c r="B482" s="104"/>
      <c r="C482" s="104"/>
      <c r="D482" s="104"/>
      <c r="E482" s="68"/>
      <c r="F482" s="68"/>
      <c r="G482" s="68"/>
      <c r="H482" s="68"/>
      <c r="I482" s="68"/>
      <c r="J482" s="68"/>
      <c r="K482" s="68"/>
      <c r="L482" s="68"/>
      <c r="M482" s="68"/>
      <c r="N482" s="68"/>
      <c r="O482" s="68"/>
      <c r="P482" s="68"/>
      <c r="Q482" s="68"/>
      <c r="R482" s="68"/>
      <c r="S482" s="68"/>
      <c r="T482" s="68"/>
      <c r="U482" s="68"/>
      <c r="V482" s="68"/>
      <c r="W482" s="68"/>
      <c r="X482" s="68"/>
      <c r="Y482" s="68"/>
      <c r="Z482" s="68"/>
    </row>
    <row r="483" spans="1:26" ht="17">
      <c r="A483" s="68"/>
      <c r="B483" s="104"/>
      <c r="C483" s="104"/>
      <c r="D483" s="104"/>
      <c r="E483" s="68"/>
      <c r="F483" s="68"/>
      <c r="G483" s="68"/>
      <c r="H483" s="68"/>
      <c r="I483" s="68"/>
      <c r="J483" s="68"/>
      <c r="K483" s="68"/>
      <c r="L483" s="68"/>
      <c r="M483" s="68"/>
      <c r="N483" s="68"/>
      <c r="O483" s="68"/>
      <c r="P483" s="68"/>
      <c r="Q483" s="68"/>
      <c r="R483" s="68"/>
      <c r="S483" s="68"/>
      <c r="T483" s="68"/>
      <c r="U483" s="68"/>
      <c r="V483" s="68"/>
      <c r="W483" s="68"/>
      <c r="X483" s="68"/>
      <c r="Y483" s="68"/>
      <c r="Z483" s="68"/>
    </row>
    <row r="484" spans="1:26" ht="17">
      <c r="A484" s="68"/>
      <c r="B484" s="104"/>
      <c r="C484" s="104"/>
      <c r="D484" s="104"/>
      <c r="E484" s="68"/>
      <c r="F484" s="68"/>
      <c r="G484" s="68"/>
      <c r="H484" s="68"/>
      <c r="I484" s="68"/>
      <c r="J484" s="68"/>
      <c r="K484" s="68"/>
      <c r="L484" s="68"/>
      <c r="M484" s="68"/>
      <c r="N484" s="68"/>
      <c r="O484" s="68"/>
      <c r="P484" s="68"/>
      <c r="Q484" s="68"/>
      <c r="R484" s="68"/>
      <c r="S484" s="68"/>
      <c r="T484" s="68"/>
      <c r="U484" s="68"/>
      <c r="V484" s="68"/>
      <c r="W484" s="68"/>
      <c r="X484" s="68"/>
      <c r="Y484" s="68"/>
      <c r="Z484" s="68"/>
    </row>
    <row r="485" spans="1:26" ht="17">
      <c r="A485" s="68"/>
      <c r="B485" s="104"/>
      <c r="C485" s="104"/>
      <c r="D485" s="104"/>
      <c r="E485" s="68"/>
      <c r="F485" s="68"/>
      <c r="G485" s="68"/>
      <c r="H485" s="68"/>
      <c r="I485" s="68"/>
      <c r="J485" s="68"/>
      <c r="K485" s="68"/>
      <c r="L485" s="68"/>
      <c r="M485" s="68"/>
      <c r="N485" s="68"/>
      <c r="O485" s="68"/>
      <c r="P485" s="68"/>
      <c r="Q485" s="68"/>
      <c r="R485" s="68"/>
      <c r="S485" s="68"/>
      <c r="T485" s="68"/>
      <c r="U485" s="68"/>
      <c r="V485" s="68"/>
      <c r="W485" s="68"/>
      <c r="X485" s="68"/>
      <c r="Y485" s="68"/>
      <c r="Z485" s="68"/>
    </row>
    <row r="486" spans="1:26" ht="17">
      <c r="A486" s="68"/>
      <c r="B486" s="104"/>
      <c r="C486" s="104"/>
      <c r="D486" s="104"/>
      <c r="E486" s="68"/>
      <c r="F486" s="68"/>
      <c r="G486" s="68"/>
      <c r="H486" s="68"/>
      <c r="I486" s="68"/>
      <c r="J486" s="68"/>
      <c r="K486" s="68"/>
      <c r="L486" s="68"/>
      <c r="M486" s="68"/>
      <c r="N486" s="68"/>
      <c r="O486" s="68"/>
      <c r="P486" s="68"/>
      <c r="Q486" s="68"/>
      <c r="R486" s="68"/>
      <c r="S486" s="68"/>
      <c r="T486" s="68"/>
      <c r="U486" s="68"/>
      <c r="V486" s="68"/>
      <c r="W486" s="68"/>
      <c r="X486" s="68"/>
      <c r="Y486" s="68"/>
      <c r="Z486" s="68"/>
    </row>
    <row r="487" spans="1:26" ht="17">
      <c r="A487" s="68"/>
      <c r="B487" s="104"/>
      <c r="C487" s="104"/>
      <c r="D487" s="104"/>
      <c r="E487" s="68"/>
      <c r="F487" s="68"/>
      <c r="G487" s="68"/>
      <c r="H487" s="68"/>
      <c r="I487" s="68"/>
      <c r="J487" s="68"/>
      <c r="K487" s="68"/>
      <c r="L487" s="68"/>
      <c r="M487" s="68"/>
      <c r="N487" s="68"/>
      <c r="O487" s="68"/>
      <c r="P487" s="68"/>
      <c r="Q487" s="68"/>
      <c r="R487" s="68"/>
      <c r="S487" s="68"/>
      <c r="T487" s="68"/>
      <c r="U487" s="68"/>
      <c r="V487" s="68"/>
      <c r="W487" s="68"/>
      <c r="X487" s="68"/>
      <c r="Y487" s="68"/>
      <c r="Z487" s="68"/>
    </row>
    <row r="488" spans="1:26" ht="17">
      <c r="A488" s="68"/>
      <c r="B488" s="104"/>
      <c r="C488" s="104"/>
      <c r="D488" s="104"/>
      <c r="E488" s="68"/>
      <c r="F488" s="68"/>
      <c r="G488" s="68"/>
      <c r="H488" s="68"/>
      <c r="I488" s="68"/>
      <c r="J488" s="68"/>
      <c r="K488" s="68"/>
      <c r="L488" s="68"/>
      <c r="M488" s="68"/>
      <c r="N488" s="68"/>
      <c r="O488" s="68"/>
      <c r="P488" s="68"/>
      <c r="Q488" s="68"/>
      <c r="R488" s="68"/>
      <c r="S488" s="68"/>
      <c r="T488" s="68"/>
      <c r="U488" s="68"/>
      <c r="V488" s="68"/>
      <c r="W488" s="68"/>
      <c r="X488" s="68"/>
      <c r="Y488" s="68"/>
      <c r="Z488" s="68"/>
    </row>
    <row r="489" spans="1:26" ht="17">
      <c r="A489" s="68"/>
      <c r="B489" s="104"/>
      <c r="C489" s="104"/>
      <c r="D489" s="104"/>
      <c r="E489" s="68"/>
      <c r="F489" s="68"/>
      <c r="G489" s="68"/>
      <c r="H489" s="68"/>
      <c r="I489" s="68"/>
      <c r="J489" s="68"/>
      <c r="K489" s="68"/>
      <c r="L489" s="68"/>
      <c r="M489" s="68"/>
      <c r="N489" s="68"/>
      <c r="O489" s="68"/>
      <c r="P489" s="68"/>
      <c r="Q489" s="68"/>
      <c r="R489" s="68"/>
      <c r="S489" s="68"/>
      <c r="T489" s="68"/>
      <c r="U489" s="68"/>
      <c r="V489" s="68"/>
      <c r="W489" s="68"/>
      <c r="X489" s="68"/>
      <c r="Y489" s="68"/>
      <c r="Z489" s="68"/>
    </row>
    <row r="490" spans="1:26" ht="17">
      <c r="A490" s="68"/>
      <c r="B490" s="104"/>
      <c r="C490" s="104"/>
      <c r="D490" s="104"/>
      <c r="E490" s="68"/>
      <c r="F490" s="68"/>
      <c r="G490" s="68"/>
      <c r="H490" s="68"/>
      <c r="I490" s="68"/>
      <c r="J490" s="68"/>
      <c r="K490" s="68"/>
      <c r="L490" s="68"/>
      <c r="M490" s="68"/>
      <c r="N490" s="68"/>
      <c r="O490" s="68"/>
      <c r="P490" s="68"/>
      <c r="Q490" s="68"/>
      <c r="R490" s="68"/>
      <c r="S490" s="68"/>
      <c r="T490" s="68"/>
      <c r="U490" s="68"/>
      <c r="V490" s="68"/>
      <c r="W490" s="68"/>
      <c r="X490" s="68"/>
      <c r="Y490" s="68"/>
      <c r="Z490" s="68"/>
    </row>
    <row r="491" spans="1:26" ht="17">
      <c r="A491" s="68"/>
      <c r="B491" s="104"/>
      <c r="C491" s="104"/>
      <c r="D491" s="104"/>
      <c r="E491" s="68"/>
      <c r="F491" s="68"/>
      <c r="G491" s="68"/>
      <c r="H491" s="68"/>
      <c r="I491" s="68"/>
      <c r="J491" s="68"/>
      <c r="K491" s="68"/>
      <c r="L491" s="68"/>
      <c r="M491" s="68"/>
      <c r="N491" s="68"/>
      <c r="O491" s="68"/>
      <c r="P491" s="68"/>
      <c r="Q491" s="68"/>
      <c r="R491" s="68"/>
      <c r="S491" s="68"/>
      <c r="T491" s="68"/>
      <c r="U491" s="68"/>
      <c r="V491" s="68"/>
      <c r="W491" s="68"/>
      <c r="X491" s="68"/>
      <c r="Y491" s="68"/>
      <c r="Z491" s="68"/>
    </row>
    <row r="492" spans="1:26" ht="17">
      <c r="A492" s="68"/>
      <c r="B492" s="104"/>
      <c r="C492" s="104"/>
      <c r="D492" s="104"/>
      <c r="E492" s="68"/>
      <c r="F492" s="68"/>
      <c r="G492" s="68"/>
      <c r="H492" s="68"/>
      <c r="I492" s="68"/>
      <c r="J492" s="68"/>
      <c r="K492" s="68"/>
      <c r="L492" s="68"/>
      <c r="M492" s="68"/>
      <c r="N492" s="68"/>
      <c r="O492" s="68"/>
      <c r="P492" s="68"/>
      <c r="Q492" s="68"/>
      <c r="R492" s="68"/>
      <c r="S492" s="68"/>
      <c r="T492" s="68"/>
      <c r="U492" s="68"/>
      <c r="V492" s="68"/>
      <c r="W492" s="68"/>
      <c r="X492" s="68"/>
      <c r="Y492" s="68"/>
      <c r="Z492" s="68"/>
    </row>
    <row r="493" spans="1:26" ht="17">
      <c r="A493" s="68"/>
      <c r="B493" s="104"/>
      <c r="C493" s="104"/>
      <c r="D493" s="104"/>
      <c r="E493" s="68"/>
      <c r="F493" s="68"/>
      <c r="G493" s="68"/>
      <c r="H493" s="68"/>
      <c r="I493" s="68"/>
      <c r="J493" s="68"/>
      <c r="K493" s="68"/>
      <c r="L493" s="68"/>
      <c r="M493" s="68"/>
      <c r="N493" s="68"/>
      <c r="O493" s="68"/>
      <c r="P493" s="68"/>
      <c r="Q493" s="68"/>
      <c r="R493" s="68"/>
      <c r="S493" s="68"/>
      <c r="T493" s="68"/>
      <c r="U493" s="68"/>
      <c r="V493" s="68"/>
      <c r="W493" s="68"/>
      <c r="X493" s="68"/>
      <c r="Y493" s="68"/>
      <c r="Z493" s="68"/>
    </row>
    <row r="494" spans="1:26" ht="17">
      <c r="A494" s="68"/>
      <c r="B494" s="104"/>
      <c r="C494" s="104"/>
      <c r="D494" s="104"/>
      <c r="E494" s="68"/>
      <c r="F494" s="68"/>
      <c r="G494" s="68"/>
      <c r="H494" s="68"/>
      <c r="I494" s="68"/>
      <c r="J494" s="68"/>
      <c r="K494" s="68"/>
      <c r="L494" s="68"/>
      <c r="M494" s="68"/>
      <c r="N494" s="68"/>
      <c r="O494" s="68"/>
      <c r="P494" s="68"/>
      <c r="Q494" s="68"/>
      <c r="R494" s="68"/>
      <c r="S494" s="68"/>
      <c r="T494" s="68"/>
      <c r="U494" s="68"/>
      <c r="V494" s="68"/>
      <c r="W494" s="68"/>
      <c r="X494" s="68"/>
      <c r="Y494" s="68"/>
      <c r="Z494" s="68"/>
    </row>
    <row r="495" spans="1:26" ht="17">
      <c r="A495" s="68"/>
      <c r="B495" s="104"/>
      <c r="C495" s="104"/>
      <c r="D495" s="104"/>
      <c r="E495" s="68"/>
      <c r="F495" s="68"/>
      <c r="G495" s="68"/>
      <c r="H495" s="68"/>
      <c r="I495" s="68"/>
      <c r="J495" s="68"/>
      <c r="K495" s="68"/>
      <c r="L495" s="68"/>
      <c r="M495" s="68"/>
      <c r="N495" s="68"/>
      <c r="O495" s="68"/>
      <c r="P495" s="68"/>
      <c r="Q495" s="68"/>
      <c r="R495" s="68"/>
      <c r="S495" s="68"/>
      <c r="T495" s="68"/>
      <c r="U495" s="68"/>
      <c r="V495" s="68"/>
      <c r="W495" s="68"/>
      <c r="X495" s="68"/>
      <c r="Y495" s="68"/>
      <c r="Z495" s="68"/>
    </row>
    <row r="496" spans="1:26" ht="17">
      <c r="A496" s="68"/>
      <c r="B496" s="104"/>
      <c r="C496" s="104"/>
      <c r="D496" s="104"/>
      <c r="E496" s="68"/>
      <c r="F496" s="68"/>
      <c r="G496" s="68"/>
      <c r="H496" s="68"/>
      <c r="I496" s="68"/>
      <c r="J496" s="68"/>
      <c r="K496" s="68"/>
      <c r="L496" s="68"/>
      <c r="M496" s="68"/>
      <c r="N496" s="68"/>
      <c r="O496" s="68"/>
      <c r="P496" s="68"/>
      <c r="Q496" s="68"/>
      <c r="R496" s="68"/>
      <c r="S496" s="68"/>
      <c r="T496" s="68"/>
      <c r="U496" s="68"/>
      <c r="V496" s="68"/>
      <c r="W496" s="68"/>
      <c r="X496" s="68"/>
      <c r="Y496" s="68"/>
      <c r="Z496" s="68"/>
    </row>
    <row r="497" spans="1:26" ht="17">
      <c r="A497" s="68"/>
      <c r="B497" s="104"/>
      <c r="C497" s="104"/>
      <c r="D497" s="104"/>
      <c r="E497" s="68"/>
      <c r="F497" s="68"/>
      <c r="G497" s="68"/>
      <c r="H497" s="68"/>
      <c r="I497" s="68"/>
      <c r="J497" s="68"/>
      <c r="K497" s="68"/>
      <c r="L497" s="68"/>
      <c r="M497" s="68"/>
      <c r="N497" s="68"/>
      <c r="O497" s="68"/>
      <c r="P497" s="68"/>
      <c r="Q497" s="68"/>
      <c r="R497" s="68"/>
      <c r="S497" s="68"/>
      <c r="T497" s="68"/>
      <c r="U497" s="68"/>
      <c r="V497" s="68"/>
      <c r="W497" s="68"/>
      <c r="X497" s="68"/>
      <c r="Y497" s="68"/>
      <c r="Z497" s="68"/>
    </row>
    <row r="498" spans="1:26" ht="17">
      <c r="A498" s="68"/>
      <c r="B498" s="104"/>
      <c r="C498" s="104"/>
      <c r="D498" s="104"/>
      <c r="E498" s="68"/>
      <c r="F498" s="68"/>
      <c r="G498" s="68"/>
      <c r="H498" s="68"/>
      <c r="I498" s="68"/>
      <c r="J498" s="68"/>
      <c r="K498" s="68"/>
      <c r="L498" s="68"/>
      <c r="M498" s="68"/>
      <c r="N498" s="68"/>
      <c r="O498" s="68"/>
      <c r="P498" s="68"/>
      <c r="Q498" s="68"/>
      <c r="R498" s="68"/>
      <c r="S498" s="68"/>
      <c r="T498" s="68"/>
      <c r="U498" s="68"/>
      <c r="V498" s="68"/>
      <c r="W498" s="68"/>
      <c r="X498" s="68"/>
      <c r="Y498" s="68"/>
      <c r="Z498" s="68"/>
    </row>
    <row r="499" spans="1:26" ht="17">
      <c r="A499" s="68"/>
      <c r="B499" s="104"/>
      <c r="C499" s="104"/>
      <c r="D499" s="104"/>
      <c r="E499" s="68"/>
      <c r="F499" s="68"/>
      <c r="G499" s="68"/>
      <c r="H499" s="68"/>
      <c r="I499" s="68"/>
      <c r="J499" s="68"/>
      <c r="K499" s="68"/>
      <c r="L499" s="68"/>
      <c r="M499" s="68"/>
      <c r="N499" s="68"/>
      <c r="O499" s="68"/>
      <c r="P499" s="68"/>
      <c r="Q499" s="68"/>
      <c r="R499" s="68"/>
      <c r="S499" s="68"/>
      <c r="T499" s="68"/>
      <c r="U499" s="68"/>
      <c r="V499" s="68"/>
      <c r="W499" s="68"/>
      <c r="X499" s="68"/>
      <c r="Y499" s="68"/>
      <c r="Z499" s="68"/>
    </row>
    <row r="500" spans="1:26" ht="17">
      <c r="A500" s="68"/>
      <c r="B500" s="104"/>
      <c r="C500" s="104"/>
      <c r="D500" s="104"/>
      <c r="E500" s="68"/>
      <c r="F500" s="68"/>
      <c r="G500" s="68"/>
      <c r="H500" s="68"/>
      <c r="I500" s="68"/>
      <c r="J500" s="68"/>
      <c r="K500" s="68"/>
      <c r="L500" s="68"/>
      <c r="M500" s="68"/>
      <c r="N500" s="68"/>
      <c r="O500" s="68"/>
      <c r="P500" s="68"/>
      <c r="Q500" s="68"/>
      <c r="R500" s="68"/>
      <c r="S500" s="68"/>
      <c r="T500" s="68"/>
      <c r="U500" s="68"/>
      <c r="V500" s="68"/>
      <c r="W500" s="68"/>
      <c r="X500" s="68"/>
      <c r="Y500" s="68"/>
      <c r="Z500" s="68"/>
    </row>
    <row r="501" spans="1:26" ht="17">
      <c r="A501" s="68"/>
      <c r="B501" s="104"/>
      <c r="C501" s="104"/>
      <c r="D501" s="104"/>
      <c r="E501" s="68"/>
      <c r="F501" s="68"/>
      <c r="G501" s="68"/>
      <c r="H501" s="68"/>
      <c r="I501" s="68"/>
      <c r="J501" s="68"/>
      <c r="K501" s="68"/>
      <c r="L501" s="68"/>
      <c r="M501" s="68"/>
      <c r="N501" s="68"/>
      <c r="O501" s="68"/>
      <c r="P501" s="68"/>
      <c r="Q501" s="68"/>
      <c r="R501" s="68"/>
      <c r="S501" s="68"/>
      <c r="T501" s="68"/>
      <c r="U501" s="68"/>
      <c r="V501" s="68"/>
      <c r="W501" s="68"/>
      <c r="X501" s="68"/>
      <c r="Y501" s="68"/>
      <c r="Z501" s="68"/>
    </row>
    <row r="502" spans="1:26" ht="17">
      <c r="A502" s="68"/>
      <c r="B502" s="104"/>
      <c r="C502" s="104"/>
      <c r="D502" s="104"/>
      <c r="E502" s="68"/>
      <c r="F502" s="68"/>
      <c r="G502" s="68"/>
      <c r="H502" s="68"/>
      <c r="I502" s="68"/>
      <c r="J502" s="68"/>
      <c r="K502" s="68"/>
      <c r="L502" s="68"/>
      <c r="M502" s="68"/>
      <c r="N502" s="68"/>
      <c r="O502" s="68"/>
      <c r="P502" s="68"/>
      <c r="Q502" s="68"/>
      <c r="R502" s="68"/>
      <c r="S502" s="68"/>
      <c r="T502" s="68"/>
      <c r="U502" s="68"/>
      <c r="V502" s="68"/>
      <c r="W502" s="68"/>
      <c r="X502" s="68"/>
      <c r="Y502" s="68"/>
      <c r="Z502" s="68"/>
    </row>
    <row r="503" spans="1:26" ht="17">
      <c r="A503" s="68"/>
      <c r="B503" s="104"/>
      <c r="C503" s="104"/>
      <c r="D503" s="104"/>
      <c r="E503" s="68"/>
      <c r="F503" s="68"/>
      <c r="G503" s="68"/>
      <c r="H503" s="68"/>
      <c r="I503" s="68"/>
      <c r="J503" s="68"/>
      <c r="K503" s="68"/>
      <c r="L503" s="68"/>
      <c r="M503" s="68"/>
      <c r="N503" s="68"/>
      <c r="O503" s="68"/>
      <c r="P503" s="68"/>
      <c r="Q503" s="68"/>
      <c r="R503" s="68"/>
      <c r="S503" s="68"/>
      <c r="T503" s="68"/>
      <c r="U503" s="68"/>
      <c r="V503" s="68"/>
      <c r="W503" s="68"/>
      <c r="X503" s="68"/>
      <c r="Y503" s="68"/>
      <c r="Z503" s="68"/>
    </row>
    <row r="504" spans="1:26" ht="17">
      <c r="A504" s="68"/>
      <c r="B504" s="104"/>
      <c r="C504" s="104"/>
      <c r="D504" s="104"/>
      <c r="E504" s="68"/>
      <c r="F504" s="68"/>
      <c r="G504" s="68"/>
      <c r="H504" s="68"/>
      <c r="I504" s="68"/>
      <c r="J504" s="68"/>
      <c r="K504" s="68"/>
      <c r="L504" s="68"/>
      <c r="M504" s="68"/>
      <c r="N504" s="68"/>
      <c r="O504" s="68"/>
      <c r="P504" s="68"/>
      <c r="Q504" s="68"/>
      <c r="R504" s="68"/>
      <c r="S504" s="68"/>
      <c r="T504" s="68"/>
      <c r="U504" s="68"/>
      <c r="V504" s="68"/>
      <c r="W504" s="68"/>
      <c r="X504" s="68"/>
      <c r="Y504" s="68"/>
      <c r="Z504" s="68"/>
    </row>
    <row r="505" spans="1:26" ht="17">
      <c r="A505" s="68"/>
      <c r="B505" s="104"/>
      <c r="C505" s="104"/>
      <c r="D505" s="104"/>
      <c r="E505" s="68"/>
      <c r="F505" s="68"/>
      <c r="G505" s="68"/>
      <c r="H505" s="68"/>
      <c r="I505" s="68"/>
      <c r="J505" s="68"/>
      <c r="K505" s="68"/>
      <c r="L505" s="68"/>
      <c r="M505" s="68"/>
      <c r="N505" s="68"/>
      <c r="O505" s="68"/>
      <c r="P505" s="68"/>
      <c r="Q505" s="68"/>
      <c r="R505" s="68"/>
      <c r="S505" s="68"/>
      <c r="T505" s="68"/>
      <c r="U505" s="68"/>
      <c r="V505" s="68"/>
      <c r="W505" s="68"/>
      <c r="X505" s="68"/>
      <c r="Y505" s="68"/>
      <c r="Z505" s="68"/>
    </row>
    <row r="506" spans="1:26" ht="17">
      <c r="A506" s="68"/>
      <c r="B506" s="104"/>
      <c r="C506" s="104"/>
      <c r="D506" s="104"/>
      <c r="E506" s="68"/>
      <c r="F506" s="68"/>
      <c r="G506" s="68"/>
      <c r="H506" s="68"/>
      <c r="I506" s="68"/>
      <c r="J506" s="68"/>
      <c r="K506" s="68"/>
      <c r="L506" s="68"/>
      <c r="M506" s="68"/>
      <c r="N506" s="68"/>
      <c r="O506" s="68"/>
      <c r="P506" s="68"/>
      <c r="Q506" s="68"/>
      <c r="R506" s="68"/>
      <c r="S506" s="68"/>
      <c r="T506" s="68"/>
      <c r="U506" s="68"/>
      <c r="V506" s="68"/>
      <c r="W506" s="68"/>
      <c r="X506" s="68"/>
      <c r="Y506" s="68"/>
      <c r="Z506" s="68"/>
    </row>
    <row r="507" spans="1:26" ht="17">
      <c r="A507" s="68"/>
      <c r="B507" s="104"/>
      <c r="C507" s="104"/>
      <c r="D507" s="104"/>
      <c r="E507" s="68"/>
      <c r="F507" s="68"/>
      <c r="G507" s="68"/>
      <c r="H507" s="68"/>
      <c r="I507" s="68"/>
      <c r="J507" s="68"/>
      <c r="K507" s="68"/>
      <c r="L507" s="68"/>
      <c r="M507" s="68"/>
      <c r="N507" s="68"/>
      <c r="O507" s="68"/>
      <c r="P507" s="68"/>
      <c r="Q507" s="68"/>
      <c r="R507" s="68"/>
      <c r="S507" s="68"/>
      <c r="T507" s="68"/>
      <c r="U507" s="68"/>
      <c r="V507" s="68"/>
      <c r="W507" s="68"/>
      <c r="X507" s="68"/>
      <c r="Y507" s="68"/>
      <c r="Z507" s="68"/>
    </row>
    <row r="508" spans="1:26" ht="17">
      <c r="A508" s="68"/>
      <c r="B508" s="104"/>
      <c r="C508" s="104"/>
      <c r="D508" s="104"/>
      <c r="E508" s="68"/>
      <c r="F508" s="68"/>
      <c r="G508" s="68"/>
      <c r="H508" s="68"/>
      <c r="I508" s="68"/>
      <c r="J508" s="68"/>
      <c r="K508" s="68"/>
      <c r="L508" s="68"/>
      <c r="M508" s="68"/>
      <c r="N508" s="68"/>
      <c r="O508" s="68"/>
      <c r="P508" s="68"/>
      <c r="Q508" s="68"/>
      <c r="R508" s="68"/>
      <c r="S508" s="68"/>
      <c r="T508" s="68"/>
      <c r="U508" s="68"/>
      <c r="V508" s="68"/>
      <c r="W508" s="68"/>
      <c r="X508" s="68"/>
      <c r="Y508" s="68"/>
      <c r="Z508" s="68"/>
    </row>
    <row r="509" spans="1:26" ht="17">
      <c r="A509" s="68"/>
      <c r="B509" s="104"/>
      <c r="C509" s="104"/>
      <c r="D509" s="104"/>
      <c r="E509" s="68"/>
      <c r="F509" s="68"/>
      <c r="G509" s="68"/>
      <c r="H509" s="68"/>
      <c r="I509" s="68"/>
      <c r="J509" s="68"/>
      <c r="K509" s="68"/>
      <c r="L509" s="68"/>
      <c r="M509" s="68"/>
      <c r="N509" s="68"/>
      <c r="O509" s="68"/>
      <c r="P509" s="68"/>
      <c r="Q509" s="68"/>
      <c r="R509" s="68"/>
      <c r="S509" s="68"/>
      <c r="T509" s="68"/>
      <c r="U509" s="68"/>
      <c r="V509" s="68"/>
      <c r="W509" s="68"/>
      <c r="X509" s="68"/>
      <c r="Y509" s="68"/>
      <c r="Z509" s="68"/>
    </row>
    <row r="510" spans="1:26" ht="17">
      <c r="A510" s="68"/>
      <c r="B510" s="104"/>
      <c r="C510" s="104"/>
      <c r="D510" s="104"/>
      <c r="E510" s="68"/>
      <c r="F510" s="68"/>
      <c r="G510" s="68"/>
      <c r="H510" s="68"/>
      <c r="I510" s="68"/>
      <c r="J510" s="68"/>
      <c r="K510" s="68"/>
      <c r="L510" s="68"/>
      <c r="M510" s="68"/>
      <c r="N510" s="68"/>
      <c r="O510" s="68"/>
      <c r="P510" s="68"/>
      <c r="Q510" s="68"/>
      <c r="R510" s="68"/>
      <c r="S510" s="68"/>
      <c r="T510" s="68"/>
      <c r="U510" s="68"/>
      <c r="V510" s="68"/>
      <c r="W510" s="68"/>
      <c r="X510" s="68"/>
      <c r="Y510" s="68"/>
      <c r="Z510" s="68"/>
    </row>
    <row r="511" spans="1:26" ht="17">
      <c r="A511" s="68"/>
      <c r="B511" s="104"/>
      <c r="C511" s="104"/>
      <c r="D511" s="104"/>
      <c r="E511" s="68"/>
      <c r="F511" s="68"/>
      <c r="G511" s="68"/>
      <c r="H511" s="68"/>
      <c r="I511" s="68"/>
      <c r="J511" s="68"/>
      <c r="K511" s="68"/>
      <c r="L511" s="68"/>
      <c r="M511" s="68"/>
      <c r="N511" s="68"/>
      <c r="O511" s="68"/>
      <c r="P511" s="68"/>
      <c r="Q511" s="68"/>
      <c r="R511" s="68"/>
      <c r="S511" s="68"/>
      <c r="T511" s="68"/>
      <c r="U511" s="68"/>
      <c r="V511" s="68"/>
      <c r="W511" s="68"/>
      <c r="X511" s="68"/>
      <c r="Y511" s="68"/>
      <c r="Z511" s="68"/>
    </row>
    <row r="512" spans="1:26" ht="17">
      <c r="A512" s="68"/>
      <c r="B512" s="104"/>
      <c r="C512" s="104"/>
      <c r="D512" s="104"/>
      <c r="E512" s="68"/>
      <c r="F512" s="68"/>
      <c r="G512" s="68"/>
      <c r="H512" s="68"/>
      <c r="I512" s="68"/>
      <c r="J512" s="68"/>
      <c r="K512" s="68"/>
      <c r="L512" s="68"/>
      <c r="M512" s="68"/>
      <c r="N512" s="68"/>
      <c r="O512" s="68"/>
      <c r="P512" s="68"/>
      <c r="Q512" s="68"/>
      <c r="R512" s="68"/>
      <c r="S512" s="68"/>
      <c r="T512" s="68"/>
      <c r="U512" s="68"/>
      <c r="V512" s="68"/>
      <c r="W512" s="68"/>
      <c r="X512" s="68"/>
      <c r="Y512" s="68"/>
      <c r="Z512" s="68"/>
    </row>
    <row r="513" spans="1:26" ht="17">
      <c r="A513" s="68"/>
      <c r="B513" s="104"/>
      <c r="C513" s="104"/>
      <c r="D513" s="104"/>
      <c r="E513" s="68"/>
      <c r="F513" s="68"/>
      <c r="G513" s="68"/>
      <c r="H513" s="68"/>
      <c r="I513" s="68"/>
      <c r="J513" s="68"/>
      <c r="K513" s="68"/>
      <c r="L513" s="68"/>
      <c r="M513" s="68"/>
      <c r="N513" s="68"/>
      <c r="O513" s="68"/>
      <c r="P513" s="68"/>
      <c r="Q513" s="68"/>
      <c r="R513" s="68"/>
      <c r="S513" s="68"/>
      <c r="T513" s="68"/>
      <c r="U513" s="68"/>
      <c r="V513" s="68"/>
      <c r="W513" s="68"/>
      <c r="X513" s="68"/>
      <c r="Y513" s="68"/>
      <c r="Z513" s="68"/>
    </row>
    <row r="514" spans="1:26" ht="17">
      <c r="A514" s="68"/>
      <c r="B514" s="104"/>
      <c r="C514" s="104"/>
      <c r="D514" s="104"/>
      <c r="E514" s="68"/>
      <c r="F514" s="68"/>
      <c r="G514" s="68"/>
      <c r="H514" s="68"/>
      <c r="I514" s="68"/>
      <c r="J514" s="68"/>
      <c r="K514" s="68"/>
      <c r="L514" s="68"/>
      <c r="M514" s="68"/>
      <c r="N514" s="68"/>
      <c r="O514" s="68"/>
      <c r="P514" s="68"/>
      <c r="Q514" s="68"/>
      <c r="R514" s="68"/>
      <c r="S514" s="68"/>
      <c r="T514" s="68"/>
      <c r="U514" s="68"/>
      <c r="V514" s="68"/>
      <c r="W514" s="68"/>
      <c r="X514" s="68"/>
      <c r="Y514" s="68"/>
      <c r="Z514" s="68"/>
    </row>
    <row r="515" spans="1:26" ht="17">
      <c r="A515" s="68"/>
      <c r="B515" s="104"/>
      <c r="C515" s="104"/>
      <c r="D515" s="104"/>
      <c r="E515" s="68"/>
      <c r="F515" s="68"/>
      <c r="G515" s="68"/>
      <c r="H515" s="68"/>
      <c r="I515" s="68"/>
      <c r="J515" s="68"/>
      <c r="K515" s="68"/>
      <c r="L515" s="68"/>
      <c r="M515" s="68"/>
      <c r="N515" s="68"/>
      <c r="O515" s="68"/>
      <c r="P515" s="68"/>
      <c r="Q515" s="68"/>
      <c r="R515" s="68"/>
      <c r="S515" s="68"/>
      <c r="T515" s="68"/>
      <c r="U515" s="68"/>
      <c r="V515" s="68"/>
      <c r="W515" s="68"/>
      <c r="X515" s="68"/>
      <c r="Y515" s="68"/>
      <c r="Z515" s="68"/>
    </row>
    <row r="516" spans="1:26" ht="17">
      <c r="A516" s="68"/>
      <c r="B516" s="104"/>
      <c r="C516" s="104"/>
      <c r="D516" s="104"/>
      <c r="E516" s="68"/>
      <c r="F516" s="68"/>
      <c r="G516" s="68"/>
      <c r="H516" s="68"/>
      <c r="I516" s="68"/>
      <c r="J516" s="68"/>
      <c r="K516" s="68"/>
      <c r="L516" s="68"/>
      <c r="M516" s="68"/>
      <c r="N516" s="68"/>
      <c r="O516" s="68"/>
      <c r="P516" s="68"/>
      <c r="Q516" s="68"/>
      <c r="R516" s="68"/>
      <c r="S516" s="68"/>
      <c r="T516" s="68"/>
      <c r="U516" s="68"/>
      <c r="V516" s="68"/>
      <c r="W516" s="68"/>
      <c r="X516" s="68"/>
      <c r="Y516" s="68"/>
      <c r="Z516" s="68"/>
    </row>
    <row r="517" spans="1:26" ht="17">
      <c r="A517" s="68"/>
      <c r="B517" s="104"/>
      <c r="C517" s="104"/>
      <c r="D517" s="104"/>
      <c r="E517" s="68"/>
      <c r="F517" s="68"/>
      <c r="G517" s="68"/>
      <c r="H517" s="68"/>
      <c r="I517" s="68"/>
      <c r="J517" s="68"/>
      <c r="K517" s="68"/>
      <c r="L517" s="68"/>
      <c r="M517" s="68"/>
      <c r="N517" s="68"/>
      <c r="O517" s="68"/>
      <c r="P517" s="68"/>
      <c r="Q517" s="68"/>
      <c r="R517" s="68"/>
      <c r="S517" s="68"/>
      <c r="T517" s="68"/>
      <c r="U517" s="68"/>
      <c r="V517" s="68"/>
      <c r="W517" s="68"/>
      <c r="X517" s="68"/>
      <c r="Y517" s="68"/>
      <c r="Z517" s="68"/>
    </row>
    <row r="518" spans="1:26" ht="17">
      <c r="A518" s="68"/>
      <c r="B518" s="104"/>
      <c r="C518" s="104"/>
      <c r="D518" s="104"/>
      <c r="E518" s="68"/>
      <c r="F518" s="68"/>
      <c r="G518" s="68"/>
      <c r="H518" s="68"/>
      <c r="I518" s="68"/>
      <c r="J518" s="68"/>
      <c r="K518" s="68"/>
      <c r="L518" s="68"/>
      <c r="M518" s="68"/>
      <c r="N518" s="68"/>
      <c r="O518" s="68"/>
      <c r="P518" s="68"/>
      <c r="Q518" s="68"/>
      <c r="R518" s="68"/>
      <c r="S518" s="68"/>
      <c r="T518" s="68"/>
      <c r="U518" s="68"/>
      <c r="V518" s="68"/>
      <c r="W518" s="68"/>
      <c r="X518" s="68"/>
      <c r="Y518" s="68"/>
      <c r="Z518" s="68"/>
    </row>
    <row r="519" spans="1:26" ht="17">
      <c r="A519" s="68"/>
      <c r="B519" s="104"/>
      <c r="C519" s="104"/>
      <c r="D519" s="104"/>
      <c r="E519" s="68"/>
      <c r="F519" s="68"/>
      <c r="G519" s="68"/>
      <c r="H519" s="68"/>
      <c r="I519" s="68"/>
      <c r="J519" s="68"/>
      <c r="K519" s="68"/>
      <c r="L519" s="68"/>
      <c r="M519" s="68"/>
      <c r="N519" s="68"/>
      <c r="O519" s="68"/>
      <c r="P519" s="68"/>
      <c r="Q519" s="68"/>
      <c r="R519" s="68"/>
      <c r="S519" s="68"/>
      <c r="T519" s="68"/>
      <c r="U519" s="68"/>
      <c r="V519" s="68"/>
      <c r="W519" s="68"/>
      <c r="X519" s="68"/>
      <c r="Y519" s="68"/>
      <c r="Z519" s="68"/>
    </row>
    <row r="520" spans="1:26" ht="17">
      <c r="A520" s="68"/>
      <c r="B520" s="104"/>
      <c r="C520" s="104"/>
      <c r="D520" s="104"/>
      <c r="E520" s="68"/>
      <c r="F520" s="68"/>
      <c r="G520" s="68"/>
      <c r="H520" s="68"/>
      <c r="I520" s="68"/>
      <c r="J520" s="68"/>
      <c r="K520" s="68"/>
      <c r="L520" s="68"/>
      <c r="M520" s="68"/>
      <c r="N520" s="68"/>
      <c r="O520" s="68"/>
      <c r="P520" s="68"/>
      <c r="Q520" s="68"/>
      <c r="R520" s="68"/>
      <c r="S520" s="68"/>
      <c r="T520" s="68"/>
      <c r="U520" s="68"/>
      <c r="V520" s="68"/>
      <c r="W520" s="68"/>
      <c r="X520" s="68"/>
      <c r="Y520" s="68"/>
      <c r="Z520" s="68"/>
    </row>
    <row r="521" spans="1:26" ht="17">
      <c r="A521" s="68"/>
      <c r="B521" s="104"/>
      <c r="C521" s="104"/>
      <c r="D521" s="104"/>
      <c r="E521" s="68"/>
      <c r="F521" s="68"/>
      <c r="G521" s="68"/>
      <c r="H521" s="68"/>
      <c r="I521" s="68"/>
      <c r="J521" s="68"/>
      <c r="K521" s="68"/>
      <c r="L521" s="68"/>
      <c r="M521" s="68"/>
      <c r="N521" s="68"/>
      <c r="O521" s="68"/>
      <c r="P521" s="68"/>
      <c r="Q521" s="68"/>
      <c r="R521" s="68"/>
      <c r="S521" s="68"/>
      <c r="T521" s="68"/>
      <c r="U521" s="68"/>
      <c r="V521" s="68"/>
      <c r="W521" s="68"/>
      <c r="X521" s="68"/>
      <c r="Y521" s="68"/>
      <c r="Z521" s="68"/>
    </row>
    <row r="522" spans="1:26" ht="17">
      <c r="A522" s="68"/>
      <c r="B522" s="104"/>
      <c r="C522" s="104"/>
      <c r="D522" s="104"/>
      <c r="E522" s="68"/>
      <c r="F522" s="68"/>
      <c r="G522" s="68"/>
      <c r="H522" s="68"/>
      <c r="I522" s="68"/>
      <c r="J522" s="68"/>
      <c r="K522" s="68"/>
      <c r="L522" s="68"/>
      <c r="M522" s="68"/>
      <c r="N522" s="68"/>
      <c r="O522" s="68"/>
      <c r="P522" s="68"/>
      <c r="Q522" s="68"/>
      <c r="R522" s="68"/>
      <c r="S522" s="68"/>
      <c r="T522" s="68"/>
      <c r="U522" s="68"/>
      <c r="V522" s="68"/>
      <c r="W522" s="68"/>
      <c r="X522" s="68"/>
      <c r="Y522" s="68"/>
      <c r="Z522" s="68"/>
    </row>
    <row r="523" spans="1:26" ht="17">
      <c r="A523" s="68"/>
      <c r="B523" s="104"/>
      <c r="C523" s="104"/>
      <c r="D523" s="104"/>
      <c r="E523" s="68"/>
      <c r="F523" s="68"/>
      <c r="G523" s="68"/>
      <c r="H523" s="68"/>
      <c r="I523" s="68"/>
      <c r="J523" s="68"/>
      <c r="K523" s="68"/>
      <c r="L523" s="68"/>
      <c r="M523" s="68"/>
      <c r="N523" s="68"/>
      <c r="O523" s="68"/>
      <c r="P523" s="68"/>
      <c r="Q523" s="68"/>
      <c r="R523" s="68"/>
      <c r="S523" s="68"/>
      <c r="T523" s="68"/>
      <c r="U523" s="68"/>
      <c r="V523" s="68"/>
      <c r="W523" s="68"/>
      <c r="X523" s="68"/>
      <c r="Y523" s="68"/>
      <c r="Z523" s="68"/>
    </row>
    <row r="524" spans="1:26" ht="17">
      <c r="A524" s="68"/>
      <c r="B524" s="104"/>
      <c r="C524" s="104"/>
      <c r="D524" s="104"/>
      <c r="E524" s="68"/>
      <c r="F524" s="68"/>
      <c r="G524" s="68"/>
      <c r="H524" s="68"/>
      <c r="I524" s="68"/>
      <c r="J524" s="68"/>
      <c r="K524" s="68"/>
      <c r="L524" s="68"/>
      <c r="M524" s="68"/>
      <c r="N524" s="68"/>
      <c r="O524" s="68"/>
      <c r="P524" s="68"/>
      <c r="Q524" s="68"/>
      <c r="R524" s="68"/>
      <c r="S524" s="68"/>
      <c r="T524" s="68"/>
      <c r="U524" s="68"/>
      <c r="V524" s="68"/>
      <c r="W524" s="68"/>
      <c r="X524" s="68"/>
      <c r="Y524" s="68"/>
      <c r="Z524" s="68"/>
    </row>
    <row r="525" spans="1:26" ht="17">
      <c r="A525" s="68"/>
      <c r="B525" s="104"/>
      <c r="C525" s="104"/>
      <c r="D525" s="104"/>
      <c r="E525" s="68"/>
      <c r="F525" s="68"/>
      <c r="G525" s="68"/>
      <c r="H525" s="68"/>
      <c r="I525" s="68"/>
      <c r="J525" s="68"/>
      <c r="K525" s="68"/>
      <c r="L525" s="68"/>
      <c r="M525" s="68"/>
      <c r="N525" s="68"/>
      <c r="O525" s="68"/>
      <c r="P525" s="68"/>
      <c r="Q525" s="68"/>
      <c r="R525" s="68"/>
      <c r="S525" s="68"/>
      <c r="T525" s="68"/>
      <c r="U525" s="68"/>
      <c r="V525" s="68"/>
      <c r="W525" s="68"/>
      <c r="X525" s="68"/>
      <c r="Y525" s="68"/>
      <c r="Z525" s="68"/>
    </row>
    <row r="526" spans="1:26" ht="17">
      <c r="A526" s="68"/>
      <c r="B526" s="104"/>
      <c r="C526" s="104"/>
      <c r="D526" s="104"/>
      <c r="E526" s="68"/>
      <c r="F526" s="68"/>
      <c r="G526" s="68"/>
      <c r="H526" s="68"/>
      <c r="I526" s="68"/>
      <c r="J526" s="68"/>
      <c r="K526" s="68"/>
      <c r="L526" s="68"/>
      <c r="M526" s="68"/>
      <c r="N526" s="68"/>
      <c r="O526" s="68"/>
      <c r="P526" s="68"/>
      <c r="Q526" s="68"/>
      <c r="R526" s="68"/>
      <c r="S526" s="68"/>
      <c r="T526" s="68"/>
      <c r="U526" s="68"/>
      <c r="V526" s="68"/>
      <c r="W526" s="68"/>
      <c r="X526" s="68"/>
      <c r="Y526" s="68"/>
      <c r="Z526" s="68"/>
    </row>
    <row r="527" spans="1:26" ht="17">
      <c r="A527" s="68"/>
      <c r="B527" s="104"/>
      <c r="C527" s="104"/>
      <c r="D527" s="104"/>
      <c r="E527" s="68"/>
      <c r="F527" s="68"/>
      <c r="G527" s="68"/>
      <c r="H527" s="68"/>
      <c r="I527" s="68"/>
      <c r="J527" s="68"/>
      <c r="K527" s="68"/>
      <c r="L527" s="68"/>
      <c r="M527" s="68"/>
      <c r="N527" s="68"/>
      <c r="O527" s="68"/>
      <c r="P527" s="68"/>
      <c r="Q527" s="68"/>
      <c r="R527" s="68"/>
      <c r="S527" s="68"/>
      <c r="T527" s="68"/>
      <c r="U527" s="68"/>
      <c r="V527" s="68"/>
      <c r="W527" s="68"/>
      <c r="X527" s="68"/>
      <c r="Y527" s="68"/>
      <c r="Z527" s="68"/>
    </row>
    <row r="528" spans="1:26" ht="17">
      <c r="A528" s="68"/>
      <c r="B528" s="104"/>
      <c r="C528" s="104"/>
      <c r="D528" s="104"/>
      <c r="E528" s="68"/>
      <c r="F528" s="68"/>
      <c r="G528" s="68"/>
      <c r="H528" s="68"/>
      <c r="I528" s="68"/>
      <c r="J528" s="68"/>
      <c r="K528" s="68"/>
      <c r="L528" s="68"/>
      <c r="M528" s="68"/>
      <c r="N528" s="68"/>
      <c r="O528" s="68"/>
      <c r="P528" s="68"/>
      <c r="Q528" s="68"/>
      <c r="R528" s="68"/>
      <c r="S528" s="68"/>
      <c r="T528" s="68"/>
      <c r="U528" s="68"/>
      <c r="V528" s="68"/>
      <c r="W528" s="68"/>
      <c r="X528" s="68"/>
      <c r="Y528" s="68"/>
      <c r="Z528" s="68"/>
    </row>
    <row r="529" spans="1:26" ht="17">
      <c r="A529" s="68"/>
      <c r="B529" s="104"/>
      <c r="C529" s="104"/>
      <c r="D529" s="104"/>
      <c r="E529" s="68"/>
      <c r="F529" s="68"/>
      <c r="G529" s="68"/>
      <c r="H529" s="68"/>
      <c r="I529" s="68"/>
      <c r="J529" s="68"/>
      <c r="K529" s="68"/>
      <c r="L529" s="68"/>
      <c r="M529" s="68"/>
      <c r="N529" s="68"/>
      <c r="O529" s="68"/>
      <c r="P529" s="68"/>
      <c r="Q529" s="68"/>
      <c r="R529" s="68"/>
      <c r="S529" s="68"/>
      <c r="T529" s="68"/>
      <c r="U529" s="68"/>
      <c r="V529" s="68"/>
      <c r="W529" s="68"/>
      <c r="X529" s="68"/>
      <c r="Y529" s="68"/>
      <c r="Z529" s="68"/>
    </row>
    <row r="530" spans="1:26" ht="17">
      <c r="A530" s="68"/>
      <c r="B530" s="104"/>
      <c r="C530" s="104"/>
      <c r="D530" s="104"/>
      <c r="E530" s="68"/>
      <c r="F530" s="68"/>
      <c r="G530" s="68"/>
      <c r="H530" s="68"/>
      <c r="I530" s="68"/>
      <c r="J530" s="68"/>
      <c r="K530" s="68"/>
      <c r="L530" s="68"/>
      <c r="M530" s="68"/>
      <c r="N530" s="68"/>
      <c r="O530" s="68"/>
      <c r="P530" s="68"/>
      <c r="Q530" s="68"/>
      <c r="R530" s="68"/>
      <c r="S530" s="68"/>
      <c r="T530" s="68"/>
      <c r="U530" s="68"/>
      <c r="V530" s="68"/>
      <c r="W530" s="68"/>
      <c r="X530" s="68"/>
      <c r="Y530" s="68"/>
      <c r="Z530" s="68"/>
    </row>
    <row r="531" spans="1:26" ht="17">
      <c r="A531" s="68"/>
      <c r="B531" s="104"/>
      <c r="C531" s="104"/>
      <c r="D531" s="104"/>
      <c r="E531" s="68"/>
      <c r="F531" s="68"/>
      <c r="G531" s="68"/>
      <c r="H531" s="68"/>
      <c r="I531" s="68"/>
      <c r="J531" s="68"/>
      <c r="K531" s="68"/>
      <c r="L531" s="68"/>
      <c r="M531" s="68"/>
      <c r="N531" s="68"/>
      <c r="O531" s="68"/>
      <c r="P531" s="68"/>
      <c r="Q531" s="68"/>
      <c r="R531" s="68"/>
      <c r="S531" s="68"/>
      <c r="T531" s="68"/>
      <c r="U531" s="68"/>
      <c r="V531" s="68"/>
      <c r="W531" s="68"/>
      <c r="X531" s="68"/>
      <c r="Y531" s="68"/>
      <c r="Z531" s="68"/>
    </row>
    <row r="532" spans="1:26" ht="17">
      <c r="A532" s="68"/>
      <c r="B532" s="104"/>
      <c r="C532" s="104"/>
      <c r="D532" s="104"/>
      <c r="E532" s="68"/>
      <c r="F532" s="68"/>
      <c r="G532" s="68"/>
      <c r="H532" s="68"/>
      <c r="I532" s="68"/>
      <c r="J532" s="68"/>
      <c r="K532" s="68"/>
      <c r="L532" s="68"/>
      <c r="M532" s="68"/>
      <c r="N532" s="68"/>
      <c r="O532" s="68"/>
      <c r="P532" s="68"/>
      <c r="Q532" s="68"/>
      <c r="R532" s="68"/>
      <c r="S532" s="68"/>
      <c r="T532" s="68"/>
      <c r="U532" s="68"/>
      <c r="V532" s="68"/>
      <c r="W532" s="68"/>
      <c r="X532" s="68"/>
      <c r="Y532" s="68"/>
      <c r="Z532" s="68"/>
    </row>
    <row r="533" spans="1:26" ht="17">
      <c r="A533" s="68"/>
      <c r="B533" s="104"/>
      <c r="C533" s="104"/>
      <c r="D533" s="104"/>
      <c r="E533" s="68"/>
      <c r="F533" s="68"/>
      <c r="G533" s="68"/>
      <c r="H533" s="68"/>
      <c r="I533" s="68"/>
      <c r="J533" s="68"/>
      <c r="K533" s="68"/>
      <c r="L533" s="68"/>
      <c r="M533" s="68"/>
      <c r="N533" s="68"/>
      <c r="O533" s="68"/>
      <c r="P533" s="68"/>
      <c r="Q533" s="68"/>
      <c r="R533" s="68"/>
      <c r="S533" s="68"/>
      <c r="T533" s="68"/>
      <c r="U533" s="68"/>
      <c r="V533" s="68"/>
      <c r="W533" s="68"/>
      <c r="X533" s="68"/>
      <c r="Y533" s="68"/>
      <c r="Z533" s="68"/>
    </row>
    <row r="534" spans="1:26" ht="17">
      <c r="A534" s="68"/>
      <c r="B534" s="104"/>
      <c r="C534" s="104"/>
      <c r="D534" s="104"/>
      <c r="E534" s="68"/>
      <c r="F534" s="68"/>
      <c r="G534" s="68"/>
      <c r="H534" s="68"/>
      <c r="I534" s="68"/>
      <c r="J534" s="68"/>
      <c r="K534" s="68"/>
      <c r="L534" s="68"/>
      <c r="M534" s="68"/>
      <c r="N534" s="68"/>
      <c r="O534" s="68"/>
      <c r="P534" s="68"/>
      <c r="Q534" s="68"/>
      <c r="R534" s="68"/>
      <c r="S534" s="68"/>
      <c r="T534" s="68"/>
      <c r="U534" s="68"/>
      <c r="V534" s="68"/>
      <c r="W534" s="68"/>
      <c r="X534" s="68"/>
      <c r="Y534" s="68"/>
      <c r="Z534" s="68"/>
    </row>
    <row r="535" spans="1:26" ht="17">
      <c r="A535" s="68"/>
      <c r="B535" s="104"/>
      <c r="C535" s="104"/>
      <c r="D535" s="104"/>
      <c r="E535" s="68"/>
      <c r="F535" s="68"/>
      <c r="G535" s="68"/>
      <c r="H535" s="68"/>
      <c r="I535" s="68"/>
      <c r="J535" s="68"/>
      <c r="K535" s="68"/>
      <c r="L535" s="68"/>
      <c r="M535" s="68"/>
      <c r="N535" s="68"/>
      <c r="O535" s="68"/>
      <c r="P535" s="68"/>
      <c r="Q535" s="68"/>
      <c r="R535" s="68"/>
      <c r="S535" s="68"/>
      <c r="T535" s="68"/>
      <c r="U535" s="68"/>
      <c r="V535" s="68"/>
      <c r="W535" s="68"/>
      <c r="X535" s="68"/>
      <c r="Y535" s="68"/>
      <c r="Z535" s="68"/>
    </row>
    <row r="536" spans="1:26" ht="17">
      <c r="A536" s="68"/>
      <c r="B536" s="104"/>
      <c r="C536" s="104"/>
      <c r="D536" s="104"/>
      <c r="E536" s="68"/>
      <c r="F536" s="68"/>
      <c r="G536" s="68"/>
      <c r="H536" s="68"/>
      <c r="I536" s="68"/>
      <c r="J536" s="68"/>
      <c r="K536" s="68"/>
      <c r="L536" s="68"/>
      <c r="M536" s="68"/>
      <c r="N536" s="68"/>
      <c r="O536" s="68"/>
      <c r="P536" s="68"/>
      <c r="Q536" s="68"/>
      <c r="R536" s="68"/>
      <c r="S536" s="68"/>
      <c r="T536" s="68"/>
      <c r="U536" s="68"/>
      <c r="V536" s="68"/>
      <c r="W536" s="68"/>
      <c r="X536" s="68"/>
      <c r="Y536" s="68"/>
      <c r="Z536" s="68"/>
    </row>
    <row r="537" spans="1:26" ht="17">
      <c r="A537" s="68"/>
      <c r="B537" s="104"/>
      <c r="C537" s="104"/>
      <c r="D537" s="104"/>
      <c r="E537" s="68"/>
      <c r="F537" s="68"/>
      <c r="G537" s="68"/>
      <c r="H537" s="68"/>
      <c r="I537" s="68"/>
      <c r="J537" s="68"/>
      <c r="K537" s="68"/>
      <c r="L537" s="68"/>
      <c r="M537" s="68"/>
      <c r="N537" s="68"/>
      <c r="O537" s="68"/>
      <c r="P537" s="68"/>
      <c r="Q537" s="68"/>
      <c r="R537" s="68"/>
      <c r="S537" s="68"/>
      <c r="T537" s="68"/>
      <c r="U537" s="68"/>
      <c r="V537" s="68"/>
      <c r="W537" s="68"/>
      <c r="X537" s="68"/>
      <c r="Y537" s="68"/>
      <c r="Z537" s="68"/>
    </row>
    <row r="538" spans="1:26" ht="17">
      <c r="A538" s="68"/>
      <c r="B538" s="104"/>
      <c r="C538" s="104"/>
      <c r="D538" s="104"/>
      <c r="E538" s="68"/>
      <c r="F538" s="68"/>
      <c r="G538" s="68"/>
      <c r="H538" s="68"/>
      <c r="I538" s="68"/>
      <c r="J538" s="68"/>
      <c r="K538" s="68"/>
      <c r="L538" s="68"/>
      <c r="M538" s="68"/>
      <c r="N538" s="68"/>
      <c r="O538" s="68"/>
      <c r="P538" s="68"/>
      <c r="Q538" s="68"/>
      <c r="R538" s="68"/>
      <c r="S538" s="68"/>
      <c r="T538" s="68"/>
      <c r="U538" s="68"/>
      <c r="V538" s="68"/>
      <c r="W538" s="68"/>
      <c r="X538" s="68"/>
      <c r="Y538" s="68"/>
      <c r="Z538" s="68"/>
    </row>
    <row r="539" spans="1:26" ht="17">
      <c r="A539" s="68"/>
      <c r="B539" s="104"/>
      <c r="C539" s="104"/>
      <c r="D539" s="104"/>
      <c r="E539" s="68"/>
      <c r="F539" s="68"/>
      <c r="G539" s="68"/>
      <c r="H539" s="68"/>
      <c r="I539" s="68"/>
      <c r="J539" s="68"/>
      <c r="K539" s="68"/>
      <c r="L539" s="68"/>
      <c r="M539" s="68"/>
      <c r="N539" s="68"/>
      <c r="O539" s="68"/>
      <c r="P539" s="68"/>
      <c r="Q539" s="68"/>
      <c r="R539" s="68"/>
      <c r="S539" s="68"/>
      <c r="T539" s="68"/>
      <c r="U539" s="68"/>
      <c r="V539" s="68"/>
      <c r="W539" s="68"/>
      <c r="X539" s="68"/>
      <c r="Y539" s="68"/>
      <c r="Z539" s="68"/>
    </row>
    <row r="540" spans="1:26" ht="17">
      <c r="A540" s="68"/>
      <c r="B540" s="104"/>
      <c r="C540" s="104"/>
      <c r="D540" s="104"/>
      <c r="E540" s="68"/>
      <c r="F540" s="68"/>
      <c r="G540" s="68"/>
      <c r="H540" s="68"/>
      <c r="I540" s="68"/>
      <c r="J540" s="68"/>
      <c r="K540" s="68"/>
      <c r="L540" s="68"/>
      <c r="M540" s="68"/>
      <c r="N540" s="68"/>
      <c r="O540" s="68"/>
      <c r="P540" s="68"/>
      <c r="Q540" s="68"/>
      <c r="R540" s="68"/>
      <c r="S540" s="68"/>
      <c r="T540" s="68"/>
      <c r="U540" s="68"/>
      <c r="V540" s="68"/>
      <c r="W540" s="68"/>
      <c r="X540" s="68"/>
      <c r="Y540" s="68"/>
      <c r="Z540" s="68"/>
    </row>
    <row r="541" spans="1:26" ht="17">
      <c r="A541" s="68"/>
      <c r="B541" s="104"/>
      <c r="C541" s="104"/>
      <c r="D541" s="104"/>
      <c r="E541" s="68"/>
      <c r="F541" s="68"/>
      <c r="G541" s="68"/>
      <c r="H541" s="68"/>
      <c r="I541" s="68"/>
      <c r="J541" s="68"/>
      <c r="K541" s="68"/>
      <c r="L541" s="68"/>
      <c r="M541" s="68"/>
      <c r="N541" s="68"/>
      <c r="O541" s="68"/>
      <c r="P541" s="68"/>
      <c r="Q541" s="68"/>
      <c r="R541" s="68"/>
      <c r="S541" s="68"/>
      <c r="T541" s="68"/>
      <c r="U541" s="68"/>
      <c r="V541" s="68"/>
      <c r="W541" s="68"/>
      <c r="X541" s="68"/>
      <c r="Y541" s="68"/>
      <c r="Z541" s="68"/>
    </row>
    <row r="542" spans="1:26" ht="17">
      <c r="A542" s="68"/>
      <c r="B542" s="104"/>
      <c r="C542" s="104"/>
      <c r="D542" s="104"/>
      <c r="E542" s="68"/>
      <c r="F542" s="68"/>
      <c r="G542" s="68"/>
      <c r="H542" s="68"/>
      <c r="I542" s="68"/>
      <c r="J542" s="68"/>
      <c r="K542" s="68"/>
      <c r="L542" s="68"/>
      <c r="M542" s="68"/>
      <c r="N542" s="68"/>
      <c r="O542" s="68"/>
      <c r="P542" s="68"/>
      <c r="Q542" s="68"/>
      <c r="R542" s="68"/>
      <c r="S542" s="68"/>
      <c r="T542" s="68"/>
      <c r="U542" s="68"/>
      <c r="V542" s="68"/>
      <c r="W542" s="68"/>
      <c r="X542" s="68"/>
      <c r="Y542" s="68"/>
      <c r="Z542" s="68"/>
    </row>
    <row r="543" spans="1:26" ht="17">
      <c r="A543" s="68"/>
      <c r="B543" s="104"/>
      <c r="C543" s="104"/>
      <c r="D543" s="104"/>
      <c r="E543" s="68"/>
      <c r="F543" s="68"/>
      <c r="G543" s="68"/>
      <c r="H543" s="68"/>
      <c r="I543" s="68"/>
      <c r="J543" s="68"/>
      <c r="K543" s="68"/>
      <c r="L543" s="68"/>
      <c r="M543" s="68"/>
      <c r="N543" s="68"/>
      <c r="O543" s="68"/>
      <c r="P543" s="68"/>
      <c r="Q543" s="68"/>
      <c r="R543" s="68"/>
      <c r="S543" s="68"/>
      <c r="T543" s="68"/>
      <c r="U543" s="68"/>
      <c r="V543" s="68"/>
      <c r="W543" s="68"/>
      <c r="X543" s="68"/>
      <c r="Y543" s="68"/>
      <c r="Z543" s="68"/>
    </row>
    <row r="544" spans="1:26" ht="17">
      <c r="A544" s="68"/>
      <c r="B544" s="104"/>
      <c r="C544" s="104"/>
      <c r="D544" s="104"/>
      <c r="E544" s="68"/>
      <c r="F544" s="68"/>
      <c r="G544" s="68"/>
      <c r="H544" s="68"/>
      <c r="I544" s="68"/>
      <c r="J544" s="68"/>
      <c r="K544" s="68"/>
      <c r="L544" s="68"/>
      <c r="M544" s="68"/>
      <c r="N544" s="68"/>
      <c r="O544" s="68"/>
      <c r="P544" s="68"/>
      <c r="Q544" s="68"/>
      <c r="R544" s="68"/>
      <c r="S544" s="68"/>
      <c r="T544" s="68"/>
      <c r="U544" s="68"/>
      <c r="V544" s="68"/>
      <c r="W544" s="68"/>
      <c r="X544" s="68"/>
      <c r="Y544" s="68"/>
      <c r="Z544" s="68"/>
    </row>
    <row r="545" spans="1:26" ht="17">
      <c r="A545" s="68"/>
      <c r="B545" s="104"/>
      <c r="C545" s="104"/>
      <c r="D545" s="104"/>
      <c r="E545" s="68"/>
      <c r="F545" s="68"/>
      <c r="G545" s="68"/>
      <c r="H545" s="68"/>
      <c r="I545" s="68"/>
      <c r="J545" s="68"/>
      <c r="K545" s="68"/>
      <c r="L545" s="68"/>
      <c r="M545" s="68"/>
      <c r="N545" s="68"/>
      <c r="O545" s="68"/>
      <c r="P545" s="68"/>
      <c r="Q545" s="68"/>
      <c r="R545" s="68"/>
      <c r="S545" s="68"/>
      <c r="T545" s="68"/>
      <c r="U545" s="68"/>
      <c r="V545" s="68"/>
      <c r="W545" s="68"/>
      <c r="X545" s="68"/>
      <c r="Y545" s="68"/>
      <c r="Z545" s="68"/>
    </row>
    <row r="546" spans="1:26" ht="17">
      <c r="A546" s="68"/>
      <c r="B546" s="104"/>
      <c r="C546" s="104"/>
      <c r="D546" s="104"/>
      <c r="E546" s="68"/>
      <c r="F546" s="68"/>
      <c r="G546" s="68"/>
      <c r="H546" s="68"/>
      <c r="I546" s="68"/>
      <c r="J546" s="68"/>
      <c r="K546" s="68"/>
      <c r="L546" s="68"/>
      <c r="M546" s="68"/>
      <c r="N546" s="68"/>
      <c r="O546" s="68"/>
      <c r="P546" s="68"/>
      <c r="Q546" s="68"/>
      <c r="R546" s="68"/>
      <c r="S546" s="68"/>
      <c r="T546" s="68"/>
      <c r="U546" s="68"/>
      <c r="V546" s="68"/>
      <c r="W546" s="68"/>
      <c r="X546" s="68"/>
      <c r="Y546" s="68"/>
      <c r="Z546" s="68"/>
    </row>
    <row r="547" spans="1:26" ht="17">
      <c r="A547" s="68"/>
      <c r="B547" s="104"/>
      <c r="C547" s="104"/>
      <c r="D547" s="104"/>
      <c r="E547" s="68"/>
      <c r="F547" s="68"/>
      <c r="G547" s="68"/>
      <c r="H547" s="68"/>
      <c r="I547" s="68"/>
      <c r="J547" s="68"/>
      <c r="K547" s="68"/>
      <c r="L547" s="68"/>
      <c r="M547" s="68"/>
      <c r="N547" s="68"/>
      <c r="O547" s="68"/>
      <c r="P547" s="68"/>
      <c r="Q547" s="68"/>
      <c r="R547" s="68"/>
      <c r="S547" s="68"/>
      <c r="T547" s="68"/>
      <c r="U547" s="68"/>
      <c r="V547" s="68"/>
      <c r="W547" s="68"/>
      <c r="X547" s="68"/>
      <c r="Y547" s="68"/>
      <c r="Z547" s="68"/>
    </row>
    <row r="548" spans="1:26" ht="17">
      <c r="A548" s="68"/>
      <c r="B548" s="104"/>
      <c r="C548" s="104"/>
      <c r="D548" s="104"/>
      <c r="E548" s="68"/>
      <c r="F548" s="68"/>
      <c r="G548" s="68"/>
      <c r="H548" s="68"/>
      <c r="I548" s="68"/>
      <c r="J548" s="68"/>
      <c r="K548" s="68"/>
      <c r="L548" s="68"/>
      <c r="M548" s="68"/>
      <c r="N548" s="68"/>
      <c r="O548" s="68"/>
      <c r="P548" s="68"/>
      <c r="Q548" s="68"/>
      <c r="R548" s="68"/>
      <c r="S548" s="68"/>
      <c r="T548" s="68"/>
      <c r="U548" s="68"/>
      <c r="V548" s="68"/>
      <c r="W548" s="68"/>
      <c r="X548" s="68"/>
      <c r="Y548" s="68"/>
      <c r="Z548" s="68"/>
    </row>
    <row r="549" spans="1:26" ht="17">
      <c r="A549" s="68"/>
      <c r="B549" s="104"/>
      <c r="C549" s="104"/>
      <c r="D549" s="104"/>
      <c r="E549" s="68"/>
      <c r="F549" s="68"/>
      <c r="G549" s="68"/>
      <c r="H549" s="68"/>
      <c r="I549" s="68"/>
      <c r="J549" s="68"/>
      <c r="K549" s="68"/>
      <c r="L549" s="68"/>
      <c r="M549" s="68"/>
      <c r="N549" s="68"/>
      <c r="O549" s="68"/>
      <c r="P549" s="68"/>
      <c r="Q549" s="68"/>
      <c r="R549" s="68"/>
      <c r="S549" s="68"/>
      <c r="T549" s="68"/>
      <c r="U549" s="68"/>
      <c r="V549" s="68"/>
      <c r="W549" s="68"/>
      <c r="X549" s="68"/>
      <c r="Y549" s="68"/>
      <c r="Z549" s="68"/>
    </row>
    <row r="550" spans="1:26" ht="17">
      <c r="A550" s="68"/>
      <c r="B550" s="104"/>
      <c r="C550" s="104"/>
      <c r="D550" s="104"/>
      <c r="E550" s="68"/>
      <c r="F550" s="68"/>
      <c r="G550" s="68"/>
      <c r="H550" s="68"/>
      <c r="I550" s="68"/>
      <c r="J550" s="68"/>
      <c r="K550" s="68"/>
      <c r="L550" s="68"/>
      <c r="M550" s="68"/>
      <c r="N550" s="68"/>
      <c r="O550" s="68"/>
      <c r="P550" s="68"/>
      <c r="Q550" s="68"/>
      <c r="R550" s="68"/>
      <c r="S550" s="68"/>
      <c r="T550" s="68"/>
      <c r="U550" s="68"/>
      <c r="V550" s="68"/>
      <c r="W550" s="68"/>
      <c r="X550" s="68"/>
      <c r="Y550" s="68"/>
      <c r="Z550" s="68"/>
    </row>
    <row r="551" spans="1:26" ht="17">
      <c r="A551" s="68"/>
      <c r="B551" s="104"/>
      <c r="C551" s="104"/>
      <c r="D551" s="104"/>
      <c r="E551" s="68"/>
      <c r="F551" s="68"/>
      <c r="G551" s="68"/>
      <c r="H551" s="68"/>
      <c r="I551" s="68"/>
      <c r="J551" s="68"/>
      <c r="K551" s="68"/>
      <c r="L551" s="68"/>
      <c r="M551" s="68"/>
      <c r="N551" s="68"/>
      <c r="O551" s="68"/>
      <c r="P551" s="68"/>
      <c r="Q551" s="68"/>
      <c r="R551" s="68"/>
      <c r="S551" s="68"/>
      <c r="T551" s="68"/>
      <c r="U551" s="68"/>
      <c r="V551" s="68"/>
      <c r="W551" s="68"/>
      <c r="X551" s="68"/>
      <c r="Y551" s="68"/>
      <c r="Z551" s="68"/>
    </row>
    <row r="552" spans="1:26" ht="17">
      <c r="A552" s="68"/>
      <c r="B552" s="104"/>
      <c r="C552" s="104"/>
      <c r="D552" s="104"/>
      <c r="E552" s="68"/>
      <c r="F552" s="68"/>
      <c r="G552" s="68"/>
      <c r="H552" s="68"/>
      <c r="I552" s="68"/>
      <c r="J552" s="68"/>
      <c r="K552" s="68"/>
      <c r="L552" s="68"/>
      <c r="M552" s="68"/>
      <c r="N552" s="68"/>
      <c r="O552" s="68"/>
      <c r="P552" s="68"/>
      <c r="Q552" s="68"/>
      <c r="R552" s="68"/>
      <c r="S552" s="68"/>
      <c r="T552" s="68"/>
      <c r="U552" s="68"/>
      <c r="V552" s="68"/>
      <c r="W552" s="68"/>
      <c r="X552" s="68"/>
      <c r="Y552" s="68"/>
      <c r="Z552" s="68"/>
    </row>
    <row r="553" spans="1:26" ht="17">
      <c r="A553" s="68"/>
      <c r="B553" s="104"/>
      <c r="C553" s="104"/>
      <c r="D553" s="104"/>
      <c r="E553" s="68"/>
      <c r="F553" s="68"/>
      <c r="G553" s="68"/>
      <c r="H553" s="68"/>
      <c r="I553" s="68"/>
      <c r="J553" s="68"/>
      <c r="K553" s="68"/>
      <c r="L553" s="68"/>
      <c r="M553" s="68"/>
      <c r="N553" s="68"/>
      <c r="O553" s="68"/>
      <c r="P553" s="68"/>
      <c r="Q553" s="68"/>
      <c r="R553" s="68"/>
      <c r="S553" s="68"/>
      <c r="T553" s="68"/>
      <c r="U553" s="68"/>
      <c r="V553" s="68"/>
      <c r="W553" s="68"/>
      <c r="X553" s="68"/>
      <c r="Y553" s="68"/>
      <c r="Z553" s="68"/>
    </row>
    <row r="554" spans="1:26" ht="17">
      <c r="A554" s="68"/>
      <c r="B554" s="104"/>
      <c r="C554" s="104"/>
      <c r="D554" s="104"/>
      <c r="E554" s="68"/>
      <c r="F554" s="68"/>
      <c r="G554" s="68"/>
      <c r="H554" s="68"/>
      <c r="I554" s="68"/>
      <c r="J554" s="68"/>
      <c r="K554" s="68"/>
      <c r="L554" s="68"/>
      <c r="M554" s="68"/>
      <c r="N554" s="68"/>
      <c r="O554" s="68"/>
      <c r="P554" s="68"/>
      <c r="Q554" s="68"/>
      <c r="R554" s="68"/>
      <c r="S554" s="68"/>
      <c r="T554" s="68"/>
      <c r="U554" s="68"/>
      <c r="V554" s="68"/>
      <c r="W554" s="68"/>
      <c r="X554" s="68"/>
      <c r="Y554" s="68"/>
      <c r="Z554" s="68"/>
    </row>
    <row r="555" spans="1:26" ht="17">
      <c r="A555" s="68"/>
      <c r="B555" s="104"/>
      <c r="C555" s="104"/>
      <c r="D555" s="104"/>
      <c r="E555" s="68"/>
      <c r="F555" s="68"/>
      <c r="G555" s="68"/>
      <c r="H555" s="68"/>
      <c r="I555" s="68"/>
      <c r="J555" s="68"/>
      <c r="K555" s="68"/>
      <c r="L555" s="68"/>
      <c r="M555" s="68"/>
      <c r="N555" s="68"/>
      <c r="O555" s="68"/>
      <c r="P555" s="68"/>
      <c r="Q555" s="68"/>
      <c r="R555" s="68"/>
      <c r="S555" s="68"/>
      <c r="T555" s="68"/>
      <c r="U555" s="68"/>
      <c r="V555" s="68"/>
      <c r="W555" s="68"/>
      <c r="X555" s="68"/>
      <c r="Y555" s="68"/>
      <c r="Z555" s="68"/>
    </row>
    <row r="556" spans="1:26" ht="17">
      <c r="A556" s="68"/>
      <c r="B556" s="104"/>
      <c r="C556" s="104"/>
      <c r="D556" s="104"/>
      <c r="E556" s="68"/>
      <c r="F556" s="68"/>
      <c r="G556" s="68"/>
      <c r="H556" s="68"/>
      <c r="I556" s="68"/>
      <c r="J556" s="68"/>
      <c r="K556" s="68"/>
      <c r="L556" s="68"/>
      <c r="M556" s="68"/>
      <c r="N556" s="68"/>
      <c r="O556" s="68"/>
      <c r="P556" s="68"/>
      <c r="Q556" s="68"/>
      <c r="R556" s="68"/>
      <c r="S556" s="68"/>
      <c r="T556" s="68"/>
      <c r="U556" s="68"/>
      <c r="V556" s="68"/>
      <c r="W556" s="68"/>
      <c r="X556" s="68"/>
      <c r="Y556" s="68"/>
      <c r="Z556" s="68"/>
    </row>
    <row r="557" spans="1:26" ht="17">
      <c r="A557" s="68"/>
      <c r="B557" s="104"/>
      <c r="C557" s="104"/>
      <c r="D557" s="104"/>
      <c r="E557" s="68"/>
      <c r="F557" s="68"/>
      <c r="G557" s="68"/>
      <c r="H557" s="68"/>
      <c r="I557" s="68"/>
      <c r="J557" s="68"/>
      <c r="K557" s="68"/>
      <c r="L557" s="68"/>
      <c r="M557" s="68"/>
      <c r="N557" s="68"/>
      <c r="O557" s="68"/>
      <c r="P557" s="68"/>
      <c r="Q557" s="68"/>
      <c r="R557" s="68"/>
      <c r="S557" s="68"/>
      <c r="T557" s="68"/>
      <c r="U557" s="68"/>
      <c r="V557" s="68"/>
      <c r="W557" s="68"/>
      <c r="X557" s="68"/>
      <c r="Y557" s="68"/>
      <c r="Z557" s="68"/>
    </row>
    <row r="558" spans="1:26" ht="17">
      <c r="A558" s="68"/>
      <c r="B558" s="104"/>
      <c r="C558" s="104"/>
      <c r="D558" s="104"/>
      <c r="E558" s="68"/>
      <c r="F558" s="68"/>
      <c r="G558" s="68"/>
      <c r="H558" s="68"/>
      <c r="I558" s="68"/>
      <c r="J558" s="68"/>
      <c r="K558" s="68"/>
      <c r="L558" s="68"/>
      <c r="M558" s="68"/>
      <c r="N558" s="68"/>
      <c r="O558" s="68"/>
      <c r="P558" s="68"/>
      <c r="Q558" s="68"/>
      <c r="R558" s="68"/>
      <c r="S558" s="68"/>
      <c r="T558" s="68"/>
      <c r="U558" s="68"/>
      <c r="V558" s="68"/>
      <c r="W558" s="68"/>
      <c r="X558" s="68"/>
      <c r="Y558" s="68"/>
      <c r="Z558" s="68"/>
    </row>
    <row r="559" spans="1:26" ht="17">
      <c r="A559" s="68"/>
      <c r="B559" s="104"/>
      <c r="C559" s="104"/>
      <c r="D559" s="104"/>
      <c r="E559" s="68"/>
      <c r="F559" s="68"/>
      <c r="G559" s="68"/>
      <c r="H559" s="68"/>
      <c r="I559" s="68"/>
      <c r="J559" s="68"/>
      <c r="K559" s="68"/>
      <c r="L559" s="68"/>
      <c r="M559" s="68"/>
      <c r="N559" s="68"/>
      <c r="O559" s="68"/>
      <c r="P559" s="68"/>
      <c r="Q559" s="68"/>
      <c r="R559" s="68"/>
      <c r="S559" s="68"/>
      <c r="T559" s="68"/>
      <c r="U559" s="68"/>
      <c r="V559" s="68"/>
      <c r="W559" s="68"/>
      <c r="X559" s="68"/>
      <c r="Y559" s="68"/>
      <c r="Z559" s="68"/>
    </row>
    <row r="560" spans="1:26" ht="17">
      <c r="A560" s="68"/>
      <c r="B560" s="104"/>
      <c r="C560" s="104"/>
      <c r="D560" s="104"/>
      <c r="E560" s="68"/>
      <c r="F560" s="68"/>
      <c r="G560" s="68"/>
      <c r="H560" s="68"/>
      <c r="I560" s="68"/>
      <c r="J560" s="68"/>
      <c r="K560" s="68"/>
      <c r="L560" s="68"/>
      <c r="M560" s="68"/>
      <c r="N560" s="68"/>
      <c r="O560" s="68"/>
      <c r="P560" s="68"/>
      <c r="Q560" s="68"/>
      <c r="R560" s="68"/>
      <c r="S560" s="68"/>
      <c r="T560" s="68"/>
      <c r="U560" s="68"/>
      <c r="V560" s="68"/>
      <c r="W560" s="68"/>
      <c r="X560" s="68"/>
      <c r="Y560" s="68"/>
      <c r="Z560" s="68"/>
    </row>
    <row r="561" spans="1:26" ht="17">
      <c r="A561" s="68"/>
      <c r="B561" s="104"/>
      <c r="C561" s="104"/>
      <c r="D561" s="104"/>
      <c r="E561" s="68"/>
      <c r="F561" s="68"/>
      <c r="G561" s="68"/>
      <c r="H561" s="68"/>
      <c r="I561" s="68"/>
      <c r="J561" s="68"/>
      <c r="K561" s="68"/>
      <c r="L561" s="68"/>
      <c r="M561" s="68"/>
      <c r="N561" s="68"/>
      <c r="O561" s="68"/>
      <c r="P561" s="68"/>
      <c r="Q561" s="68"/>
      <c r="R561" s="68"/>
      <c r="S561" s="68"/>
      <c r="T561" s="68"/>
      <c r="U561" s="68"/>
      <c r="V561" s="68"/>
      <c r="W561" s="68"/>
      <c r="X561" s="68"/>
      <c r="Y561" s="68"/>
      <c r="Z561" s="68"/>
    </row>
    <row r="562" spans="1:26" ht="17">
      <c r="A562" s="68"/>
      <c r="B562" s="104"/>
      <c r="C562" s="104"/>
      <c r="D562" s="104"/>
      <c r="E562" s="68"/>
      <c r="F562" s="68"/>
      <c r="G562" s="68"/>
      <c r="H562" s="68"/>
      <c r="I562" s="68"/>
      <c r="J562" s="68"/>
      <c r="K562" s="68"/>
      <c r="L562" s="68"/>
      <c r="M562" s="68"/>
      <c r="N562" s="68"/>
      <c r="O562" s="68"/>
      <c r="P562" s="68"/>
      <c r="Q562" s="68"/>
      <c r="R562" s="68"/>
      <c r="S562" s="68"/>
      <c r="T562" s="68"/>
      <c r="U562" s="68"/>
      <c r="V562" s="68"/>
      <c r="W562" s="68"/>
      <c r="X562" s="68"/>
      <c r="Y562" s="68"/>
      <c r="Z562" s="68"/>
    </row>
    <row r="563" spans="1:26" ht="17">
      <c r="A563" s="68"/>
      <c r="B563" s="104"/>
      <c r="C563" s="104"/>
      <c r="D563" s="104"/>
      <c r="E563" s="68"/>
      <c r="F563" s="68"/>
      <c r="G563" s="68"/>
      <c r="H563" s="68"/>
      <c r="I563" s="68"/>
      <c r="J563" s="68"/>
      <c r="K563" s="68"/>
      <c r="L563" s="68"/>
      <c r="M563" s="68"/>
      <c r="N563" s="68"/>
      <c r="O563" s="68"/>
      <c r="P563" s="68"/>
      <c r="Q563" s="68"/>
      <c r="R563" s="68"/>
      <c r="S563" s="68"/>
      <c r="T563" s="68"/>
      <c r="U563" s="68"/>
      <c r="V563" s="68"/>
      <c r="W563" s="68"/>
      <c r="X563" s="68"/>
      <c r="Y563" s="68"/>
      <c r="Z563" s="68"/>
    </row>
    <row r="564" spans="1:26" ht="17">
      <c r="A564" s="68"/>
      <c r="B564" s="104"/>
      <c r="C564" s="104"/>
      <c r="D564" s="104"/>
      <c r="E564" s="68"/>
      <c r="F564" s="68"/>
      <c r="G564" s="68"/>
      <c r="H564" s="68"/>
      <c r="I564" s="68"/>
      <c r="J564" s="68"/>
      <c r="K564" s="68"/>
      <c r="L564" s="68"/>
      <c r="M564" s="68"/>
      <c r="N564" s="68"/>
      <c r="O564" s="68"/>
      <c r="P564" s="68"/>
      <c r="Q564" s="68"/>
      <c r="R564" s="68"/>
      <c r="S564" s="68"/>
      <c r="T564" s="68"/>
      <c r="U564" s="68"/>
      <c r="V564" s="68"/>
      <c r="W564" s="68"/>
      <c r="X564" s="68"/>
      <c r="Y564" s="68"/>
      <c r="Z564" s="68"/>
    </row>
    <row r="565" spans="1:26" ht="17">
      <c r="A565" s="68"/>
      <c r="B565" s="104"/>
      <c r="C565" s="104"/>
      <c r="D565" s="104"/>
      <c r="E565" s="68"/>
      <c r="F565" s="68"/>
      <c r="G565" s="68"/>
      <c r="H565" s="68"/>
      <c r="I565" s="68"/>
      <c r="J565" s="68"/>
      <c r="K565" s="68"/>
      <c r="L565" s="68"/>
      <c r="M565" s="68"/>
      <c r="N565" s="68"/>
      <c r="O565" s="68"/>
      <c r="P565" s="68"/>
      <c r="Q565" s="68"/>
      <c r="R565" s="68"/>
      <c r="S565" s="68"/>
      <c r="T565" s="68"/>
      <c r="U565" s="68"/>
      <c r="V565" s="68"/>
      <c r="W565" s="68"/>
      <c r="X565" s="68"/>
      <c r="Y565" s="68"/>
      <c r="Z565" s="68"/>
    </row>
    <row r="566" spans="1:26" ht="17">
      <c r="A566" s="68"/>
      <c r="B566" s="104"/>
      <c r="C566" s="104"/>
      <c r="D566" s="104"/>
      <c r="E566" s="68"/>
      <c r="F566" s="68"/>
      <c r="G566" s="68"/>
      <c r="H566" s="68"/>
      <c r="I566" s="68"/>
      <c r="J566" s="68"/>
      <c r="K566" s="68"/>
      <c r="L566" s="68"/>
      <c r="M566" s="68"/>
      <c r="N566" s="68"/>
      <c r="O566" s="68"/>
      <c r="P566" s="68"/>
      <c r="Q566" s="68"/>
      <c r="R566" s="68"/>
      <c r="S566" s="68"/>
      <c r="T566" s="68"/>
      <c r="U566" s="68"/>
      <c r="V566" s="68"/>
      <c r="W566" s="68"/>
      <c r="X566" s="68"/>
      <c r="Y566" s="68"/>
      <c r="Z566" s="68"/>
    </row>
    <row r="567" spans="1:26" ht="17">
      <c r="A567" s="68"/>
      <c r="B567" s="104"/>
      <c r="C567" s="104"/>
      <c r="D567" s="104"/>
      <c r="E567" s="68"/>
      <c r="F567" s="68"/>
      <c r="G567" s="68"/>
      <c r="H567" s="68"/>
      <c r="I567" s="68"/>
      <c r="J567" s="68"/>
      <c r="K567" s="68"/>
      <c r="L567" s="68"/>
      <c r="M567" s="68"/>
      <c r="N567" s="68"/>
      <c r="O567" s="68"/>
      <c r="P567" s="68"/>
      <c r="Q567" s="68"/>
      <c r="R567" s="68"/>
      <c r="S567" s="68"/>
      <c r="T567" s="68"/>
      <c r="U567" s="68"/>
      <c r="V567" s="68"/>
      <c r="W567" s="68"/>
      <c r="X567" s="68"/>
      <c r="Y567" s="68"/>
      <c r="Z567" s="68"/>
    </row>
    <row r="568" spans="1:26" ht="17">
      <c r="A568" s="68"/>
      <c r="B568" s="104"/>
      <c r="C568" s="104"/>
      <c r="D568" s="104"/>
      <c r="E568" s="68"/>
      <c r="F568" s="68"/>
      <c r="G568" s="68"/>
      <c r="H568" s="68"/>
      <c r="I568" s="68"/>
      <c r="J568" s="68"/>
      <c r="K568" s="68"/>
      <c r="L568" s="68"/>
      <c r="M568" s="68"/>
      <c r="N568" s="68"/>
      <c r="O568" s="68"/>
      <c r="P568" s="68"/>
      <c r="Q568" s="68"/>
      <c r="R568" s="68"/>
      <c r="S568" s="68"/>
      <c r="T568" s="68"/>
      <c r="U568" s="68"/>
      <c r="V568" s="68"/>
      <c r="W568" s="68"/>
      <c r="X568" s="68"/>
      <c r="Y568" s="68"/>
      <c r="Z568" s="68"/>
    </row>
    <row r="569" spans="1:26" ht="17">
      <c r="A569" s="68"/>
      <c r="B569" s="104"/>
      <c r="C569" s="104"/>
      <c r="D569" s="104"/>
      <c r="E569" s="68"/>
      <c r="F569" s="68"/>
      <c r="G569" s="68"/>
      <c r="H569" s="68"/>
      <c r="I569" s="68"/>
      <c r="J569" s="68"/>
      <c r="K569" s="68"/>
      <c r="L569" s="68"/>
      <c r="M569" s="68"/>
      <c r="N569" s="68"/>
      <c r="O569" s="68"/>
      <c r="P569" s="68"/>
      <c r="Q569" s="68"/>
      <c r="R569" s="68"/>
      <c r="S569" s="68"/>
      <c r="T569" s="68"/>
      <c r="U569" s="68"/>
      <c r="V569" s="68"/>
      <c r="W569" s="68"/>
      <c r="X569" s="68"/>
      <c r="Y569" s="68"/>
      <c r="Z569" s="68"/>
    </row>
    <row r="570" spans="1:26" ht="17">
      <c r="A570" s="68"/>
      <c r="B570" s="104"/>
      <c r="C570" s="104"/>
      <c r="D570" s="104"/>
      <c r="E570" s="68"/>
      <c r="F570" s="68"/>
      <c r="G570" s="68"/>
      <c r="H570" s="68"/>
      <c r="I570" s="68"/>
      <c r="J570" s="68"/>
      <c r="K570" s="68"/>
      <c r="L570" s="68"/>
      <c r="M570" s="68"/>
      <c r="N570" s="68"/>
      <c r="O570" s="68"/>
      <c r="P570" s="68"/>
      <c r="Q570" s="68"/>
      <c r="R570" s="68"/>
      <c r="S570" s="68"/>
      <c r="T570" s="68"/>
      <c r="U570" s="68"/>
      <c r="V570" s="68"/>
      <c r="W570" s="68"/>
      <c r="X570" s="68"/>
      <c r="Y570" s="68"/>
      <c r="Z570" s="68"/>
    </row>
    <row r="571" spans="1:26" ht="17">
      <c r="A571" s="68"/>
      <c r="B571" s="104"/>
      <c r="C571" s="104"/>
      <c r="D571" s="104"/>
      <c r="E571" s="68"/>
      <c r="F571" s="68"/>
      <c r="G571" s="68"/>
      <c r="H571" s="68"/>
      <c r="I571" s="68"/>
      <c r="J571" s="68"/>
      <c r="K571" s="68"/>
      <c r="L571" s="68"/>
      <c r="M571" s="68"/>
      <c r="N571" s="68"/>
      <c r="O571" s="68"/>
      <c r="P571" s="68"/>
      <c r="Q571" s="68"/>
      <c r="R571" s="68"/>
      <c r="S571" s="68"/>
      <c r="T571" s="68"/>
      <c r="U571" s="68"/>
      <c r="V571" s="68"/>
      <c r="W571" s="68"/>
      <c r="X571" s="68"/>
      <c r="Y571" s="68"/>
      <c r="Z571" s="68"/>
    </row>
    <row r="572" spans="1:26" ht="17">
      <c r="A572" s="68"/>
      <c r="B572" s="104"/>
      <c r="C572" s="104"/>
      <c r="D572" s="104"/>
      <c r="E572" s="68"/>
      <c r="F572" s="68"/>
      <c r="G572" s="68"/>
      <c r="H572" s="68"/>
      <c r="I572" s="68"/>
      <c r="J572" s="68"/>
      <c r="K572" s="68"/>
      <c r="L572" s="68"/>
      <c r="M572" s="68"/>
      <c r="N572" s="68"/>
      <c r="O572" s="68"/>
      <c r="P572" s="68"/>
      <c r="Q572" s="68"/>
      <c r="R572" s="68"/>
      <c r="S572" s="68"/>
      <c r="T572" s="68"/>
      <c r="U572" s="68"/>
      <c r="V572" s="68"/>
      <c r="W572" s="68"/>
      <c r="X572" s="68"/>
      <c r="Y572" s="68"/>
      <c r="Z572" s="68"/>
    </row>
    <row r="573" spans="1:26" ht="17">
      <c r="A573" s="68"/>
      <c r="B573" s="104"/>
      <c r="C573" s="104"/>
      <c r="D573" s="104"/>
      <c r="E573" s="68"/>
      <c r="F573" s="68"/>
      <c r="G573" s="68"/>
      <c r="H573" s="68"/>
      <c r="I573" s="68"/>
      <c r="J573" s="68"/>
      <c r="K573" s="68"/>
      <c r="L573" s="68"/>
      <c r="M573" s="68"/>
      <c r="N573" s="68"/>
      <c r="O573" s="68"/>
      <c r="P573" s="68"/>
      <c r="Q573" s="68"/>
      <c r="R573" s="68"/>
      <c r="S573" s="68"/>
      <c r="T573" s="68"/>
      <c r="U573" s="68"/>
      <c r="V573" s="68"/>
      <c r="W573" s="68"/>
      <c r="X573" s="68"/>
      <c r="Y573" s="68"/>
      <c r="Z573" s="68"/>
    </row>
    <row r="574" spans="1:26" ht="17">
      <c r="A574" s="68"/>
      <c r="B574" s="104"/>
      <c r="C574" s="104"/>
      <c r="D574" s="104"/>
      <c r="E574" s="68"/>
      <c r="F574" s="68"/>
      <c r="G574" s="68"/>
      <c r="H574" s="68"/>
      <c r="I574" s="68"/>
      <c r="J574" s="68"/>
      <c r="K574" s="68"/>
      <c r="L574" s="68"/>
      <c r="M574" s="68"/>
      <c r="N574" s="68"/>
      <c r="O574" s="68"/>
      <c r="P574" s="68"/>
      <c r="Q574" s="68"/>
      <c r="R574" s="68"/>
      <c r="S574" s="68"/>
      <c r="T574" s="68"/>
      <c r="U574" s="68"/>
      <c r="V574" s="68"/>
      <c r="W574" s="68"/>
      <c r="X574" s="68"/>
      <c r="Y574" s="68"/>
      <c r="Z574" s="68"/>
    </row>
    <row r="575" spans="1:26" ht="17">
      <c r="A575" s="68"/>
      <c r="B575" s="104"/>
      <c r="C575" s="104"/>
      <c r="D575" s="104"/>
      <c r="E575" s="68"/>
      <c r="F575" s="68"/>
      <c r="G575" s="68"/>
      <c r="H575" s="68"/>
      <c r="I575" s="68"/>
      <c r="J575" s="68"/>
      <c r="K575" s="68"/>
      <c r="L575" s="68"/>
      <c r="M575" s="68"/>
      <c r="N575" s="68"/>
      <c r="O575" s="68"/>
      <c r="P575" s="68"/>
      <c r="Q575" s="68"/>
      <c r="R575" s="68"/>
      <c r="S575" s="68"/>
      <c r="T575" s="68"/>
      <c r="U575" s="68"/>
      <c r="V575" s="68"/>
      <c r="W575" s="68"/>
      <c r="X575" s="68"/>
      <c r="Y575" s="68"/>
      <c r="Z575" s="68"/>
    </row>
    <row r="576" spans="1:26" ht="17">
      <c r="A576" s="68"/>
      <c r="B576" s="104"/>
      <c r="C576" s="104"/>
      <c r="D576" s="104"/>
      <c r="E576" s="68"/>
      <c r="F576" s="68"/>
      <c r="G576" s="68"/>
      <c r="H576" s="68"/>
      <c r="I576" s="68"/>
      <c r="J576" s="68"/>
      <c r="K576" s="68"/>
      <c r="L576" s="68"/>
      <c r="M576" s="68"/>
      <c r="N576" s="68"/>
      <c r="O576" s="68"/>
      <c r="P576" s="68"/>
      <c r="Q576" s="68"/>
      <c r="R576" s="68"/>
      <c r="S576" s="68"/>
      <c r="T576" s="68"/>
      <c r="U576" s="68"/>
      <c r="V576" s="68"/>
      <c r="W576" s="68"/>
      <c r="X576" s="68"/>
      <c r="Y576" s="68"/>
      <c r="Z576" s="68"/>
    </row>
    <row r="577" spans="1:26" ht="17">
      <c r="A577" s="68"/>
      <c r="B577" s="104"/>
      <c r="C577" s="104"/>
      <c r="D577" s="104"/>
      <c r="E577" s="68"/>
      <c r="F577" s="68"/>
      <c r="G577" s="68"/>
      <c r="H577" s="68"/>
      <c r="I577" s="68"/>
      <c r="J577" s="68"/>
      <c r="K577" s="68"/>
      <c r="L577" s="68"/>
      <c r="M577" s="68"/>
      <c r="N577" s="68"/>
      <c r="O577" s="68"/>
      <c r="P577" s="68"/>
      <c r="Q577" s="68"/>
      <c r="R577" s="68"/>
      <c r="S577" s="68"/>
      <c r="T577" s="68"/>
      <c r="U577" s="68"/>
      <c r="V577" s="68"/>
      <c r="W577" s="68"/>
      <c r="X577" s="68"/>
      <c r="Y577" s="68"/>
      <c r="Z577" s="68"/>
    </row>
    <row r="578" spans="1:26" ht="17">
      <c r="A578" s="68"/>
      <c r="B578" s="104"/>
      <c r="C578" s="104"/>
      <c r="D578" s="104"/>
      <c r="E578" s="68"/>
      <c r="F578" s="68"/>
      <c r="G578" s="68"/>
      <c r="H578" s="68"/>
      <c r="I578" s="68"/>
      <c r="J578" s="68"/>
      <c r="K578" s="68"/>
      <c r="L578" s="68"/>
      <c r="M578" s="68"/>
      <c r="N578" s="68"/>
      <c r="O578" s="68"/>
      <c r="P578" s="68"/>
      <c r="Q578" s="68"/>
      <c r="R578" s="68"/>
      <c r="S578" s="68"/>
      <c r="T578" s="68"/>
      <c r="U578" s="68"/>
      <c r="V578" s="68"/>
      <c r="W578" s="68"/>
      <c r="X578" s="68"/>
      <c r="Y578" s="68"/>
      <c r="Z578" s="68"/>
    </row>
    <row r="579" spans="1:26" ht="17">
      <c r="A579" s="68"/>
      <c r="B579" s="104"/>
      <c r="C579" s="104"/>
      <c r="D579" s="104"/>
      <c r="E579" s="68"/>
      <c r="F579" s="68"/>
      <c r="G579" s="68"/>
      <c r="H579" s="68"/>
      <c r="I579" s="68"/>
      <c r="J579" s="68"/>
      <c r="K579" s="68"/>
      <c r="L579" s="68"/>
      <c r="M579" s="68"/>
      <c r="N579" s="68"/>
      <c r="O579" s="68"/>
      <c r="P579" s="68"/>
      <c r="Q579" s="68"/>
      <c r="R579" s="68"/>
      <c r="S579" s="68"/>
      <c r="T579" s="68"/>
      <c r="U579" s="68"/>
      <c r="V579" s="68"/>
      <c r="W579" s="68"/>
      <c r="X579" s="68"/>
      <c r="Y579" s="68"/>
      <c r="Z579" s="68"/>
    </row>
    <row r="580" spans="1:26" ht="17">
      <c r="A580" s="68"/>
      <c r="B580" s="104"/>
      <c r="C580" s="104"/>
      <c r="D580" s="104"/>
      <c r="E580" s="68"/>
      <c r="F580" s="68"/>
      <c r="G580" s="68"/>
      <c r="H580" s="68"/>
      <c r="I580" s="68"/>
      <c r="J580" s="68"/>
      <c r="K580" s="68"/>
      <c r="L580" s="68"/>
      <c r="M580" s="68"/>
      <c r="N580" s="68"/>
      <c r="O580" s="68"/>
      <c r="P580" s="68"/>
      <c r="Q580" s="68"/>
      <c r="R580" s="68"/>
      <c r="S580" s="68"/>
      <c r="T580" s="68"/>
      <c r="U580" s="68"/>
      <c r="V580" s="68"/>
      <c r="W580" s="68"/>
      <c r="X580" s="68"/>
      <c r="Y580" s="68"/>
      <c r="Z580" s="68"/>
    </row>
    <row r="581" spans="1:26" ht="17">
      <c r="A581" s="68"/>
      <c r="B581" s="104"/>
      <c r="C581" s="104"/>
      <c r="D581" s="104"/>
      <c r="E581" s="68"/>
      <c r="F581" s="68"/>
      <c r="G581" s="68"/>
      <c r="H581" s="68"/>
      <c r="I581" s="68"/>
      <c r="J581" s="68"/>
      <c r="K581" s="68"/>
      <c r="L581" s="68"/>
      <c r="M581" s="68"/>
      <c r="N581" s="68"/>
      <c r="O581" s="68"/>
      <c r="P581" s="68"/>
      <c r="Q581" s="68"/>
      <c r="R581" s="68"/>
      <c r="S581" s="68"/>
      <c r="T581" s="68"/>
      <c r="U581" s="68"/>
      <c r="V581" s="68"/>
      <c r="W581" s="68"/>
      <c r="X581" s="68"/>
      <c r="Y581" s="68"/>
      <c r="Z581" s="68"/>
    </row>
    <row r="582" spans="1:26" ht="17">
      <c r="A582" s="68"/>
      <c r="B582" s="104"/>
      <c r="C582" s="104"/>
      <c r="D582" s="104"/>
      <c r="E582" s="68"/>
      <c r="F582" s="68"/>
      <c r="G582" s="68"/>
      <c r="H582" s="68"/>
      <c r="I582" s="68"/>
      <c r="J582" s="68"/>
      <c r="K582" s="68"/>
      <c r="L582" s="68"/>
      <c r="M582" s="68"/>
      <c r="N582" s="68"/>
      <c r="O582" s="68"/>
      <c r="P582" s="68"/>
      <c r="Q582" s="68"/>
      <c r="R582" s="68"/>
      <c r="S582" s="68"/>
      <c r="T582" s="68"/>
      <c r="U582" s="68"/>
      <c r="V582" s="68"/>
      <c r="W582" s="68"/>
      <c r="X582" s="68"/>
      <c r="Y582" s="68"/>
      <c r="Z582" s="68"/>
    </row>
    <row r="583" spans="1:26" ht="17">
      <c r="A583" s="68"/>
      <c r="B583" s="104"/>
      <c r="C583" s="104"/>
      <c r="D583" s="104"/>
      <c r="E583" s="68"/>
      <c r="F583" s="68"/>
      <c r="G583" s="68"/>
      <c r="H583" s="68"/>
      <c r="I583" s="68"/>
      <c r="J583" s="68"/>
      <c r="K583" s="68"/>
      <c r="L583" s="68"/>
      <c r="M583" s="68"/>
      <c r="N583" s="68"/>
      <c r="O583" s="68"/>
      <c r="P583" s="68"/>
      <c r="Q583" s="68"/>
      <c r="R583" s="68"/>
      <c r="S583" s="68"/>
      <c r="T583" s="68"/>
      <c r="U583" s="68"/>
      <c r="V583" s="68"/>
      <c r="W583" s="68"/>
      <c r="X583" s="68"/>
      <c r="Y583" s="68"/>
      <c r="Z583" s="68"/>
    </row>
    <row r="584" spans="1:26" ht="17">
      <c r="A584" s="68"/>
      <c r="B584" s="104"/>
      <c r="C584" s="104"/>
      <c r="D584" s="104"/>
      <c r="E584" s="68"/>
      <c r="F584" s="68"/>
      <c r="G584" s="68"/>
      <c r="H584" s="68"/>
      <c r="I584" s="68"/>
      <c r="J584" s="68"/>
      <c r="K584" s="68"/>
      <c r="L584" s="68"/>
      <c r="M584" s="68"/>
      <c r="N584" s="68"/>
      <c r="O584" s="68"/>
      <c r="P584" s="68"/>
      <c r="Q584" s="68"/>
      <c r="R584" s="68"/>
      <c r="S584" s="68"/>
      <c r="T584" s="68"/>
      <c r="U584" s="68"/>
      <c r="V584" s="68"/>
      <c r="W584" s="68"/>
      <c r="X584" s="68"/>
      <c r="Y584" s="68"/>
      <c r="Z584" s="68"/>
    </row>
    <row r="585" spans="1:26" ht="17">
      <c r="A585" s="68"/>
      <c r="B585" s="104"/>
      <c r="C585" s="104"/>
      <c r="D585" s="104"/>
      <c r="E585" s="68"/>
      <c r="F585" s="68"/>
      <c r="G585" s="68"/>
      <c r="H585" s="68"/>
      <c r="I585" s="68"/>
      <c r="J585" s="68"/>
      <c r="K585" s="68"/>
      <c r="L585" s="68"/>
      <c r="M585" s="68"/>
      <c r="N585" s="68"/>
      <c r="O585" s="68"/>
      <c r="P585" s="68"/>
      <c r="Q585" s="68"/>
      <c r="R585" s="68"/>
      <c r="S585" s="68"/>
      <c r="T585" s="68"/>
      <c r="U585" s="68"/>
      <c r="V585" s="68"/>
      <c r="W585" s="68"/>
      <c r="X585" s="68"/>
      <c r="Y585" s="68"/>
      <c r="Z585" s="68"/>
    </row>
    <row r="586" spans="1:26" ht="17">
      <c r="A586" s="68"/>
      <c r="B586" s="104"/>
      <c r="C586" s="104"/>
      <c r="D586" s="104"/>
      <c r="E586" s="68"/>
      <c r="F586" s="68"/>
      <c r="G586" s="68"/>
      <c r="H586" s="68"/>
      <c r="I586" s="68"/>
      <c r="J586" s="68"/>
      <c r="K586" s="68"/>
      <c r="L586" s="68"/>
      <c r="M586" s="68"/>
      <c r="N586" s="68"/>
      <c r="O586" s="68"/>
      <c r="P586" s="68"/>
      <c r="Q586" s="68"/>
      <c r="R586" s="68"/>
      <c r="S586" s="68"/>
      <c r="T586" s="68"/>
      <c r="U586" s="68"/>
      <c r="V586" s="68"/>
      <c r="W586" s="68"/>
      <c r="X586" s="68"/>
      <c r="Y586" s="68"/>
      <c r="Z586" s="68"/>
    </row>
    <row r="587" spans="1:26" ht="17">
      <c r="A587" s="68"/>
      <c r="B587" s="104"/>
      <c r="C587" s="104"/>
      <c r="D587" s="104"/>
      <c r="E587" s="68"/>
      <c r="F587" s="68"/>
      <c r="G587" s="68"/>
      <c r="H587" s="68"/>
      <c r="I587" s="68"/>
      <c r="J587" s="68"/>
      <c r="K587" s="68"/>
      <c r="L587" s="68"/>
      <c r="M587" s="68"/>
      <c r="N587" s="68"/>
      <c r="O587" s="68"/>
      <c r="P587" s="68"/>
      <c r="Q587" s="68"/>
      <c r="R587" s="68"/>
      <c r="S587" s="68"/>
      <c r="T587" s="68"/>
      <c r="U587" s="68"/>
      <c r="V587" s="68"/>
      <c r="W587" s="68"/>
      <c r="X587" s="68"/>
      <c r="Y587" s="68"/>
      <c r="Z587" s="68"/>
    </row>
    <row r="588" spans="1:26" ht="17">
      <c r="A588" s="68"/>
      <c r="B588" s="104"/>
      <c r="C588" s="104"/>
      <c r="D588" s="104"/>
      <c r="E588" s="68"/>
      <c r="F588" s="68"/>
      <c r="G588" s="68"/>
      <c r="H588" s="68"/>
      <c r="I588" s="68"/>
      <c r="J588" s="68"/>
      <c r="K588" s="68"/>
      <c r="L588" s="68"/>
      <c r="M588" s="68"/>
      <c r="N588" s="68"/>
      <c r="O588" s="68"/>
      <c r="P588" s="68"/>
      <c r="Q588" s="68"/>
      <c r="R588" s="68"/>
      <c r="S588" s="68"/>
      <c r="T588" s="68"/>
      <c r="U588" s="68"/>
      <c r="V588" s="68"/>
      <c r="W588" s="68"/>
      <c r="X588" s="68"/>
      <c r="Y588" s="68"/>
      <c r="Z588" s="68"/>
    </row>
    <row r="589" spans="1:26" ht="17">
      <c r="A589" s="68"/>
      <c r="B589" s="104"/>
      <c r="C589" s="104"/>
      <c r="D589" s="104"/>
      <c r="E589" s="68"/>
      <c r="F589" s="68"/>
      <c r="G589" s="68"/>
      <c r="H589" s="68"/>
      <c r="I589" s="68"/>
      <c r="J589" s="68"/>
      <c r="K589" s="68"/>
      <c r="L589" s="68"/>
      <c r="M589" s="68"/>
      <c r="N589" s="68"/>
      <c r="O589" s="68"/>
      <c r="P589" s="68"/>
      <c r="Q589" s="68"/>
      <c r="R589" s="68"/>
      <c r="S589" s="68"/>
      <c r="T589" s="68"/>
      <c r="U589" s="68"/>
      <c r="V589" s="68"/>
      <c r="W589" s="68"/>
      <c r="X589" s="68"/>
      <c r="Y589" s="68"/>
      <c r="Z589" s="68"/>
    </row>
    <row r="590" spans="1:26" ht="17">
      <c r="A590" s="68"/>
      <c r="B590" s="104"/>
      <c r="C590" s="104"/>
      <c r="D590" s="104"/>
      <c r="E590" s="68"/>
      <c r="F590" s="68"/>
      <c r="G590" s="68"/>
      <c r="H590" s="68"/>
      <c r="I590" s="68"/>
      <c r="J590" s="68"/>
      <c r="K590" s="68"/>
      <c r="L590" s="68"/>
      <c r="M590" s="68"/>
      <c r="N590" s="68"/>
      <c r="O590" s="68"/>
      <c r="P590" s="68"/>
      <c r="Q590" s="68"/>
      <c r="R590" s="68"/>
      <c r="S590" s="68"/>
      <c r="T590" s="68"/>
      <c r="U590" s="68"/>
      <c r="V590" s="68"/>
      <c r="W590" s="68"/>
      <c r="X590" s="68"/>
      <c r="Y590" s="68"/>
      <c r="Z590" s="68"/>
    </row>
    <row r="591" spans="1:26" ht="17">
      <c r="A591" s="68"/>
      <c r="B591" s="104"/>
      <c r="C591" s="104"/>
      <c r="D591" s="104"/>
      <c r="E591" s="68"/>
      <c r="F591" s="68"/>
      <c r="G591" s="68"/>
      <c r="H591" s="68"/>
      <c r="I591" s="68"/>
      <c r="J591" s="68"/>
      <c r="K591" s="68"/>
      <c r="L591" s="68"/>
      <c r="M591" s="68"/>
      <c r="N591" s="68"/>
      <c r="O591" s="68"/>
      <c r="P591" s="68"/>
      <c r="Q591" s="68"/>
      <c r="R591" s="68"/>
      <c r="S591" s="68"/>
      <c r="T591" s="68"/>
      <c r="U591" s="68"/>
      <c r="V591" s="68"/>
      <c r="W591" s="68"/>
      <c r="X591" s="68"/>
      <c r="Y591" s="68"/>
      <c r="Z591" s="68"/>
    </row>
    <row r="592" spans="1:26" ht="17">
      <c r="A592" s="68"/>
      <c r="B592" s="104"/>
      <c r="C592" s="104"/>
      <c r="D592" s="104"/>
      <c r="E592" s="68"/>
      <c r="F592" s="68"/>
      <c r="G592" s="68"/>
      <c r="H592" s="68"/>
      <c r="I592" s="68"/>
      <c r="J592" s="68"/>
      <c r="K592" s="68"/>
      <c r="L592" s="68"/>
      <c r="M592" s="68"/>
      <c r="N592" s="68"/>
      <c r="O592" s="68"/>
      <c r="P592" s="68"/>
      <c r="Q592" s="68"/>
      <c r="R592" s="68"/>
      <c r="S592" s="68"/>
      <c r="T592" s="68"/>
      <c r="U592" s="68"/>
      <c r="V592" s="68"/>
      <c r="W592" s="68"/>
      <c r="X592" s="68"/>
      <c r="Y592" s="68"/>
      <c r="Z592" s="68"/>
    </row>
    <row r="593" spans="1:26" ht="17">
      <c r="A593" s="68"/>
      <c r="B593" s="104"/>
      <c r="C593" s="104"/>
      <c r="D593" s="104"/>
      <c r="E593" s="68"/>
      <c r="F593" s="68"/>
      <c r="G593" s="68"/>
      <c r="H593" s="68"/>
      <c r="I593" s="68"/>
      <c r="J593" s="68"/>
      <c r="K593" s="68"/>
      <c r="L593" s="68"/>
      <c r="M593" s="68"/>
      <c r="N593" s="68"/>
      <c r="O593" s="68"/>
      <c r="P593" s="68"/>
      <c r="Q593" s="68"/>
      <c r="R593" s="68"/>
      <c r="S593" s="68"/>
      <c r="T593" s="68"/>
      <c r="U593" s="68"/>
      <c r="V593" s="68"/>
      <c r="W593" s="68"/>
      <c r="X593" s="68"/>
      <c r="Y593" s="68"/>
      <c r="Z593" s="68"/>
    </row>
    <row r="594" spans="1:26" ht="17">
      <c r="A594" s="68"/>
      <c r="B594" s="104"/>
      <c r="C594" s="104"/>
      <c r="D594" s="104"/>
      <c r="E594" s="68"/>
      <c r="F594" s="68"/>
      <c r="G594" s="68"/>
      <c r="H594" s="68"/>
      <c r="I594" s="68"/>
      <c r="J594" s="68"/>
      <c r="K594" s="68"/>
      <c r="L594" s="68"/>
      <c r="M594" s="68"/>
      <c r="N594" s="68"/>
      <c r="O594" s="68"/>
      <c r="P594" s="68"/>
      <c r="Q594" s="68"/>
      <c r="R594" s="68"/>
      <c r="S594" s="68"/>
      <c r="T594" s="68"/>
      <c r="U594" s="68"/>
      <c r="V594" s="68"/>
      <c r="W594" s="68"/>
      <c r="X594" s="68"/>
      <c r="Y594" s="68"/>
      <c r="Z594" s="68"/>
    </row>
    <row r="595" spans="1:26" ht="17">
      <c r="A595" s="68"/>
      <c r="B595" s="104"/>
      <c r="C595" s="104"/>
      <c r="D595" s="104"/>
      <c r="E595" s="68"/>
      <c r="F595" s="68"/>
      <c r="G595" s="68"/>
      <c r="H595" s="68"/>
      <c r="I595" s="68"/>
      <c r="J595" s="68"/>
      <c r="K595" s="68"/>
      <c r="L595" s="68"/>
      <c r="M595" s="68"/>
      <c r="N595" s="68"/>
      <c r="O595" s="68"/>
      <c r="P595" s="68"/>
      <c r="Q595" s="68"/>
      <c r="R595" s="68"/>
      <c r="S595" s="68"/>
      <c r="T595" s="68"/>
      <c r="U595" s="68"/>
      <c r="V595" s="68"/>
      <c r="W595" s="68"/>
      <c r="X595" s="68"/>
      <c r="Y595" s="68"/>
      <c r="Z595" s="68"/>
    </row>
    <row r="596" spans="1:26" ht="17">
      <c r="A596" s="68"/>
      <c r="B596" s="104"/>
      <c r="C596" s="104"/>
      <c r="D596" s="104"/>
      <c r="E596" s="68"/>
      <c r="F596" s="68"/>
      <c r="G596" s="68"/>
      <c r="H596" s="68"/>
      <c r="I596" s="68"/>
      <c r="J596" s="68"/>
      <c r="K596" s="68"/>
      <c r="L596" s="68"/>
      <c r="M596" s="68"/>
      <c r="N596" s="68"/>
      <c r="O596" s="68"/>
      <c r="P596" s="68"/>
      <c r="Q596" s="68"/>
      <c r="R596" s="68"/>
      <c r="S596" s="68"/>
      <c r="T596" s="68"/>
      <c r="U596" s="68"/>
      <c r="V596" s="68"/>
      <c r="W596" s="68"/>
      <c r="X596" s="68"/>
      <c r="Y596" s="68"/>
      <c r="Z596" s="68"/>
    </row>
    <row r="597" spans="1:26" ht="17">
      <c r="A597" s="68"/>
      <c r="B597" s="104"/>
      <c r="C597" s="104"/>
      <c r="D597" s="104"/>
      <c r="E597" s="68"/>
      <c r="F597" s="68"/>
      <c r="G597" s="68"/>
      <c r="H597" s="68"/>
      <c r="I597" s="68"/>
      <c r="J597" s="68"/>
      <c r="K597" s="68"/>
      <c r="L597" s="68"/>
      <c r="M597" s="68"/>
      <c r="N597" s="68"/>
      <c r="O597" s="68"/>
      <c r="P597" s="68"/>
      <c r="Q597" s="68"/>
      <c r="R597" s="68"/>
      <c r="S597" s="68"/>
      <c r="T597" s="68"/>
      <c r="U597" s="68"/>
      <c r="V597" s="68"/>
      <c r="W597" s="68"/>
      <c r="X597" s="68"/>
      <c r="Y597" s="68"/>
      <c r="Z597" s="68"/>
    </row>
    <row r="598" spans="1:26" ht="17">
      <c r="A598" s="68"/>
      <c r="B598" s="104"/>
      <c r="C598" s="104"/>
      <c r="D598" s="104"/>
      <c r="E598" s="68"/>
      <c r="F598" s="68"/>
      <c r="G598" s="68"/>
      <c r="H598" s="68"/>
      <c r="I598" s="68"/>
      <c r="J598" s="68"/>
      <c r="K598" s="68"/>
      <c r="L598" s="68"/>
      <c r="M598" s="68"/>
      <c r="N598" s="68"/>
      <c r="O598" s="68"/>
      <c r="P598" s="68"/>
      <c r="Q598" s="68"/>
      <c r="R598" s="68"/>
      <c r="S598" s="68"/>
      <c r="T598" s="68"/>
      <c r="U598" s="68"/>
      <c r="V598" s="68"/>
      <c r="W598" s="68"/>
      <c r="X598" s="68"/>
      <c r="Y598" s="68"/>
      <c r="Z598" s="68"/>
    </row>
    <row r="599" spans="1:26" ht="17">
      <c r="A599" s="68"/>
      <c r="B599" s="104"/>
      <c r="C599" s="104"/>
      <c r="D599" s="104"/>
      <c r="E599" s="68"/>
      <c r="F599" s="68"/>
      <c r="G599" s="68"/>
      <c r="H599" s="68"/>
      <c r="I599" s="68"/>
      <c r="J599" s="68"/>
      <c r="K599" s="68"/>
      <c r="L599" s="68"/>
      <c r="M599" s="68"/>
      <c r="N599" s="68"/>
      <c r="O599" s="68"/>
      <c r="P599" s="68"/>
      <c r="Q599" s="68"/>
      <c r="R599" s="68"/>
      <c r="S599" s="68"/>
      <c r="T599" s="68"/>
      <c r="U599" s="68"/>
      <c r="V599" s="68"/>
      <c r="W599" s="68"/>
      <c r="X599" s="68"/>
      <c r="Y599" s="68"/>
      <c r="Z599" s="68"/>
    </row>
    <row r="600" spans="1:26" ht="17">
      <c r="A600" s="68"/>
      <c r="B600" s="104"/>
      <c r="C600" s="104"/>
      <c r="D600" s="104"/>
      <c r="E600" s="68"/>
      <c r="F600" s="68"/>
      <c r="G600" s="68"/>
      <c r="H600" s="68"/>
      <c r="I600" s="68"/>
      <c r="J600" s="68"/>
      <c r="K600" s="68"/>
      <c r="L600" s="68"/>
      <c r="M600" s="68"/>
      <c r="N600" s="68"/>
      <c r="O600" s="68"/>
      <c r="P600" s="68"/>
      <c r="Q600" s="68"/>
      <c r="R600" s="68"/>
      <c r="S600" s="68"/>
      <c r="T600" s="68"/>
      <c r="U600" s="68"/>
      <c r="V600" s="68"/>
      <c r="W600" s="68"/>
      <c r="X600" s="68"/>
      <c r="Y600" s="68"/>
      <c r="Z600" s="68"/>
    </row>
    <row r="601" spans="1:26" ht="17">
      <c r="A601" s="68"/>
      <c r="B601" s="104"/>
      <c r="C601" s="104"/>
      <c r="D601" s="104"/>
      <c r="E601" s="68"/>
      <c r="F601" s="68"/>
      <c r="G601" s="68"/>
      <c r="H601" s="68"/>
      <c r="I601" s="68"/>
      <c r="J601" s="68"/>
      <c r="K601" s="68"/>
      <c r="L601" s="68"/>
      <c r="M601" s="68"/>
      <c r="N601" s="68"/>
      <c r="O601" s="68"/>
      <c r="P601" s="68"/>
      <c r="Q601" s="68"/>
      <c r="R601" s="68"/>
      <c r="S601" s="68"/>
      <c r="T601" s="68"/>
      <c r="U601" s="68"/>
      <c r="V601" s="68"/>
      <c r="W601" s="68"/>
      <c r="X601" s="68"/>
      <c r="Y601" s="68"/>
      <c r="Z601" s="68"/>
    </row>
    <row r="602" spans="1:26" ht="17">
      <c r="A602" s="68"/>
      <c r="B602" s="104"/>
      <c r="C602" s="104"/>
      <c r="D602" s="104"/>
      <c r="E602" s="68"/>
      <c r="F602" s="68"/>
      <c r="G602" s="68"/>
      <c r="H602" s="68"/>
      <c r="I602" s="68"/>
      <c r="J602" s="68"/>
      <c r="K602" s="68"/>
      <c r="L602" s="68"/>
      <c r="M602" s="68"/>
      <c r="N602" s="68"/>
      <c r="O602" s="68"/>
      <c r="P602" s="68"/>
      <c r="Q602" s="68"/>
      <c r="R602" s="68"/>
      <c r="S602" s="68"/>
      <c r="T602" s="68"/>
      <c r="U602" s="68"/>
      <c r="V602" s="68"/>
      <c r="W602" s="68"/>
      <c r="X602" s="68"/>
      <c r="Y602" s="68"/>
      <c r="Z602" s="68"/>
    </row>
    <row r="603" spans="1:26" ht="17">
      <c r="A603" s="68"/>
      <c r="B603" s="104"/>
      <c r="C603" s="104"/>
      <c r="D603" s="104"/>
      <c r="E603" s="68"/>
      <c r="F603" s="68"/>
      <c r="G603" s="68"/>
      <c r="H603" s="68"/>
      <c r="I603" s="68"/>
      <c r="J603" s="68"/>
      <c r="K603" s="68"/>
      <c r="L603" s="68"/>
      <c r="M603" s="68"/>
      <c r="N603" s="68"/>
      <c r="O603" s="68"/>
      <c r="P603" s="68"/>
      <c r="Q603" s="68"/>
      <c r="R603" s="68"/>
      <c r="S603" s="68"/>
      <c r="T603" s="68"/>
      <c r="U603" s="68"/>
      <c r="V603" s="68"/>
      <c r="W603" s="68"/>
      <c r="X603" s="68"/>
      <c r="Y603" s="68"/>
      <c r="Z603" s="68"/>
    </row>
    <row r="604" spans="1:26" ht="17">
      <c r="A604" s="68"/>
      <c r="B604" s="104"/>
      <c r="C604" s="104"/>
      <c r="D604" s="104"/>
      <c r="E604" s="68"/>
      <c r="F604" s="68"/>
      <c r="G604" s="68"/>
      <c r="H604" s="68"/>
      <c r="I604" s="68"/>
      <c r="J604" s="68"/>
      <c r="K604" s="68"/>
      <c r="L604" s="68"/>
      <c r="M604" s="68"/>
      <c r="N604" s="68"/>
      <c r="O604" s="68"/>
      <c r="P604" s="68"/>
      <c r="Q604" s="68"/>
      <c r="R604" s="68"/>
      <c r="S604" s="68"/>
      <c r="T604" s="68"/>
      <c r="U604" s="68"/>
      <c r="V604" s="68"/>
      <c r="W604" s="68"/>
      <c r="X604" s="68"/>
      <c r="Y604" s="68"/>
      <c r="Z604" s="68"/>
    </row>
    <row r="605" spans="1:26" ht="17">
      <c r="A605" s="68"/>
      <c r="B605" s="104"/>
      <c r="C605" s="104"/>
      <c r="D605" s="104"/>
      <c r="E605" s="68"/>
      <c r="F605" s="68"/>
      <c r="G605" s="68"/>
      <c r="H605" s="68"/>
      <c r="I605" s="68"/>
      <c r="J605" s="68"/>
      <c r="K605" s="68"/>
      <c r="L605" s="68"/>
      <c r="M605" s="68"/>
      <c r="N605" s="68"/>
      <c r="O605" s="68"/>
      <c r="P605" s="68"/>
      <c r="Q605" s="68"/>
      <c r="R605" s="68"/>
      <c r="S605" s="68"/>
      <c r="T605" s="68"/>
      <c r="U605" s="68"/>
      <c r="V605" s="68"/>
      <c r="W605" s="68"/>
      <c r="X605" s="68"/>
      <c r="Y605" s="68"/>
      <c r="Z605" s="68"/>
    </row>
    <row r="606" spans="1:26" ht="17">
      <c r="A606" s="68"/>
      <c r="B606" s="104"/>
      <c r="C606" s="104"/>
      <c r="D606" s="104"/>
      <c r="E606" s="68"/>
      <c r="F606" s="68"/>
      <c r="G606" s="68"/>
      <c r="H606" s="68"/>
      <c r="I606" s="68"/>
      <c r="J606" s="68"/>
      <c r="K606" s="68"/>
      <c r="L606" s="68"/>
      <c r="M606" s="68"/>
      <c r="N606" s="68"/>
      <c r="O606" s="68"/>
      <c r="P606" s="68"/>
      <c r="Q606" s="68"/>
      <c r="R606" s="68"/>
      <c r="S606" s="68"/>
      <c r="T606" s="68"/>
      <c r="U606" s="68"/>
      <c r="V606" s="68"/>
      <c r="W606" s="68"/>
      <c r="X606" s="68"/>
      <c r="Y606" s="68"/>
      <c r="Z606" s="68"/>
    </row>
    <row r="607" spans="1:26" ht="17">
      <c r="A607" s="68"/>
      <c r="B607" s="104"/>
      <c r="C607" s="104"/>
      <c r="D607" s="104"/>
      <c r="E607" s="68"/>
      <c r="F607" s="68"/>
      <c r="G607" s="68"/>
      <c r="H607" s="68"/>
      <c r="I607" s="68"/>
      <c r="J607" s="68"/>
      <c r="K607" s="68"/>
      <c r="L607" s="68"/>
      <c r="M607" s="68"/>
      <c r="N607" s="68"/>
      <c r="O607" s="68"/>
      <c r="P607" s="68"/>
      <c r="Q607" s="68"/>
      <c r="R607" s="68"/>
      <c r="S607" s="68"/>
      <c r="T607" s="68"/>
      <c r="U607" s="68"/>
      <c r="V607" s="68"/>
      <c r="W607" s="68"/>
      <c r="X607" s="68"/>
      <c r="Y607" s="68"/>
      <c r="Z607" s="68"/>
    </row>
    <row r="608" spans="1:26" ht="17">
      <c r="A608" s="68"/>
      <c r="B608" s="104"/>
      <c r="C608" s="104"/>
      <c r="D608" s="104"/>
      <c r="E608" s="68"/>
      <c r="F608" s="68"/>
      <c r="G608" s="68"/>
      <c r="H608" s="68"/>
      <c r="I608" s="68"/>
      <c r="J608" s="68"/>
      <c r="K608" s="68"/>
      <c r="L608" s="68"/>
      <c r="M608" s="68"/>
      <c r="N608" s="68"/>
      <c r="O608" s="68"/>
      <c r="P608" s="68"/>
      <c r="Q608" s="68"/>
      <c r="R608" s="68"/>
      <c r="S608" s="68"/>
      <c r="T608" s="68"/>
      <c r="U608" s="68"/>
      <c r="V608" s="68"/>
      <c r="W608" s="68"/>
      <c r="X608" s="68"/>
      <c r="Y608" s="68"/>
      <c r="Z608" s="68"/>
    </row>
    <row r="609" spans="1:26" ht="17">
      <c r="A609" s="68"/>
      <c r="B609" s="104"/>
      <c r="C609" s="104"/>
      <c r="D609" s="104"/>
      <c r="E609" s="68"/>
      <c r="F609" s="68"/>
      <c r="G609" s="68"/>
      <c r="H609" s="68"/>
      <c r="I609" s="68"/>
      <c r="J609" s="68"/>
      <c r="K609" s="68"/>
      <c r="L609" s="68"/>
      <c r="M609" s="68"/>
      <c r="N609" s="68"/>
      <c r="O609" s="68"/>
      <c r="P609" s="68"/>
      <c r="Q609" s="68"/>
      <c r="R609" s="68"/>
      <c r="S609" s="68"/>
      <c r="T609" s="68"/>
      <c r="U609" s="68"/>
      <c r="V609" s="68"/>
      <c r="W609" s="68"/>
      <c r="X609" s="68"/>
      <c r="Y609" s="68"/>
      <c r="Z609" s="68"/>
    </row>
    <row r="610" spans="1:26" ht="17">
      <c r="A610" s="68"/>
      <c r="B610" s="104"/>
      <c r="C610" s="104"/>
      <c r="D610" s="104"/>
      <c r="E610" s="68"/>
      <c r="F610" s="68"/>
      <c r="G610" s="68"/>
      <c r="H610" s="68"/>
      <c r="I610" s="68"/>
      <c r="J610" s="68"/>
      <c r="K610" s="68"/>
      <c r="L610" s="68"/>
      <c r="M610" s="68"/>
      <c r="N610" s="68"/>
      <c r="O610" s="68"/>
      <c r="P610" s="68"/>
      <c r="Q610" s="68"/>
      <c r="R610" s="68"/>
      <c r="S610" s="68"/>
      <c r="T610" s="68"/>
      <c r="U610" s="68"/>
      <c r="V610" s="68"/>
      <c r="W610" s="68"/>
      <c r="X610" s="68"/>
      <c r="Y610" s="68"/>
      <c r="Z610" s="68"/>
    </row>
    <row r="611" spans="1:26" ht="17">
      <c r="A611" s="68"/>
      <c r="B611" s="104"/>
      <c r="C611" s="104"/>
      <c r="D611" s="104"/>
      <c r="E611" s="68"/>
      <c r="F611" s="68"/>
      <c r="G611" s="68"/>
      <c r="H611" s="68"/>
      <c r="I611" s="68"/>
      <c r="J611" s="68"/>
      <c r="K611" s="68"/>
      <c r="L611" s="68"/>
      <c r="M611" s="68"/>
      <c r="N611" s="68"/>
      <c r="O611" s="68"/>
      <c r="P611" s="68"/>
      <c r="Q611" s="68"/>
      <c r="R611" s="68"/>
      <c r="S611" s="68"/>
      <c r="T611" s="68"/>
      <c r="U611" s="68"/>
      <c r="V611" s="68"/>
      <c r="W611" s="68"/>
      <c r="X611" s="68"/>
      <c r="Y611" s="68"/>
      <c r="Z611" s="68"/>
    </row>
    <row r="612" spans="1:26" ht="17">
      <c r="A612" s="68"/>
      <c r="B612" s="104"/>
      <c r="C612" s="104"/>
      <c r="D612" s="104"/>
      <c r="E612" s="68"/>
      <c r="F612" s="68"/>
      <c r="G612" s="68"/>
      <c r="H612" s="68"/>
      <c r="I612" s="68"/>
      <c r="J612" s="68"/>
      <c r="K612" s="68"/>
      <c r="L612" s="68"/>
      <c r="M612" s="68"/>
      <c r="N612" s="68"/>
      <c r="O612" s="68"/>
      <c r="P612" s="68"/>
      <c r="Q612" s="68"/>
      <c r="R612" s="68"/>
      <c r="S612" s="68"/>
      <c r="T612" s="68"/>
      <c r="U612" s="68"/>
      <c r="V612" s="68"/>
      <c r="W612" s="68"/>
      <c r="X612" s="68"/>
      <c r="Y612" s="68"/>
      <c r="Z612" s="68"/>
    </row>
    <row r="613" spans="1:26" ht="17">
      <c r="A613" s="68"/>
      <c r="B613" s="104"/>
      <c r="C613" s="104"/>
      <c r="D613" s="104"/>
      <c r="E613" s="68"/>
      <c r="F613" s="68"/>
      <c r="G613" s="68"/>
      <c r="H613" s="68"/>
      <c r="I613" s="68"/>
      <c r="J613" s="68"/>
      <c r="K613" s="68"/>
      <c r="L613" s="68"/>
      <c r="M613" s="68"/>
      <c r="N613" s="68"/>
      <c r="O613" s="68"/>
      <c r="P613" s="68"/>
      <c r="Q613" s="68"/>
      <c r="R613" s="68"/>
      <c r="S613" s="68"/>
      <c r="T613" s="68"/>
      <c r="U613" s="68"/>
      <c r="V613" s="68"/>
      <c r="W613" s="68"/>
      <c r="X613" s="68"/>
      <c r="Y613" s="68"/>
      <c r="Z613" s="68"/>
    </row>
    <row r="614" spans="1:26" ht="17">
      <c r="A614" s="68"/>
      <c r="B614" s="104"/>
      <c r="C614" s="104"/>
      <c r="D614" s="104"/>
      <c r="E614" s="68"/>
      <c r="F614" s="68"/>
      <c r="G614" s="68"/>
      <c r="H614" s="68"/>
      <c r="I614" s="68"/>
      <c r="J614" s="68"/>
      <c r="K614" s="68"/>
      <c r="L614" s="68"/>
      <c r="M614" s="68"/>
      <c r="N614" s="68"/>
      <c r="O614" s="68"/>
      <c r="P614" s="68"/>
      <c r="Q614" s="68"/>
      <c r="R614" s="68"/>
      <c r="S614" s="68"/>
      <c r="T614" s="68"/>
      <c r="U614" s="68"/>
      <c r="V614" s="68"/>
      <c r="W614" s="68"/>
      <c r="X614" s="68"/>
      <c r="Y614" s="68"/>
      <c r="Z614" s="68"/>
    </row>
    <row r="615" spans="1:26" ht="17">
      <c r="A615" s="68"/>
      <c r="B615" s="104"/>
      <c r="C615" s="104"/>
      <c r="D615" s="104"/>
      <c r="E615" s="68"/>
      <c r="F615" s="68"/>
      <c r="G615" s="68"/>
      <c r="H615" s="68"/>
      <c r="I615" s="68"/>
      <c r="J615" s="68"/>
      <c r="K615" s="68"/>
      <c r="L615" s="68"/>
      <c r="M615" s="68"/>
      <c r="N615" s="68"/>
      <c r="O615" s="68"/>
      <c r="P615" s="68"/>
      <c r="Q615" s="68"/>
      <c r="R615" s="68"/>
      <c r="S615" s="68"/>
      <c r="T615" s="68"/>
      <c r="U615" s="68"/>
      <c r="V615" s="68"/>
      <c r="W615" s="68"/>
      <c r="X615" s="68"/>
      <c r="Y615" s="68"/>
      <c r="Z615" s="68"/>
    </row>
    <row r="616" spans="1:26" ht="17">
      <c r="A616" s="68"/>
      <c r="B616" s="104"/>
      <c r="C616" s="104"/>
      <c r="D616" s="104"/>
      <c r="E616" s="68"/>
      <c r="F616" s="68"/>
      <c r="G616" s="68"/>
      <c r="H616" s="68"/>
      <c r="I616" s="68"/>
      <c r="J616" s="68"/>
      <c r="K616" s="68"/>
      <c r="L616" s="68"/>
      <c r="M616" s="68"/>
      <c r="N616" s="68"/>
      <c r="O616" s="68"/>
      <c r="P616" s="68"/>
      <c r="Q616" s="68"/>
      <c r="R616" s="68"/>
      <c r="S616" s="68"/>
      <c r="T616" s="68"/>
      <c r="U616" s="68"/>
      <c r="V616" s="68"/>
      <c r="W616" s="68"/>
      <c r="X616" s="68"/>
      <c r="Y616" s="68"/>
      <c r="Z616" s="68"/>
    </row>
    <row r="617" spans="1:26" ht="17">
      <c r="A617" s="68"/>
      <c r="B617" s="104"/>
      <c r="C617" s="104"/>
      <c r="D617" s="104"/>
      <c r="E617" s="68"/>
      <c r="F617" s="68"/>
      <c r="G617" s="68"/>
      <c r="H617" s="68"/>
      <c r="I617" s="68"/>
      <c r="J617" s="68"/>
      <c r="K617" s="68"/>
      <c r="L617" s="68"/>
      <c r="M617" s="68"/>
      <c r="N617" s="68"/>
      <c r="O617" s="68"/>
      <c r="P617" s="68"/>
      <c r="Q617" s="68"/>
      <c r="R617" s="68"/>
      <c r="S617" s="68"/>
      <c r="T617" s="68"/>
      <c r="U617" s="68"/>
      <c r="V617" s="68"/>
      <c r="W617" s="68"/>
      <c r="X617" s="68"/>
      <c r="Y617" s="68"/>
      <c r="Z617" s="68"/>
    </row>
    <row r="618" spans="1:26" ht="17">
      <c r="A618" s="68"/>
      <c r="B618" s="104"/>
      <c r="C618" s="104"/>
      <c r="D618" s="104"/>
      <c r="E618" s="68"/>
      <c r="F618" s="68"/>
      <c r="G618" s="68"/>
      <c r="H618" s="68"/>
      <c r="I618" s="68"/>
      <c r="J618" s="68"/>
      <c r="K618" s="68"/>
      <c r="L618" s="68"/>
      <c r="M618" s="68"/>
      <c r="N618" s="68"/>
      <c r="O618" s="68"/>
      <c r="P618" s="68"/>
      <c r="Q618" s="68"/>
      <c r="R618" s="68"/>
      <c r="S618" s="68"/>
      <c r="T618" s="68"/>
      <c r="U618" s="68"/>
      <c r="V618" s="68"/>
      <c r="W618" s="68"/>
      <c r="X618" s="68"/>
      <c r="Y618" s="68"/>
      <c r="Z618" s="68"/>
    </row>
    <row r="619" spans="1:26" ht="17">
      <c r="A619" s="68"/>
      <c r="B619" s="104"/>
      <c r="C619" s="104"/>
      <c r="D619" s="104"/>
      <c r="E619" s="68"/>
      <c r="F619" s="68"/>
      <c r="G619" s="68"/>
      <c r="H619" s="68"/>
      <c r="I619" s="68"/>
      <c r="J619" s="68"/>
      <c r="K619" s="68"/>
      <c r="L619" s="68"/>
      <c r="M619" s="68"/>
      <c r="N619" s="68"/>
      <c r="O619" s="68"/>
      <c r="P619" s="68"/>
      <c r="Q619" s="68"/>
      <c r="R619" s="68"/>
      <c r="S619" s="68"/>
      <c r="T619" s="68"/>
      <c r="U619" s="68"/>
      <c r="V619" s="68"/>
      <c r="W619" s="68"/>
      <c r="X619" s="68"/>
      <c r="Y619" s="68"/>
      <c r="Z619" s="68"/>
    </row>
    <row r="620" spans="1:26" ht="17">
      <c r="A620" s="68"/>
      <c r="B620" s="104"/>
      <c r="C620" s="104"/>
      <c r="D620" s="104"/>
      <c r="E620" s="68"/>
      <c r="F620" s="68"/>
      <c r="G620" s="68"/>
      <c r="H620" s="68"/>
      <c r="I620" s="68"/>
      <c r="J620" s="68"/>
      <c r="K620" s="68"/>
      <c r="L620" s="68"/>
      <c r="M620" s="68"/>
      <c r="N620" s="68"/>
      <c r="O620" s="68"/>
      <c r="P620" s="68"/>
      <c r="Q620" s="68"/>
      <c r="R620" s="68"/>
      <c r="S620" s="68"/>
      <c r="T620" s="68"/>
      <c r="U620" s="68"/>
      <c r="V620" s="68"/>
      <c r="W620" s="68"/>
      <c r="X620" s="68"/>
      <c r="Y620" s="68"/>
      <c r="Z620" s="68"/>
    </row>
    <row r="621" spans="1:26" ht="17">
      <c r="A621" s="68"/>
      <c r="B621" s="104"/>
      <c r="C621" s="104"/>
      <c r="D621" s="104"/>
      <c r="E621" s="68"/>
      <c r="F621" s="68"/>
      <c r="G621" s="68"/>
      <c r="H621" s="68"/>
      <c r="I621" s="68"/>
      <c r="J621" s="68"/>
      <c r="K621" s="68"/>
      <c r="L621" s="68"/>
      <c r="M621" s="68"/>
      <c r="N621" s="68"/>
      <c r="O621" s="68"/>
      <c r="P621" s="68"/>
      <c r="Q621" s="68"/>
      <c r="R621" s="68"/>
      <c r="S621" s="68"/>
      <c r="T621" s="68"/>
      <c r="U621" s="68"/>
      <c r="V621" s="68"/>
      <c r="W621" s="68"/>
      <c r="X621" s="68"/>
      <c r="Y621" s="68"/>
      <c r="Z621" s="68"/>
    </row>
    <row r="622" spans="1:26" ht="17">
      <c r="A622" s="68"/>
      <c r="B622" s="104"/>
      <c r="C622" s="104"/>
      <c r="D622" s="104"/>
      <c r="E622" s="68"/>
      <c r="F622" s="68"/>
      <c r="G622" s="68"/>
      <c r="H622" s="68"/>
      <c r="I622" s="68"/>
      <c r="J622" s="68"/>
      <c r="K622" s="68"/>
      <c r="L622" s="68"/>
      <c r="M622" s="68"/>
      <c r="N622" s="68"/>
      <c r="O622" s="68"/>
      <c r="P622" s="68"/>
      <c r="Q622" s="68"/>
      <c r="R622" s="68"/>
      <c r="S622" s="68"/>
      <c r="T622" s="68"/>
      <c r="U622" s="68"/>
      <c r="V622" s="68"/>
      <c r="W622" s="68"/>
      <c r="X622" s="68"/>
      <c r="Y622" s="68"/>
      <c r="Z622" s="68"/>
    </row>
    <row r="623" spans="1:26" ht="17">
      <c r="A623" s="68"/>
      <c r="B623" s="104"/>
      <c r="C623" s="104"/>
      <c r="D623" s="104"/>
      <c r="E623" s="68"/>
      <c r="F623" s="68"/>
      <c r="G623" s="68"/>
      <c r="H623" s="68"/>
      <c r="I623" s="68"/>
      <c r="J623" s="68"/>
      <c r="K623" s="68"/>
      <c r="L623" s="68"/>
      <c r="M623" s="68"/>
      <c r="N623" s="68"/>
      <c r="O623" s="68"/>
      <c r="P623" s="68"/>
      <c r="Q623" s="68"/>
      <c r="R623" s="68"/>
      <c r="S623" s="68"/>
      <c r="T623" s="68"/>
      <c r="U623" s="68"/>
      <c r="V623" s="68"/>
      <c r="W623" s="68"/>
      <c r="X623" s="68"/>
      <c r="Y623" s="68"/>
      <c r="Z623" s="68"/>
    </row>
    <row r="624" spans="1:26" ht="17">
      <c r="A624" s="68"/>
      <c r="B624" s="104"/>
      <c r="C624" s="104"/>
      <c r="D624" s="104"/>
      <c r="E624" s="68"/>
      <c r="F624" s="68"/>
      <c r="G624" s="68"/>
      <c r="H624" s="68"/>
      <c r="I624" s="68"/>
      <c r="J624" s="68"/>
      <c r="K624" s="68"/>
      <c r="L624" s="68"/>
      <c r="M624" s="68"/>
      <c r="N624" s="68"/>
      <c r="O624" s="68"/>
      <c r="P624" s="68"/>
      <c r="Q624" s="68"/>
      <c r="R624" s="68"/>
      <c r="S624" s="68"/>
      <c r="T624" s="68"/>
      <c r="U624" s="68"/>
      <c r="V624" s="68"/>
      <c r="W624" s="68"/>
      <c r="X624" s="68"/>
      <c r="Y624" s="68"/>
      <c r="Z624" s="68"/>
    </row>
    <row r="625" spans="1:26" ht="17">
      <c r="A625" s="68"/>
      <c r="B625" s="104"/>
      <c r="C625" s="104"/>
      <c r="D625" s="104"/>
      <c r="E625" s="68"/>
      <c r="F625" s="68"/>
      <c r="G625" s="68"/>
      <c r="H625" s="68"/>
      <c r="I625" s="68"/>
      <c r="J625" s="68"/>
      <c r="K625" s="68"/>
      <c r="L625" s="68"/>
      <c r="M625" s="68"/>
      <c r="N625" s="68"/>
      <c r="O625" s="68"/>
      <c r="P625" s="68"/>
      <c r="Q625" s="68"/>
      <c r="R625" s="68"/>
      <c r="S625" s="68"/>
      <c r="T625" s="68"/>
      <c r="U625" s="68"/>
      <c r="V625" s="68"/>
      <c r="W625" s="68"/>
      <c r="X625" s="68"/>
      <c r="Y625" s="68"/>
      <c r="Z625" s="68"/>
    </row>
    <row r="626" spans="1:26" ht="17">
      <c r="A626" s="68"/>
      <c r="B626" s="104"/>
      <c r="C626" s="104"/>
      <c r="D626" s="104"/>
      <c r="E626" s="68"/>
      <c r="F626" s="68"/>
      <c r="G626" s="68"/>
      <c r="H626" s="68"/>
      <c r="I626" s="68"/>
      <c r="J626" s="68"/>
      <c r="K626" s="68"/>
      <c r="L626" s="68"/>
      <c r="M626" s="68"/>
      <c r="N626" s="68"/>
      <c r="O626" s="68"/>
      <c r="P626" s="68"/>
      <c r="Q626" s="68"/>
      <c r="R626" s="68"/>
      <c r="S626" s="68"/>
      <c r="T626" s="68"/>
      <c r="U626" s="68"/>
      <c r="V626" s="68"/>
      <c r="W626" s="68"/>
      <c r="X626" s="68"/>
      <c r="Y626" s="68"/>
      <c r="Z626" s="68"/>
    </row>
    <row r="627" spans="1:26" ht="17">
      <c r="A627" s="68"/>
      <c r="B627" s="104"/>
      <c r="C627" s="104"/>
      <c r="D627" s="104"/>
      <c r="E627" s="68"/>
      <c r="F627" s="68"/>
      <c r="G627" s="68"/>
      <c r="H627" s="68"/>
      <c r="I627" s="68"/>
      <c r="J627" s="68"/>
      <c r="K627" s="68"/>
      <c r="L627" s="68"/>
      <c r="M627" s="68"/>
      <c r="N627" s="68"/>
      <c r="O627" s="68"/>
      <c r="P627" s="68"/>
      <c r="Q627" s="68"/>
      <c r="R627" s="68"/>
      <c r="S627" s="68"/>
      <c r="T627" s="68"/>
      <c r="U627" s="68"/>
      <c r="V627" s="68"/>
      <c r="W627" s="68"/>
      <c r="X627" s="68"/>
      <c r="Y627" s="68"/>
      <c r="Z627" s="68"/>
    </row>
    <row r="628" spans="1:26" ht="17">
      <c r="A628" s="68"/>
      <c r="B628" s="104"/>
      <c r="C628" s="104"/>
      <c r="D628" s="104"/>
      <c r="E628" s="68"/>
      <c r="F628" s="68"/>
      <c r="G628" s="68"/>
      <c r="H628" s="68"/>
      <c r="I628" s="68"/>
      <c r="J628" s="68"/>
      <c r="K628" s="68"/>
      <c r="L628" s="68"/>
      <c r="M628" s="68"/>
      <c r="N628" s="68"/>
      <c r="O628" s="68"/>
      <c r="P628" s="68"/>
      <c r="Q628" s="68"/>
      <c r="R628" s="68"/>
      <c r="S628" s="68"/>
      <c r="T628" s="68"/>
      <c r="U628" s="68"/>
      <c r="V628" s="68"/>
      <c r="W628" s="68"/>
      <c r="X628" s="68"/>
      <c r="Y628" s="68"/>
      <c r="Z628" s="68"/>
    </row>
    <row r="629" spans="1:26" ht="17">
      <c r="A629" s="68"/>
      <c r="B629" s="104"/>
      <c r="C629" s="104"/>
      <c r="D629" s="104"/>
      <c r="E629" s="68"/>
      <c r="F629" s="68"/>
      <c r="G629" s="68"/>
      <c r="H629" s="68"/>
      <c r="I629" s="68"/>
      <c r="J629" s="68"/>
      <c r="K629" s="68"/>
      <c r="L629" s="68"/>
      <c r="M629" s="68"/>
      <c r="N629" s="68"/>
      <c r="O629" s="68"/>
      <c r="P629" s="68"/>
      <c r="Q629" s="68"/>
      <c r="R629" s="68"/>
      <c r="S629" s="68"/>
      <c r="T629" s="68"/>
      <c r="U629" s="68"/>
      <c r="V629" s="68"/>
      <c r="W629" s="68"/>
      <c r="X629" s="68"/>
      <c r="Y629" s="68"/>
      <c r="Z629" s="68"/>
    </row>
    <row r="630" spans="1:26" ht="17">
      <c r="A630" s="68"/>
      <c r="B630" s="104"/>
      <c r="C630" s="104"/>
      <c r="D630" s="104"/>
      <c r="E630" s="68"/>
      <c r="F630" s="68"/>
      <c r="G630" s="68"/>
      <c r="H630" s="68"/>
      <c r="I630" s="68"/>
      <c r="J630" s="68"/>
      <c r="K630" s="68"/>
      <c r="L630" s="68"/>
      <c r="M630" s="68"/>
      <c r="N630" s="68"/>
      <c r="O630" s="68"/>
      <c r="P630" s="68"/>
      <c r="Q630" s="68"/>
      <c r="R630" s="68"/>
      <c r="S630" s="68"/>
      <c r="T630" s="68"/>
      <c r="U630" s="68"/>
      <c r="V630" s="68"/>
      <c r="W630" s="68"/>
      <c r="X630" s="68"/>
      <c r="Y630" s="68"/>
      <c r="Z630" s="68"/>
    </row>
    <row r="631" spans="1:26" ht="17">
      <c r="A631" s="68"/>
      <c r="B631" s="104"/>
      <c r="C631" s="104"/>
      <c r="D631" s="104"/>
      <c r="E631" s="68"/>
      <c r="F631" s="68"/>
      <c r="G631" s="68"/>
      <c r="H631" s="68"/>
      <c r="I631" s="68"/>
      <c r="J631" s="68"/>
      <c r="K631" s="68"/>
      <c r="L631" s="68"/>
      <c r="M631" s="68"/>
      <c r="N631" s="68"/>
      <c r="O631" s="68"/>
      <c r="P631" s="68"/>
      <c r="Q631" s="68"/>
      <c r="R631" s="68"/>
      <c r="S631" s="68"/>
      <c r="T631" s="68"/>
      <c r="U631" s="68"/>
      <c r="V631" s="68"/>
      <c r="W631" s="68"/>
      <c r="X631" s="68"/>
      <c r="Y631" s="68"/>
      <c r="Z631" s="68"/>
    </row>
    <row r="632" spans="1:26" ht="17">
      <c r="A632" s="68"/>
      <c r="B632" s="104"/>
      <c r="C632" s="104"/>
      <c r="D632" s="104"/>
      <c r="E632" s="68"/>
      <c r="F632" s="68"/>
      <c r="G632" s="68"/>
      <c r="H632" s="68"/>
      <c r="I632" s="68"/>
      <c r="J632" s="68"/>
      <c r="K632" s="68"/>
      <c r="L632" s="68"/>
      <c r="M632" s="68"/>
      <c r="N632" s="68"/>
      <c r="O632" s="68"/>
      <c r="P632" s="68"/>
      <c r="Q632" s="68"/>
      <c r="R632" s="68"/>
      <c r="S632" s="68"/>
      <c r="T632" s="68"/>
      <c r="U632" s="68"/>
      <c r="V632" s="68"/>
      <c r="W632" s="68"/>
      <c r="X632" s="68"/>
      <c r="Y632" s="68"/>
      <c r="Z632" s="68"/>
    </row>
    <row r="633" spans="1:26" ht="17">
      <c r="A633" s="68"/>
      <c r="B633" s="104"/>
      <c r="C633" s="104"/>
      <c r="D633" s="104"/>
      <c r="E633" s="68"/>
      <c r="F633" s="68"/>
      <c r="G633" s="68"/>
      <c r="H633" s="68"/>
      <c r="I633" s="68"/>
      <c r="J633" s="68"/>
      <c r="K633" s="68"/>
      <c r="L633" s="68"/>
      <c r="M633" s="68"/>
      <c r="N633" s="68"/>
      <c r="O633" s="68"/>
      <c r="P633" s="68"/>
      <c r="Q633" s="68"/>
      <c r="R633" s="68"/>
      <c r="S633" s="68"/>
      <c r="T633" s="68"/>
      <c r="U633" s="68"/>
      <c r="V633" s="68"/>
      <c r="W633" s="68"/>
      <c r="X633" s="68"/>
      <c r="Y633" s="68"/>
      <c r="Z633" s="68"/>
    </row>
    <row r="634" spans="1:26" ht="17">
      <c r="A634" s="68"/>
      <c r="B634" s="104"/>
      <c r="C634" s="104"/>
      <c r="D634" s="104"/>
      <c r="E634" s="68"/>
      <c r="F634" s="68"/>
      <c r="G634" s="68"/>
      <c r="H634" s="68"/>
      <c r="I634" s="68"/>
      <c r="J634" s="68"/>
      <c r="K634" s="68"/>
      <c r="L634" s="68"/>
      <c r="M634" s="68"/>
      <c r="N634" s="68"/>
      <c r="O634" s="68"/>
      <c r="P634" s="68"/>
      <c r="Q634" s="68"/>
      <c r="R634" s="68"/>
      <c r="S634" s="68"/>
      <c r="T634" s="68"/>
      <c r="U634" s="68"/>
      <c r="V634" s="68"/>
      <c r="W634" s="68"/>
      <c r="X634" s="68"/>
      <c r="Y634" s="68"/>
      <c r="Z634" s="68"/>
    </row>
    <row r="635" spans="1:26" ht="17">
      <c r="A635" s="68"/>
      <c r="B635" s="104"/>
      <c r="C635" s="104"/>
      <c r="D635" s="104"/>
      <c r="E635" s="68"/>
      <c r="F635" s="68"/>
      <c r="G635" s="68"/>
      <c r="H635" s="68"/>
      <c r="I635" s="68"/>
      <c r="J635" s="68"/>
      <c r="K635" s="68"/>
      <c r="L635" s="68"/>
      <c r="M635" s="68"/>
      <c r="N635" s="68"/>
      <c r="O635" s="68"/>
      <c r="P635" s="68"/>
      <c r="Q635" s="68"/>
      <c r="R635" s="68"/>
      <c r="S635" s="68"/>
      <c r="T635" s="68"/>
      <c r="U635" s="68"/>
      <c r="V635" s="68"/>
      <c r="W635" s="68"/>
      <c r="X635" s="68"/>
      <c r="Y635" s="68"/>
      <c r="Z635" s="68"/>
    </row>
    <row r="636" spans="1:26" ht="17">
      <c r="A636" s="68"/>
      <c r="B636" s="104"/>
      <c r="C636" s="104"/>
      <c r="D636" s="104"/>
      <c r="E636" s="68"/>
      <c r="F636" s="68"/>
      <c r="G636" s="68"/>
      <c r="H636" s="68"/>
      <c r="I636" s="68"/>
      <c r="J636" s="68"/>
      <c r="K636" s="68"/>
      <c r="L636" s="68"/>
      <c r="M636" s="68"/>
      <c r="N636" s="68"/>
      <c r="O636" s="68"/>
      <c r="P636" s="68"/>
      <c r="Q636" s="68"/>
      <c r="R636" s="68"/>
      <c r="S636" s="68"/>
      <c r="T636" s="68"/>
      <c r="U636" s="68"/>
      <c r="V636" s="68"/>
      <c r="W636" s="68"/>
      <c r="X636" s="68"/>
      <c r="Y636" s="68"/>
      <c r="Z636" s="68"/>
    </row>
    <row r="637" spans="1:26" ht="17">
      <c r="A637" s="68"/>
      <c r="B637" s="104"/>
      <c r="C637" s="104"/>
      <c r="D637" s="104"/>
      <c r="E637" s="68"/>
      <c r="F637" s="68"/>
      <c r="G637" s="68"/>
      <c r="H637" s="68"/>
      <c r="I637" s="68"/>
      <c r="J637" s="68"/>
      <c r="K637" s="68"/>
      <c r="L637" s="68"/>
      <c r="M637" s="68"/>
      <c r="N637" s="68"/>
      <c r="O637" s="68"/>
      <c r="P637" s="68"/>
      <c r="Q637" s="68"/>
      <c r="R637" s="68"/>
      <c r="S637" s="68"/>
      <c r="T637" s="68"/>
      <c r="U637" s="68"/>
      <c r="V637" s="68"/>
      <c r="W637" s="68"/>
      <c r="X637" s="68"/>
      <c r="Y637" s="68"/>
      <c r="Z637" s="68"/>
    </row>
    <row r="638" spans="1:26" ht="17">
      <c r="A638" s="68"/>
      <c r="B638" s="104"/>
      <c r="C638" s="104"/>
      <c r="D638" s="104"/>
      <c r="E638" s="68"/>
      <c r="F638" s="68"/>
      <c r="G638" s="68"/>
      <c r="H638" s="68"/>
      <c r="I638" s="68"/>
      <c r="J638" s="68"/>
      <c r="K638" s="68"/>
      <c r="L638" s="68"/>
      <c r="M638" s="68"/>
      <c r="N638" s="68"/>
      <c r="O638" s="68"/>
      <c r="P638" s="68"/>
      <c r="Q638" s="68"/>
      <c r="R638" s="68"/>
      <c r="S638" s="68"/>
      <c r="T638" s="68"/>
      <c r="U638" s="68"/>
      <c r="V638" s="68"/>
      <c r="W638" s="68"/>
      <c r="X638" s="68"/>
      <c r="Y638" s="68"/>
      <c r="Z638" s="68"/>
    </row>
    <row r="639" spans="1:26" ht="17">
      <c r="A639" s="68"/>
      <c r="B639" s="104"/>
      <c r="C639" s="104"/>
      <c r="D639" s="104"/>
      <c r="E639" s="68"/>
      <c r="F639" s="68"/>
      <c r="G639" s="68"/>
      <c r="H639" s="68"/>
      <c r="I639" s="68"/>
      <c r="J639" s="68"/>
      <c r="K639" s="68"/>
      <c r="L639" s="68"/>
      <c r="M639" s="68"/>
      <c r="N639" s="68"/>
      <c r="O639" s="68"/>
      <c r="P639" s="68"/>
      <c r="Q639" s="68"/>
      <c r="R639" s="68"/>
      <c r="S639" s="68"/>
      <c r="T639" s="68"/>
      <c r="U639" s="68"/>
      <c r="V639" s="68"/>
      <c r="W639" s="68"/>
      <c r="X639" s="68"/>
      <c r="Y639" s="68"/>
      <c r="Z639" s="68"/>
    </row>
    <row r="640" spans="1:26" ht="17">
      <c r="A640" s="68"/>
      <c r="B640" s="104"/>
      <c r="C640" s="104"/>
      <c r="D640" s="104"/>
      <c r="E640" s="68"/>
      <c r="F640" s="68"/>
      <c r="G640" s="68"/>
      <c r="H640" s="68"/>
      <c r="I640" s="68"/>
      <c r="J640" s="68"/>
      <c r="K640" s="68"/>
      <c r="L640" s="68"/>
      <c r="M640" s="68"/>
      <c r="N640" s="68"/>
      <c r="O640" s="68"/>
      <c r="P640" s="68"/>
      <c r="Q640" s="68"/>
      <c r="R640" s="68"/>
      <c r="S640" s="68"/>
      <c r="T640" s="68"/>
      <c r="U640" s="68"/>
      <c r="V640" s="68"/>
      <c r="W640" s="68"/>
      <c r="X640" s="68"/>
      <c r="Y640" s="68"/>
      <c r="Z640" s="68"/>
    </row>
    <row r="641" spans="1:26" ht="17">
      <c r="A641" s="68"/>
      <c r="B641" s="104"/>
      <c r="C641" s="104"/>
      <c r="D641" s="104"/>
      <c r="E641" s="68"/>
      <c r="F641" s="68"/>
      <c r="G641" s="68"/>
      <c r="H641" s="68"/>
      <c r="I641" s="68"/>
      <c r="J641" s="68"/>
      <c r="K641" s="68"/>
      <c r="L641" s="68"/>
      <c r="M641" s="68"/>
      <c r="N641" s="68"/>
      <c r="O641" s="68"/>
      <c r="P641" s="68"/>
      <c r="Q641" s="68"/>
      <c r="R641" s="68"/>
      <c r="S641" s="68"/>
      <c r="T641" s="68"/>
      <c r="U641" s="68"/>
      <c r="V641" s="68"/>
      <c r="W641" s="68"/>
      <c r="X641" s="68"/>
      <c r="Y641" s="68"/>
      <c r="Z641" s="68"/>
    </row>
    <row r="642" spans="1:26" ht="17">
      <c r="A642" s="68"/>
      <c r="B642" s="104"/>
      <c r="C642" s="104"/>
      <c r="D642" s="104"/>
      <c r="E642" s="68"/>
      <c r="F642" s="68"/>
      <c r="G642" s="68"/>
      <c r="H642" s="68"/>
      <c r="I642" s="68"/>
      <c r="J642" s="68"/>
      <c r="K642" s="68"/>
      <c r="L642" s="68"/>
      <c r="M642" s="68"/>
      <c r="N642" s="68"/>
      <c r="O642" s="68"/>
      <c r="P642" s="68"/>
      <c r="Q642" s="68"/>
      <c r="R642" s="68"/>
      <c r="S642" s="68"/>
      <c r="T642" s="68"/>
      <c r="U642" s="68"/>
      <c r="V642" s="68"/>
      <c r="W642" s="68"/>
      <c r="X642" s="68"/>
      <c r="Y642" s="68"/>
      <c r="Z642" s="68"/>
    </row>
    <row r="643" spans="1:26" ht="17">
      <c r="A643" s="68"/>
      <c r="B643" s="104"/>
      <c r="C643" s="104"/>
      <c r="D643" s="104"/>
      <c r="E643" s="68"/>
      <c r="F643" s="68"/>
      <c r="G643" s="68"/>
      <c r="H643" s="68"/>
      <c r="I643" s="68"/>
      <c r="J643" s="68"/>
      <c r="K643" s="68"/>
      <c r="L643" s="68"/>
      <c r="M643" s="68"/>
      <c r="N643" s="68"/>
      <c r="O643" s="68"/>
      <c r="P643" s="68"/>
      <c r="Q643" s="68"/>
      <c r="R643" s="68"/>
      <c r="S643" s="68"/>
      <c r="T643" s="68"/>
      <c r="U643" s="68"/>
      <c r="V643" s="68"/>
      <c r="W643" s="68"/>
      <c r="X643" s="68"/>
      <c r="Y643" s="68"/>
      <c r="Z643" s="68"/>
    </row>
    <row r="644" spans="1:26" ht="17">
      <c r="A644" s="68"/>
      <c r="B644" s="104"/>
      <c r="C644" s="104"/>
      <c r="D644" s="104"/>
      <c r="E644" s="68"/>
      <c r="F644" s="68"/>
      <c r="G644" s="68"/>
      <c r="H644" s="68"/>
      <c r="I644" s="68"/>
      <c r="J644" s="68"/>
      <c r="K644" s="68"/>
      <c r="L644" s="68"/>
      <c r="M644" s="68"/>
      <c r="N644" s="68"/>
      <c r="O644" s="68"/>
      <c r="P644" s="68"/>
      <c r="Q644" s="68"/>
      <c r="R644" s="68"/>
      <c r="S644" s="68"/>
      <c r="T644" s="68"/>
      <c r="U644" s="68"/>
      <c r="V644" s="68"/>
      <c r="W644" s="68"/>
      <c r="X644" s="68"/>
      <c r="Y644" s="68"/>
      <c r="Z644" s="68"/>
    </row>
    <row r="645" spans="1:26" ht="17">
      <c r="A645" s="68"/>
      <c r="B645" s="104"/>
      <c r="C645" s="104"/>
      <c r="D645" s="104"/>
      <c r="E645" s="68"/>
      <c r="F645" s="68"/>
      <c r="G645" s="68"/>
      <c r="H645" s="68"/>
      <c r="I645" s="68"/>
      <c r="J645" s="68"/>
      <c r="K645" s="68"/>
      <c r="L645" s="68"/>
      <c r="M645" s="68"/>
      <c r="N645" s="68"/>
      <c r="O645" s="68"/>
      <c r="P645" s="68"/>
      <c r="Q645" s="68"/>
      <c r="R645" s="68"/>
      <c r="S645" s="68"/>
      <c r="T645" s="68"/>
      <c r="U645" s="68"/>
      <c r="V645" s="68"/>
      <c r="W645" s="68"/>
      <c r="X645" s="68"/>
      <c r="Y645" s="68"/>
      <c r="Z645" s="68"/>
    </row>
    <row r="646" spans="1:26" ht="17">
      <c r="A646" s="68"/>
      <c r="B646" s="104"/>
      <c r="C646" s="104"/>
      <c r="D646" s="104"/>
      <c r="E646" s="68"/>
      <c r="F646" s="68"/>
      <c r="G646" s="68"/>
      <c r="H646" s="68"/>
      <c r="I646" s="68"/>
      <c r="J646" s="68"/>
      <c r="K646" s="68"/>
      <c r="L646" s="68"/>
      <c r="M646" s="68"/>
      <c r="N646" s="68"/>
      <c r="O646" s="68"/>
      <c r="P646" s="68"/>
      <c r="Q646" s="68"/>
      <c r="R646" s="68"/>
      <c r="S646" s="68"/>
      <c r="T646" s="68"/>
      <c r="U646" s="68"/>
      <c r="V646" s="68"/>
      <c r="W646" s="68"/>
      <c r="X646" s="68"/>
      <c r="Y646" s="68"/>
      <c r="Z646" s="68"/>
    </row>
    <row r="647" spans="1:26" ht="17">
      <c r="A647" s="68"/>
      <c r="B647" s="104"/>
      <c r="C647" s="104"/>
      <c r="D647" s="104"/>
      <c r="E647" s="68"/>
      <c r="F647" s="68"/>
      <c r="G647" s="68"/>
      <c r="H647" s="68"/>
      <c r="I647" s="68"/>
      <c r="J647" s="68"/>
      <c r="K647" s="68"/>
      <c r="L647" s="68"/>
      <c r="M647" s="68"/>
      <c r="N647" s="68"/>
      <c r="O647" s="68"/>
      <c r="P647" s="68"/>
      <c r="Q647" s="68"/>
      <c r="R647" s="68"/>
      <c r="S647" s="68"/>
      <c r="T647" s="68"/>
      <c r="U647" s="68"/>
      <c r="V647" s="68"/>
      <c r="W647" s="68"/>
      <c r="X647" s="68"/>
      <c r="Y647" s="68"/>
      <c r="Z647" s="68"/>
    </row>
    <row r="648" spans="1:26" ht="17">
      <c r="A648" s="68"/>
      <c r="B648" s="104"/>
      <c r="C648" s="104"/>
      <c r="D648" s="104"/>
      <c r="E648" s="68"/>
      <c r="F648" s="68"/>
      <c r="G648" s="68"/>
      <c r="H648" s="68"/>
      <c r="I648" s="68"/>
      <c r="J648" s="68"/>
      <c r="K648" s="68"/>
      <c r="L648" s="68"/>
      <c r="M648" s="68"/>
      <c r="N648" s="68"/>
      <c r="O648" s="68"/>
      <c r="P648" s="68"/>
      <c r="Q648" s="68"/>
      <c r="R648" s="68"/>
      <c r="S648" s="68"/>
      <c r="T648" s="68"/>
      <c r="U648" s="68"/>
      <c r="V648" s="68"/>
      <c r="W648" s="68"/>
      <c r="X648" s="68"/>
      <c r="Y648" s="68"/>
      <c r="Z648" s="68"/>
    </row>
    <row r="649" spans="1:26" ht="17">
      <c r="A649" s="68"/>
      <c r="B649" s="104"/>
      <c r="C649" s="104"/>
      <c r="D649" s="104"/>
      <c r="E649" s="68"/>
      <c r="F649" s="68"/>
      <c r="G649" s="68"/>
      <c r="H649" s="68"/>
      <c r="I649" s="68"/>
      <c r="J649" s="68"/>
      <c r="K649" s="68"/>
      <c r="L649" s="68"/>
      <c r="M649" s="68"/>
      <c r="N649" s="68"/>
      <c r="O649" s="68"/>
      <c r="P649" s="68"/>
      <c r="Q649" s="68"/>
      <c r="R649" s="68"/>
      <c r="S649" s="68"/>
      <c r="T649" s="68"/>
      <c r="U649" s="68"/>
      <c r="V649" s="68"/>
      <c r="W649" s="68"/>
      <c r="X649" s="68"/>
      <c r="Y649" s="68"/>
      <c r="Z649" s="68"/>
    </row>
    <row r="650" spans="1:26" ht="17">
      <c r="A650" s="68"/>
      <c r="B650" s="104"/>
      <c r="C650" s="104"/>
      <c r="D650" s="104"/>
      <c r="E650" s="68"/>
      <c r="F650" s="68"/>
      <c r="G650" s="68"/>
      <c r="H650" s="68"/>
      <c r="I650" s="68"/>
      <c r="J650" s="68"/>
      <c r="K650" s="68"/>
      <c r="L650" s="68"/>
      <c r="M650" s="68"/>
      <c r="N650" s="68"/>
      <c r="O650" s="68"/>
      <c r="P650" s="68"/>
      <c r="Q650" s="68"/>
      <c r="R650" s="68"/>
      <c r="S650" s="68"/>
      <c r="T650" s="68"/>
      <c r="U650" s="68"/>
      <c r="V650" s="68"/>
      <c r="W650" s="68"/>
      <c r="X650" s="68"/>
      <c r="Y650" s="68"/>
      <c r="Z650" s="68"/>
    </row>
    <row r="651" spans="1:26" ht="17">
      <c r="A651" s="68"/>
      <c r="B651" s="104"/>
      <c r="C651" s="104"/>
      <c r="D651" s="104"/>
      <c r="E651" s="68"/>
      <c r="F651" s="68"/>
      <c r="G651" s="68"/>
      <c r="H651" s="68"/>
      <c r="I651" s="68"/>
      <c r="J651" s="68"/>
      <c r="K651" s="68"/>
      <c r="L651" s="68"/>
      <c r="M651" s="68"/>
      <c r="N651" s="68"/>
      <c r="O651" s="68"/>
      <c r="P651" s="68"/>
      <c r="Q651" s="68"/>
      <c r="R651" s="68"/>
      <c r="S651" s="68"/>
      <c r="T651" s="68"/>
      <c r="U651" s="68"/>
      <c r="V651" s="68"/>
      <c r="W651" s="68"/>
      <c r="X651" s="68"/>
      <c r="Y651" s="68"/>
      <c r="Z651" s="68"/>
    </row>
    <row r="652" spans="1:26" ht="17">
      <c r="A652" s="68"/>
      <c r="B652" s="104"/>
      <c r="C652" s="104"/>
      <c r="D652" s="104"/>
      <c r="E652" s="68"/>
      <c r="F652" s="68"/>
      <c r="G652" s="68"/>
      <c r="H652" s="68"/>
      <c r="I652" s="68"/>
      <c r="J652" s="68"/>
      <c r="K652" s="68"/>
      <c r="L652" s="68"/>
      <c r="M652" s="68"/>
      <c r="N652" s="68"/>
      <c r="O652" s="68"/>
      <c r="P652" s="68"/>
      <c r="Q652" s="68"/>
      <c r="R652" s="68"/>
      <c r="S652" s="68"/>
      <c r="T652" s="68"/>
      <c r="U652" s="68"/>
      <c r="V652" s="68"/>
      <c r="W652" s="68"/>
      <c r="X652" s="68"/>
      <c r="Y652" s="68"/>
      <c r="Z652" s="68"/>
    </row>
    <row r="653" spans="1:26" ht="17">
      <c r="A653" s="68"/>
      <c r="B653" s="104"/>
      <c r="C653" s="104"/>
      <c r="D653" s="104"/>
      <c r="E653" s="68"/>
      <c r="F653" s="68"/>
      <c r="G653" s="68"/>
      <c r="H653" s="68"/>
      <c r="I653" s="68"/>
      <c r="J653" s="68"/>
      <c r="K653" s="68"/>
      <c r="L653" s="68"/>
      <c r="M653" s="68"/>
      <c r="N653" s="68"/>
      <c r="O653" s="68"/>
      <c r="P653" s="68"/>
      <c r="Q653" s="68"/>
      <c r="R653" s="68"/>
      <c r="S653" s="68"/>
      <c r="T653" s="68"/>
      <c r="U653" s="68"/>
      <c r="V653" s="68"/>
      <c r="W653" s="68"/>
      <c r="X653" s="68"/>
      <c r="Y653" s="68"/>
      <c r="Z653" s="68"/>
    </row>
    <row r="654" spans="1:26" ht="17">
      <c r="A654" s="68"/>
      <c r="B654" s="104"/>
      <c r="C654" s="104"/>
      <c r="D654" s="104"/>
      <c r="E654" s="68"/>
      <c r="F654" s="68"/>
      <c r="G654" s="68"/>
      <c r="H654" s="68"/>
      <c r="I654" s="68"/>
      <c r="J654" s="68"/>
      <c r="K654" s="68"/>
      <c r="L654" s="68"/>
      <c r="M654" s="68"/>
      <c r="N654" s="68"/>
      <c r="O654" s="68"/>
      <c r="P654" s="68"/>
      <c r="Q654" s="68"/>
      <c r="R654" s="68"/>
      <c r="S654" s="68"/>
      <c r="T654" s="68"/>
      <c r="U654" s="68"/>
      <c r="V654" s="68"/>
      <c r="W654" s="68"/>
      <c r="X654" s="68"/>
      <c r="Y654" s="68"/>
      <c r="Z654" s="68"/>
    </row>
    <row r="655" spans="1:26" ht="17">
      <c r="A655" s="68"/>
      <c r="B655" s="104"/>
      <c r="C655" s="104"/>
      <c r="D655" s="104"/>
      <c r="E655" s="68"/>
      <c r="F655" s="68"/>
      <c r="G655" s="68"/>
      <c r="H655" s="68"/>
      <c r="I655" s="68"/>
      <c r="J655" s="68"/>
      <c r="K655" s="68"/>
      <c r="L655" s="68"/>
      <c r="M655" s="68"/>
      <c r="N655" s="68"/>
      <c r="O655" s="68"/>
      <c r="P655" s="68"/>
      <c r="Q655" s="68"/>
      <c r="R655" s="68"/>
      <c r="S655" s="68"/>
      <c r="T655" s="68"/>
      <c r="U655" s="68"/>
      <c r="V655" s="68"/>
      <c r="W655" s="68"/>
      <c r="X655" s="68"/>
      <c r="Y655" s="68"/>
      <c r="Z655" s="68"/>
    </row>
    <row r="656" spans="1:26" ht="17">
      <c r="A656" s="68"/>
      <c r="B656" s="104"/>
      <c r="C656" s="104"/>
      <c r="D656" s="104"/>
      <c r="E656" s="68"/>
      <c r="F656" s="68"/>
      <c r="G656" s="68"/>
      <c r="H656" s="68"/>
      <c r="I656" s="68"/>
      <c r="J656" s="68"/>
      <c r="K656" s="68"/>
      <c r="L656" s="68"/>
      <c r="M656" s="68"/>
      <c r="N656" s="68"/>
      <c r="O656" s="68"/>
      <c r="P656" s="68"/>
      <c r="Q656" s="68"/>
      <c r="R656" s="68"/>
      <c r="S656" s="68"/>
      <c r="T656" s="68"/>
      <c r="U656" s="68"/>
      <c r="V656" s="68"/>
      <c r="W656" s="68"/>
      <c r="X656" s="68"/>
      <c r="Y656" s="68"/>
      <c r="Z656" s="68"/>
    </row>
    <row r="657" spans="1:26" ht="17">
      <c r="A657" s="68"/>
      <c r="B657" s="104"/>
      <c r="C657" s="104"/>
      <c r="D657" s="104"/>
      <c r="E657" s="68"/>
      <c r="F657" s="68"/>
      <c r="G657" s="68"/>
      <c r="H657" s="68"/>
      <c r="I657" s="68"/>
      <c r="J657" s="68"/>
      <c r="K657" s="68"/>
      <c r="L657" s="68"/>
      <c r="M657" s="68"/>
      <c r="N657" s="68"/>
      <c r="O657" s="68"/>
      <c r="P657" s="68"/>
      <c r="Q657" s="68"/>
      <c r="R657" s="68"/>
      <c r="S657" s="68"/>
      <c r="T657" s="68"/>
      <c r="U657" s="68"/>
      <c r="V657" s="68"/>
      <c r="W657" s="68"/>
      <c r="X657" s="68"/>
      <c r="Y657" s="68"/>
      <c r="Z657" s="68"/>
    </row>
    <row r="658" spans="1:26" ht="17">
      <c r="A658" s="68"/>
      <c r="B658" s="104"/>
      <c r="C658" s="104"/>
      <c r="D658" s="104"/>
      <c r="E658" s="68"/>
      <c r="F658" s="68"/>
      <c r="G658" s="68"/>
      <c r="H658" s="68"/>
      <c r="I658" s="68"/>
      <c r="J658" s="68"/>
      <c r="K658" s="68"/>
      <c r="L658" s="68"/>
      <c r="M658" s="68"/>
      <c r="N658" s="68"/>
      <c r="O658" s="68"/>
      <c r="P658" s="68"/>
      <c r="Q658" s="68"/>
      <c r="R658" s="68"/>
      <c r="S658" s="68"/>
      <c r="T658" s="68"/>
      <c r="U658" s="68"/>
      <c r="V658" s="68"/>
      <c r="W658" s="68"/>
      <c r="X658" s="68"/>
      <c r="Y658" s="68"/>
      <c r="Z658" s="68"/>
    </row>
    <row r="659" spans="1:26" ht="17">
      <c r="A659" s="68"/>
      <c r="B659" s="104"/>
      <c r="C659" s="104"/>
      <c r="D659" s="104"/>
      <c r="E659" s="68"/>
      <c r="F659" s="68"/>
      <c r="G659" s="68"/>
      <c r="H659" s="68"/>
      <c r="I659" s="68"/>
      <c r="J659" s="68"/>
      <c r="K659" s="68"/>
      <c r="L659" s="68"/>
      <c r="M659" s="68"/>
      <c r="N659" s="68"/>
      <c r="O659" s="68"/>
      <c r="P659" s="68"/>
      <c r="Q659" s="68"/>
      <c r="R659" s="68"/>
      <c r="S659" s="68"/>
      <c r="T659" s="68"/>
      <c r="U659" s="68"/>
      <c r="V659" s="68"/>
      <c r="W659" s="68"/>
      <c r="X659" s="68"/>
      <c r="Y659" s="68"/>
      <c r="Z659" s="68"/>
    </row>
    <row r="660" spans="1:26" ht="17">
      <c r="A660" s="68"/>
      <c r="B660" s="104"/>
      <c r="C660" s="104"/>
      <c r="D660" s="104"/>
      <c r="E660" s="68"/>
      <c r="F660" s="68"/>
      <c r="G660" s="68"/>
      <c r="H660" s="68"/>
      <c r="I660" s="68"/>
      <c r="J660" s="68"/>
      <c r="K660" s="68"/>
      <c r="L660" s="68"/>
      <c r="M660" s="68"/>
      <c r="N660" s="68"/>
      <c r="O660" s="68"/>
      <c r="P660" s="68"/>
      <c r="Q660" s="68"/>
      <c r="R660" s="68"/>
      <c r="S660" s="68"/>
      <c r="T660" s="68"/>
      <c r="U660" s="68"/>
      <c r="V660" s="68"/>
      <c r="W660" s="68"/>
      <c r="X660" s="68"/>
      <c r="Y660" s="68"/>
      <c r="Z660" s="68"/>
    </row>
    <row r="661" spans="1:26" ht="17">
      <c r="A661" s="68"/>
      <c r="B661" s="104"/>
      <c r="C661" s="104"/>
      <c r="D661" s="104"/>
      <c r="E661" s="68"/>
      <c r="F661" s="68"/>
      <c r="G661" s="68"/>
      <c r="H661" s="68"/>
      <c r="I661" s="68"/>
      <c r="J661" s="68"/>
      <c r="K661" s="68"/>
      <c r="L661" s="68"/>
      <c r="M661" s="68"/>
      <c r="N661" s="68"/>
      <c r="O661" s="68"/>
      <c r="P661" s="68"/>
      <c r="Q661" s="68"/>
      <c r="R661" s="68"/>
      <c r="S661" s="68"/>
      <c r="T661" s="68"/>
      <c r="U661" s="68"/>
      <c r="V661" s="68"/>
      <c r="W661" s="68"/>
      <c r="X661" s="68"/>
      <c r="Y661" s="68"/>
      <c r="Z661" s="68"/>
    </row>
    <row r="662" spans="1:26" ht="17">
      <c r="A662" s="68"/>
      <c r="B662" s="104"/>
      <c r="C662" s="104"/>
      <c r="D662" s="104"/>
      <c r="E662" s="68"/>
      <c r="F662" s="68"/>
      <c r="G662" s="68"/>
      <c r="H662" s="68"/>
      <c r="I662" s="68"/>
      <c r="J662" s="68"/>
      <c r="K662" s="68"/>
      <c r="L662" s="68"/>
      <c r="M662" s="68"/>
      <c r="N662" s="68"/>
      <c r="O662" s="68"/>
      <c r="P662" s="68"/>
      <c r="Q662" s="68"/>
      <c r="R662" s="68"/>
      <c r="S662" s="68"/>
      <c r="T662" s="68"/>
      <c r="U662" s="68"/>
      <c r="V662" s="68"/>
      <c r="W662" s="68"/>
      <c r="X662" s="68"/>
      <c r="Y662" s="68"/>
      <c r="Z662" s="68"/>
    </row>
    <row r="663" spans="1:26" ht="17">
      <c r="A663" s="68"/>
      <c r="B663" s="104"/>
      <c r="C663" s="104"/>
      <c r="D663" s="104"/>
      <c r="E663" s="68"/>
      <c r="F663" s="68"/>
      <c r="G663" s="68"/>
      <c r="H663" s="68"/>
      <c r="I663" s="68"/>
      <c r="J663" s="68"/>
      <c r="K663" s="68"/>
      <c r="L663" s="68"/>
      <c r="M663" s="68"/>
      <c r="N663" s="68"/>
      <c r="O663" s="68"/>
      <c r="P663" s="68"/>
      <c r="Q663" s="68"/>
      <c r="R663" s="68"/>
      <c r="S663" s="68"/>
      <c r="T663" s="68"/>
      <c r="U663" s="68"/>
      <c r="V663" s="68"/>
      <c r="W663" s="68"/>
      <c r="X663" s="68"/>
      <c r="Y663" s="68"/>
      <c r="Z663" s="68"/>
    </row>
    <row r="664" spans="1:26" ht="17">
      <c r="A664" s="68"/>
      <c r="B664" s="104"/>
      <c r="C664" s="104"/>
      <c r="D664" s="104"/>
      <c r="E664" s="68"/>
      <c r="F664" s="68"/>
      <c r="G664" s="68"/>
      <c r="H664" s="68"/>
      <c r="I664" s="68"/>
      <c r="J664" s="68"/>
      <c r="K664" s="68"/>
      <c r="L664" s="68"/>
      <c r="M664" s="68"/>
      <c r="N664" s="68"/>
      <c r="O664" s="68"/>
      <c r="P664" s="68"/>
      <c r="Q664" s="68"/>
      <c r="R664" s="68"/>
      <c r="S664" s="68"/>
      <c r="T664" s="68"/>
      <c r="U664" s="68"/>
      <c r="V664" s="68"/>
      <c r="W664" s="68"/>
      <c r="X664" s="68"/>
      <c r="Y664" s="68"/>
      <c r="Z664" s="68"/>
    </row>
    <row r="665" spans="1:26" ht="17">
      <c r="A665" s="68"/>
      <c r="B665" s="104"/>
      <c r="C665" s="104"/>
      <c r="D665" s="104"/>
      <c r="E665" s="68"/>
      <c r="F665" s="68"/>
      <c r="G665" s="68"/>
      <c r="H665" s="68"/>
      <c r="I665" s="68"/>
      <c r="J665" s="68"/>
      <c r="K665" s="68"/>
      <c r="L665" s="68"/>
      <c r="M665" s="68"/>
      <c r="N665" s="68"/>
      <c r="O665" s="68"/>
      <c r="P665" s="68"/>
      <c r="Q665" s="68"/>
      <c r="R665" s="68"/>
      <c r="S665" s="68"/>
      <c r="T665" s="68"/>
      <c r="U665" s="68"/>
      <c r="V665" s="68"/>
      <c r="W665" s="68"/>
      <c r="X665" s="68"/>
      <c r="Y665" s="68"/>
      <c r="Z665" s="68"/>
    </row>
    <row r="666" spans="1:26" ht="17">
      <c r="A666" s="68"/>
      <c r="B666" s="104"/>
      <c r="C666" s="104"/>
      <c r="D666" s="104"/>
      <c r="E666" s="68"/>
      <c r="F666" s="68"/>
      <c r="G666" s="68"/>
      <c r="H666" s="68"/>
      <c r="I666" s="68"/>
      <c r="J666" s="68"/>
      <c r="K666" s="68"/>
      <c r="L666" s="68"/>
      <c r="M666" s="68"/>
      <c r="N666" s="68"/>
      <c r="O666" s="68"/>
      <c r="P666" s="68"/>
      <c r="Q666" s="68"/>
      <c r="R666" s="68"/>
      <c r="S666" s="68"/>
      <c r="T666" s="68"/>
      <c r="U666" s="68"/>
      <c r="V666" s="68"/>
      <c r="W666" s="68"/>
      <c r="X666" s="68"/>
      <c r="Y666" s="68"/>
      <c r="Z666" s="68"/>
    </row>
    <row r="667" spans="1:26" ht="17">
      <c r="A667" s="68"/>
      <c r="B667" s="104"/>
      <c r="C667" s="104"/>
      <c r="D667" s="104"/>
      <c r="E667" s="68"/>
      <c r="F667" s="68"/>
      <c r="G667" s="68"/>
      <c r="H667" s="68"/>
      <c r="I667" s="68"/>
      <c r="J667" s="68"/>
      <c r="K667" s="68"/>
      <c r="L667" s="68"/>
      <c r="M667" s="68"/>
      <c r="N667" s="68"/>
      <c r="O667" s="68"/>
      <c r="P667" s="68"/>
      <c r="Q667" s="68"/>
      <c r="R667" s="68"/>
      <c r="S667" s="68"/>
      <c r="T667" s="68"/>
      <c r="U667" s="68"/>
      <c r="V667" s="68"/>
      <c r="W667" s="68"/>
      <c r="X667" s="68"/>
      <c r="Y667" s="68"/>
      <c r="Z667" s="68"/>
    </row>
    <row r="668" spans="1:26" ht="17">
      <c r="A668" s="68"/>
      <c r="B668" s="104"/>
      <c r="C668" s="104"/>
      <c r="D668" s="104"/>
      <c r="E668" s="68"/>
      <c r="F668" s="68"/>
      <c r="G668" s="68"/>
      <c r="H668" s="68"/>
      <c r="I668" s="68"/>
      <c r="J668" s="68"/>
      <c r="K668" s="68"/>
      <c r="L668" s="68"/>
      <c r="M668" s="68"/>
      <c r="N668" s="68"/>
      <c r="O668" s="68"/>
      <c r="P668" s="68"/>
      <c r="Q668" s="68"/>
      <c r="R668" s="68"/>
      <c r="S668" s="68"/>
      <c r="T668" s="68"/>
      <c r="U668" s="68"/>
      <c r="V668" s="68"/>
      <c r="W668" s="68"/>
      <c r="X668" s="68"/>
      <c r="Y668" s="68"/>
      <c r="Z668" s="68"/>
    </row>
    <row r="669" spans="1:26" ht="17">
      <c r="A669" s="68"/>
      <c r="B669" s="104"/>
      <c r="C669" s="104"/>
      <c r="D669" s="104"/>
      <c r="E669" s="68"/>
      <c r="F669" s="68"/>
      <c r="G669" s="68"/>
      <c r="H669" s="68"/>
      <c r="I669" s="68"/>
      <c r="J669" s="68"/>
      <c r="K669" s="68"/>
      <c r="L669" s="68"/>
      <c r="M669" s="68"/>
      <c r="N669" s="68"/>
      <c r="O669" s="68"/>
      <c r="P669" s="68"/>
      <c r="Q669" s="68"/>
      <c r="R669" s="68"/>
      <c r="S669" s="68"/>
      <c r="T669" s="68"/>
      <c r="U669" s="68"/>
      <c r="V669" s="68"/>
      <c r="W669" s="68"/>
      <c r="X669" s="68"/>
      <c r="Y669" s="68"/>
      <c r="Z669" s="68"/>
    </row>
    <row r="670" spans="1:26" ht="17">
      <c r="A670" s="68"/>
      <c r="B670" s="104"/>
      <c r="C670" s="104"/>
      <c r="D670" s="104"/>
      <c r="E670" s="68"/>
      <c r="F670" s="68"/>
      <c r="G670" s="68"/>
      <c r="H670" s="68"/>
      <c r="I670" s="68"/>
      <c r="J670" s="68"/>
      <c r="K670" s="68"/>
      <c r="L670" s="68"/>
      <c r="M670" s="68"/>
      <c r="N670" s="68"/>
      <c r="O670" s="68"/>
      <c r="P670" s="68"/>
      <c r="Q670" s="68"/>
      <c r="R670" s="68"/>
      <c r="S670" s="68"/>
      <c r="T670" s="68"/>
      <c r="U670" s="68"/>
      <c r="V670" s="68"/>
      <c r="W670" s="68"/>
      <c r="X670" s="68"/>
      <c r="Y670" s="68"/>
      <c r="Z670" s="68"/>
    </row>
    <row r="671" spans="1:26" ht="17">
      <c r="A671" s="68"/>
      <c r="B671" s="104"/>
      <c r="C671" s="104"/>
      <c r="D671" s="104"/>
      <c r="E671" s="68"/>
      <c r="F671" s="68"/>
      <c r="G671" s="68"/>
      <c r="H671" s="68"/>
      <c r="I671" s="68"/>
      <c r="J671" s="68"/>
      <c r="K671" s="68"/>
      <c r="L671" s="68"/>
      <c r="M671" s="68"/>
      <c r="N671" s="68"/>
      <c r="O671" s="68"/>
      <c r="P671" s="68"/>
      <c r="Q671" s="68"/>
      <c r="R671" s="68"/>
      <c r="S671" s="68"/>
      <c r="T671" s="68"/>
      <c r="U671" s="68"/>
      <c r="V671" s="68"/>
      <c r="W671" s="68"/>
      <c r="X671" s="68"/>
      <c r="Y671" s="68"/>
      <c r="Z671" s="68"/>
    </row>
    <row r="672" spans="1:26" ht="17">
      <c r="A672" s="68"/>
      <c r="B672" s="104"/>
      <c r="C672" s="104"/>
      <c r="D672" s="104"/>
      <c r="E672" s="68"/>
      <c r="F672" s="68"/>
      <c r="G672" s="68"/>
      <c r="H672" s="68"/>
      <c r="I672" s="68"/>
      <c r="J672" s="68"/>
      <c r="K672" s="68"/>
      <c r="L672" s="68"/>
      <c r="M672" s="68"/>
      <c r="N672" s="68"/>
      <c r="O672" s="68"/>
      <c r="P672" s="68"/>
      <c r="Q672" s="68"/>
      <c r="R672" s="68"/>
      <c r="S672" s="68"/>
      <c r="T672" s="68"/>
      <c r="U672" s="68"/>
      <c r="V672" s="68"/>
      <c r="W672" s="68"/>
      <c r="X672" s="68"/>
      <c r="Y672" s="68"/>
      <c r="Z672" s="68"/>
    </row>
    <row r="673" spans="1:26" ht="17">
      <c r="A673" s="68"/>
      <c r="B673" s="104"/>
      <c r="C673" s="104"/>
      <c r="D673" s="104"/>
      <c r="E673" s="68"/>
      <c r="F673" s="68"/>
      <c r="G673" s="68"/>
      <c r="H673" s="68"/>
      <c r="I673" s="68"/>
      <c r="J673" s="68"/>
      <c r="K673" s="68"/>
      <c r="L673" s="68"/>
      <c r="M673" s="68"/>
      <c r="N673" s="68"/>
      <c r="O673" s="68"/>
      <c r="P673" s="68"/>
      <c r="Q673" s="68"/>
      <c r="R673" s="68"/>
      <c r="S673" s="68"/>
      <c r="T673" s="68"/>
      <c r="U673" s="68"/>
      <c r="V673" s="68"/>
      <c r="W673" s="68"/>
      <c r="X673" s="68"/>
      <c r="Y673" s="68"/>
      <c r="Z673" s="68"/>
    </row>
    <row r="674" spans="1:26" ht="17">
      <c r="A674" s="68"/>
      <c r="B674" s="104"/>
      <c r="C674" s="104"/>
      <c r="D674" s="104"/>
      <c r="E674" s="68"/>
      <c r="F674" s="68"/>
      <c r="G674" s="68"/>
      <c r="H674" s="68"/>
      <c r="I674" s="68"/>
      <c r="J674" s="68"/>
      <c r="K674" s="68"/>
      <c r="L674" s="68"/>
      <c r="M674" s="68"/>
      <c r="N674" s="68"/>
      <c r="O674" s="68"/>
      <c r="P674" s="68"/>
      <c r="Q674" s="68"/>
      <c r="R674" s="68"/>
      <c r="S674" s="68"/>
      <c r="T674" s="68"/>
      <c r="U674" s="68"/>
      <c r="V674" s="68"/>
      <c r="W674" s="68"/>
      <c r="X674" s="68"/>
      <c r="Y674" s="68"/>
      <c r="Z674" s="68"/>
    </row>
    <row r="675" spans="1:26" ht="17">
      <c r="A675" s="68"/>
      <c r="B675" s="104"/>
      <c r="C675" s="104"/>
      <c r="D675" s="104"/>
      <c r="E675" s="68"/>
      <c r="F675" s="68"/>
      <c r="G675" s="68"/>
      <c r="H675" s="68"/>
      <c r="I675" s="68"/>
      <c r="J675" s="68"/>
      <c r="K675" s="68"/>
      <c r="L675" s="68"/>
      <c r="M675" s="68"/>
      <c r="N675" s="68"/>
      <c r="O675" s="68"/>
      <c r="P675" s="68"/>
      <c r="Q675" s="68"/>
      <c r="R675" s="68"/>
      <c r="S675" s="68"/>
      <c r="T675" s="68"/>
      <c r="U675" s="68"/>
      <c r="V675" s="68"/>
      <c r="W675" s="68"/>
      <c r="X675" s="68"/>
      <c r="Y675" s="68"/>
      <c r="Z675" s="68"/>
    </row>
    <row r="676" spans="1:26" ht="17">
      <c r="A676" s="68"/>
      <c r="B676" s="104"/>
      <c r="C676" s="104"/>
      <c r="D676" s="104"/>
      <c r="E676" s="68"/>
      <c r="F676" s="68"/>
      <c r="G676" s="68"/>
      <c r="H676" s="68"/>
      <c r="I676" s="68"/>
      <c r="J676" s="68"/>
      <c r="K676" s="68"/>
      <c r="L676" s="68"/>
      <c r="M676" s="68"/>
      <c r="N676" s="68"/>
      <c r="O676" s="68"/>
      <c r="P676" s="68"/>
      <c r="Q676" s="68"/>
      <c r="R676" s="68"/>
      <c r="S676" s="68"/>
      <c r="T676" s="68"/>
      <c r="U676" s="68"/>
      <c r="V676" s="68"/>
      <c r="W676" s="68"/>
      <c r="X676" s="68"/>
      <c r="Y676" s="68"/>
      <c r="Z676" s="68"/>
    </row>
    <row r="677" spans="1:26" ht="17">
      <c r="A677" s="68"/>
      <c r="B677" s="104"/>
      <c r="C677" s="104"/>
      <c r="D677" s="104"/>
      <c r="E677" s="68"/>
      <c r="F677" s="68"/>
      <c r="G677" s="68"/>
      <c r="H677" s="68"/>
      <c r="I677" s="68"/>
      <c r="J677" s="68"/>
      <c r="K677" s="68"/>
      <c r="L677" s="68"/>
      <c r="M677" s="68"/>
      <c r="N677" s="68"/>
      <c r="O677" s="68"/>
      <c r="P677" s="68"/>
      <c r="Q677" s="68"/>
      <c r="R677" s="68"/>
      <c r="S677" s="68"/>
      <c r="T677" s="68"/>
      <c r="U677" s="68"/>
      <c r="V677" s="68"/>
      <c r="W677" s="68"/>
      <c r="X677" s="68"/>
      <c r="Y677" s="68"/>
      <c r="Z677" s="68"/>
    </row>
    <row r="678" spans="1:26" ht="17">
      <c r="A678" s="68"/>
      <c r="B678" s="104"/>
      <c r="C678" s="104"/>
      <c r="D678" s="104"/>
      <c r="E678" s="68"/>
      <c r="F678" s="68"/>
      <c r="G678" s="68"/>
      <c r="H678" s="68"/>
      <c r="I678" s="68"/>
      <c r="J678" s="68"/>
      <c r="K678" s="68"/>
      <c r="L678" s="68"/>
      <c r="M678" s="68"/>
      <c r="N678" s="68"/>
      <c r="O678" s="68"/>
      <c r="P678" s="68"/>
      <c r="Q678" s="68"/>
      <c r="R678" s="68"/>
      <c r="S678" s="68"/>
      <c r="T678" s="68"/>
      <c r="U678" s="68"/>
      <c r="V678" s="68"/>
      <c r="W678" s="68"/>
      <c r="X678" s="68"/>
      <c r="Y678" s="68"/>
      <c r="Z678" s="68"/>
    </row>
    <row r="679" spans="1:26" ht="17">
      <c r="A679" s="68"/>
      <c r="B679" s="104"/>
      <c r="C679" s="104"/>
      <c r="D679" s="104"/>
      <c r="E679" s="68"/>
      <c r="F679" s="68"/>
      <c r="G679" s="68"/>
      <c r="H679" s="68"/>
      <c r="I679" s="68"/>
      <c r="J679" s="68"/>
      <c r="K679" s="68"/>
      <c r="L679" s="68"/>
      <c r="M679" s="68"/>
      <c r="N679" s="68"/>
      <c r="O679" s="68"/>
      <c r="P679" s="68"/>
      <c r="Q679" s="68"/>
      <c r="R679" s="68"/>
      <c r="S679" s="68"/>
      <c r="T679" s="68"/>
      <c r="U679" s="68"/>
      <c r="V679" s="68"/>
      <c r="W679" s="68"/>
      <c r="X679" s="68"/>
      <c r="Y679" s="68"/>
      <c r="Z679" s="68"/>
    </row>
    <row r="680" spans="1:26" ht="17">
      <c r="A680" s="68"/>
      <c r="B680" s="104"/>
      <c r="C680" s="104"/>
      <c r="D680" s="104"/>
      <c r="E680" s="68"/>
      <c r="F680" s="68"/>
      <c r="G680" s="68"/>
      <c r="H680" s="68"/>
      <c r="I680" s="68"/>
      <c r="J680" s="68"/>
      <c r="K680" s="68"/>
      <c r="L680" s="68"/>
      <c r="M680" s="68"/>
      <c r="N680" s="68"/>
      <c r="O680" s="68"/>
      <c r="P680" s="68"/>
      <c r="Q680" s="68"/>
      <c r="R680" s="68"/>
      <c r="S680" s="68"/>
      <c r="T680" s="68"/>
      <c r="U680" s="68"/>
      <c r="V680" s="68"/>
      <c r="W680" s="68"/>
      <c r="X680" s="68"/>
      <c r="Y680" s="68"/>
      <c r="Z680" s="68"/>
    </row>
    <row r="681" spans="1:26" ht="17">
      <c r="A681" s="68"/>
      <c r="B681" s="104"/>
      <c r="C681" s="104"/>
      <c r="D681" s="104"/>
      <c r="E681" s="68"/>
      <c r="F681" s="68"/>
      <c r="G681" s="68"/>
      <c r="H681" s="68"/>
      <c r="I681" s="68"/>
      <c r="J681" s="68"/>
      <c r="K681" s="68"/>
      <c r="L681" s="68"/>
      <c r="M681" s="68"/>
      <c r="N681" s="68"/>
      <c r="O681" s="68"/>
      <c r="P681" s="68"/>
      <c r="Q681" s="68"/>
      <c r="R681" s="68"/>
      <c r="S681" s="68"/>
      <c r="T681" s="68"/>
      <c r="U681" s="68"/>
      <c r="V681" s="68"/>
      <c r="W681" s="68"/>
      <c r="X681" s="68"/>
      <c r="Y681" s="68"/>
      <c r="Z681" s="68"/>
    </row>
    <row r="682" spans="1:26" ht="17">
      <c r="A682" s="68"/>
      <c r="B682" s="104"/>
      <c r="C682" s="104"/>
      <c r="D682" s="104"/>
      <c r="E682" s="68"/>
      <c r="F682" s="68"/>
      <c r="G682" s="68"/>
      <c r="H682" s="68"/>
      <c r="I682" s="68"/>
      <c r="J682" s="68"/>
      <c r="K682" s="68"/>
      <c r="L682" s="68"/>
      <c r="M682" s="68"/>
      <c r="N682" s="68"/>
      <c r="O682" s="68"/>
      <c r="P682" s="68"/>
      <c r="Q682" s="68"/>
      <c r="R682" s="68"/>
      <c r="S682" s="68"/>
      <c r="T682" s="68"/>
      <c r="U682" s="68"/>
      <c r="V682" s="68"/>
      <c r="W682" s="68"/>
      <c r="X682" s="68"/>
      <c r="Y682" s="68"/>
      <c r="Z682" s="68"/>
    </row>
    <row r="683" spans="1:26" ht="17">
      <c r="A683" s="68"/>
      <c r="B683" s="104"/>
      <c r="C683" s="104"/>
      <c r="D683" s="104"/>
      <c r="E683" s="68"/>
      <c r="F683" s="68"/>
      <c r="G683" s="68"/>
      <c r="H683" s="68"/>
      <c r="I683" s="68"/>
      <c r="J683" s="68"/>
      <c r="K683" s="68"/>
      <c r="L683" s="68"/>
      <c r="M683" s="68"/>
      <c r="N683" s="68"/>
      <c r="O683" s="68"/>
      <c r="P683" s="68"/>
      <c r="Q683" s="68"/>
      <c r="R683" s="68"/>
      <c r="S683" s="68"/>
      <c r="T683" s="68"/>
      <c r="U683" s="68"/>
      <c r="V683" s="68"/>
      <c r="W683" s="68"/>
      <c r="X683" s="68"/>
      <c r="Y683" s="68"/>
      <c r="Z683" s="68"/>
    </row>
    <row r="684" spans="1:26" ht="17">
      <c r="A684" s="68"/>
      <c r="B684" s="104"/>
      <c r="C684" s="104"/>
      <c r="D684" s="104"/>
      <c r="E684" s="68"/>
      <c r="F684" s="68"/>
      <c r="G684" s="68"/>
      <c r="H684" s="68"/>
      <c r="I684" s="68"/>
      <c r="J684" s="68"/>
      <c r="K684" s="68"/>
      <c r="L684" s="68"/>
      <c r="M684" s="68"/>
      <c r="N684" s="68"/>
      <c r="O684" s="68"/>
      <c r="P684" s="68"/>
      <c r="Q684" s="68"/>
      <c r="R684" s="68"/>
      <c r="S684" s="68"/>
      <c r="T684" s="68"/>
      <c r="U684" s="68"/>
      <c r="V684" s="68"/>
      <c r="W684" s="68"/>
      <c r="X684" s="68"/>
      <c r="Y684" s="68"/>
      <c r="Z684" s="68"/>
    </row>
    <row r="685" spans="1:26" ht="17">
      <c r="A685" s="68"/>
      <c r="B685" s="104"/>
      <c r="C685" s="104"/>
      <c r="D685" s="104"/>
      <c r="E685" s="68"/>
      <c r="F685" s="68"/>
      <c r="G685" s="68"/>
      <c r="H685" s="68"/>
      <c r="I685" s="68"/>
      <c r="J685" s="68"/>
      <c r="K685" s="68"/>
      <c r="L685" s="68"/>
      <c r="M685" s="68"/>
      <c r="N685" s="68"/>
      <c r="O685" s="68"/>
      <c r="P685" s="68"/>
      <c r="Q685" s="68"/>
      <c r="R685" s="68"/>
      <c r="S685" s="68"/>
      <c r="T685" s="68"/>
      <c r="U685" s="68"/>
      <c r="V685" s="68"/>
      <c r="W685" s="68"/>
      <c r="X685" s="68"/>
      <c r="Y685" s="68"/>
      <c r="Z685" s="68"/>
    </row>
    <row r="686" spans="1:26" ht="17">
      <c r="A686" s="68"/>
      <c r="B686" s="104"/>
      <c r="C686" s="104"/>
      <c r="D686" s="104"/>
      <c r="E686" s="68"/>
      <c r="F686" s="68"/>
      <c r="G686" s="68"/>
      <c r="H686" s="68"/>
      <c r="I686" s="68"/>
      <c r="J686" s="68"/>
      <c r="K686" s="68"/>
      <c r="L686" s="68"/>
      <c r="M686" s="68"/>
      <c r="N686" s="68"/>
      <c r="O686" s="68"/>
      <c r="P686" s="68"/>
      <c r="Q686" s="68"/>
      <c r="R686" s="68"/>
      <c r="S686" s="68"/>
      <c r="T686" s="68"/>
      <c r="U686" s="68"/>
      <c r="V686" s="68"/>
      <c r="W686" s="68"/>
      <c r="X686" s="68"/>
      <c r="Y686" s="68"/>
      <c r="Z686" s="68"/>
    </row>
    <row r="687" spans="1:26" ht="17">
      <c r="A687" s="68"/>
      <c r="B687" s="104"/>
      <c r="C687" s="104"/>
      <c r="D687" s="104"/>
      <c r="E687" s="68"/>
      <c r="F687" s="68"/>
      <c r="G687" s="68"/>
      <c r="H687" s="68"/>
      <c r="I687" s="68"/>
      <c r="J687" s="68"/>
      <c r="K687" s="68"/>
      <c r="L687" s="68"/>
      <c r="M687" s="68"/>
      <c r="N687" s="68"/>
      <c r="O687" s="68"/>
      <c r="P687" s="68"/>
      <c r="Q687" s="68"/>
      <c r="R687" s="68"/>
      <c r="S687" s="68"/>
      <c r="T687" s="68"/>
      <c r="U687" s="68"/>
      <c r="V687" s="68"/>
      <c r="W687" s="68"/>
      <c r="X687" s="68"/>
      <c r="Y687" s="68"/>
      <c r="Z687" s="68"/>
    </row>
    <row r="688" spans="1:26" ht="17">
      <c r="A688" s="68"/>
      <c r="B688" s="104"/>
      <c r="C688" s="104"/>
      <c r="D688" s="104"/>
      <c r="E688" s="68"/>
      <c r="F688" s="68"/>
      <c r="G688" s="68"/>
      <c r="H688" s="68"/>
      <c r="I688" s="68"/>
      <c r="J688" s="68"/>
      <c r="K688" s="68"/>
      <c r="L688" s="68"/>
      <c r="M688" s="68"/>
      <c r="N688" s="68"/>
      <c r="O688" s="68"/>
      <c r="P688" s="68"/>
      <c r="Q688" s="68"/>
      <c r="R688" s="68"/>
      <c r="S688" s="68"/>
      <c r="T688" s="68"/>
      <c r="U688" s="68"/>
      <c r="V688" s="68"/>
      <c r="W688" s="68"/>
      <c r="X688" s="68"/>
      <c r="Y688" s="68"/>
      <c r="Z688" s="68"/>
    </row>
    <row r="689" spans="1:26" ht="17">
      <c r="A689" s="68"/>
      <c r="B689" s="104"/>
      <c r="C689" s="104"/>
      <c r="D689" s="104"/>
      <c r="E689" s="68"/>
      <c r="F689" s="68"/>
      <c r="G689" s="68"/>
      <c r="H689" s="68"/>
      <c r="I689" s="68"/>
      <c r="J689" s="68"/>
      <c r="K689" s="68"/>
      <c r="L689" s="68"/>
      <c r="M689" s="68"/>
      <c r="N689" s="68"/>
      <c r="O689" s="68"/>
      <c r="P689" s="68"/>
      <c r="Q689" s="68"/>
      <c r="R689" s="68"/>
      <c r="S689" s="68"/>
      <c r="T689" s="68"/>
      <c r="U689" s="68"/>
      <c r="V689" s="68"/>
      <c r="W689" s="68"/>
      <c r="X689" s="68"/>
      <c r="Y689" s="68"/>
      <c r="Z689" s="68"/>
    </row>
    <row r="690" spans="1:26" ht="17">
      <c r="A690" s="68"/>
      <c r="B690" s="104"/>
      <c r="C690" s="104"/>
      <c r="D690" s="104"/>
      <c r="E690" s="68"/>
      <c r="F690" s="68"/>
      <c r="G690" s="68"/>
      <c r="H690" s="68"/>
      <c r="I690" s="68"/>
      <c r="J690" s="68"/>
      <c r="K690" s="68"/>
      <c r="L690" s="68"/>
      <c r="M690" s="68"/>
      <c r="N690" s="68"/>
      <c r="O690" s="68"/>
      <c r="P690" s="68"/>
      <c r="Q690" s="68"/>
      <c r="R690" s="68"/>
      <c r="S690" s="68"/>
      <c r="T690" s="68"/>
      <c r="U690" s="68"/>
      <c r="V690" s="68"/>
      <c r="W690" s="68"/>
      <c r="X690" s="68"/>
      <c r="Y690" s="68"/>
      <c r="Z690" s="68"/>
    </row>
    <row r="691" spans="1:26" ht="17">
      <c r="A691" s="68"/>
      <c r="B691" s="104"/>
      <c r="C691" s="104"/>
      <c r="D691" s="104"/>
      <c r="E691" s="68"/>
      <c r="F691" s="68"/>
      <c r="G691" s="68"/>
      <c r="H691" s="68"/>
      <c r="I691" s="68"/>
      <c r="J691" s="68"/>
      <c r="K691" s="68"/>
      <c r="L691" s="68"/>
      <c r="M691" s="68"/>
      <c r="N691" s="68"/>
      <c r="O691" s="68"/>
      <c r="P691" s="68"/>
      <c r="Q691" s="68"/>
      <c r="R691" s="68"/>
      <c r="S691" s="68"/>
      <c r="T691" s="68"/>
      <c r="U691" s="68"/>
      <c r="V691" s="68"/>
      <c r="W691" s="68"/>
      <c r="X691" s="68"/>
      <c r="Y691" s="68"/>
      <c r="Z691" s="68"/>
    </row>
    <row r="692" spans="1:26" ht="17">
      <c r="A692" s="68"/>
      <c r="B692" s="104"/>
      <c r="C692" s="104"/>
      <c r="D692" s="104"/>
      <c r="E692" s="68"/>
      <c r="F692" s="68"/>
      <c r="G692" s="68"/>
      <c r="H692" s="68"/>
      <c r="I692" s="68"/>
      <c r="J692" s="68"/>
      <c r="K692" s="68"/>
      <c r="L692" s="68"/>
      <c r="M692" s="68"/>
      <c r="N692" s="68"/>
      <c r="O692" s="68"/>
      <c r="P692" s="68"/>
      <c r="Q692" s="68"/>
      <c r="R692" s="68"/>
      <c r="S692" s="68"/>
      <c r="T692" s="68"/>
      <c r="U692" s="68"/>
      <c r="V692" s="68"/>
      <c r="W692" s="68"/>
      <c r="X692" s="68"/>
      <c r="Y692" s="68"/>
      <c r="Z692" s="68"/>
    </row>
    <row r="693" spans="1:26" ht="17">
      <c r="A693" s="68"/>
      <c r="B693" s="104"/>
      <c r="C693" s="104"/>
      <c r="D693" s="104"/>
      <c r="E693" s="68"/>
      <c r="F693" s="68"/>
      <c r="G693" s="68"/>
      <c r="H693" s="68"/>
      <c r="I693" s="68"/>
      <c r="J693" s="68"/>
      <c r="K693" s="68"/>
      <c r="L693" s="68"/>
      <c r="M693" s="68"/>
      <c r="N693" s="68"/>
      <c r="O693" s="68"/>
      <c r="P693" s="68"/>
      <c r="Q693" s="68"/>
      <c r="R693" s="68"/>
      <c r="S693" s="68"/>
      <c r="T693" s="68"/>
      <c r="U693" s="68"/>
      <c r="V693" s="68"/>
      <c r="W693" s="68"/>
      <c r="X693" s="68"/>
      <c r="Y693" s="68"/>
      <c r="Z693" s="68"/>
    </row>
    <row r="694" spans="1:26" ht="17">
      <c r="A694" s="68"/>
      <c r="B694" s="104"/>
      <c r="C694" s="104"/>
      <c r="D694" s="104"/>
      <c r="E694" s="68"/>
      <c r="F694" s="68"/>
      <c r="G694" s="68"/>
      <c r="H694" s="68"/>
      <c r="I694" s="68"/>
      <c r="J694" s="68"/>
      <c r="K694" s="68"/>
      <c r="L694" s="68"/>
      <c r="M694" s="68"/>
      <c r="N694" s="68"/>
      <c r="O694" s="68"/>
      <c r="P694" s="68"/>
      <c r="Q694" s="68"/>
      <c r="R694" s="68"/>
      <c r="S694" s="68"/>
      <c r="T694" s="68"/>
      <c r="U694" s="68"/>
      <c r="V694" s="68"/>
      <c r="W694" s="68"/>
      <c r="X694" s="68"/>
      <c r="Y694" s="68"/>
      <c r="Z694" s="68"/>
    </row>
    <row r="695" spans="1:26" ht="17">
      <c r="A695" s="68"/>
      <c r="B695" s="104"/>
      <c r="C695" s="104"/>
      <c r="D695" s="104"/>
      <c r="E695" s="68"/>
      <c r="F695" s="68"/>
      <c r="G695" s="68"/>
      <c r="H695" s="68"/>
      <c r="I695" s="68"/>
      <c r="J695" s="68"/>
      <c r="K695" s="68"/>
      <c r="L695" s="68"/>
      <c r="M695" s="68"/>
      <c r="N695" s="68"/>
      <c r="O695" s="68"/>
      <c r="P695" s="68"/>
      <c r="Q695" s="68"/>
      <c r="R695" s="68"/>
      <c r="S695" s="68"/>
      <c r="T695" s="68"/>
      <c r="U695" s="68"/>
      <c r="V695" s="68"/>
      <c r="W695" s="68"/>
      <c r="X695" s="68"/>
      <c r="Y695" s="68"/>
      <c r="Z695" s="68"/>
    </row>
    <row r="696" spans="1:26" ht="17">
      <c r="A696" s="68"/>
      <c r="B696" s="104"/>
      <c r="C696" s="104"/>
      <c r="D696" s="104"/>
      <c r="E696" s="68"/>
      <c r="F696" s="68"/>
      <c r="G696" s="68"/>
      <c r="H696" s="68"/>
      <c r="I696" s="68"/>
      <c r="J696" s="68"/>
      <c r="K696" s="68"/>
      <c r="L696" s="68"/>
      <c r="M696" s="68"/>
      <c r="N696" s="68"/>
      <c r="O696" s="68"/>
      <c r="P696" s="68"/>
      <c r="Q696" s="68"/>
      <c r="R696" s="68"/>
      <c r="S696" s="68"/>
      <c r="T696" s="68"/>
      <c r="U696" s="68"/>
      <c r="V696" s="68"/>
      <c r="W696" s="68"/>
      <c r="X696" s="68"/>
      <c r="Y696" s="68"/>
      <c r="Z696" s="68"/>
    </row>
    <row r="697" spans="1:26" ht="17">
      <c r="A697" s="68"/>
      <c r="B697" s="104"/>
      <c r="C697" s="104"/>
      <c r="D697" s="104"/>
      <c r="E697" s="68"/>
      <c r="F697" s="68"/>
      <c r="G697" s="68"/>
      <c r="H697" s="68"/>
      <c r="I697" s="68"/>
      <c r="J697" s="68"/>
      <c r="K697" s="68"/>
      <c r="L697" s="68"/>
      <c r="M697" s="68"/>
      <c r="N697" s="68"/>
      <c r="O697" s="68"/>
      <c r="P697" s="68"/>
      <c r="Q697" s="68"/>
      <c r="R697" s="68"/>
      <c r="S697" s="68"/>
      <c r="T697" s="68"/>
      <c r="U697" s="68"/>
      <c r="V697" s="68"/>
      <c r="W697" s="68"/>
      <c r="X697" s="68"/>
      <c r="Y697" s="68"/>
      <c r="Z697" s="68"/>
    </row>
    <row r="698" spans="1:26" ht="17">
      <c r="A698" s="68"/>
      <c r="B698" s="104"/>
      <c r="C698" s="104"/>
      <c r="D698" s="104"/>
      <c r="E698" s="68"/>
      <c r="F698" s="68"/>
      <c r="G698" s="68"/>
      <c r="H698" s="68"/>
      <c r="I698" s="68"/>
      <c r="J698" s="68"/>
      <c r="K698" s="68"/>
      <c r="L698" s="68"/>
      <c r="M698" s="68"/>
      <c r="N698" s="68"/>
      <c r="O698" s="68"/>
      <c r="P698" s="68"/>
      <c r="Q698" s="68"/>
      <c r="R698" s="68"/>
      <c r="S698" s="68"/>
      <c r="T698" s="68"/>
      <c r="U698" s="68"/>
      <c r="V698" s="68"/>
      <c r="W698" s="68"/>
      <c r="X698" s="68"/>
      <c r="Y698" s="68"/>
      <c r="Z698" s="68"/>
    </row>
    <row r="699" spans="1:26" ht="17">
      <c r="A699" s="68"/>
      <c r="B699" s="104"/>
      <c r="C699" s="104"/>
      <c r="D699" s="104"/>
      <c r="E699" s="68"/>
      <c r="F699" s="68"/>
      <c r="G699" s="68"/>
      <c r="H699" s="68"/>
      <c r="I699" s="68"/>
      <c r="J699" s="68"/>
      <c r="K699" s="68"/>
      <c r="L699" s="68"/>
      <c r="M699" s="68"/>
      <c r="N699" s="68"/>
      <c r="O699" s="68"/>
      <c r="P699" s="68"/>
      <c r="Q699" s="68"/>
      <c r="R699" s="68"/>
      <c r="S699" s="68"/>
      <c r="T699" s="68"/>
      <c r="U699" s="68"/>
      <c r="V699" s="68"/>
      <c r="W699" s="68"/>
      <c r="X699" s="68"/>
      <c r="Y699" s="68"/>
      <c r="Z699" s="68"/>
    </row>
    <row r="700" spans="1:26" ht="17">
      <c r="A700" s="68"/>
      <c r="B700" s="104"/>
      <c r="C700" s="104"/>
      <c r="D700" s="104"/>
      <c r="E700" s="68"/>
      <c r="F700" s="68"/>
      <c r="G700" s="68"/>
      <c r="H700" s="68"/>
      <c r="I700" s="68"/>
      <c r="J700" s="68"/>
      <c r="K700" s="68"/>
      <c r="L700" s="68"/>
      <c r="M700" s="68"/>
      <c r="N700" s="68"/>
      <c r="O700" s="68"/>
      <c r="P700" s="68"/>
      <c r="Q700" s="68"/>
      <c r="R700" s="68"/>
      <c r="S700" s="68"/>
      <c r="T700" s="68"/>
      <c r="U700" s="68"/>
      <c r="V700" s="68"/>
      <c r="W700" s="68"/>
      <c r="X700" s="68"/>
      <c r="Y700" s="68"/>
      <c r="Z700" s="68"/>
    </row>
    <row r="701" spans="1:26" ht="17">
      <c r="A701" s="68"/>
      <c r="B701" s="104"/>
      <c r="C701" s="104"/>
      <c r="D701" s="104"/>
      <c r="E701" s="68"/>
      <c r="F701" s="68"/>
      <c r="G701" s="68"/>
      <c r="H701" s="68"/>
      <c r="I701" s="68"/>
      <c r="J701" s="68"/>
      <c r="K701" s="68"/>
      <c r="L701" s="68"/>
      <c r="M701" s="68"/>
      <c r="N701" s="68"/>
      <c r="O701" s="68"/>
      <c r="P701" s="68"/>
      <c r="Q701" s="68"/>
      <c r="R701" s="68"/>
      <c r="S701" s="68"/>
      <c r="T701" s="68"/>
      <c r="U701" s="68"/>
      <c r="V701" s="68"/>
      <c r="W701" s="68"/>
      <c r="X701" s="68"/>
      <c r="Y701" s="68"/>
      <c r="Z701" s="68"/>
    </row>
    <row r="702" spans="1:26" ht="17">
      <c r="A702" s="68"/>
      <c r="B702" s="104"/>
      <c r="C702" s="104"/>
      <c r="D702" s="104"/>
      <c r="E702" s="68"/>
      <c r="F702" s="68"/>
      <c r="G702" s="68"/>
      <c r="H702" s="68"/>
      <c r="I702" s="68"/>
      <c r="J702" s="68"/>
      <c r="K702" s="68"/>
      <c r="L702" s="68"/>
      <c r="M702" s="68"/>
      <c r="N702" s="68"/>
      <c r="O702" s="68"/>
      <c r="P702" s="68"/>
      <c r="Q702" s="68"/>
      <c r="R702" s="68"/>
      <c r="S702" s="68"/>
      <c r="T702" s="68"/>
      <c r="U702" s="68"/>
      <c r="V702" s="68"/>
      <c r="W702" s="68"/>
      <c r="X702" s="68"/>
      <c r="Y702" s="68"/>
      <c r="Z702" s="68"/>
    </row>
    <row r="703" spans="1:26" ht="17">
      <c r="A703" s="68"/>
      <c r="B703" s="104"/>
      <c r="C703" s="104"/>
      <c r="D703" s="104"/>
      <c r="E703" s="68"/>
      <c r="F703" s="68"/>
      <c r="G703" s="68"/>
      <c r="H703" s="68"/>
      <c r="I703" s="68"/>
      <c r="J703" s="68"/>
      <c r="K703" s="68"/>
      <c r="L703" s="68"/>
      <c r="M703" s="68"/>
      <c r="N703" s="68"/>
      <c r="O703" s="68"/>
      <c r="P703" s="68"/>
      <c r="Q703" s="68"/>
      <c r="R703" s="68"/>
      <c r="S703" s="68"/>
      <c r="T703" s="68"/>
      <c r="U703" s="68"/>
      <c r="V703" s="68"/>
      <c r="W703" s="68"/>
      <c r="X703" s="68"/>
      <c r="Y703" s="68"/>
      <c r="Z703" s="68"/>
    </row>
    <row r="704" spans="1:26" ht="17">
      <c r="A704" s="68"/>
      <c r="B704" s="104"/>
      <c r="C704" s="104"/>
      <c r="D704" s="104"/>
      <c r="E704" s="68"/>
      <c r="F704" s="68"/>
      <c r="G704" s="68"/>
      <c r="H704" s="68"/>
      <c r="I704" s="68"/>
      <c r="J704" s="68"/>
      <c r="K704" s="68"/>
      <c r="L704" s="68"/>
      <c r="M704" s="68"/>
      <c r="N704" s="68"/>
      <c r="O704" s="68"/>
      <c r="P704" s="68"/>
      <c r="Q704" s="68"/>
      <c r="R704" s="68"/>
      <c r="S704" s="68"/>
      <c r="T704" s="68"/>
      <c r="U704" s="68"/>
      <c r="V704" s="68"/>
      <c r="W704" s="68"/>
      <c r="X704" s="68"/>
      <c r="Y704" s="68"/>
      <c r="Z704" s="68"/>
    </row>
    <row r="705" spans="1:26" ht="17">
      <c r="A705" s="68"/>
      <c r="B705" s="104"/>
      <c r="C705" s="104"/>
      <c r="D705" s="104"/>
      <c r="E705" s="68"/>
      <c r="F705" s="68"/>
      <c r="G705" s="68"/>
      <c r="H705" s="68"/>
      <c r="I705" s="68"/>
      <c r="J705" s="68"/>
      <c r="K705" s="68"/>
      <c r="L705" s="68"/>
      <c r="M705" s="68"/>
      <c r="N705" s="68"/>
      <c r="O705" s="68"/>
      <c r="P705" s="68"/>
      <c r="Q705" s="68"/>
      <c r="R705" s="68"/>
      <c r="S705" s="68"/>
      <c r="T705" s="68"/>
      <c r="U705" s="68"/>
      <c r="V705" s="68"/>
      <c r="W705" s="68"/>
      <c r="X705" s="68"/>
      <c r="Y705" s="68"/>
      <c r="Z705" s="68"/>
    </row>
    <row r="706" spans="1:26" ht="17">
      <c r="A706" s="68"/>
      <c r="B706" s="104"/>
      <c r="C706" s="104"/>
      <c r="D706" s="104"/>
      <c r="E706" s="68"/>
      <c r="F706" s="68"/>
      <c r="G706" s="68"/>
      <c r="H706" s="68"/>
      <c r="I706" s="68"/>
      <c r="J706" s="68"/>
      <c r="K706" s="68"/>
      <c r="L706" s="68"/>
      <c r="M706" s="68"/>
      <c r="N706" s="68"/>
      <c r="O706" s="68"/>
      <c r="P706" s="68"/>
      <c r="Q706" s="68"/>
      <c r="R706" s="68"/>
      <c r="S706" s="68"/>
      <c r="T706" s="68"/>
      <c r="U706" s="68"/>
      <c r="V706" s="68"/>
      <c r="W706" s="68"/>
      <c r="X706" s="68"/>
      <c r="Y706" s="68"/>
      <c r="Z706" s="68"/>
    </row>
    <row r="707" spans="1:26" ht="17">
      <c r="A707" s="68"/>
      <c r="B707" s="104"/>
      <c r="C707" s="104"/>
      <c r="D707" s="104"/>
      <c r="E707" s="68"/>
      <c r="F707" s="68"/>
      <c r="G707" s="68"/>
      <c r="H707" s="68"/>
      <c r="I707" s="68"/>
      <c r="J707" s="68"/>
      <c r="K707" s="68"/>
      <c r="L707" s="68"/>
      <c r="M707" s="68"/>
      <c r="N707" s="68"/>
      <c r="O707" s="68"/>
      <c r="P707" s="68"/>
      <c r="Q707" s="68"/>
      <c r="R707" s="68"/>
      <c r="S707" s="68"/>
      <c r="T707" s="68"/>
      <c r="U707" s="68"/>
      <c r="V707" s="68"/>
      <c r="W707" s="68"/>
      <c r="X707" s="68"/>
      <c r="Y707" s="68"/>
      <c r="Z707" s="68"/>
    </row>
    <row r="708" spans="1:26" ht="17">
      <c r="A708" s="68"/>
      <c r="B708" s="104"/>
      <c r="C708" s="104"/>
      <c r="D708" s="104"/>
      <c r="E708" s="68"/>
      <c r="F708" s="68"/>
      <c r="G708" s="68"/>
      <c r="H708" s="68"/>
      <c r="I708" s="68"/>
      <c r="J708" s="68"/>
      <c r="K708" s="68"/>
      <c r="L708" s="68"/>
      <c r="M708" s="68"/>
      <c r="N708" s="68"/>
      <c r="O708" s="68"/>
      <c r="P708" s="68"/>
      <c r="Q708" s="68"/>
      <c r="R708" s="68"/>
      <c r="S708" s="68"/>
      <c r="T708" s="68"/>
      <c r="U708" s="68"/>
      <c r="V708" s="68"/>
      <c r="W708" s="68"/>
      <c r="X708" s="68"/>
      <c r="Y708" s="68"/>
      <c r="Z708" s="68"/>
    </row>
    <row r="709" spans="1:26" ht="17">
      <c r="A709" s="68"/>
      <c r="B709" s="104"/>
      <c r="C709" s="104"/>
      <c r="D709" s="104"/>
      <c r="E709" s="68"/>
      <c r="F709" s="68"/>
      <c r="G709" s="68"/>
      <c r="H709" s="68"/>
      <c r="I709" s="68"/>
      <c r="J709" s="68"/>
      <c r="K709" s="68"/>
      <c r="L709" s="68"/>
      <c r="M709" s="68"/>
      <c r="N709" s="68"/>
      <c r="O709" s="68"/>
      <c r="P709" s="68"/>
      <c r="Q709" s="68"/>
      <c r="R709" s="68"/>
      <c r="S709" s="68"/>
      <c r="T709" s="68"/>
      <c r="U709" s="68"/>
      <c r="V709" s="68"/>
      <c r="W709" s="68"/>
      <c r="X709" s="68"/>
      <c r="Y709" s="68"/>
      <c r="Z709" s="68"/>
    </row>
    <row r="710" spans="1:26" ht="17">
      <c r="A710" s="68"/>
      <c r="B710" s="104"/>
      <c r="C710" s="104"/>
      <c r="D710" s="104"/>
      <c r="E710" s="68"/>
      <c r="F710" s="68"/>
      <c r="G710" s="68"/>
      <c r="H710" s="68"/>
      <c r="I710" s="68"/>
      <c r="J710" s="68"/>
      <c r="K710" s="68"/>
      <c r="L710" s="68"/>
      <c r="M710" s="68"/>
      <c r="N710" s="68"/>
      <c r="O710" s="68"/>
      <c r="P710" s="68"/>
      <c r="Q710" s="68"/>
      <c r="R710" s="68"/>
      <c r="S710" s="68"/>
      <c r="T710" s="68"/>
      <c r="U710" s="68"/>
      <c r="V710" s="68"/>
      <c r="W710" s="68"/>
      <c r="X710" s="68"/>
      <c r="Y710" s="68"/>
      <c r="Z710" s="68"/>
    </row>
    <row r="711" spans="1:26" ht="17">
      <c r="A711" s="68"/>
      <c r="B711" s="104"/>
      <c r="C711" s="104"/>
      <c r="D711" s="104"/>
      <c r="E711" s="68"/>
      <c r="F711" s="68"/>
      <c r="G711" s="68"/>
      <c r="H711" s="68"/>
      <c r="I711" s="68"/>
      <c r="J711" s="68"/>
      <c r="K711" s="68"/>
      <c r="L711" s="68"/>
      <c r="M711" s="68"/>
      <c r="N711" s="68"/>
      <c r="O711" s="68"/>
      <c r="P711" s="68"/>
      <c r="Q711" s="68"/>
      <c r="R711" s="68"/>
      <c r="S711" s="68"/>
      <c r="T711" s="68"/>
      <c r="U711" s="68"/>
      <c r="V711" s="68"/>
      <c r="W711" s="68"/>
      <c r="X711" s="68"/>
      <c r="Y711" s="68"/>
      <c r="Z711" s="68"/>
    </row>
    <row r="712" spans="1:26" ht="17">
      <c r="A712" s="68"/>
      <c r="B712" s="104"/>
      <c r="C712" s="104"/>
      <c r="D712" s="104"/>
      <c r="E712" s="68"/>
      <c r="F712" s="68"/>
      <c r="G712" s="68"/>
      <c r="H712" s="68"/>
      <c r="I712" s="68"/>
      <c r="J712" s="68"/>
      <c r="K712" s="68"/>
      <c r="L712" s="68"/>
      <c r="M712" s="68"/>
      <c r="N712" s="68"/>
      <c r="O712" s="68"/>
      <c r="P712" s="68"/>
      <c r="Q712" s="68"/>
      <c r="R712" s="68"/>
      <c r="S712" s="68"/>
      <c r="T712" s="68"/>
      <c r="U712" s="68"/>
      <c r="V712" s="68"/>
      <c r="W712" s="68"/>
      <c r="X712" s="68"/>
      <c r="Y712" s="68"/>
      <c r="Z712" s="68"/>
    </row>
    <row r="713" spans="1:26" ht="17">
      <c r="A713" s="68"/>
      <c r="B713" s="104"/>
      <c r="C713" s="104"/>
      <c r="D713" s="104"/>
      <c r="E713" s="68"/>
      <c r="F713" s="68"/>
      <c r="G713" s="68"/>
      <c r="H713" s="68"/>
      <c r="I713" s="68"/>
      <c r="J713" s="68"/>
      <c r="K713" s="68"/>
      <c r="L713" s="68"/>
      <c r="M713" s="68"/>
      <c r="N713" s="68"/>
      <c r="O713" s="68"/>
      <c r="P713" s="68"/>
      <c r="Q713" s="68"/>
      <c r="R713" s="68"/>
      <c r="S713" s="68"/>
      <c r="T713" s="68"/>
      <c r="U713" s="68"/>
      <c r="V713" s="68"/>
      <c r="W713" s="68"/>
      <c r="X713" s="68"/>
      <c r="Y713" s="68"/>
      <c r="Z713" s="68"/>
    </row>
    <row r="714" spans="1:26" ht="17">
      <c r="A714" s="68"/>
      <c r="B714" s="104"/>
      <c r="C714" s="104"/>
      <c r="D714" s="104"/>
      <c r="E714" s="68"/>
      <c r="F714" s="68"/>
      <c r="G714" s="68"/>
      <c r="H714" s="68"/>
      <c r="I714" s="68"/>
      <c r="J714" s="68"/>
      <c r="K714" s="68"/>
      <c r="L714" s="68"/>
      <c r="M714" s="68"/>
      <c r="N714" s="68"/>
      <c r="O714" s="68"/>
      <c r="P714" s="68"/>
      <c r="Q714" s="68"/>
      <c r="R714" s="68"/>
      <c r="S714" s="68"/>
      <c r="T714" s="68"/>
      <c r="U714" s="68"/>
      <c r="V714" s="68"/>
      <c r="W714" s="68"/>
      <c r="X714" s="68"/>
      <c r="Y714" s="68"/>
      <c r="Z714" s="68"/>
    </row>
    <row r="715" spans="1:26" ht="17">
      <c r="A715" s="68"/>
      <c r="B715" s="104"/>
      <c r="C715" s="104"/>
      <c r="D715" s="104"/>
      <c r="E715" s="68"/>
      <c r="F715" s="68"/>
      <c r="G715" s="68"/>
      <c r="H715" s="68"/>
      <c r="I715" s="68"/>
      <c r="J715" s="68"/>
      <c r="K715" s="68"/>
      <c r="L715" s="68"/>
      <c r="M715" s="68"/>
      <c r="N715" s="68"/>
      <c r="O715" s="68"/>
      <c r="P715" s="68"/>
      <c r="Q715" s="68"/>
      <c r="R715" s="68"/>
      <c r="S715" s="68"/>
      <c r="T715" s="68"/>
      <c r="U715" s="68"/>
      <c r="V715" s="68"/>
      <c r="W715" s="68"/>
      <c r="X715" s="68"/>
      <c r="Y715" s="68"/>
      <c r="Z715" s="68"/>
    </row>
    <row r="716" spans="1:26" ht="17">
      <c r="A716" s="68"/>
      <c r="B716" s="104"/>
      <c r="C716" s="104"/>
      <c r="D716" s="104"/>
      <c r="E716" s="68"/>
      <c r="F716" s="68"/>
      <c r="G716" s="68"/>
      <c r="H716" s="68"/>
      <c r="I716" s="68"/>
      <c r="J716" s="68"/>
      <c r="K716" s="68"/>
      <c r="L716" s="68"/>
      <c r="M716" s="68"/>
      <c r="N716" s="68"/>
      <c r="O716" s="68"/>
      <c r="P716" s="68"/>
      <c r="Q716" s="68"/>
      <c r="R716" s="68"/>
      <c r="S716" s="68"/>
      <c r="T716" s="68"/>
      <c r="U716" s="68"/>
      <c r="V716" s="68"/>
      <c r="W716" s="68"/>
      <c r="X716" s="68"/>
      <c r="Y716" s="68"/>
      <c r="Z716" s="68"/>
    </row>
    <row r="717" spans="1:26" ht="17">
      <c r="A717" s="68"/>
      <c r="B717" s="104"/>
      <c r="C717" s="104"/>
      <c r="D717" s="104"/>
      <c r="E717" s="68"/>
      <c r="F717" s="68"/>
      <c r="G717" s="68"/>
      <c r="H717" s="68"/>
      <c r="I717" s="68"/>
      <c r="J717" s="68"/>
      <c r="K717" s="68"/>
      <c r="L717" s="68"/>
      <c r="M717" s="68"/>
      <c r="N717" s="68"/>
      <c r="O717" s="68"/>
      <c r="P717" s="68"/>
      <c r="Q717" s="68"/>
      <c r="R717" s="68"/>
      <c r="S717" s="68"/>
      <c r="T717" s="68"/>
      <c r="U717" s="68"/>
      <c r="V717" s="68"/>
      <c r="W717" s="68"/>
      <c r="X717" s="68"/>
      <c r="Y717" s="68"/>
      <c r="Z717" s="68"/>
    </row>
    <row r="718" spans="1:26" ht="17">
      <c r="A718" s="68"/>
      <c r="B718" s="104"/>
      <c r="C718" s="104"/>
      <c r="D718" s="104"/>
      <c r="E718" s="68"/>
      <c r="F718" s="68"/>
      <c r="G718" s="68"/>
      <c r="H718" s="68"/>
      <c r="I718" s="68"/>
      <c r="J718" s="68"/>
      <c r="K718" s="68"/>
      <c r="L718" s="68"/>
      <c r="M718" s="68"/>
      <c r="N718" s="68"/>
      <c r="O718" s="68"/>
      <c r="P718" s="68"/>
      <c r="Q718" s="68"/>
      <c r="R718" s="68"/>
      <c r="S718" s="68"/>
      <c r="T718" s="68"/>
      <c r="U718" s="68"/>
      <c r="V718" s="68"/>
      <c r="W718" s="68"/>
      <c r="X718" s="68"/>
      <c r="Y718" s="68"/>
      <c r="Z718" s="68"/>
    </row>
    <row r="719" spans="1:26" ht="17">
      <c r="A719" s="68"/>
      <c r="B719" s="104"/>
      <c r="C719" s="104"/>
      <c r="D719" s="104"/>
      <c r="E719" s="68"/>
      <c r="F719" s="68"/>
      <c r="G719" s="68"/>
      <c r="H719" s="68"/>
      <c r="I719" s="68"/>
      <c r="J719" s="68"/>
      <c r="K719" s="68"/>
      <c r="L719" s="68"/>
      <c r="M719" s="68"/>
      <c r="N719" s="68"/>
      <c r="O719" s="68"/>
      <c r="P719" s="68"/>
      <c r="Q719" s="68"/>
      <c r="R719" s="68"/>
      <c r="S719" s="68"/>
      <c r="T719" s="68"/>
      <c r="U719" s="68"/>
      <c r="V719" s="68"/>
      <c r="W719" s="68"/>
      <c r="X719" s="68"/>
      <c r="Y719" s="68"/>
      <c r="Z719" s="68"/>
    </row>
    <row r="720" spans="1:26" ht="17">
      <c r="A720" s="68"/>
      <c r="B720" s="104"/>
      <c r="C720" s="104"/>
      <c r="D720" s="104"/>
      <c r="E720" s="68"/>
      <c r="F720" s="68"/>
      <c r="G720" s="68"/>
      <c r="H720" s="68"/>
      <c r="I720" s="68"/>
      <c r="J720" s="68"/>
      <c r="K720" s="68"/>
      <c r="L720" s="68"/>
      <c r="M720" s="68"/>
      <c r="N720" s="68"/>
      <c r="O720" s="68"/>
      <c r="P720" s="68"/>
      <c r="Q720" s="68"/>
      <c r="R720" s="68"/>
      <c r="S720" s="68"/>
      <c r="T720" s="68"/>
      <c r="U720" s="68"/>
      <c r="V720" s="68"/>
      <c r="W720" s="68"/>
      <c r="X720" s="68"/>
      <c r="Y720" s="68"/>
      <c r="Z720" s="68"/>
    </row>
    <row r="721" spans="1:26" ht="17">
      <c r="A721" s="68"/>
      <c r="B721" s="104"/>
      <c r="C721" s="104"/>
      <c r="D721" s="104"/>
      <c r="E721" s="68"/>
      <c r="F721" s="68"/>
      <c r="G721" s="68"/>
      <c r="H721" s="68"/>
      <c r="I721" s="68"/>
      <c r="J721" s="68"/>
      <c r="K721" s="68"/>
      <c r="L721" s="68"/>
      <c r="M721" s="68"/>
      <c r="N721" s="68"/>
      <c r="O721" s="68"/>
      <c r="P721" s="68"/>
      <c r="Q721" s="68"/>
      <c r="R721" s="68"/>
      <c r="S721" s="68"/>
      <c r="T721" s="68"/>
      <c r="U721" s="68"/>
      <c r="V721" s="68"/>
      <c r="W721" s="68"/>
      <c r="X721" s="68"/>
      <c r="Y721" s="68"/>
      <c r="Z721" s="68"/>
    </row>
    <row r="722" spans="1:26" ht="17">
      <c r="A722" s="68"/>
      <c r="B722" s="104"/>
      <c r="C722" s="104"/>
      <c r="D722" s="104"/>
      <c r="E722" s="68"/>
      <c r="F722" s="68"/>
      <c r="G722" s="68"/>
      <c r="H722" s="68"/>
      <c r="I722" s="68"/>
      <c r="J722" s="68"/>
      <c r="K722" s="68"/>
      <c r="L722" s="68"/>
      <c r="M722" s="68"/>
      <c r="N722" s="68"/>
      <c r="O722" s="68"/>
      <c r="P722" s="68"/>
      <c r="Q722" s="68"/>
      <c r="R722" s="68"/>
      <c r="S722" s="68"/>
      <c r="T722" s="68"/>
      <c r="U722" s="68"/>
      <c r="V722" s="68"/>
      <c r="W722" s="68"/>
      <c r="X722" s="68"/>
      <c r="Y722" s="68"/>
      <c r="Z722" s="68"/>
    </row>
    <row r="723" spans="1:26" ht="17">
      <c r="A723" s="68"/>
      <c r="B723" s="104"/>
      <c r="C723" s="104"/>
      <c r="D723" s="104"/>
      <c r="E723" s="68"/>
      <c r="F723" s="68"/>
      <c r="G723" s="68"/>
      <c r="H723" s="68"/>
      <c r="I723" s="68"/>
      <c r="J723" s="68"/>
      <c r="K723" s="68"/>
      <c r="L723" s="68"/>
      <c r="M723" s="68"/>
      <c r="N723" s="68"/>
      <c r="O723" s="68"/>
      <c r="P723" s="68"/>
      <c r="Q723" s="68"/>
      <c r="R723" s="68"/>
      <c r="S723" s="68"/>
      <c r="T723" s="68"/>
      <c r="U723" s="68"/>
      <c r="V723" s="68"/>
      <c r="W723" s="68"/>
      <c r="X723" s="68"/>
      <c r="Y723" s="68"/>
      <c r="Z723" s="68"/>
    </row>
    <row r="724" spans="1:26" ht="17">
      <c r="A724" s="68"/>
      <c r="B724" s="104"/>
      <c r="C724" s="104"/>
      <c r="D724" s="104"/>
      <c r="E724" s="68"/>
      <c r="F724" s="68"/>
      <c r="G724" s="68"/>
      <c r="H724" s="68"/>
      <c r="I724" s="68"/>
      <c r="J724" s="68"/>
      <c r="K724" s="68"/>
      <c r="L724" s="68"/>
      <c r="M724" s="68"/>
      <c r="N724" s="68"/>
      <c r="O724" s="68"/>
      <c r="P724" s="68"/>
      <c r="Q724" s="68"/>
      <c r="R724" s="68"/>
      <c r="S724" s="68"/>
      <c r="T724" s="68"/>
      <c r="U724" s="68"/>
      <c r="V724" s="68"/>
      <c r="W724" s="68"/>
      <c r="X724" s="68"/>
      <c r="Y724" s="68"/>
      <c r="Z724" s="68"/>
    </row>
    <row r="725" spans="1:26" ht="17">
      <c r="A725" s="68"/>
      <c r="B725" s="104"/>
      <c r="C725" s="104"/>
      <c r="D725" s="104"/>
      <c r="E725" s="68"/>
      <c r="F725" s="68"/>
      <c r="G725" s="68"/>
      <c r="H725" s="68"/>
      <c r="I725" s="68"/>
      <c r="J725" s="68"/>
      <c r="K725" s="68"/>
      <c r="L725" s="68"/>
      <c r="M725" s="68"/>
      <c r="N725" s="68"/>
      <c r="O725" s="68"/>
      <c r="P725" s="68"/>
      <c r="Q725" s="68"/>
      <c r="R725" s="68"/>
      <c r="S725" s="68"/>
      <c r="T725" s="68"/>
      <c r="U725" s="68"/>
      <c r="V725" s="68"/>
      <c r="W725" s="68"/>
      <c r="X725" s="68"/>
      <c r="Y725" s="68"/>
      <c r="Z725" s="68"/>
    </row>
    <row r="726" spans="1:26" ht="17">
      <c r="A726" s="68"/>
      <c r="B726" s="104"/>
      <c r="C726" s="104"/>
      <c r="D726" s="104"/>
      <c r="E726" s="68"/>
      <c r="F726" s="68"/>
      <c r="G726" s="68"/>
      <c r="H726" s="68"/>
      <c r="I726" s="68"/>
      <c r="J726" s="68"/>
      <c r="K726" s="68"/>
      <c r="L726" s="68"/>
      <c r="M726" s="68"/>
      <c r="N726" s="68"/>
      <c r="O726" s="68"/>
      <c r="P726" s="68"/>
      <c r="Q726" s="68"/>
      <c r="R726" s="68"/>
      <c r="S726" s="68"/>
      <c r="T726" s="68"/>
      <c r="U726" s="68"/>
      <c r="V726" s="68"/>
      <c r="W726" s="68"/>
      <c r="X726" s="68"/>
      <c r="Y726" s="68"/>
      <c r="Z726" s="68"/>
    </row>
    <row r="727" spans="1:26" ht="17">
      <c r="A727" s="68"/>
      <c r="B727" s="104"/>
      <c r="C727" s="104"/>
      <c r="D727" s="104"/>
      <c r="E727" s="68"/>
      <c r="F727" s="68"/>
      <c r="G727" s="68"/>
      <c r="H727" s="68"/>
      <c r="I727" s="68"/>
      <c r="J727" s="68"/>
      <c r="K727" s="68"/>
      <c r="L727" s="68"/>
      <c r="M727" s="68"/>
      <c r="N727" s="68"/>
      <c r="O727" s="68"/>
      <c r="P727" s="68"/>
      <c r="Q727" s="68"/>
      <c r="R727" s="68"/>
      <c r="S727" s="68"/>
      <c r="T727" s="68"/>
      <c r="U727" s="68"/>
      <c r="V727" s="68"/>
      <c r="W727" s="68"/>
      <c r="X727" s="68"/>
      <c r="Y727" s="68"/>
      <c r="Z727" s="68"/>
    </row>
    <row r="728" spans="1:26" ht="17">
      <c r="A728" s="68"/>
      <c r="B728" s="104"/>
      <c r="C728" s="104"/>
      <c r="D728" s="104"/>
      <c r="E728" s="68"/>
      <c r="F728" s="68"/>
      <c r="G728" s="68"/>
      <c r="H728" s="68"/>
      <c r="I728" s="68"/>
      <c r="J728" s="68"/>
      <c r="K728" s="68"/>
      <c r="L728" s="68"/>
      <c r="M728" s="68"/>
      <c r="N728" s="68"/>
      <c r="O728" s="68"/>
      <c r="P728" s="68"/>
      <c r="Q728" s="68"/>
      <c r="R728" s="68"/>
      <c r="S728" s="68"/>
      <c r="T728" s="68"/>
      <c r="U728" s="68"/>
      <c r="V728" s="68"/>
      <c r="W728" s="68"/>
      <c r="X728" s="68"/>
      <c r="Y728" s="68"/>
      <c r="Z728" s="68"/>
    </row>
    <row r="729" spans="1:26" ht="17">
      <c r="A729" s="68"/>
      <c r="B729" s="104"/>
      <c r="C729" s="104"/>
      <c r="D729" s="104"/>
      <c r="E729" s="68"/>
      <c r="F729" s="68"/>
      <c r="G729" s="68"/>
      <c r="H729" s="68"/>
      <c r="I729" s="68"/>
      <c r="J729" s="68"/>
      <c r="K729" s="68"/>
      <c r="L729" s="68"/>
      <c r="M729" s="68"/>
      <c r="N729" s="68"/>
      <c r="O729" s="68"/>
      <c r="P729" s="68"/>
      <c r="Q729" s="68"/>
      <c r="R729" s="68"/>
      <c r="S729" s="68"/>
      <c r="T729" s="68"/>
      <c r="U729" s="68"/>
      <c r="V729" s="68"/>
      <c r="W729" s="68"/>
      <c r="X729" s="68"/>
      <c r="Y729" s="68"/>
      <c r="Z729" s="68"/>
    </row>
    <row r="730" spans="1:26" ht="17">
      <c r="A730" s="68"/>
      <c r="B730" s="104"/>
      <c r="C730" s="104"/>
      <c r="D730" s="104"/>
      <c r="E730" s="68"/>
      <c r="F730" s="68"/>
      <c r="G730" s="68"/>
      <c r="H730" s="68"/>
      <c r="I730" s="68"/>
      <c r="J730" s="68"/>
      <c r="K730" s="68"/>
      <c r="L730" s="68"/>
      <c r="M730" s="68"/>
      <c r="N730" s="68"/>
      <c r="O730" s="68"/>
      <c r="P730" s="68"/>
      <c r="Q730" s="68"/>
      <c r="R730" s="68"/>
      <c r="S730" s="68"/>
      <c r="T730" s="68"/>
      <c r="U730" s="68"/>
      <c r="V730" s="68"/>
      <c r="W730" s="68"/>
      <c r="X730" s="68"/>
      <c r="Y730" s="68"/>
      <c r="Z730" s="68"/>
    </row>
    <row r="731" spans="1:26" ht="17">
      <c r="A731" s="68"/>
      <c r="B731" s="104"/>
      <c r="C731" s="104"/>
      <c r="D731" s="104"/>
      <c r="E731" s="68"/>
      <c r="F731" s="68"/>
      <c r="G731" s="68"/>
      <c r="H731" s="68"/>
      <c r="I731" s="68"/>
      <c r="J731" s="68"/>
      <c r="K731" s="68"/>
      <c r="L731" s="68"/>
      <c r="M731" s="68"/>
      <c r="N731" s="68"/>
      <c r="O731" s="68"/>
      <c r="P731" s="68"/>
      <c r="Q731" s="68"/>
      <c r="R731" s="68"/>
      <c r="S731" s="68"/>
      <c r="T731" s="68"/>
      <c r="U731" s="68"/>
      <c r="V731" s="68"/>
      <c r="W731" s="68"/>
      <c r="X731" s="68"/>
      <c r="Y731" s="68"/>
      <c r="Z731" s="68"/>
    </row>
    <row r="732" spans="1:26" ht="17">
      <c r="A732" s="68"/>
      <c r="B732" s="104"/>
      <c r="C732" s="104"/>
      <c r="D732" s="104"/>
      <c r="E732" s="68"/>
      <c r="F732" s="68"/>
      <c r="G732" s="68"/>
      <c r="H732" s="68"/>
      <c r="I732" s="68"/>
      <c r="J732" s="68"/>
      <c r="K732" s="68"/>
      <c r="L732" s="68"/>
      <c r="M732" s="68"/>
      <c r="N732" s="68"/>
      <c r="O732" s="68"/>
      <c r="P732" s="68"/>
      <c r="Q732" s="68"/>
      <c r="R732" s="68"/>
      <c r="S732" s="68"/>
      <c r="T732" s="68"/>
      <c r="U732" s="68"/>
      <c r="V732" s="68"/>
      <c r="W732" s="68"/>
      <c r="X732" s="68"/>
      <c r="Y732" s="68"/>
      <c r="Z732" s="68"/>
    </row>
    <row r="733" spans="1:26" ht="17">
      <c r="A733" s="68"/>
      <c r="B733" s="104"/>
      <c r="C733" s="104"/>
      <c r="D733" s="104"/>
      <c r="E733" s="68"/>
      <c r="F733" s="68"/>
      <c r="G733" s="68"/>
      <c r="H733" s="68"/>
      <c r="I733" s="68"/>
      <c r="J733" s="68"/>
      <c r="K733" s="68"/>
      <c r="L733" s="68"/>
      <c r="M733" s="68"/>
      <c r="N733" s="68"/>
      <c r="O733" s="68"/>
      <c r="P733" s="68"/>
      <c r="Q733" s="68"/>
      <c r="R733" s="68"/>
      <c r="S733" s="68"/>
      <c r="T733" s="68"/>
      <c r="U733" s="68"/>
      <c r="V733" s="68"/>
      <c r="W733" s="68"/>
      <c r="X733" s="68"/>
      <c r="Y733" s="68"/>
      <c r="Z733" s="68"/>
    </row>
    <row r="734" spans="1:26" ht="17">
      <c r="A734" s="68"/>
      <c r="B734" s="104"/>
      <c r="C734" s="104"/>
      <c r="D734" s="104"/>
      <c r="E734" s="68"/>
      <c r="F734" s="68"/>
      <c r="G734" s="68"/>
      <c r="H734" s="68"/>
      <c r="I734" s="68"/>
      <c r="J734" s="68"/>
      <c r="K734" s="68"/>
      <c r="L734" s="68"/>
      <c r="M734" s="68"/>
      <c r="N734" s="68"/>
      <c r="O734" s="68"/>
      <c r="P734" s="68"/>
      <c r="Q734" s="68"/>
      <c r="R734" s="68"/>
      <c r="S734" s="68"/>
      <c r="T734" s="68"/>
      <c r="U734" s="68"/>
      <c r="V734" s="68"/>
      <c r="W734" s="68"/>
      <c r="X734" s="68"/>
      <c r="Y734" s="68"/>
      <c r="Z734" s="68"/>
    </row>
    <row r="735" spans="1:26" ht="17">
      <c r="A735" s="68"/>
      <c r="B735" s="104"/>
      <c r="C735" s="104"/>
      <c r="D735" s="104"/>
      <c r="E735" s="68"/>
      <c r="F735" s="68"/>
      <c r="G735" s="68"/>
      <c r="H735" s="68"/>
      <c r="I735" s="68"/>
      <c r="J735" s="68"/>
      <c r="K735" s="68"/>
      <c r="L735" s="68"/>
      <c r="M735" s="68"/>
      <c r="N735" s="68"/>
      <c r="O735" s="68"/>
      <c r="P735" s="68"/>
      <c r="Q735" s="68"/>
      <c r="R735" s="68"/>
      <c r="S735" s="68"/>
      <c r="T735" s="68"/>
      <c r="U735" s="68"/>
      <c r="V735" s="68"/>
      <c r="W735" s="68"/>
      <c r="X735" s="68"/>
      <c r="Y735" s="68"/>
      <c r="Z735" s="68"/>
    </row>
    <row r="736" spans="1:26" ht="17">
      <c r="A736" s="68"/>
      <c r="B736" s="104"/>
      <c r="C736" s="104"/>
      <c r="D736" s="104"/>
      <c r="E736" s="68"/>
      <c r="F736" s="68"/>
      <c r="G736" s="68"/>
      <c r="H736" s="68"/>
      <c r="I736" s="68"/>
      <c r="J736" s="68"/>
      <c r="K736" s="68"/>
      <c r="L736" s="68"/>
      <c r="M736" s="68"/>
      <c r="N736" s="68"/>
      <c r="O736" s="68"/>
      <c r="P736" s="68"/>
      <c r="Q736" s="68"/>
      <c r="R736" s="68"/>
      <c r="S736" s="68"/>
      <c r="T736" s="68"/>
      <c r="U736" s="68"/>
      <c r="V736" s="68"/>
      <c r="W736" s="68"/>
      <c r="X736" s="68"/>
      <c r="Y736" s="68"/>
      <c r="Z736" s="68"/>
    </row>
    <row r="737" spans="1:26" ht="17">
      <c r="A737" s="68"/>
      <c r="B737" s="104"/>
      <c r="C737" s="104"/>
      <c r="D737" s="104"/>
      <c r="E737" s="68"/>
      <c r="F737" s="68"/>
      <c r="G737" s="68"/>
      <c r="H737" s="68"/>
      <c r="I737" s="68"/>
      <c r="J737" s="68"/>
      <c r="K737" s="68"/>
      <c r="L737" s="68"/>
      <c r="M737" s="68"/>
      <c r="N737" s="68"/>
      <c r="O737" s="68"/>
      <c r="P737" s="68"/>
      <c r="Q737" s="68"/>
      <c r="R737" s="68"/>
      <c r="S737" s="68"/>
      <c r="T737" s="68"/>
      <c r="U737" s="68"/>
      <c r="V737" s="68"/>
      <c r="W737" s="68"/>
      <c r="X737" s="68"/>
      <c r="Y737" s="68"/>
      <c r="Z737" s="68"/>
    </row>
    <row r="738" spans="1:26" ht="17">
      <c r="A738" s="68"/>
      <c r="B738" s="104"/>
      <c r="C738" s="104"/>
      <c r="D738" s="104"/>
      <c r="E738" s="68"/>
      <c r="F738" s="68"/>
      <c r="G738" s="68"/>
      <c r="H738" s="68"/>
      <c r="I738" s="68"/>
      <c r="J738" s="68"/>
      <c r="K738" s="68"/>
      <c r="L738" s="68"/>
      <c r="M738" s="68"/>
      <c r="N738" s="68"/>
      <c r="O738" s="68"/>
      <c r="P738" s="68"/>
      <c r="Q738" s="68"/>
      <c r="R738" s="68"/>
      <c r="S738" s="68"/>
      <c r="T738" s="68"/>
      <c r="U738" s="68"/>
      <c r="V738" s="68"/>
      <c r="W738" s="68"/>
      <c r="X738" s="68"/>
      <c r="Y738" s="68"/>
      <c r="Z738" s="68"/>
    </row>
    <row r="739" spans="1:26" ht="17">
      <c r="A739" s="68"/>
      <c r="B739" s="104"/>
      <c r="C739" s="104"/>
      <c r="D739" s="104"/>
      <c r="E739" s="68"/>
      <c r="F739" s="68"/>
      <c r="G739" s="68"/>
      <c r="H739" s="68"/>
      <c r="I739" s="68"/>
      <c r="J739" s="68"/>
      <c r="K739" s="68"/>
      <c r="L739" s="68"/>
      <c r="M739" s="68"/>
      <c r="N739" s="68"/>
      <c r="O739" s="68"/>
      <c r="P739" s="68"/>
      <c r="Q739" s="68"/>
      <c r="R739" s="68"/>
      <c r="S739" s="68"/>
      <c r="T739" s="68"/>
      <c r="U739" s="68"/>
      <c r="V739" s="68"/>
      <c r="W739" s="68"/>
      <c r="X739" s="68"/>
      <c r="Y739" s="68"/>
      <c r="Z739" s="68"/>
    </row>
    <row r="740" spans="1:26" ht="17">
      <c r="A740" s="68"/>
      <c r="B740" s="104"/>
      <c r="C740" s="104"/>
      <c r="D740" s="104"/>
      <c r="E740" s="68"/>
      <c r="F740" s="68"/>
      <c r="G740" s="68"/>
      <c r="H740" s="68"/>
      <c r="I740" s="68"/>
      <c r="J740" s="68"/>
      <c r="K740" s="68"/>
      <c r="L740" s="68"/>
      <c r="M740" s="68"/>
      <c r="N740" s="68"/>
      <c r="O740" s="68"/>
      <c r="P740" s="68"/>
      <c r="Q740" s="68"/>
      <c r="R740" s="68"/>
      <c r="S740" s="68"/>
      <c r="T740" s="68"/>
      <c r="U740" s="68"/>
      <c r="V740" s="68"/>
      <c r="W740" s="68"/>
      <c r="X740" s="68"/>
      <c r="Y740" s="68"/>
      <c r="Z740" s="68"/>
    </row>
    <row r="741" spans="1:26" ht="17">
      <c r="A741" s="68"/>
      <c r="B741" s="104"/>
      <c r="C741" s="104"/>
      <c r="D741" s="104"/>
      <c r="E741" s="68"/>
      <c r="F741" s="68"/>
      <c r="G741" s="68"/>
      <c r="H741" s="68"/>
      <c r="I741" s="68"/>
      <c r="J741" s="68"/>
      <c r="K741" s="68"/>
      <c r="L741" s="68"/>
      <c r="M741" s="68"/>
      <c r="N741" s="68"/>
      <c r="O741" s="68"/>
      <c r="P741" s="68"/>
      <c r="Q741" s="68"/>
      <c r="R741" s="68"/>
      <c r="S741" s="68"/>
      <c r="T741" s="68"/>
      <c r="U741" s="68"/>
      <c r="V741" s="68"/>
      <c r="W741" s="68"/>
      <c r="X741" s="68"/>
      <c r="Y741" s="68"/>
      <c r="Z741" s="68"/>
    </row>
    <row r="742" spans="1:26" ht="17">
      <c r="A742" s="68"/>
      <c r="B742" s="104"/>
      <c r="C742" s="104"/>
      <c r="D742" s="104"/>
      <c r="E742" s="68"/>
      <c r="F742" s="68"/>
      <c r="G742" s="68"/>
      <c r="H742" s="68"/>
      <c r="I742" s="68"/>
      <c r="J742" s="68"/>
      <c r="K742" s="68"/>
      <c r="L742" s="68"/>
      <c r="M742" s="68"/>
      <c r="N742" s="68"/>
      <c r="O742" s="68"/>
      <c r="P742" s="68"/>
      <c r="Q742" s="68"/>
      <c r="R742" s="68"/>
      <c r="S742" s="68"/>
      <c r="T742" s="68"/>
      <c r="U742" s="68"/>
      <c r="V742" s="68"/>
      <c r="W742" s="68"/>
      <c r="X742" s="68"/>
      <c r="Y742" s="68"/>
      <c r="Z742" s="68"/>
    </row>
    <row r="743" spans="1:26" ht="17">
      <c r="A743" s="68"/>
      <c r="B743" s="104"/>
      <c r="C743" s="104"/>
      <c r="D743" s="104"/>
      <c r="E743" s="68"/>
      <c r="F743" s="68"/>
      <c r="G743" s="68"/>
      <c r="H743" s="68"/>
      <c r="I743" s="68"/>
      <c r="J743" s="68"/>
      <c r="K743" s="68"/>
      <c r="L743" s="68"/>
      <c r="M743" s="68"/>
      <c r="N743" s="68"/>
      <c r="O743" s="68"/>
      <c r="P743" s="68"/>
      <c r="Q743" s="68"/>
      <c r="R743" s="68"/>
      <c r="S743" s="68"/>
      <c r="T743" s="68"/>
      <c r="U743" s="68"/>
      <c r="V743" s="68"/>
      <c r="W743" s="68"/>
      <c r="X743" s="68"/>
      <c r="Y743" s="68"/>
      <c r="Z743" s="68"/>
    </row>
    <row r="744" spans="1:26" ht="17">
      <c r="A744" s="68"/>
      <c r="B744" s="104"/>
      <c r="C744" s="104"/>
      <c r="D744" s="104"/>
      <c r="E744" s="68"/>
      <c r="F744" s="68"/>
      <c r="G744" s="68"/>
      <c r="H744" s="68"/>
      <c r="I744" s="68"/>
      <c r="J744" s="68"/>
      <c r="K744" s="68"/>
      <c r="L744" s="68"/>
      <c r="M744" s="68"/>
      <c r="N744" s="68"/>
      <c r="O744" s="68"/>
      <c r="P744" s="68"/>
      <c r="Q744" s="68"/>
      <c r="R744" s="68"/>
      <c r="S744" s="68"/>
      <c r="T744" s="68"/>
      <c r="U744" s="68"/>
      <c r="V744" s="68"/>
      <c r="W744" s="68"/>
      <c r="X744" s="68"/>
      <c r="Y744" s="68"/>
      <c r="Z744" s="68"/>
    </row>
    <row r="745" spans="1:26" ht="17">
      <c r="A745" s="68"/>
      <c r="B745" s="104"/>
      <c r="C745" s="104"/>
      <c r="D745" s="104"/>
      <c r="E745" s="68"/>
      <c r="F745" s="68"/>
      <c r="G745" s="68"/>
      <c r="H745" s="68"/>
      <c r="I745" s="68"/>
      <c r="J745" s="68"/>
      <c r="K745" s="68"/>
      <c r="L745" s="68"/>
      <c r="M745" s="68"/>
      <c r="N745" s="68"/>
      <c r="O745" s="68"/>
      <c r="P745" s="68"/>
      <c r="Q745" s="68"/>
      <c r="R745" s="68"/>
      <c r="S745" s="68"/>
      <c r="T745" s="68"/>
      <c r="U745" s="68"/>
      <c r="V745" s="68"/>
      <c r="W745" s="68"/>
      <c r="X745" s="68"/>
      <c r="Y745" s="68"/>
      <c r="Z745" s="68"/>
    </row>
    <row r="746" spans="1:26" ht="17">
      <c r="A746" s="68"/>
      <c r="B746" s="104"/>
      <c r="C746" s="104"/>
      <c r="D746" s="104"/>
      <c r="E746" s="68"/>
      <c r="F746" s="68"/>
      <c r="G746" s="68"/>
      <c r="H746" s="68"/>
      <c r="I746" s="68"/>
      <c r="J746" s="68"/>
      <c r="K746" s="68"/>
      <c r="L746" s="68"/>
      <c r="M746" s="68"/>
      <c r="N746" s="68"/>
      <c r="O746" s="68"/>
      <c r="P746" s="68"/>
      <c r="Q746" s="68"/>
      <c r="R746" s="68"/>
      <c r="S746" s="68"/>
      <c r="T746" s="68"/>
      <c r="U746" s="68"/>
      <c r="V746" s="68"/>
      <c r="W746" s="68"/>
      <c r="X746" s="68"/>
      <c r="Y746" s="68"/>
      <c r="Z746" s="68"/>
    </row>
    <row r="747" spans="1:26" ht="17">
      <c r="A747" s="68"/>
      <c r="B747" s="104"/>
      <c r="C747" s="104"/>
      <c r="D747" s="104"/>
      <c r="E747" s="68"/>
      <c r="F747" s="68"/>
      <c r="G747" s="68"/>
      <c r="H747" s="68"/>
      <c r="I747" s="68"/>
      <c r="J747" s="68"/>
      <c r="K747" s="68"/>
      <c r="L747" s="68"/>
      <c r="M747" s="68"/>
      <c r="N747" s="68"/>
      <c r="O747" s="68"/>
      <c r="P747" s="68"/>
      <c r="Q747" s="68"/>
      <c r="R747" s="68"/>
      <c r="S747" s="68"/>
      <c r="T747" s="68"/>
      <c r="U747" s="68"/>
      <c r="V747" s="68"/>
      <c r="W747" s="68"/>
      <c r="X747" s="68"/>
      <c r="Y747" s="68"/>
      <c r="Z747" s="68"/>
    </row>
    <row r="748" spans="1:26" ht="17">
      <c r="A748" s="68"/>
      <c r="B748" s="104"/>
      <c r="C748" s="104"/>
      <c r="D748" s="104"/>
      <c r="E748" s="68"/>
      <c r="F748" s="68"/>
      <c r="G748" s="68"/>
      <c r="H748" s="68"/>
      <c r="I748" s="68"/>
      <c r="J748" s="68"/>
      <c r="K748" s="68"/>
      <c r="L748" s="68"/>
      <c r="M748" s="68"/>
      <c r="N748" s="68"/>
      <c r="O748" s="68"/>
      <c r="P748" s="68"/>
      <c r="Q748" s="68"/>
      <c r="R748" s="68"/>
      <c r="S748" s="68"/>
      <c r="T748" s="68"/>
      <c r="U748" s="68"/>
      <c r="V748" s="68"/>
      <c r="W748" s="68"/>
      <c r="X748" s="68"/>
      <c r="Y748" s="68"/>
      <c r="Z748" s="68"/>
    </row>
    <row r="749" spans="1:26" ht="17">
      <c r="A749" s="68"/>
      <c r="B749" s="104"/>
      <c r="C749" s="104"/>
      <c r="D749" s="104"/>
      <c r="E749" s="68"/>
      <c r="F749" s="68"/>
      <c r="G749" s="68"/>
      <c r="H749" s="68"/>
      <c r="I749" s="68"/>
      <c r="J749" s="68"/>
      <c r="K749" s="68"/>
      <c r="L749" s="68"/>
      <c r="M749" s="68"/>
      <c r="N749" s="68"/>
      <c r="O749" s="68"/>
      <c r="P749" s="68"/>
      <c r="Q749" s="68"/>
      <c r="R749" s="68"/>
      <c r="S749" s="68"/>
      <c r="T749" s="68"/>
      <c r="U749" s="68"/>
      <c r="V749" s="68"/>
      <c r="W749" s="68"/>
      <c r="X749" s="68"/>
      <c r="Y749" s="68"/>
      <c r="Z749" s="68"/>
    </row>
    <row r="750" spans="1:26" ht="17">
      <c r="A750" s="68"/>
      <c r="B750" s="104"/>
      <c r="C750" s="104"/>
      <c r="D750" s="104"/>
      <c r="E750" s="68"/>
      <c r="F750" s="68"/>
      <c r="G750" s="68"/>
      <c r="H750" s="68"/>
      <c r="I750" s="68"/>
      <c r="J750" s="68"/>
      <c r="K750" s="68"/>
      <c r="L750" s="68"/>
      <c r="M750" s="68"/>
      <c r="N750" s="68"/>
      <c r="O750" s="68"/>
      <c r="P750" s="68"/>
      <c r="Q750" s="68"/>
      <c r="R750" s="68"/>
      <c r="S750" s="68"/>
      <c r="T750" s="68"/>
      <c r="U750" s="68"/>
      <c r="V750" s="68"/>
      <c r="W750" s="68"/>
      <c r="X750" s="68"/>
      <c r="Y750" s="68"/>
      <c r="Z750" s="68"/>
    </row>
    <row r="751" spans="1:26" ht="17">
      <c r="A751" s="68"/>
      <c r="B751" s="104"/>
      <c r="C751" s="104"/>
      <c r="D751" s="104"/>
      <c r="E751" s="68"/>
      <c r="F751" s="68"/>
      <c r="G751" s="68"/>
      <c r="H751" s="68"/>
      <c r="I751" s="68"/>
      <c r="J751" s="68"/>
      <c r="K751" s="68"/>
      <c r="L751" s="68"/>
      <c r="M751" s="68"/>
      <c r="N751" s="68"/>
      <c r="O751" s="68"/>
      <c r="P751" s="68"/>
      <c r="Q751" s="68"/>
      <c r="R751" s="68"/>
      <c r="S751" s="68"/>
      <c r="T751" s="68"/>
      <c r="U751" s="68"/>
      <c r="V751" s="68"/>
      <c r="W751" s="68"/>
      <c r="X751" s="68"/>
      <c r="Y751" s="68"/>
      <c r="Z751" s="68"/>
    </row>
    <row r="752" spans="1:26" ht="17">
      <c r="A752" s="68"/>
      <c r="B752" s="104"/>
      <c r="C752" s="104"/>
      <c r="D752" s="104"/>
      <c r="E752" s="68"/>
      <c r="F752" s="68"/>
      <c r="G752" s="68"/>
      <c r="H752" s="68"/>
      <c r="I752" s="68"/>
      <c r="J752" s="68"/>
      <c r="K752" s="68"/>
      <c r="L752" s="68"/>
      <c r="M752" s="68"/>
      <c r="N752" s="68"/>
      <c r="O752" s="68"/>
      <c r="P752" s="68"/>
      <c r="Q752" s="68"/>
      <c r="R752" s="68"/>
      <c r="S752" s="68"/>
      <c r="T752" s="68"/>
      <c r="U752" s="68"/>
      <c r="V752" s="68"/>
      <c r="W752" s="68"/>
      <c r="X752" s="68"/>
      <c r="Y752" s="68"/>
      <c r="Z752" s="68"/>
    </row>
    <row r="753" spans="1:26" ht="17">
      <c r="A753" s="68"/>
      <c r="B753" s="104"/>
      <c r="C753" s="104"/>
      <c r="D753" s="104"/>
      <c r="E753" s="68"/>
      <c r="F753" s="68"/>
      <c r="G753" s="68"/>
      <c r="H753" s="68"/>
      <c r="I753" s="68"/>
      <c r="J753" s="68"/>
      <c r="K753" s="68"/>
      <c r="L753" s="68"/>
      <c r="M753" s="68"/>
      <c r="N753" s="68"/>
      <c r="O753" s="68"/>
      <c r="P753" s="68"/>
      <c r="Q753" s="68"/>
      <c r="R753" s="68"/>
      <c r="S753" s="68"/>
      <c r="T753" s="68"/>
      <c r="U753" s="68"/>
      <c r="V753" s="68"/>
      <c r="W753" s="68"/>
      <c r="X753" s="68"/>
      <c r="Y753" s="68"/>
      <c r="Z753" s="68"/>
    </row>
    <row r="754" spans="1:26" ht="17">
      <c r="A754" s="68"/>
      <c r="B754" s="104"/>
      <c r="C754" s="104"/>
      <c r="D754" s="104"/>
      <c r="E754" s="68"/>
      <c r="F754" s="68"/>
      <c r="G754" s="68"/>
      <c r="H754" s="68"/>
      <c r="I754" s="68"/>
      <c r="J754" s="68"/>
      <c r="K754" s="68"/>
      <c r="L754" s="68"/>
      <c r="M754" s="68"/>
      <c r="N754" s="68"/>
      <c r="O754" s="68"/>
      <c r="P754" s="68"/>
      <c r="Q754" s="68"/>
      <c r="R754" s="68"/>
      <c r="S754" s="68"/>
      <c r="T754" s="68"/>
      <c r="U754" s="68"/>
      <c r="V754" s="68"/>
      <c r="W754" s="68"/>
      <c r="X754" s="68"/>
      <c r="Y754" s="68"/>
      <c r="Z754" s="68"/>
    </row>
    <row r="755" spans="1:26" ht="17">
      <c r="A755" s="68"/>
      <c r="B755" s="104"/>
      <c r="C755" s="104"/>
      <c r="D755" s="104"/>
      <c r="E755" s="68"/>
      <c r="F755" s="68"/>
      <c r="G755" s="68"/>
      <c r="H755" s="68"/>
      <c r="I755" s="68"/>
      <c r="J755" s="68"/>
      <c r="K755" s="68"/>
      <c r="L755" s="68"/>
      <c r="M755" s="68"/>
      <c r="N755" s="68"/>
      <c r="O755" s="68"/>
      <c r="P755" s="68"/>
      <c r="Q755" s="68"/>
      <c r="R755" s="68"/>
      <c r="S755" s="68"/>
      <c r="T755" s="68"/>
      <c r="U755" s="68"/>
      <c r="V755" s="68"/>
      <c r="W755" s="68"/>
      <c r="X755" s="68"/>
      <c r="Y755" s="68"/>
      <c r="Z755" s="68"/>
    </row>
    <row r="756" spans="1:26" ht="17">
      <c r="A756" s="68"/>
      <c r="B756" s="104"/>
      <c r="C756" s="104"/>
      <c r="D756" s="104"/>
      <c r="E756" s="68"/>
      <c r="F756" s="68"/>
      <c r="G756" s="68"/>
      <c r="H756" s="68"/>
      <c r="I756" s="68"/>
      <c r="J756" s="68"/>
      <c r="K756" s="68"/>
      <c r="L756" s="68"/>
      <c r="M756" s="68"/>
      <c r="N756" s="68"/>
      <c r="O756" s="68"/>
      <c r="P756" s="68"/>
      <c r="Q756" s="68"/>
      <c r="R756" s="68"/>
      <c r="S756" s="68"/>
      <c r="T756" s="68"/>
      <c r="U756" s="68"/>
      <c r="V756" s="68"/>
      <c r="W756" s="68"/>
      <c r="X756" s="68"/>
      <c r="Y756" s="68"/>
      <c r="Z756" s="68"/>
    </row>
    <row r="757" spans="1:26" ht="17">
      <c r="A757" s="68"/>
      <c r="B757" s="104"/>
      <c r="C757" s="104"/>
      <c r="D757" s="104"/>
      <c r="E757" s="68"/>
      <c r="F757" s="68"/>
      <c r="G757" s="68"/>
      <c r="H757" s="68"/>
      <c r="I757" s="68"/>
      <c r="J757" s="68"/>
      <c r="K757" s="68"/>
      <c r="L757" s="68"/>
      <c r="M757" s="68"/>
      <c r="N757" s="68"/>
      <c r="O757" s="68"/>
      <c r="P757" s="68"/>
      <c r="Q757" s="68"/>
      <c r="R757" s="68"/>
      <c r="S757" s="68"/>
      <c r="T757" s="68"/>
      <c r="U757" s="68"/>
      <c r="V757" s="68"/>
      <c r="W757" s="68"/>
      <c r="X757" s="68"/>
      <c r="Y757" s="68"/>
      <c r="Z757" s="68"/>
    </row>
    <row r="758" spans="1:26" ht="17">
      <c r="A758" s="68"/>
      <c r="B758" s="104"/>
      <c r="C758" s="104"/>
      <c r="D758" s="104"/>
      <c r="E758" s="68"/>
      <c r="F758" s="68"/>
      <c r="G758" s="68"/>
      <c r="H758" s="68"/>
      <c r="I758" s="68"/>
      <c r="J758" s="68"/>
      <c r="K758" s="68"/>
      <c r="L758" s="68"/>
      <c r="M758" s="68"/>
      <c r="N758" s="68"/>
      <c r="O758" s="68"/>
      <c r="P758" s="68"/>
      <c r="Q758" s="68"/>
      <c r="R758" s="68"/>
      <c r="S758" s="68"/>
      <c r="T758" s="68"/>
      <c r="U758" s="68"/>
      <c r="V758" s="68"/>
      <c r="W758" s="68"/>
      <c r="X758" s="68"/>
      <c r="Y758" s="68"/>
      <c r="Z758" s="68"/>
    </row>
    <row r="759" spans="1:26" ht="17">
      <c r="A759" s="68"/>
      <c r="B759" s="104"/>
      <c r="C759" s="104"/>
      <c r="D759" s="104"/>
      <c r="E759" s="68"/>
      <c r="F759" s="68"/>
      <c r="G759" s="68"/>
      <c r="H759" s="68"/>
      <c r="I759" s="68"/>
      <c r="J759" s="68"/>
      <c r="K759" s="68"/>
      <c r="L759" s="68"/>
      <c r="M759" s="68"/>
      <c r="N759" s="68"/>
      <c r="O759" s="68"/>
      <c r="P759" s="68"/>
      <c r="Q759" s="68"/>
      <c r="R759" s="68"/>
      <c r="S759" s="68"/>
      <c r="T759" s="68"/>
      <c r="U759" s="68"/>
      <c r="V759" s="68"/>
      <c r="W759" s="68"/>
      <c r="X759" s="68"/>
      <c r="Y759" s="68"/>
      <c r="Z759" s="68"/>
    </row>
    <row r="760" spans="1:26" ht="17">
      <c r="A760" s="68"/>
      <c r="B760" s="104"/>
      <c r="C760" s="104"/>
      <c r="D760" s="104"/>
      <c r="E760" s="68"/>
      <c r="F760" s="68"/>
      <c r="G760" s="68"/>
      <c r="H760" s="68"/>
      <c r="I760" s="68"/>
      <c r="J760" s="68"/>
      <c r="K760" s="68"/>
      <c r="L760" s="68"/>
      <c r="M760" s="68"/>
      <c r="N760" s="68"/>
      <c r="O760" s="68"/>
      <c r="P760" s="68"/>
      <c r="Q760" s="68"/>
      <c r="R760" s="68"/>
      <c r="S760" s="68"/>
      <c r="T760" s="68"/>
      <c r="U760" s="68"/>
      <c r="V760" s="68"/>
      <c r="W760" s="68"/>
      <c r="X760" s="68"/>
      <c r="Y760" s="68"/>
      <c r="Z760" s="68"/>
    </row>
    <row r="761" spans="1:26" ht="17">
      <c r="A761" s="68"/>
      <c r="B761" s="104"/>
      <c r="C761" s="104"/>
      <c r="D761" s="104"/>
      <c r="E761" s="68"/>
      <c r="F761" s="68"/>
      <c r="G761" s="68"/>
      <c r="H761" s="68"/>
      <c r="I761" s="68"/>
      <c r="J761" s="68"/>
      <c r="K761" s="68"/>
      <c r="L761" s="68"/>
      <c r="M761" s="68"/>
      <c r="N761" s="68"/>
      <c r="O761" s="68"/>
      <c r="P761" s="68"/>
      <c r="Q761" s="68"/>
      <c r="R761" s="68"/>
      <c r="S761" s="68"/>
      <c r="T761" s="68"/>
      <c r="U761" s="68"/>
      <c r="V761" s="68"/>
      <c r="W761" s="68"/>
      <c r="X761" s="68"/>
      <c r="Y761" s="68"/>
      <c r="Z761" s="68"/>
    </row>
    <row r="762" spans="1:26" ht="17">
      <c r="A762" s="68"/>
      <c r="B762" s="104"/>
      <c r="C762" s="104"/>
      <c r="D762" s="104"/>
      <c r="E762" s="68"/>
      <c r="F762" s="68"/>
      <c r="G762" s="68"/>
      <c r="H762" s="68"/>
      <c r="I762" s="68"/>
      <c r="J762" s="68"/>
      <c r="K762" s="68"/>
      <c r="L762" s="68"/>
      <c r="M762" s="68"/>
      <c r="N762" s="68"/>
      <c r="O762" s="68"/>
      <c r="P762" s="68"/>
      <c r="Q762" s="68"/>
      <c r="R762" s="68"/>
      <c r="S762" s="68"/>
      <c r="T762" s="68"/>
      <c r="U762" s="68"/>
      <c r="V762" s="68"/>
      <c r="W762" s="68"/>
      <c r="X762" s="68"/>
      <c r="Y762" s="68"/>
      <c r="Z762" s="68"/>
    </row>
    <row r="763" spans="1:26" ht="17">
      <c r="A763" s="68"/>
      <c r="B763" s="104"/>
      <c r="C763" s="104"/>
      <c r="D763" s="104"/>
      <c r="E763" s="68"/>
      <c r="F763" s="68"/>
      <c r="G763" s="68"/>
      <c r="H763" s="68"/>
      <c r="I763" s="68"/>
      <c r="J763" s="68"/>
      <c r="K763" s="68"/>
      <c r="L763" s="68"/>
      <c r="M763" s="68"/>
      <c r="N763" s="68"/>
      <c r="O763" s="68"/>
      <c r="P763" s="68"/>
      <c r="Q763" s="68"/>
      <c r="R763" s="68"/>
      <c r="S763" s="68"/>
      <c r="T763" s="68"/>
      <c r="U763" s="68"/>
      <c r="V763" s="68"/>
      <c r="W763" s="68"/>
      <c r="X763" s="68"/>
      <c r="Y763" s="68"/>
      <c r="Z763" s="68"/>
    </row>
    <row r="764" spans="1:26" ht="17">
      <c r="A764" s="68"/>
      <c r="B764" s="104"/>
      <c r="C764" s="104"/>
      <c r="D764" s="104"/>
      <c r="E764" s="68"/>
      <c r="F764" s="68"/>
      <c r="G764" s="68"/>
      <c r="H764" s="68"/>
      <c r="I764" s="68"/>
      <c r="J764" s="68"/>
      <c r="K764" s="68"/>
      <c r="L764" s="68"/>
      <c r="M764" s="68"/>
      <c r="N764" s="68"/>
      <c r="O764" s="68"/>
      <c r="P764" s="68"/>
      <c r="Q764" s="68"/>
      <c r="R764" s="68"/>
      <c r="S764" s="68"/>
      <c r="T764" s="68"/>
      <c r="U764" s="68"/>
      <c r="V764" s="68"/>
      <c r="W764" s="68"/>
      <c r="X764" s="68"/>
      <c r="Y764" s="68"/>
      <c r="Z764" s="68"/>
    </row>
    <row r="765" spans="1:26" ht="17">
      <c r="A765" s="68"/>
      <c r="B765" s="104"/>
      <c r="C765" s="104"/>
      <c r="D765" s="104"/>
      <c r="E765" s="68"/>
      <c r="F765" s="68"/>
      <c r="G765" s="68"/>
      <c r="H765" s="68"/>
      <c r="I765" s="68"/>
      <c r="J765" s="68"/>
      <c r="K765" s="68"/>
      <c r="L765" s="68"/>
      <c r="M765" s="68"/>
      <c r="N765" s="68"/>
      <c r="O765" s="68"/>
      <c r="P765" s="68"/>
      <c r="Q765" s="68"/>
      <c r="R765" s="68"/>
      <c r="S765" s="68"/>
      <c r="T765" s="68"/>
      <c r="U765" s="68"/>
      <c r="V765" s="68"/>
      <c r="W765" s="68"/>
      <c r="X765" s="68"/>
      <c r="Y765" s="68"/>
      <c r="Z765" s="68"/>
    </row>
    <row r="766" spans="1:26" ht="17">
      <c r="A766" s="68"/>
      <c r="B766" s="104"/>
      <c r="C766" s="104"/>
      <c r="D766" s="104"/>
      <c r="E766" s="68"/>
      <c r="F766" s="68"/>
      <c r="G766" s="68"/>
      <c r="H766" s="68"/>
      <c r="I766" s="68"/>
      <c r="J766" s="68"/>
      <c r="K766" s="68"/>
      <c r="L766" s="68"/>
      <c r="M766" s="68"/>
      <c r="N766" s="68"/>
      <c r="O766" s="68"/>
      <c r="P766" s="68"/>
      <c r="Q766" s="68"/>
      <c r="R766" s="68"/>
      <c r="S766" s="68"/>
      <c r="T766" s="68"/>
      <c r="U766" s="68"/>
      <c r="V766" s="68"/>
      <c r="W766" s="68"/>
      <c r="X766" s="68"/>
      <c r="Y766" s="68"/>
      <c r="Z766" s="68"/>
    </row>
    <row r="767" spans="1:26" ht="17">
      <c r="A767" s="68"/>
      <c r="B767" s="104"/>
      <c r="C767" s="104"/>
      <c r="D767" s="104"/>
      <c r="E767" s="68"/>
      <c r="F767" s="68"/>
      <c r="G767" s="68"/>
      <c r="H767" s="68"/>
      <c r="I767" s="68"/>
      <c r="J767" s="68"/>
      <c r="K767" s="68"/>
      <c r="L767" s="68"/>
      <c r="M767" s="68"/>
      <c r="N767" s="68"/>
      <c r="O767" s="68"/>
      <c r="P767" s="68"/>
      <c r="Q767" s="68"/>
      <c r="R767" s="68"/>
      <c r="S767" s="68"/>
      <c r="T767" s="68"/>
      <c r="U767" s="68"/>
      <c r="V767" s="68"/>
      <c r="W767" s="68"/>
      <c r="X767" s="68"/>
      <c r="Y767" s="68"/>
      <c r="Z767" s="68"/>
    </row>
    <row r="768" spans="1:26" ht="17">
      <c r="A768" s="68"/>
      <c r="B768" s="104"/>
      <c r="C768" s="104"/>
      <c r="D768" s="104"/>
      <c r="E768" s="68"/>
      <c r="F768" s="68"/>
      <c r="G768" s="68"/>
      <c r="H768" s="68"/>
      <c r="I768" s="68"/>
      <c r="J768" s="68"/>
      <c r="K768" s="68"/>
      <c r="L768" s="68"/>
      <c r="M768" s="68"/>
      <c r="N768" s="68"/>
      <c r="O768" s="68"/>
      <c r="P768" s="68"/>
      <c r="Q768" s="68"/>
      <c r="R768" s="68"/>
      <c r="S768" s="68"/>
      <c r="T768" s="68"/>
      <c r="U768" s="68"/>
      <c r="V768" s="68"/>
      <c r="W768" s="68"/>
      <c r="X768" s="68"/>
      <c r="Y768" s="68"/>
      <c r="Z768" s="68"/>
    </row>
    <row r="769" spans="1:26" ht="17">
      <c r="A769" s="68"/>
      <c r="B769" s="104"/>
      <c r="C769" s="104"/>
      <c r="D769" s="104"/>
      <c r="E769" s="68"/>
      <c r="F769" s="68"/>
      <c r="G769" s="68"/>
      <c r="H769" s="68"/>
      <c r="I769" s="68"/>
      <c r="J769" s="68"/>
      <c r="K769" s="68"/>
      <c r="L769" s="68"/>
      <c r="M769" s="68"/>
      <c r="N769" s="68"/>
      <c r="O769" s="68"/>
      <c r="P769" s="68"/>
      <c r="Q769" s="68"/>
      <c r="R769" s="68"/>
      <c r="S769" s="68"/>
      <c r="T769" s="68"/>
      <c r="U769" s="68"/>
      <c r="V769" s="68"/>
      <c r="W769" s="68"/>
      <c r="X769" s="68"/>
      <c r="Y769" s="68"/>
      <c r="Z769" s="68"/>
    </row>
    <row r="770" spans="1:26" ht="17">
      <c r="A770" s="68"/>
      <c r="B770" s="104"/>
      <c r="C770" s="104"/>
      <c r="D770" s="104"/>
      <c r="E770" s="68"/>
      <c r="F770" s="68"/>
      <c r="G770" s="68"/>
      <c r="H770" s="68"/>
      <c r="I770" s="68"/>
      <c r="J770" s="68"/>
      <c r="K770" s="68"/>
      <c r="L770" s="68"/>
      <c r="M770" s="68"/>
      <c r="N770" s="68"/>
      <c r="O770" s="68"/>
      <c r="P770" s="68"/>
      <c r="Q770" s="68"/>
      <c r="R770" s="68"/>
      <c r="S770" s="68"/>
      <c r="T770" s="68"/>
      <c r="U770" s="68"/>
      <c r="V770" s="68"/>
      <c r="W770" s="68"/>
      <c r="X770" s="68"/>
      <c r="Y770" s="68"/>
      <c r="Z770" s="68"/>
    </row>
    <row r="771" spans="1:26" ht="17">
      <c r="A771" s="68"/>
      <c r="B771" s="104"/>
      <c r="C771" s="104"/>
      <c r="D771" s="104"/>
      <c r="E771" s="68"/>
      <c r="F771" s="68"/>
      <c r="G771" s="68"/>
      <c r="H771" s="68"/>
      <c r="I771" s="68"/>
      <c r="J771" s="68"/>
      <c r="K771" s="68"/>
      <c r="L771" s="68"/>
      <c r="M771" s="68"/>
      <c r="N771" s="68"/>
      <c r="O771" s="68"/>
      <c r="P771" s="68"/>
      <c r="Q771" s="68"/>
      <c r="R771" s="68"/>
      <c r="S771" s="68"/>
      <c r="T771" s="68"/>
      <c r="U771" s="68"/>
      <c r="V771" s="68"/>
      <c r="W771" s="68"/>
      <c r="X771" s="68"/>
      <c r="Y771" s="68"/>
      <c r="Z771" s="68"/>
    </row>
    <row r="772" spans="1:26" ht="17">
      <c r="A772" s="68"/>
      <c r="B772" s="104"/>
      <c r="C772" s="104"/>
      <c r="D772" s="104"/>
      <c r="E772" s="68"/>
      <c r="F772" s="68"/>
      <c r="G772" s="68"/>
      <c r="H772" s="68"/>
      <c r="I772" s="68"/>
      <c r="J772" s="68"/>
      <c r="K772" s="68"/>
      <c r="L772" s="68"/>
      <c r="M772" s="68"/>
      <c r="N772" s="68"/>
      <c r="O772" s="68"/>
      <c r="P772" s="68"/>
      <c r="Q772" s="68"/>
      <c r="R772" s="68"/>
      <c r="S772" s="68"/>
      <c r="T772" s="68"/>
      <c r="U772" s="68"/>
      <c r="V772" s="68"/>
      <c r="W772" s="68"/>
      <c r="X772" s="68"/>
      <c r="Y772" s="68"/>
      <c r="Z772" s="68"/>
    </row>
    <row r="773" spans="1:26" ht="17">
      <c r="A773" s="68"/>
      <c r="B773" s="104"/>
      <c r="C773" s="104"/>
      <c r="D773" s="104"/>
      <c r="E773" s="68"/>
      <c r="F773" s="68"/>
      <c r="G773" s="68"/>
      <c r="H773" s="68"/>
      <c r="I773" s="68"/>
      <c r="J773" s="68"/>
      <c r="K773" s="68"/>
      <c r="L773" s="68"/>
      <c r="M773" s="68"/>
      <c r="N773" s="68"/>
      <c r="O773" s="68"/>
      <c r="P773" s="68"/>
      <c r="Q773" s="68"/>
      <c r="R773" s="68"/>
      <c r="S773" s="68"/>
      <c r="T773" s="68"/>
      <c r="U773" s="68"/>
      <c r="V773" s="68"/>
      <c r="W773" s="68"/>
      <c r="X773" s="68"/>
      <c r="Y773" s="68"/>
      <c r="Z773" s="68"/>
    </row>
    <row r="774" spans="1:26" ht="17">
      <c r="A774" s="68"/>
      <c r="B774" s="104"/>
      <c r="C774" s="104"/>
      <c r="D774" s="104"/>
      <c r="E774" s="68"/>
      <c r="F774" s="68"/>
      <c r="G774" s="68"/>
      <c r="H774" s="68"/>
      <c r="I774" s="68"/>
      <c r="J774" s="68"/>
      <c r="K774" s="68"/>
      <c r="L774" s="68"/>
      <c r="M774" s="68"/>
      <c r="N774" s="68"/>
      <c r="O774" s="68"/>
      <c r="P774" s="68"/>
      <c r="Q774" s="68"/>
      <c r="R774" s="68"/>
      <c r="S774" s="68"/>
      <c r="T774" s="68"/>
      <c r="U774" s="68"/>
      <c r="V774" s="68"/>
      <c r="W774" s="68"/>
      <c r="X774" s="68"/>
      <c r="Y774" s="68"/>
      <c r="Z774" s="68"/>
    </row>
    <row r="775" spans="1:26" ht="17">
      <c r="A775" s="68"/>
      <c r="B775" s="104"/>
      <c r="C775" s="104"/>
      <c r="D775" s="104"/>
      <c r="E775" s="68"/>
      <c r="F775" s="68"/>
      <c r="G775" s="68"/>
      <c r="H775" s="68"/>
      <c r="I775" s="68"/>
      <c r="J775" s="68"/>
      <c r="K775" s="68"/>
      <c r="L775" s="68"/>
      <c r="M775" s="68"/>
      <c r="N775" s="68"/>
      <c r="O775" s="68"/>
      <c r="P775" s="68"/>
      <c r="Q775" s="68"/>
      <c r="R775" s="68"/>
      <c r="S775" s="68"/>
      <c r="T775" s="68"/>
      <c r="U775" s="68"/>
      <c r="V775" s="68"/>
      <c r="W775" s="68"/>
      <c r="X775" s="68"/>
      <c r="Y775" s="68"/>
      <c r="Z775" s="68"/>
    </row>
    <row r="776" spans="1:26" ht="17">
      <c r="A776" s="68"/>
      <c r="B776" s="104"/>
      <c r="C776" s="104"/>
      <c r="D776" s="104"/>
      <c r="E776" s="68"/>
      <c r="F776" s="68"/>
      <c r="G776" s="68"/>
      <c r="H776" s="68"/>
      <c r="I776" s="68"/>
      <c r="J776" s="68"/>
      <c r="K776" s="68"/>
      <c r="L776" s="68"/>
      <c r="M776" s="68"/>
      <c r="N776" s="68"/>
      <c r="O776" s="68"/>
      <c r="P776" s="68"/>
      <c r="Q776" s="68"/>
      <c r="R776" s="68"/>
      <c r="S776" s="68"/>
      <c r="T776" s="68"/>
      <c r="U776" s="68"/>
      <c r="V776" s="68"/>
      <c r="W776" s="68"/>
      <c r="X776" s="68"/>
      <c r="Y776" s="68"/>
      <c r="Z776" s="68"/>
    </row>
    <row r="777" spans="1:26" ht="17">
      <c r="A777" s="68"/>
      <c r="B777" s="104"/>
      <c r="C777" s="104"/>
      <c r="D777" s="104"/>
      <c r="E777" s="68"/>
      <c r="F777" s="68"/>
      <c r="G777" s="68"/>
      <c r="H777" s="68"/>
      <c r="I777" s="68"/>
      <c r="J777" s="68"/>
      <c r="K777" s="68"/>
      <c r="L777" s="68"/>
      <c r="M777" s="68"/>
      <c r="N777" s="68"/>
      <c r="O777" s="68"/>
      <c r="P777" s="68"/>
      <c r="Q777" s="68"/>
      <c r="R777" s="68"/>
      <c r="S777" s="68"/>
      <c r="T777" s="68"/>
      <c r="U777" s="68"/>
      <c r="V777" s="68"/>
      <c r="W777" s="68"/>
      <c r="X777" s="68"/>
      <c r="Y777" s="68"/>
      <c r="Z777" s="68"/>
    </row>
    <row r="778" spans="1:26" ht="17">
      <c r="A778" s="68"/>
      <c r="B778" s="104"/>
      <c r="C778" s="104"/>
      <c r="D778" s="104"/>
      <c r="E778" s="68"/>
      <c r="F778" s="68"/>
      <c r="G778" s="68"/>
      <c r="H778" s="68"/>
      <c r="I778" s="68"/>
      <c r="J778" s="68"/>
      <c r="K778" s="68"/>
      <c r="L778" s="68"/>
      <c r="M778" s="68"/>
      <c r="N778" s="68"/>
      <c r="O778" s="68"/>
      <c r="P778" s="68"/>
      <c r="Q778" s="68"/>
      <c r="R778" s="68"/>
      <c r="S778" s="68"/>
      <c r="T778" s="68"/>
      <c r="U778" s="68"/>
      <c r="V778" s="68"/>
      <c r="W778" s="68"/>
      <c r="X778" s="68"/>
      <c r="Y778" s="68"/>
      <c r="Z778" s="68"/>
    </row>
    <row r="779" spans="1:26" ht="17">
      <c r="A779" s="68"/>
      <c r="B779" s="104"/>
      <c r="C779" s="104"/>
      <c r="D779" s="104"/>
      <c r="E779" s="68"/>
      <c r="F779" s="68"/>
      <c r="G779" s="68"/>
      <c r="H779" s="68"/>
      <c r="I779" s="68"/>
      <c r="J779" s="68"/>
      <c r="K779" s="68"/>
      <c r="L779" s="68"/>
      <c r="M779" s="68"/>
      <c r="N779" s="68"/>
      <c r="O779" s="68"/>
      <c r="P779" s="68"/>
      <c r="Q779" s="68"/>
      <c r="R779" s="68"/>
      <c r="S779" s="68"/>
      <c r="T779" s="68"/>
      <c r="U779" s="68"/>
      <c r="V779" s="68"/>
      <c r="W779" s="68"/>
      <c r="X779" s="68"/>
      <c r="Y779" s="68"/>
      <c r="Z779" s="68"/>
    </row>
    <row r="780" spans="1:26" ht="17">
      <c r="A780" s="68"/>
      <c r="B780" s="104"/>
      <c r="C780" s="104"/>
      <c r="D780" s="104"/>
      <c r="E780" s="68"/>
      <c r="F780" s="68"/>
      <c r="G780" s="68"/>
      <c r="H780" s="68"/>
      <c r="I780" s="68"/>
      <c r="J780" s="68"/>
      <c r="K780" s="68"/>
      <c r="L780" s="68"/>
      <c r="M780" s="68"/>
      <c r="N780" s="68"/>
      <c r="O780" s="68"/>
      <c r="P780" s="68"/>
      <c r="Q780" s="68"/>
      <c r="R780" s="68"/>
      <c r="S780" s="68"/>
      <c r="T780" s="68"/>
      <c r="U780" s="68"/>
      <c r="V780" s="68"/>
      <c r="W780" s="68"/>
      <c r="X780" s="68"/>
      <c r="Y780" s="68"/>
      <c r="Z780" s="68"/>
    </row>
    <row r="781" spans="1:26" ht="17">
      <c r="A781" s="68"/>
      <c r="B781" s="104"/>
      <c r="C781" s="104"/>
      <c r="D781" s="104"/>
      <c r="E781" s="68"/>
      <c r="F781" s="68"/>
      <c r="G781" s="68"/>
      <c r="H781" s="68"/>
      <c r="I781" s="68"/>
      <c r="J781" s="68"/>
      <c r="K781" s="68"/>
      <c r="L781" s="68"/>
      <c r="M781" s="68"/>
      <c r="N781" s="68"/>
      <c r="O781" s="68"/>
      <c r="P781" s="68"/>
      <c r="Q781" s="68"/>
      <c r="R781" s="68"/>
      <c r="S781" s="68"/>
      <c r="T781" s="68"/>
      <c r="U781" s="68"/>
      <c r="V781" s="68"/>
      <c r="W781" s="68"/>
      <c r="X781" s="68"/>
      <c r="Y781" s="68"/>
      <c r="Z781" s="68"/>
    </row>
    <row r="782" spans="1:26" ht="17">
      <c r="A782" s="68"/>
      <c r="B782" s="104"/>
      <c r="C782" s="104"/>
      <c r="D782" s="104"/>
      <c r="E782" s="68"/>
      <c r="F782" s="68"/>
      <c r="G782" s="68"/>
      <c r="H782" s="68"/>
      <c r="I782" s="68"/>
      <c r="J782" s="68"/>
      <c r="K782" s="68"/>
      <c r="L782" s="68"/>
      <c r="M782" s="68"/>
      <c r="N782" s="68"/>
      <c r="O782" s="68"/>
      <c r="P782" s="68"/>
      <c r="Q782" s="68"/>
      <c r="R782" s="68"/>
      <c r="S782" s="68"/>
      <c r="T782" s="68"/>
      <c r="U782" s="68"/>
      <c r="V782" s="68"/>
      <c r="W782" s="68"/>
      <c r="X782" s="68"/>
      <c r="Y782" s="68"/>
      <c r="Z782" s="68"/>
    </row>
    <row r="783" spans="1:26" ht="17">
      <c r="A783" s="68"/>
      <c r="B783" s="104"/>
      <c r="C783" s="104"/>
      <c r="D783" s="104"/>
      <c r="E783" s="68"/>
      <c r="F783" s="68"/>
      <c r="G783" s="68"/>
      <c r="H783" s="68"/>
      <c r="I783" s="68"/>
      <c r="J783" s="68"/>
      <c r="K783" s="68"/>
      <c r="L783" s="68"/>
      <c r="M783" s="68"/>
      <c r="N783" s="68"/>
      <c r="O783" s="68"/>
      <c r="P783" s="68"/>
      <c r="Q783" s="68"/>
      <c r="R783" s="68"/>
      <c r="S783" s="68"/>
      <c r="T783" s="68"/>
      <c r="U783" s="68"/>
      <c r="V783" s="68"/>
      <c r="W783" s="68"/>
      <c r="X783" s="68"/>
      <c r="Y783" s="68"/>
      <c r="Z783" s="68"/>
    </row>
    <row r="784" spans="1:26" ht="17">
      <c r="A784" s="68"/>
      <c r="B784" s="104"/>
      <c r="C784" s="104"/>
      <c r="D784" s="104"/>
      <c r="E784" s="68"/>
      <c r="F784" s="68"/>
      <c r="G784" s="68"/>
      <c r="H784" s="68"/>
      <c r="I784" s="68"/>
      <c r="J784" s="68"/>
      <c r="K784" s="68"/>
      <c r="L784" s="68"/>
      <c r="M784" s="68"/>
      <c r="N784" s="68"/>
      <c r="O784" s="68"/>
      <c r="P784" s="68"/>
      <c r="Q784" s="68"/>
      <c r="R784" s="68"/>
      <c r="S784" s="68"/>
      <c r="T784" s="68"/>
      <c r="U784" s="68"/>
      <c r="V784" s="68"/>
      <c r="W784" s="68"/>
      <c r="X784" s="68"/>
      <c r="Y784" s="68"/>
      <c r="Z784" s="68"/>
    </row>
    <row r="785" spans="1:26" ht="17">
      <c r="A785" s="68"/>
      <c r="B785" s="104"/>
      <c r="C785" s="104"/>
      <c r="D785" s="104"/>
      <c r="E785" s="68"/>
      <c r="F785" s="68"/>
      <c r="G785" s="68"/>
      <c r="H785" s="68"/>
      <c r="I785" s="68"/>
      <c r="J785" s="68"/>
      <c r="K785" s="68"/>
      <c r="L785" s="68"/>
      <c r="M785" s="68"/>
      <c r="N785" s="68"/>
      <c r="O785" s="68"/>
      <c r="P785" s="68"/>
      <c r="Q785" s="68"/>
      <c r="R785" s="68"/>
      <c r="S785" s="68"/>
      <c r="T785" s="68"/>
      <c r="U785" s="68"/>
      <c r="V785" s="68"/>
      <c r="W785" s="68"/>
      <c r="X785" s="68"/>
      <c r="Y785" s="68"/>
      <c r="Z785" s="68"/>
    </row>
    <row r="786" spans="1:26" ht="17">
      <c r="A786" s="68"/>
      <c r="B786" s="104"/>
      <c r="C786" s="104"/>
      <c r="D786" s="104"/>
      <c r="E786" s="68"/>
      <c r="F786" s="68"/>
      <c r="G786" s="68"/>
      <c r="H786" s="68"/>
      <c r="I786" s="68"/>
      <c r="J786" s="68"/>
      <c r="K786" s="68"/>
      <c r="L786" s="68"/>
      <c r="M786" s="68"/>
      <c r="N786" s="68"/>
      <c r="O786" s="68"/>
      <c r="P786" s="68"/>
      <c r="Q786" s="68"/>
      <c r="R786" s="68"/>
      <c r="S786" s="68"/>
      <c r="T786" s="68"/>
      <c r="U786" s="68"/>
      <c r="V786" s="68"/>
      <c r="W786" s="68"/>
      <c r="X786" s="68"/>
      <c r="Y786" s="68"/>
      <c r="Z786" s="68"/>
    </row>
    <row r="787" spans="1:26" ht="17">
      <c r="A787" s="68"/>
      <c r="B787" s="104"/>
      <c r="C787" s="104"/>
      <c r="D787" s="104"/>
      <c r="E787" s="68"/>
      <c r="F787" s="68"/>
      <c r="G787" s="68"/>
      <c r="H787" s="68"/>
      <c r="I787" s="68"/>
      <c r="J787" s="68"/>
      <c r="K787" s="68"/>
      <c r="L787" s="68"/>
      <c r="M787" s="68"/>
      <c r="N787" s="68"/>
      <c r="O787" s="68"/>
      <c r="P787" s="68"/>
      <c r="Q787" s="68"/>
      <c r="R787" s="68"/>
      <c r="S787" s="68"/>
      <c r="T787" s="68"/>
      <c r="U787" s="68"/>
      <c r="V787" s="68"/>
      <c r="W787" s="68"/>
      <c r="X787" s="68"/>
      <c r="Y787" s="68"/>
      <c r="Z787" s="68"/>
    </row>
    <row r="788" spans="1:26" ht="17">
      <c r="A788" s="68"/>
      <c r="B788" s="104"/>
      <c r="C788" s="104"/>
      <c r="D788" s="104"/>
      <c r="E788" s="68"/>
      <c r="F788" s="68"/>
      <c r="G788" s="68"/>
      <c r="H788" s="68"/>
      <c r="I788" s="68"/>
      <c r="J788" s="68"/>
      <c r="K788" s="68"/>
      <c r="L788" s="68"/>
      <c r="M788" s="68"/>
      <c r="N788" s="68"/>
      <c r="O788" s="68"/>
      <c r="P788" s="68"/>
      <c r="Q788" s="68"/>
      <c r="R788" s="68"/>
      <c r="S788" s="68"/>
      <c r="T788" s="68"/>
      <c r="U788" s="68"/>
      <c r="V788" s="68"/>
      <c r="W788" s="68"/>
      <c r="X788" s="68"/>
      <c r="Y788" s="68"/>
      <c r="Z788" s="68"/>
    </row>
    <row r="789" spans="1:26" ht="17">
      <c r="A789" s="68"/>
      <c r="B789" s="104"/>
      <c r="C789" s="104"/>
      <c r="D789" s="104"/>
      <c r="E789" s="68"/>
      <c r="F789" s="68"/>
      <c r="G789" s="68"/>
      <c r="H789" s="68"/>
      <c r="I789" s="68"/>
      <c r="J789" s="68"/>
      <c r="K789" s="68"/>
      <c r="L789" s="68"/>
      <c r="M789" s="68"/>
      <c r="N789" s="68"/>
      <c r="O789" s="68"/>
      <c r="P789" s="68"/>
      <c r="Q789" s="68"/>
      <c r="R789" s="68"/>
      <c r="S789" s="68"/>
      <c r="T789" s="68"/>
      <c r="U789" s="68"/>
      <c r="V789" s="68"/>
      <c r="W789" s="68"/>
      <c r="X789" s="68"/>
      <c r="Y789" s="68"/>
      <c r="Z789" s="68"/>
    </row>
    <row r="790" spans="1:26" ht="17">
      <c r="A790" s="68"/>
      <c r="B790" s="104"/>
      <c r="C790" s="104"/>
      <c r="D790" s="104"/>
      <c r="E790" s="68"/>
      <c r="F790" s="68"/>
      <c r="G790" s="68"/>
      <c r="H790" s="68"/>
      <c r="I790" s="68"/>
      <c r="J790" s="68"/>
      <c r="K790" s="68"/>
      <c r="L790" s="68"/>
      <c r="M790" s="68"/>
      <c r="N790" s="68"/>
      <c r="O790" s="68"/>
      <c r="P790" s="68"/>
      <c r="Q790" s="68"/>
      <c r="R790" s="68"/>
      <c r="S790" s="68"/>
      <c r="T790" s="68"/>
      <c r="U790" s="68"/>
      <c r="V790" s="68"/>
      <c r="W790" s="68"/>
      <c r="X790" s="68"/>
      <c r="Y790" s="68"/>
      <c r="Z790" s="68"/>
    </row>
    <row r="791" spans="1:26" ht="17">
      <c r="A791" s="68"/>
      <c r="B791" s="104"/>
      <c r="C791" s="104"/>
      <c r="D791" s="104"/>
      <c r="E791" s="68"/>
      <c r="F791" s="68"/>
      <c r="G791" s="68"/>
      <c r="H791" s="68"/>
      <c r="I791" s="68"/>
      <c r="J791" s="68"/>
      <c r="K791" s="68"/>
      <c r="L791" s="68"/>
      <c r="M791" s="68"/>
      <c r="N791" s="68"/>
      <c r="O791" s="68"/>
      <c r="P791" s="68"/>
      <c r="Q791" s="68"/>
      <c r="R791" s="68"/>
      <c r="S791" s="68"/>
      <c r="T791" s="68"/>
      <c r="U791" s="68"/>
      <c r="V791" s="68"/>
      <c r="W791" s="68"/>
      <c r="X791" s="68"/>
      <c r="Y791" s="68"/>
      <c r="Z791" s="68"/>
    </row>
    <row r="792" spans="1:26" ht="17">
      <c r="A792" s="68"/>
      <c r="B792" s="104"/>
      <c r="C792" s="104"/>
      <c r="D792" s="104"/>
      <c r="E792" s="68"/>
      <c r="F792" s="68"/>
      <c r="G792" s="68"/>
      <c r="H792" s="68"/>
      <c r="I792" s="68"/>
      <c r="J792" s="68"/>
      <c r="K792" s="68"/>
      <c r="L792" s="68"/>
      <c r="M792" s="68"/>
      <c r="N792" s="68"/>
      <c r="O792" s="68"/>
      <c r="P792" s="68"/>
      <c r="Q792" s="68"/>
      <c r="R792" s="68"/>
      <c r="S792" s="68"/>
      <c r="T792" s="68"/>
      <c r="U792" s="68"/>
      <c r="V792" s="68"/>
      <c r="W792" s="68"/>
      <c r="X792" s="68"/>
      <c r="Y792" s="68"/>
      <c r="Z792" s="68"/>
    </row>
    <row r="793" spans="1:26" ht="17">
      <c r="A793" s="68"/>
      <c r="B793" s="104"/>
      <c r="C793" s="104"/>
      <c r="D793" s="104"/>
      <c r="E793" s="68"/>
      <c r="F793" s="68"/>
      <c r="G793" s="68"/>
      <c r="H793" s="68"/>
      <c r="I793" s="68"/>
      <c r="J793" s="68"/>
      <c r="K793" s="68"/>
      <c r="L793" s="68"/>
      <c r="M793" s="68"/>
      <c r="N793" s="68"/>
      <c r="O793" s="68"/>
      <c r="P793" s="68"/>
      <c r="Q793" s="68"/>
      <c r="R793" s="68"/>
      <c r="S793" s="68"/>
      <c r="T793" s="68"/>
      <c r="U793" s="68"/>
      <c r="V793" s="68"/>
      <c r="W793" s="68"/>
      <c r="X793" s="68"/>
      <c r="Y793" s="68"/>
      <c r="Z793" s="68"/>
    </row>
    <row r="794" spans="1:26" ht="17">
      <c r="A794" s="68"/>
      <c r="B794" s="104"/>
      <c r="C794" s="104"/>
      <c r="D794" s="104"/>
      <c r="E794" s="68"/>
      <c r="F794" s="68"/>
      <c r="G794" s="68"/>
      <c r="H794" s="68"/>
      <c r="I794" s="68"/>
      <c r="J794" s="68"/>
      <c r="K794" s="68"/>
      <c r="L794" s="68"/>
      <c r="M794" s="68"/>
      <c r="N794" s="68"/>
      <c r="O794" s="68"/>
      <c r="P794" s="68"/>
      <c r="Q794" s="68"/>
      <c r="R794" s="68"/>
      <c r="S794" s="68"/>
      <c r="T794" s="68"/>
      <c r="U794" s="68"/>
      <c r="V794" s="68"/>
      <c r="W794" s="68"/>
      <c r="X794" s="68"/>
      <c r="Y794" s="68"/>
      <c r="Z794" s="68"/>
    </row>
    <row r="795" spans="1:26" ht="17">
      <c r="A795" s="68"/>
      <c r="B795" s="104"/>
      <c r="C795" s="104"/>
      <c r="D795" s="104"/>
      <c r="E795" s="68"/>
      <c r="F795" s="68"/>
      <c r="G795" s="68"/>
      <c r="H795" s="68"/>
      <c r="I795" s="68"/>
      <c r="J795" s="68"/>
      <c r="K795" s="68"/>
      <c r="L795" s="68"/>
      <c r="M795" s="68"/>
      <c r="N795" s="68"/>
      <c r="O795" s="68"/>
      <c r="P795" s="68"/>
      <c r="Q795" s="68"/>
      <c r="R795" s="68"/>
      <c r="S795" s="68"/>
      <c r="T795" s="68"/>
      <c r="U795" s="68"/>
      <c r="V795" s="68"/>
      <c r="W795" s="68"/>
      <c r="X795" s="68"/>
      <c r="Y795" s="68"/>
      <c r="Z795" s="68"/>
    </row>
    <row r="796" spans="1:26" ht="17">
      <c r="A796" s="68"/>
      <c r="B796" s="104"/>
      <c r="C796" s="104"/>
      <c r="D796" s="104"/>
      <c r="E796" s="68"/>
      <c r="F796" s="68"/>
      <c r="G796" s="68"/>
      <c r="H796" s="68"/>
      <c r="I796" s="68"/>
      <c r="J796" s="68"/>
      <c r="K796" s="68"/>
      <c r="L796" s="68"/>
      <c r="M796" s="68"/>
      <c r="N796" s="68"/>
      <c r="O796" s="68"/>
      <c r="P796" s="68"/>
      <c r="Q796" s="68"/>
      <c r="R796" s="68"/>
      <c r="S796" s="68"/>
      <c r="T796" s="68"/>
      <c r="U796" s="68"/>
      <c r="V796" s="68"/>
      <c r="W796" s="68"/>
      <c r="X796" s="68"/>
      <c r="Y796" s="68"/>
      <c r="Z796" s="68"/>
    </row>
    <row r="797" spans="1:26" ht="17">
      <c r="A797" s="68"/>
      <c r="B797" s="104"/>
      <c r="C797" s="104"/>
      <c r="D797" s="104"/>
      <c r="E797" s="68"/>
      <c r="F797" s="68"/>
      <c r="G797" s="68"/>
      <c r="H797" s="68"/>
      <c r="I797" s="68"/>
      <c r="J797" s="68"/>
      <c r="K797" s="68"/>
      <c r="L797" s="68"/>
      <c r="M797" s="68"/>
      <c r="N797" s="68"/>
      <c r="O797" s="68"/>
      <c r="P797" s="68"/>
      <c r="Q797" s="68"/>
      <c r="R797" s="68"/>
      <c r="S797" s="68"/>
      <c r="T797" s="68"/>
      <c r="U797" s="68"/>
      <c r="V797" s="68"/>
      <c r="W797" s="68"/>
      <c r="X797" s="68"/>
      <c r="Y797" s="68"/>
      <c r="Z797" s="68"/>
    </row>
    <row r="798" spans="1:26" ht="17">
      <c r="A798" s="68"/>
      <c r="B798" s="104"/>
      <c r="C798" s="104"/>
      <c r="D798" s="104"/>
      <c r="E798" s="68"/>
      <c r="F798" s="68"/>
      <c r="G798" s="68"/>
      <c r="H798" s="68"/>
      <c r="I798" s="68"/>
      <c r="J798" s="68"/>
      <c r="K798" s="68"/>
      <c r="L798" s="68"/>
      <c r="M798" s="68"/>
      <c r="N798" s="68"/>
      <c r="O798" s="68"/>
      <c r="P798" s="68"/>
      <c r="Q798" s="68"/>
      <c r="R798" s="68"/>
      <c r="S798" s="68"/>
      <c r="T798" s="68"/>
      <c r="U798" s="68"/>
      <c r="V798" s="68"/>
      <c r="W798" s="68"/>
      <c r="X798" s="68"/>
      <c r="Y798" s="68"/>
      <c r="Z798" s="68"/>
    </row>
    <row r="799" spans="1:26" ht="17">
      <c r="A799" s="68"/>
      <c r="B799" s="104"/>
      <c r="C799" s="104"/>
      <c r="D799" s="104"/>
      <c r="E799" s="68"/>
      <c r="F799" s="68"/>
      <c r="G799" s="68"/>
      <c r="H799" s="68"/>
      <c r="I799" s="68"/>
      <c r="J799" s="68"/>
      <c r="K799" s="68"/>
      <c r="L799" s="68"/>
      <c r="M799" s="68"/>
      <c r="N799" s="68"/>
      <c r="O799" s="68"/>
      <c r="P799" s="68"/>
      <c r="Q799" s="68"/>
      <c r="R799" s="68"/>
      <c r="S799" s="68"/>
      <c r="T799" s="68"/>
      <c r="U799" s="68"/>
      <c r="V799" s="68"/>
      <c r="W799" s="68"/>
      <c r="X799" s="68"/>
      <c r="Y799" s="68"/>
      <c r="Z799" s="68"/>
    </row>
    <row r="800" spans="1:26" ht="17">
      <c r="A800" s="68"/>
      <c r="B800" s="104"/>
      <c r="C800" s="104"/>
      <c r="D800" s="104"/>
      <c r="E800" s="68"/>
      <c r="F800" s="68"/>
      <c r="G800" s="68"/>
      <c r="H800" s="68"/>
      <c r="I800" s="68"/>
      <c r="J800" s="68"/>
      <c r="K800" s="68"/>
      <c r="L800" s="68"/>
      <c r="M800" s="68"/>
      <c r="N800" s="68"/>
      <c r="O800" s="68"/>
      <c r="P800" s="68"/>
      <c r="Q800" s="68"/>
      <c r="R800" s="68"/>
      <c r="S800" s="68"/>
      <c r="T800" s="68"/>
      <c r="U800" s="68"/>
      <c r="V800" s="68"/>
      <c r="W800" s="68"/>
      <c r="X800" s="68"/>
      <c r="Y800" s="68"/>
      <c r="Z800" s="68"/>
    </row>
    <row r="801" spans="1:26" ht="17">
      <c r="A801" s="68"/>
      <c r="B801" s="104"/>
      <c r="C801" s="104"/>
      <c r="D801" s="104"/>
      <c r="E801" s="68"/>
      <c r="F801" s="68"/>
      <c r="G801" s="68"/>
      <c r="H801" s="68"/>
      <c r="I801" s="68"/>
      <c r="J801" s="68"/>
      <c r="K801" s="68"/>
      <c r="L801" s="68"/>
      <c r="M801" s="68"/>
      <c r="N801" s="68"/>
      <c r="O801" s="68"/>
      <c r="P801" s="68"/>
      <c r="Q801" s="68"/>
      <c r="R801" s="68"/>
      <c r="S801" s="68"/>
      <c r="T801" s="68"/>
      <c r="U801" s="68"/>
      <c r="V801" s="68"/>
      <c r="W801" s="68"/>
      <c r="X801" s="68"/>
      <c r="Y801" s="68"/>
      <c r="Z801" s="68"/>
    </row>
    <row r="802" spans="1:26" ht="17">
      <c r="A802" s="68"/>
      <c r="B802" s="104"/>
      <c r="C802" s="104"/>
      <c r="D802" s="104"/>
      <c r="E802" s="68"/>
      <c r="F802" s="68"/>
      <c r="G802" s="68"/>
      <c r="H802" s="68"/>
      <c r="I802" s="68"/>
      <c r="J802" s="68"/>
      <c r="K802" s="68"/>
      <c r="L802" s="68"/>
      <c r="M802" s="68"/>
      <c r="N802" s="68"/>
      <c r="O802" s="68"/>
      <c r="P802" s="68"/>
      <c r="Q802" s="68"/>
      <c r="R802" s="68"/>
      <c r="S802" s="68"/>
      <c r="T802" s="68"/>
      <c r="U802" s="68"/>
      <c r="V802" s="68"/>
      <c r="W802" s="68"/>
      <c r="X802" s="68"/>
      <c r="Y802" s="68"/>
      <c r="Z802" s="68"/>
    </row>
    <row r="803" spans="1:26" ht="17">
      <c r="A803" s="68"/>
      <c r="B803" s="104"/>
      <c r="C803" s="104"/>
      <c r="D803" s="104"/>
      <c r="E803" s="68"/>
      <c r="F803" s="68"/>
      <c r="G803" s="68"/>
      <c r="H803" s="68"/>
      <c r="I803" s="68"/>
      <c r="J803" s="68"/>
      <c r="K803" s="68"/>
      <c r="L803" s="68"/>
      <c r="M803" s="68"/>
      <c r="N803" s="68"/>
      <c r="O803" s="68"/>
      <c r="P803" s="68"/>
      <c r="Q803" s="68"/>
      <c r="R803" s="68"/>
      <c r="S803" s="68"/>
      <c r="T803" s="68"/>
      <c r="U803" s="68"/>
      <c r="V803" s="68"/>
      <c r="W803" s="68"/>
      <c r="X803" s="68"/>
      <c r="Y803" s="68"/>
      <c r="Z803" s="68"/>
    </row>
    <row r="804" spans="1:26" ht="17">
      <c r="A804" s="68"/>
      <c r="B804" s="104"/>
      <c r="C804" s="104"/>
      <c r="D804" s="104"/>
      <c r="E804" s="68"/>
      <c r="F804" s="68"/>
      <c r="G804" s="68"/>
      <c r="H804" s="68"/>
      <c r="I804" s="68"/>
      <c r="J804" s="68"/>
      <c r="K804" s="68"/>
      <c r="L804" s="68"/>
      <c r="M804" s="68"/>
      <c r="N804" s="68"/>
      <c r="O804" s="68"/>
      <c r="P804" s="68"/>
      <c r="Q804" s="68"/>
      <c r="R804" s="68"/>
      <c r="S804" s="68"/>
      <c r="T804" s="68"/>
      <c r="U804" s="68"/>
      <c r="V804" s="68"/>
      <c r="W804" s="68"/>
      <c r="X804" s="68"/>
      <c r="Y804" s="68"/>
      <c r="Z804" s="68"/>
    </row>
    <row r="805" spans="1:26" ht="17">
      <c r="A805" s="68"/>
      <c r="B805" s="104"/>
      <c r="C805" s="104"/>
      <c r="D805" s="104"/>
      <c r="E805" s="68"/>
      <c r="F805" s="68"/>
      <c r="G805" s="68"/>
      <c r="H805" s="68"/>
      <c r="I805" s="68"/>
      <c r="J805" s="68"/>
      <c r="K805" s="68"/>
      <c r="L805" s="68"/>
      <c r="M805" s="68"/>
      <c r="N805" s="68"/>
      <c r="O805" s="68"/>
      <c r="P805" s="68"/>
      <c r="Q805" s="68"/>
      <c r="R805" s="68"/>
      <c r="S805" s="68"/>
      <c r="T805" s="68"/>
      <c r="U805" s="68"/>
      <c r="V805" s="68"/>
      <c r="W805" s="68"/>
      <c r="X805" s="68"/>
      <c r="Y805" s="68"/>
      <c r="Z805" s="68"/>
    </row>
    <row r="806" spans="1:26" ht="17">
      <c r="A806" s="68"/>
      <c r="B806" s="104"/>
      <c r="C806" s="104"/>
      <c r="D806" s="104"/>
      <c r="E806" s="68"/>
      <c r="F806" s="68"/>
      <c r="G806" s="68"/>
      <c r="H806" s="68"/>
      <c r="I806" s="68"/>
      <c r="J806" s="68"/>
      <c r="K806" s="68"/>
      <c r="L806" s="68"/>
      <c r="M806" s="68"/>
      <c r="N806" s="68"/>
      <c r="O806" s="68"/>
      <c r="P806" s="68"/>
      <c r="Q806" s="68"/>
      <c r="R806" s="68"/>
      <c r="S806" s="68"/>
      <c r="T806" s="68"/>
      <c r="U806" s="68"/>
      <c r="V806" s="68"/>
      <c r="W806" s="68"/>
      <c r="X806" s="68"/>
      <c r="Y806" s="68"/>
      <c r="Z806" s="68"/>
    </row>
    <row r="807" spans="1:26" ht="17">
      <c r="A807" s="68"/>
      <c r="B807" s="104"/>
      <c r="C807" s="104"/>
      <c r="D807" s="104"/>
      <c r="E807" s="68"/>
      <c r="F807" s="68"/>
      <c r="G807" s="68"/>
      <c r="H807" s="68"/>
      <c r="I807" s="68"/>
      <c r="J807" s="68"/>
      <c r="K807" s="68"/>
      <c r="L807" s="68"/>
      <c r="M807" s="68"/>
      <c r="N807" s="68"/>
      <c r="O807" s="68"/>
      <c r="P807" s="68"/>
      <c r="Q807" s="68"/>
      <c r="R807" s="68"/>
      <c r="S807" s="68"/>
      <c r="T807" s="68"/>
      <c r="U807" s="68"/>
      <c r="V807" s="68"/>
      <c r="W807" s="68"/>
      <c r="X807" s="68"/>
      <c r="Y807" s="68"/>
      <c r="Z807" s="68"/>
    </row>
    <row r="808" spans="1:26" ht="17">
      <c r="A808" s="68"/>
      <c r="B808" s="104"/>
      <c r="C808" s="104"/>
      <c r="D808" s="104"/>
      <c r="E808" s="68"/>
      <c r="F808" s="68"/>
      <c r="G808" s="68"/>
      <c r="H808" s="68"/>
      <c r="I808" s="68"/>
      <c r="J808" s="68"/>
      <c r="K808" s="68"/>
      <c r="L808" s="68"/>
      <c r="M808" s="68"/>
      <c r="N808" s="68"/>
      <c r="O808" s="68"/>
      <c r="P808" s="68"/>
      <c r="Q808" s="68"/>
      <c r="R808" s="68"/>
      <c r="S808" s="68"/>
      <c r="T808" s="68"/>
      <c r="U808" s="68"/>
      <c r="V808" s="68"/>
      <c r="W808" s="68"/>
      <c r="X808" s="68"/>
      <c r="Y808" s="68"/>
      <c r="Z808" s="68"/>
    </row>
    <row r="809" spans="1:26" ht="17">
      <c r="A809" s="68"/>
      <c r="B809" s="104"/>
      <c r="C809" s="104"/>
      <c r="D809" s="104"/>
      <c r="E809" s="68"/>
      <c r="F809" s="68"/>
      <c r="G809" s="68"/>
      <c r="H809" s="68"/>
      <c r="I809" s="68"/>
      <c r="J809" s="68"/>
      <c r="K809" s="68"/>
      <c r="L809" s="68"/>
      <c r="M809" s="68"/>
      <c r="N809" s="68"/>
      <c r="O809" s="68"/>
      <c r="P809" s="68"/>
      <c r="Q809" s="68"/>
      <c r="R809" s="68"/>
      <c r="S809" s="68"/>
      <c r="T809" s="68"/>
      <c r="U809" s="68"/>
      <c r="V809" s="68"/>
      <c r="W809" s="68"/>
      <c r="X809" s="68"/>
      <c r="Y809" s="68"/>
      <c r="Z809" s="68"/>
    </row>
    <row r="810" spans="1:26" ht="17">
      <c r="A810" s="68"/>
      <c r="B810" s="104"/>
      <c r="C810" s="104"/>
      <c r="D810" s="104"/>
      <c r="E810" s="68"/>
      <c r="F810" s="68"/>
      <c r="G810" s="68"/>
      <c r="H810" s="68"/>
      <c r="I810" s="68"/>
      <c r="J810" s="68"/>
      <c r="K810" s="68"/>
      <c r="L810" s="68"/>
      <c r="M810" s="68"/>
      <c r="N810" s="68"/>
      <c r="O810" s="68"/>
      <c r="P810" s="68"/>
      <c r="Q810" s="68"/>
      <c r="R810" s="68"/>
      <c r="S810" s="68"/>
      <c r="T810" s="68"/>
      <c r="U810" s="68"/>
      <c r="V810" s="68"/>
      <c r="W810" s="68"/>
      <c r="X810" s="68"/>
      <c r="Y810" s="68"/>
      <c r="Z810" s="68"/>
    </row>
    <row r="811" spans="1:26" ht="17">
      <c r="A811" s="68"/>
      <c r="B811" s="104"/>
      <c r="C811" s="104"/>
      <c r="D811" s="104"/>
      <c r="E811" s="68"/>
      <c r="F811" s="68"/>
      <c r="G811" s="68"/>
      <c r="H811" s="68"/>
      <c r="I811" s="68"/>
      <c r="J811" s="68"/>
      <c r="K811" s="68"/>
      <c r="L811" s="68"/>
      <c r="M811" s="68"/>
      <c r="N811" s="68"/>
      <c r="O811" s="68"/>
      <c r="P811" s="68"/>
      <c r="Q811" s="68"/>
      <c r="R811" s="68"/>
      <c r="S811" s="68"/>
      <c r="T811" s="68"/>
      <c r="U811" s="68"/>
      <c r="V811" s="68"/>
      <c r="W811" s="68"/>
      <c r="X811" s="68"/>
      <c r="Y811" s="68"/>
      <c r="Z811" s="68"/>
    </row>
    <row r="812" spans="1:26" ht="17">
      <c r="A812" s="68"/>
      <c r="B812" s="104"/>
      <c r="C812" s="104"/>
      <c r="D812" s="104"/>
      <c r="E812" s="68"/>
      <c r="F812" s="68"/>
      <c r="G812" s="68"/>
      <c r="H812" s="68"/>
      <c r="I812" s="68"/>
      <c r="J812" s="68"/>
      <c r="K812" s="68"/>
      <c r="L812" s="68"/>
      <c r="M812" s="68"/>
      <c r="N812" s="68"/>
      <c r="O812" s="68"/>
      <c r="P812" s="68"/>
      <c r="Q812" s="68"/>
      <c r="R812" s="68"/>
      <c r="S812" s="68"/>
      <c r="T812" s="68"/>
      <c r="U812" s="68"/>
      <c r="V812" s="68"/>
      <c r="W812" s="68"/>
      <c r="X812" s="68"/>
      <c r="Y812" s="68"/>
      <c r="Z812" s="68"/>
    </row>
    <row r="813" spans="1:26" ht="17">
      <c r="A813" s="68"/>
      <c r="B813" s="104"/>
      <c r="C813" s="104"/>
      <c r="D813" s="104"/>
      <c r="E813" s="68"/>
      <c r="F813" s="68"/>
      <c r="G813" s="68"/>
      <c r="H813" s="68"/>
      <c r="I813" s="68"/>
      <c r="J813" s="68"/>
      <c r="K813" s="68"/>
      <c r="L813" s="68"/>
      <c r="M813" s="68"/>
      <c r="N813" s="68"/>
      <c r="O813" s="68"/>
      <c r="P813" s="68"/>
      <c r="Q813" s="68"/>
      <c r="R813" s="68"/>
      <c r="S813" s="68"/>
      <c r="T813" s="68"/>
      <c r="U813" s="68"/>
      <c r="V813" s="68"/>
      <c r="W813" s="68"/>
      <c r="X813" s="68"/>
      <c r="Y813" s="68"/>
      <c r="Z813" s="68"/>
    </row>
    <row r="814" spans="1:26" ht="17">
      <c r="A814" s="68"/>
      <c r="B814" s="104"/>
      <c r="C814" s="104"/>
      <c r="D814" s="104"/>
      <c r="E814" s="68"/>
      <c r="F814" s="68"/>
      <c r="G814" s="68"/>
      <c r="H814" s="68"/>
      <c r="I814" s="68"/>
      <c r="J814" s="68"/>
      <c r="K814" s="68"/>
      <c r="L814" s="68"/>
      <c r="M814" s="68"/>
      <c r="N814" s="68"/>
      <c r="O814" s="68"/>
      <c r="P814" s="68"/>
      <c r="Q814" s="68"/>
      <c r="R814" s="68"/>
      <c r="S814" s="68"/>
      <c r="T814" s="68"/>
      <c r="U814" s="68"/>
      <c r="V814" s="68"/>
      <c r="W814" s="68"/>
      <c r="X814" s="68"/>
      <c r="Y814" s="68"/>
      <c r="Z814" s="68"/>
    </row>
    <row r="815" spans="1:26" ht="17">
      <c r="A815" s="68"/>
      <c r="B815" s="104"/>
      <c r="C815" s="104"/>
      <c r="D815" s="104"/>
      <c r="E815" s="68"/>
      <c r="F815" s="68"/>
      <c r="G815" s="68"/>
      <c r="H815" s="68"/>
      <c r="I815" s="68"/>
      <c r="J815" s="68"/>
      <c r="K815" s="68"/>
      <c r="L815" s="68"/>
      <c r="M815" s="68"/>
      <c r="N815" s="68"/>
      <c r="O815" s="68"/>
      <c r="P815" s="68"/>
      <c r="Q815" s="68"/>
      <c r="R815" s="68"/>
      <c r="S815" s="68"/>
      <c r="T815" s="68"/>
      <c r="U815" s="68"/>
      <c r="V815" s="68"/>
      <c r="W815" s="68"/>
      <c r="X815" s="68"/>
      <c r="Y815" s="68"/>
      <c r="Z815" s="68"/>
    </row>
    <row r="816" spans="1:26" ht="17">
      <c r="A816" s="68"/>
      <c r="B816" s="104"/>
      <c r="C816" s="104"/>
      <c r="D816" s="104"/>
      <c r="E816" s="68"/>
      <c r="F816" s="68"/>
      <c r="G816" s="68"/>
      <c r="H816" s="68"/>
      <c r="I816" s="68"/>
      <c r="J816" s="68"/>
      <c r="K816" s="68"/>
      <c r="L816" s="68"/>
      <c r="M816" s="68"/>
      <c r="N816" s="68"/>
      <c r="O816" s="68"/>
      <c r="P816" s="68"/>
      <c r="Q816" s="68"/>
      <c r="R816" s="68"/>
      <c r="S816" s="68"/>
      <c r="T816" s="68"/>
      <c r="U816" s="68"/>
      <c r="V816" s="68"/>
      <c r="W816" s="68"/>
      <c r="X816" s="68"/>
      <c r="Y816" s="68"/>
      <c r="Z816" s="68"/>
    </row>
    <row r="817" spans="1:26" ht="17">
      <c r="A817" s="68"/>
      <c r="B817" s="104"/>
      <c r="C817" s="104"/>
      <c r="D817" s="104"/>
      <c r="E817" s="68"/>
      <c r="F817" s="68"/>
      <c r="G817" s="68"/>
      <c r="H817" s="68"/>
      <c r="I817" s="68"/>
      <c r="J817" s="68"/>
      <c r="K817" s="68"/>
      <c r="L817" s="68"/>
      <c r="M817" s="68"/>
      <c r="N817" s="68"/>
      <c r="O817" s="68"/>
      <c r="P817" s="68"/>
      <c r="Q817" s="68"/>
      <c r="R817" s="68"/>
      <c r="S817" s="68"/>
      <c r="T817" s="68"/>
      <c r="U817" s="68"/>
      <c r="V817" s="68"/>
      <c r="W817" s="68"/>
      <c r="X817" s="68"/>
      <c r="Y817" s="68"/>
      <c r="Z817" s="68"/>
    </row>
    <row r="818" spans="1:26" ht="17">
      <c r="A818" s="68"/>
      <c r="B818" s="104"/>
      <c r="C818" s="104"/>
      <c r="D818" s="104"/>
      <c r="E818" s="68"/>
      <c r="F818" s="68"/>
      <c r="G818" s="68"/>
      <c r="H818" s="68"/>
      <c r="I818" s="68"/>
      <c r="J818" s="68"/>
      <c r="K818" s="68"/>
      <c r="L818" s="68"/>
      <c r="M818" s="68"/>
      <c r="N818" s="68"/>
      <c r="O818" s="68"/>
      <c r="P818" s="68"/>
      <c r="Q818" s="68"/>
      <c r="R818" s="68"/>
      <c r="S818" s="68"/>
      <c r="T818" s="68"/>
      <c r="U818" s="68"/>
      <c r="V818" s="68"/>
      <c r="W818" s="68"/>
      <c r="X818" s="68"/>
      <c r="Y818" s="68"/>
      <c r="Z818" s="68"/>
    </row>
    <row r="819" spans="1:26" ht="17">
      <c r="A819" s="68"/>
      <c r="B819" s="104"/>
      <c r="C819" s="104"/>
      <c r="D819" s="104"/>
      <c r="E819" s="68"/>
      <c r="F819" s="68"/>
      <c r="G819" s="68"/>
      <c r="H819" s="68"/>
      <c r="I819" s="68"/>
      <c r="J819" s="68"/>
      <c r="K819" s="68"/>
      <c r="L819" s="68"/>
      <c r="M819" s="68"/>
      <c r="N819" s="68"/>
      <c r="O819" s="68"/>
      <c r="P819" s="68"/>
      <c r="Q819" s="68"/>
      <c r="R819" s="68"/>
      <c r="S819" s="68"/>
      <c r="T819" s="68"/>
      <c r="U819" s="68"/>
      <c r="V819" s="68"/>
      <c r="W819" s="68"/>
      <c r="X819" s="68"/>
      <c r="Y819" s="68"/>
      <c r="Z819" s="68"/>
    </row>
    <row r="820" spans="1:26" ht="17">
      <c r="A820" s="68"/>
      <c r="B820" s="104"/>
      <c r="C820" s="104"/>
      <c r="D820" s="104"/>
      <c r="E820" s="68"/>
      <c r="F820" s="68"/>
      <c r="G820" s="68"/>
      <c r="H820" s="68"/>
      <c r="I820" s="68"/>
      <c r="J820" s="68"/>
      <c r="K820" s="68"/>
      <c r="L820" s="68"/>
      <c r="M820" s="68"/>
      <c r="N820" s="68"/>
      <c r="O820" s="68"/>
      <c r="P820" s="68"/>
      <c r="Q820" s="68"/>
      <c r="R820" s="68"/>
      <c r="S820" s="68"/>
      <c r="T820" s="68"/>
      <c r="U820" s="68"/>
      <c r="V820" s="68"/>
      <c r="W820" s="68"/>
      <c r="X820" s="68"/>
      <c r="Y820" s="68"/>
      <c r="Z820" s="68"/>
    </row>
    <row r="821" spans="1:26" ht="17">
      <c r="A821" s="68"/>
      <c r="B821" s="104"/>
      <c r="C821" s="104"/>
      <c r="D821" s="104"/>
      <c r="E821" s="68"/>
      <c r="F821" s="68"/>
      <c r="G821" s="68"/>
      <c r="H821" s="68"/>
      <c r="I821" s="68"/>
      <c r="J821" s="68"/>
      <c r="K821" s="68"/>
      <c r="L821" s="68"/>
      <c r="M821" s="68"/>
      <c r="N821" s="68"/>
      <c r="O821" s="68"/>
      <c r="P821" s="68"/>
      <c r="Q821" s="68"/>
      <c r="R821" s="68"/>
      <c r="S821" s="68"/>
      <c r="T821" s="68"/>
      <c r="U821" s="68"/>
      <c r="V821" s="68"/>
      <c r="W821" s="68"/>
      <c r="X821" s="68"/>
      <c r="Y821" s="68"/>
      <c r="Z821" s="68"/>
    </row>
    <row r="822" spans="1:26" ht="17">
      <c r="A822" s="68"/>
      <c r="B822" s="104"/>
      <c r="C822" s="104"/>
      <c r="D822" s="104"/>
      <c r="E822" s="68"/>
      <c r="F822" s="68"/>
      <c r="G822" s="68"/>
      <c r="H822" s="68"/>
      <c r="I822" s="68"/>
      <c r="J822" s="68"/>
      <c r="K822" s="68"/>
      <c r="L822" s="68"/>
      <c r="M822" s="68"/>
      <c r="N822" s="68"/>
      <c r="O822" s="68"/>
      <c r="P822" s="68"/>
      <c r="Q822" s="68"/>
      <c r="R822" s="68"/>
      <c r="S822" s="68"/>
      <c r="T822" s="68"/>
      <c r="U822" s="68"/>
      <c r="V822" s="68"/>
      <c r="W822" s="68"/>
      <c r="X822" s="68"/>
      <c r="Y822" s="68"/>
      <c r="Z822" s="68"/>
    </row>
    <row r="823" spans="1:26" ht="17">
      <c r="A823" s="68"/>
      <c r="B823" s="104"/>
      <c r="C823" s="104"/>
      <c r="D823" s="104"/>
      <c r="E823" s="68"/>
      <c r="F823" s="68"/>
      <c r="G823" s="68"/>
      <c r="H823" s="68"/>
      <c r="I823" s="68"/>
      <c r="J823" s="68"/>
      <c r="K823" s="68"/>
      <c r="L823" s="68"/>
      <c r="M823" s="68"/>
      <c r="N823" s="68"/>
      <c r="O823" s="68"/>
      <c r="P823" s="68"/>
      <c r="Q823" s="68"/>
      <c r="R823" s="68"/>
      <c r="S823" s="68"/>
      <c r="T823" s="68"/>
      <c r="U823" s="68"/>
      <c r="V823" s="68"/>
      <c r="W823" s="68"/>
      <c r="X823" s="68"/>
      <c r="Y823" s="68"/>
      <c r="Z823" s="68"/>
    </row>
    <row r="824" spans="1:26" ht="17">
      <c r="A824" s="68"/>
      <c r="B824" s="104"/>
      <c r="C824" s="104"/>
      <c r="D824" s="104"/>
      <c r="E824" s="68"/>
      <c r="F824" s="68"/>
      <c r="G824" s="68"/>
      <c r="H824" s="68"/>
      <c r="I824" s="68"/>
      <c r="J824" s="68"/>
      <c r="K824" s="68"/>
      <c r="L824" s="68"/>
      <c r="M824" s="68"/>
      <c r="N824" s="68"/>
      <c r="O824" s="68"/>
      <c r="P824" s="68"/>
      <c r="Q824" s="68"/>
      <c r="R824" s="68"/>
      <c r="S824" s="68"/>
      <c r="T824" s="68"/>
      <c r="U824" s="68"/>
      <c r="V824" s="68"/>
      <c r="W824" s="68"/>
      <c r="X824" s="68"/>
      <c r="Y824" s="68"/>
      <c r="Z824" s="68"/>
    </row>
    <row r="825" spans="1:26" ht="17">
      <c r="A825" s="68"/>
      <c r="B825" s="104"/>
      <c r="C825" s="104"/>
      <c r="D825" s="104"/>
      <c r="E825" s="68"/>
      <c r="F825" s="68"/>
      <c r="G825" s="68"/>
      <c r="H825" s="68"/>
      <c r="I825" s="68"/>
      <c r="J825" s="68"/>
      <c r="K825" s="68"/>
      <c r="L825" s="68"/>
      <c r="M825" s="68"/>
      <c r="N825" s="68"/>
      <c r="O825" s="68"/>
      <c r="P825" s="68"/>
      <c r="Q825" s="68"/>
      <c r="R825" s="68"/>
      <c r="S825" s="68"/>
      <c r="T825" s="68"/>
      <c r="U825" s="68"/>
      <c r="V825" s="68"/>
      <c r="W825" s="68"/>
      <c r="X825" s="68"/>
      <c r="Y825" s="68"/>
      <c r="Z825" s="68"/>
    </row>
    <row r="826" spans="1:26" ht="17">
      <c r="A826" s="68"/>
      <c r="B826" s="104"/>
      <c r="C826" s="104"/>
      <c r="D826" s="104"/>
      <c r="E826" s="68"/>
      <c r="F826" s="68"/>
      <c r="G826" s="68"/>
      <c r="H826" s="68"/>
      <c r="I826" s="68"/>
      <c r="J826" s="68"/>
      <c r="K826" s="68"/>
      <c r="L826" s="68"/>
      <c r="M826" s="68"/>
      <c r="N826" s="68"/>
      <c r="O826" s="68"/>
      <c r="P826" s="68"/>
      <c r="Q826" s="68"/>
      <c r="R826" s="68"/>
      <c r="S826" s="68"/>
      <c r="T826" s="68"/>
      <c r="U826" s="68"/>
      <c r="V826" s="68"/>
      <c r="W826" s="68"/>
      <c r="X826" s="68"/>
      <c r="Y826" s="68"/>
      <c r="Z826" s="68"/>
    </row>
    <row r="827" spans="1:26" ht="17">
      <c r="A827" s="68"/>
      <c r="B827" s="104"/>
      <c r="C827" s="104"/>
      <c r="D827" s="104"/>
      <c r="E827" s="68"/>
      <c r="F827" s="68"/>
      <c r="G827" s="68"/>
      <c r="H827" s="68"/>
      <c r="I827" s="68"/>
      <c r="J827" s="68"/>
      <c r="K827" s="68"/>
      <c r="L827" s="68"/>
      <c r="M827" s="68"/>
      <c r="N827" s="68"/>
      <c r="O827" s="68"/>
      <c r="P827" s="68"/>
      <c r="Q827" s="68"/>
      <c r="R827" s="68"/>
      <c r="S827" s="68"/>
      <c r="T827" s="68"/>
      <c r="U827" s="68"/>
      <c r="V827" s="68"/>
      <c r="W827" s="68"/>
      <c r="X827" s="68"/>
      <c r="Y827" s="68"/>
      <c r="Z827" s="68"/>
    </row>
    <row r="828" spans="1:26" ht="17">
      <c r="A828" s="68"/>
      <c r="B828" s="104"/>
      <c r="C828" s="104"/>
      <c r="D828" s="104"/>
      <c r="E828" s="68"/>
      <c r="F828" s="68"/>
      <c r="G828" s="68"/>
      <c r="H828" s="68"/>
      <c r="I828" s="68"/>
      <c r="J828" s="68"/>
      <c r="K828" s="68"/>
      <c r="L828" s="68"/>
      <c r="M828" s="68"/>
      <c r="N828" s="68"/>
      <c r="O828" s="68"/>
      <c r="P828" s="68"/>
      <c r="Q828" s="68"/>
      <c r="R828" s="68"/>
      <c r="S828" s="68"/>
      <c r="T828" s="68"/>
      <c r="U828" s="68"/>
      <c r="V828" s="68"/>
      <c r="W828" s="68"/>
      <c r="X828" s="68"/>
      <c r="Y828" s="68"/>
      <c r="Z828" s="68"/>
    </row>
    <row r="829" spans="1:26" ht="17">
      <c r="A829" s="68"/>
      <c r="B829" s="104"/>
      <c r="C829" s="104"/>
      <c r="D829" s="104"/>
      <c r="E829" s="68"/>
      <c r="F829" s="68"/>
      <c r="G829" s="68"/>
      <c r="H829" s="68"/>
      <c r="I829" s="68"/>
      <c r="J829" s="68"/>
      <c r="K829" s="68"/>
      <c r="L829" s="68"/>
      <c r="M829" s="68"/>
      <c r="N829" s="68"/>
      <c r="O829" s="68"/>
      <c r="P829" s="68"/>
      <c r="Q829" s="68"/>
      <c r="R829" s="68"/>
      <c r="S829" s="68"/>
      <c r="T829" s="68"/>
      <c r="U829" s="68"/>
      <c r="V829" s="68"/>
      <c r="W829" s="68"/>
      <c r="X829" s="68"/>
      <c r="Y829" s="68"/>
      <c r="Z829" s="68"/>
    </row>
    <row r="830" spans="1:26" ht="17">
      <c r="A830" s="68"/>
      <c r="B830" s="104"/>
      <c r="C830" s="104"/>
      <c r="D830" s="104"/>
      <c r="E830" s="68"/>
      <c r="F830" s="68"/>
      <c r="G830" s="68"/>
      <c r="H830" s="68"/>
      <c r="I830" s="68"/>
      <c r="J830" s="68"/>
      <c r="K830" s="68"/>
      <c r="L830" s="68"/>
      <c r="M830" s="68"/>
      <c r="N830" s="68"/>
      <c r="O830" s="68"/>
      <c r="P830" s="68"/>
      <c r="Q830" s="68"/>
      <c r="R830" s="68"/>
      <c r="S830" s="68"/>
      <c r="T830" s="68"/>
      <c r="U830" s="68"/>
      <c r="V830" s="68"/>
      <c r="W830" s="68"/>
      <c r="X830" s="68"/>
      <c r="Y830" s="68"/>
      <c r="Z830" s="68"/>
    </row>
    <row r="831" spans="1:26" ht="17">
      <c r="A831" s="68"/>
      <c r="B831" s="104"/>
      <c r="C831" s="104"/>
      <c r="D831" s="104"/>
      <c r="E831" s="68"/>
      <c r="F831" s="68"/>
      <c r="G831" s="68"/>
      <c r="H831" s="68"/>
      <c r="I831" s="68"/>
      <c r="J831" s="68"/>
      <c r="K831" s="68"/>
      <c r="L831" s="68"/>
      <c r="M831" s="68"/>
      <c r="N831" s="68"/>
      <c r="O831" s="68"/>
      <c r="P831" s="68"/>
      <c r="Q831" s="68"/>
      <c r="R831" s="68"/>
      <c r="S831" s="68"/>
      <c r="T831" s="68"/>
      <c r="U831" s="68"/>
      <c r="V831" s="68"/>
      <c r="W831" s="68"/>
      <c r="X831" s="68"/>
      <c r="Y831" s="68"/>
      <c r="Z831" s="68"/>
    </row>
    <row r="832" spans="1:26" ht="17">
      <c r="A832" s="68"/>
      <c r="B832" s="104"/>
      <c r="C832" s="104"/>
      <c r="D832" s="104"/>
      <c r="E832" s="68"/>
      <c r="F832" s="68"/>
      <c r="G832" s="68"/>
      <c r="H832" s="68"/>
      <c r="I832" s="68"/>
      <c r="J832" s="68"/>
      <c r="K832" s="68"/>
      <c r="L832" s="68"/>
      <c r="M832" s="68"/>
      <c r="N832" s="68"/>
      <c r="O832" s="68"/>
      <c r="P832" s="68"/>
      <c r="Q832" s="68"/>
      <c r="R832" s="68"/>
      <c r="S832" s="68"/>
      <c r="T832" s="68"/>
      <c r="U832" s="68"/>
      <c r="V832" s="68"/>
      <c r="W832" s="68"/>
      <c r="X832" s="68"/>
      <c r="Y832" s="68"/>
      <c r="Z832" s="68"/>
    </row>
    <row r="833" spans="1:26" ht="17">
      <c r="A833" s="68"/>
      <c r="B833" s="104"/>
      <c r="C833" s="104"/>
      <c r="D833" s="104"/>
      <c r="E833" s="68"/>
      <c r="F833" s="68"/>
      <c r="G833" s="68"/>
      <c r="H833" s="68"/>
      <c r="I833" s="68"/>
      <c r="J833" s="68"/>
      <c r="K833" s="68"/>
      <c r="L833" s="68"/>
      <c r="M833" s="68"/>
      <c r="N833" s="68"/>
      <c r="O833" s="68"/>
      <c r="P833" s="68"/>
      <c r="Q833" s="68"/>
      <c r="R833" s="68"/>
      <c r="S833" s="68"/>
      <c r="T833" s="68"/>
      <c r="U833" s="68"/>
      <c r="V833" s="68"/>
      <c r="W833" s="68"/>
      <c r="X833" s="68"/>
      <c r="Y833" s="68"/>
      <c r="Z833" s="68"/>
    </row>
    <row r="834" spans="1:26" ht="17">
      <c r="A834" s="68"/>
      <c r="B834" s="104"/>
      <c r="C834" s="104"/>
      <c r="D834" s="104"/>
      <c r="E834" s="68"/>
      <c r="F834" s="68"/>
      <c r="G834" s="68"/>
      <c r="H834" s="68"/>
      <c r="I834" s="68"/>
      <c r="J834" s="68"/>
      <c r="K834" s="68"/>
      <c r="L834" s="68"/>
      <c r="M834" s="68"/>
      <c r="N834" s="68"/>
      <c r="O834" s="68"/>
      <c r="P834" s="68"/>
      <c r="Q834" s="68"/>
      <c r="R834" s="68"/>
      <c r="S834" s="68"/>
      <c r="T834" s="68"/>
      <c r="U834" s="68"/>
      <c r="V834" s="68"/>
      <c r="W834" s="68"/>
      <c r="X834" s="68"/>
      <c r="Y834" s="68"/>
      <c r="Z834" s="68"/>
    </row>
    <row r="835" spans="1:26" ht="17">
      <c r="A835" s="68"/>
      <c r="B835" s="104"/>
      <c r="C835" s="104"/>
      <c r="D835" s="104"/>
      <c r="E835" s="68"/>
      <c r="F835" s="68"/>
      <c r="G835" s="68"/>
      <c r="H835" s="68"/>
      <c r="I835" s="68"/>
      <c r="J835" s="68"/>
      <c r="K835" s="68"/>
      <c r="L835" s="68"/>
      <c r="M835" s="68"/>
      <c r="N835" s="68"/>
      <c r="O835" s="68"/>
      <c r="P835" s="68"/>
      <c r="Q835" s="68"/>
      <c r="R835" s="68"/>
      <c r="S835" s="68"/>
      <c r="T835" s="68"/>
      <c r="U835" s="68"/>
      <c r="V835" s="68"/>
      <c r="W835" s="68"/>
      <c r="X835" s="68"/>
      <c r="Y835" s="68"/>
      <c r="Z835" s="68"/>
    </row>
    <row r="836" spans="1:26" ht="17">
      <c r="A836" s="68"/>
      <c r="B836" s="104"/>
      <c r="C836" s="104"/>
      <c r="D836" s="104"/>
      <c r="E836" s="68"/>
      <c r="F836" s="68"/>
      <c r="G836" s="68"/>
      <c r="H836" s="68"/>
      <c r="I836" s="68"/>
      <c r="J836" s="68"/>
      <c r="K836" s="68"/>
      <c r="L836" s="68"/>
      <c r="M836" s="68"/>
      <c r="N836" s="68"/>
      <c r="O836" s="68"/>
      <c r="P836" s="68"/>
      <c r="Q836" s="68"/>
      <c r="R836" s="68"/>
      <c r="S836" s="68"/>
      <c r="T836" s="68"/>
      <c r="U836" s="68"/>
      <c r="V836" s="68"/>
      <c r="W836" s="68"/>
      <c r="X836" s="68"/>
      <c r="Y836" s="68"/>
      <c r="Z836" s="68"/>
    </row>
    <row r="837" spans="1:26" ht="17">
      <c r="A837" s="68"/>
      <c r="B837" s="104"/>
      <c r="C837" s="104"/>
      <c r="D837" s="104"/>
      <c r="E837" s="68"/>
      <c r="F837" s="68"/>
      <c r="G837" s="68"/>
      <c r="H837" s="68"/>
      <c r="I837" s="68"/>
      <c r="J837" s="68"/>
      <c r="K837" s="68"/>
      <c r="L837" s="68"/>
      <c r="M837" s="68"/>
      <c r="N837" s="68"/>
      <c r="O837" s="68"/>
      <c r="P837" s="68"/>
      <c r="Q837" s="68"/>
      <c r="R837" s="68"/>
      <c r="S837" s="68"/>
      <c r="T837" s="68"/>
      <c r="U837" s="68"/>
      <c r="V837" s="68"/>
      <c r="W837" s="68"/>
      <c r="X837" s="68"/>
      <c r="Y837" s="68"/>
      <c r="Z837" s="68"/>
    </row>
    <row r="838" spans="1:26" ht="17">
      <c r="A838" s="68"/>
      <c r="B838" s="104"/>
      <c r="C838" s="104"/>
      <c r="D838" s="104"/>
      <c r="E838" s="68"/>
      <c r="F838" s="68"/>
      <c r="G838" s="68"/>
      <c r="H838" s="68"/>
      <c r="I838" s="68"/>
      <c r="J838" s="68"/>
      <c r="K838" s="68"/>
      <c r="L838" s="68"/>
      <c r="M838" s="68"/>
      <c r="N838" s="68"/>
      <c r="O838" s="68"/>
      <c r="P838" s="68"/>
      <c r="Q838" s="68"/>
      <c r="R838" s="68"/>
      <c r="S838" s="68"/>
      <c r="T838" s="68"/>
      <c r="U838" s="68"/>
      <c r="V838" s="68"/>
      <c r="W838" s="68"/>
      <c r="X838" s="68"/>
      <c r="Y838" s="68"/>
      <c r="Z838" s="68"/>
    </row>
    <row r="839" spans="1:26" ht="17">
      <c r="A839" s="68"/>
      <c r="B839" s="104"/>
      <c r="C839" s="104"/>
      <c r="D839" s="104"/>
      <c r="E839" s="68"/>
      <c r="F839" s="68"/>
      <c r="G839" s="68"/>
      <c r="H839" s="68"/>
      <c r="I839" s="68"/>
      <c r="J839" s="68"/>
      <c r="K839" s="68"/>
      <c r="L839" s="68"/>
      <c r="M839" s="68"/>
      <c r="N839" s="68"/>
      <c r="O839" s="68"/>
      <c r="P839" s="68"/>
      <c r="Q839" s="68"/>
      <c r="R839" s="68"/>
      <c r="S839" s="68"/>
      <c r="T839" s="68"/>
      <c r="U839" s="68"/>
      <c r="V839" s="68"/>
      <c r="W839" s="68"/>
      <c r="X839" s="68"/>
      <c r="Y839" s="68"/>
      <c r="Z839" s="68"/>
    </row>
    <row r="840" spans="1:26" ht="17">
      <c r="A840" s="68"/>
      <c r="B840" s="104"/>
      <c r="C840" s="104"/>
      <c r="D840" s="104"/>
      <c r="E840" s="68"/>
      <c r="F840" s="68"/>
      <c r="G840" s="68"/>
      <c r="H840" s="68"/>
      <c r="I840" s="68"/>
      <c r="J840" s="68"/>
      <c r="K840" s="68"/>
      <c r="L840" s="68"/>
      <c r="M840" s="68"/>
      <c r="N840" s="68"/>
      <c r="O840" s="68"/>
      <c r="P840" s="68"/>
      <c r="Q840" s="68"/>
      <c r="R840" s="68"/>
      <c r="S840" s="68"/>
      <c r="T840" s="68"/>
      <c r="U840" s="68"/>
      <c r="V840" s="68"/>
      <c r="W840" s="68"/>
      <c r="X840" s="68"/>
      <c r="Y840" s="68"/>
      <c r="Z840" s="68"/>
    </row>
    <row r="841" spans="1:26" ht="17">
      <c r="A841" s="68"/>
      <c r="B841" s="104"/>
      <c r="C841" s="104"/>
      <c r="D841" s="104"/>
      <c r="E841" s="68"/>
      <c r="F841" s="68"/>
      <c r="G841" s="68"/>
      <c r="H841" s="68"/>
      <c r="I841" s="68"/>
      <c r="J841" s="68"/>
      <c r="K841" s="68"/>
      <c r="L841" s="68"/>
      <c r="M841" s="68"/>
      <c r="N841" s="68"/>
      <c r="O841" s="68"/>
      <c r="P841" s="68"/>
      <c r="Q841" s="68"/>
      <c r="R841" s="68"/>
      <c r="S841" s="68"/>
      <c r="T841" s="68"/>
      <c r="U841" s="68"/>
      <c r="V841" s="68"/>
      <c r="W841" s="68"/>
      <c r="X841" s="68"/>
      <c r="Y841" s="68"/>
      <c r="Z841" s="68"/>
    </row>
    <row r="842" spans="1:26" ht="17">
      <c r="A842" s="68"/>
      <c r="B842" s="104"/>
      <c r="C842" s="104"/>
      <c r="D842" s="104"/>
      <c r="E842" s="68"/>
      <c r="F842" s="68"/>
      <c r="G842" s="68"/>
      <c r="H842" s="68"/>
      <c r="I842" s="68"/>
      <c r="J842" s="68"/>
      <c r="K842" s="68"/>
      <c r="L842" s="68"/>
      <c r="M842" s="68"/>
      <c r="N842" s="68"/>
      <c r="O842" s="68"/>
      <c r="P842" s="68"/>
      <c r="Q842" s="68"/>
      <c r="R842" s="68"/>
      <c r="S842" s="68"/>
      <c r="T842" s="68"/>
      <c r="U842" s="68"/>
      <c r="V842" s="68"/>
      <c r="W842" s="68"/>
      <c r="X842" s="68"/>
      <c r="Y842" s="68"/>
      <c r="Z842" s="68"/>
    </row>
    <row r="843" spans="1:26" ht="17">
      <c r="A843" s="68"/>
      <c r="B843" s="104"/>
      <c r="C843" s="104"/>
      <c r="D843" s="104"/>
      <c r="E843" s="68"/>
      <c r="F843" s="68"/>
      <c r="G843" s="68"/>
      <c r="H843" s="68"/>
      <c r="I843" s="68"/>
      <c r="J843" s="68"/>
      <c r="K843" s="68"/>
      <c r="L843" s="68"/>
      <c r="M843" s="68"/>
      <c r="N843" s="68"/>
      <c r="O843" s="68"/>
      <c r="P843" s="68"/>
      <c r="Q843" s="68"/>
      <c r="R843" s="68"/>
      <c r="S843" s="68"/>
      <c r="T843" s="68"/>
      <c r="U843" s="68"/>
      <c r="V843" s="68"/>
      <c r="W843" s="68"/>
      <c r="X843" s="68"/>
      <c r="Y843" s="68"/>
      <c r="Z843" s="68"/>
    </row>
    <row r="844" spans="1:26" ht="17">
      <c r="A844" s="68"/>
      <c r="B844" s="104"/>
      <c r="C844" s="104"/>
      <c r="D844" s="104"/>
      <c r="E844" s="68"/>
      <c r="F844" s="68"/>
      <c r="G844" s="68"/>
      <c r="H844" s="68"/>
      <c r="I844" s="68"/>
      <c r="J844" s="68"/>
      <c r="K844" s="68"/>
      <c r="L844" s="68"/>
      <c r="M844" s="68"/>
      <c r="N844" s="68"/>
      <c r="O844" s="68"/>
      <c r="P844" s="68"/>
      <c r="Q844" s="68"/>
      <c r="R844" s="68"/>
      <c r="S844" s="68"/>
      <c r="T844" s="68"/>
      <c r="U844" s="68"/>
      <c r="V844" s="68"/>
      <c r="W844" s="68"/>
      <c r="X844" s="68"/>
      <c r="Y844" s="68"/>
      <c r="Z844" s="68"/>
    </row>
    <row r="845" spans="1:26" ht="17">
      <c r="A845" s="68"/>
      <c r="B845" s="104"/>
      <c r="C845" s="104"/>
      <c r="D845" s="104"/>
      <c r="E845" s="68"/>
      <c r="F845" s="68"/>
      <c r="G845" s="68"/>
      <c r="H845" s="68"/>
      <c r="I845" s="68"/>
      <c r="J845" s="68"/>
      <c r="K845" s="68"/>
      <c r="L845" s="68"/>
      <c r="M845" s="68"/>
      <c r="N845" s="68"/>
      <c r="O845" s="68"/>
      <c r="P845" s="68"/>
      <c r="Q845" s="68"/>
      <c r="R845" s="68"/>
      <c r="S845" s="68"/>
      <c r="T845" s="68"/>
      <c r="U845" s="68"/>
      <c r="V845" s="68"/>
      <c r="W845" s="68"/>
      <c r="X845" s="68"/>
      <c r="Y845" s="68"/>
      <c r="Z845" s="68"/>
    </row>
    <row r="846" spans="1:26" ht="17">
      <c r="A846" s="68"/>
      <c r="B846" s="104"/>
      <c r="C846" s="104"/>
      <c r="D846" s="104"/>
      <c r="E846" s="68"/>
      <c r="F846" s="68"/>
      <c r="G846" s="68"/>
      <c r="H846" s="68"/>
      <c r="I846" s="68"/>
      <c r="J846" s="68"/>
      <c r="K846" s="68"/>
      <c r="L846" s="68"/>
      <c r="M846" s="68"/>
      <c r="N846" s="68"/>
      <c r="O846" s="68"/>
      <c r="P846" s="68"/>
      <c r="Q846" s="68"/>
      <c r="R846" s="68"/>
      <c r="S846" s="68"/>
      <c r="T846" s="68"/>
      <c r="U846" s="68"/>
      <c r="V846" s="68"/>
      <c r="W846" s="68"/>
      <c r="X846" s="68"/>
      <c r="Y846" s="68"/>
      <c r="Z846" s="68"/>
    </row>
    <row r="847" spans="1:26" ht="17">
      <c r="A847" s="68"/>
      <c r="B847" s="104"/>
      <c r="C847" s="104"/>
      <c r="D847" s="104"/>
      <c r="E847" s="68"/>
      <c r="F847" s="68"/>
      <c r="G847" s="68"/>
      <c r="H847" s="68"/>
      <c r="I847" s="68"/>
      <c r="J847" s="68"/>
      <c r="K847" s="68"/>
      <c r="L847" s="68"/>
      <c r="M847" s="68"/>
      <c r="N847" s="68"/>
      <c r="O847" s="68"/>
      <c r="P847" s="68"/>
      <c r="Q847" s="68"/>
      <c r="R847" s="68"/>
      <c r="S847" s="68"/>
      <c r="T847" s="68"/>
      <c r="U847" s="68"/>
      <c r="V847" s="68"/>
      <c r="W847" s="68"/>
      <c r="X847" s="68"/>
      <c r="Y847" s="68"/>
      <c r="Z847" s="68"/>
    </row>
    <row r="848" spans="1:26" ht="17">
      <c r="A848" s="68"/>
      <c r="B848" s="104"/>
      <c r="C848" s="104"/>
      <c r="D848" s="104"/>
      <c r="E848" s="68"/>
      <c r="F848" s="68"/>
      <c r="G848" s="68"/>
      <c r="H848" s="68"/>
      <c r="I848" s="68"/>
      <c r="J848" s="68"/>
      <c r="K848" s="68"/>
      <c r="L848" s="68"/>
      <c r="M848" s="68"/>
      <c r="N848" s="68"/>
      <c r="O848" s="68"/>
      <c r="P848" s="68"/>
      <c r="Q848" s="68"/>
      <c r="R848" s="68"/>
      <c r="S848" s="68"/>
      <c r="T848" s="68"/>
      <c r="U848" s="68"/>
      <c r="V848" s="68"/>
      <c r="W848" s="68"/>
      <c r="X848" s="68"/>
      <c r="Y848" s="68"/>
      <c r="Z848" s="68"/>
    </row>
    <row r="849" spans="1:26" ht="17">
      <c r="A849" s="68"/>
      <c r="B849" s="104"/>
      <c r="C849" s="104"/>
      <c r="D849" s="104"/>
      <c r="E849" s="68"/>
      <c r="F849" s="68"/>
      <c r="G849" s="68"/>
      <c r="H849" s="68"/>
      <c r="I849" s="68"/>
      <c r="J849" s="68"/>
      <c r="K849" s="68"/>
      <c r="L849" s="68"/>
      <c r="M849" s="68"/>
      <c r="N849" s="68"/>
      <c r="O849" s="68"/>
      <c r="P849" s="68"/>
      <c r="Q849" s="68"/>
      <c r="R849" s="68"/>
      <c r="S849" s="68"/>
      <c r="T849" s="68"/>
      <c r="U849" s="68"/>
      <c r="V849" s="68"/>
      <c r="W849" s="68"/>
      <c r="X849" s="68"/>
      <c r="Y849" s="68"/>
      <c r="Z849" s="68"/>
    </row>
    <row r="850" spans="1:26" ht="17">
      <c r="A850" s="68"/>
      <c r="B850" s="104"/>
      <c r="C850" s="104"/>
      <c r="D850" s="104"/>
      <c r="E850" s="68"/>
      <c r="F850" s="68"/>
      <c r="G850" s="68"/>
      <c r="H850" s="68"/>
      <c r="I850" s="68"/>
      <c r="J850" s="68"/>
      <c r="K850" s="68"/>
      <c r="L850" s="68"/>
      <c r="M850" s="68"/>
      <c r="N850" s="68"/>
      <c r="O850" s="68"/>
      <c r="P850" s="68"/>
      <c r="Q850" s="68"/>
      <c r="R850" s="68"/>
      <c r="S850" s="68"/>
      <c r="T850" s="68"/>
      <c r="U850" s="68"/>
      <c r="V850" s="68"/>
      <c r="W850" s="68"/>
      <c r="X850" s="68"/>
      <c r="Y850" s="68"/>
      <c r="Z850" s="68"/>
    </row>
    <row r="851" spans="1:26" ht="17">
      <c r="A851" s="68"/>
      <c r="B851" s="104"/>
      <c r="C851" s="104"/>
      <c r="D851" s="104"/>
      <c r="E851" s="68"/>
      <c r="F851" s="68"/>
      <c r="G851" s="68"/>
      <c r="H851" s="68"/>
      <c r="I851" s="68"/>
      <c r="J851" s="68"/>
      <c r="K851" s="68"/>
      <c r="L851" s="68"/>
      <c r="M851" s="68"/>
      <c r="N851" s="68"/>
      <c r="O851" s="68"/>
      <c r="P851" s="68"/>
      <c r="Q851" s="68"/>
      <c r="R851" s="68"/>
      <c r="S851" s="68"/>
      <c r="T851" s="68"/>
      <c r="U851" s="68"/>
      <c r="V851" s="68"/>
      <c r="W851" s="68"/>
      <c r="X851" s="68"/>
      <c r="Y851" s="68"/>
      <c r="Z851" s="68"/>
    </row>
    <row r="852" spans="1:26" ht="17">
      <c r="A852" s="68"/>
      <c r="B852" s="104"/>
      <c r="C852" s="104"/>
      <c r="D852" s="104"/>
      <c r="E852" s="68"/>
      <c r="F852" s="68"/>
      <c r="G852" s="68"/>
      <c r="H852" s="68"/>
      <c r="I852" s="68"/>
      <c r="J852" s="68"/>
      <c r="K852" s="68"/>
      <c r="L852" s="68"/>
      <c r="M852" s="68"/>
      <c r="N852" s="68"/>
      <c r="O852" s="68"/>
      <c r="P852" s="68"/>
      <c r="Q852" s="68"/>
      <c r="R852" s="68"/>
      <c r="S852" s="68"/>
      <c r="T852" s="68"/>
      <c r="U852" s="68"/>
      <c r="V852" s="68"/>
      <c r="W852" s="68"/>
      <c r="X852" s="68"/>
      <c r="Y852" s="68"/>
      <c r="Z852" s="68"/>
    </row>
    <row r="853" spans="1:26" ht="17">
      <c r="A853" s="68"/>
      <c r="B853" s="104"/>
      <c r="C853" s="104"/>
      <c r="D853" s="104"/>
      <c r="E853" s="68"/>
      <c r="F853" s="68"/>
      <c r="G853" s="68"/>
      <c r="H853" s="68"/>
      <c r="I853" s="68"/>
      <c r="J853" s="68"/>
      <c r="K853" s="68"/>
      <c r="L853" s="68"/>
      <c r="M853" s="68"/>
      <c r="N853" s="68"/>
      <c r="O853" s="68"/>
      <c r="P853" s="68"/>
      <c r="Q853" s="68"/>
      <c r="R853" s="68"/>
      <c r="S853" s="68"/>
      <c r="T853" s="68"/>
      <c r="U853" s="68"/>
      <c r="V853" s="68"/>
      <c r="W853" s="68"/>
      <c r="X853" s="68"/>
      <c r="Y853" s="68"/>
      <c r="Z853" s="68"/>
    </row>
    <row r="854" spans="1:26" ht="17">
      <c r="A854" s="68"/>
      <c r="B854" s="104"/>
      <c r="C854" s="104"/>
      <c r="D854" s="104"/>
      <c r="E854" s="68"/>
      <c r="F854" s="68"/>
      <c r="G854" s="68"/>
      <c r="H854" s="68"/>
      <c r="I854" s="68"/>
      <c r="J854" s="68"/>
      <c r="K854" s="68"/>
      <c r="L854" s="68"/>
      <c r="M854" s="68"/>
      <c r="N854" s="68"/>
      <c r="O854" s="68"/>
      <c r="P854" s="68"/>
      <c r="Q854" s="68"/>
      <c r="R854" s="68"/>
      <c r="S854" s="68"/>
      <c r="T854" s="68"/>
      <c r="U854" s="68"/>
      <c r="V854" s="68"/>
      <c r="W854" s="68"/>
      <c r="X854" s="68"/>
      <c r="Y854" s="68"/>
      <c r="Z854" s="68"/>
    </row>
    <row r="855" spans="1:26" ht="17">
      <c r="A855" s="68"/>
      <c r="B855" s="104"/>
      <c r="C855" s="104"/>
      <c r="D855" s="104"/>
      <c r="E855" s="68"/>
      <c r="F855" s="68"/>
      <c r="G855" s="68"/>
      <c r="H855" s="68"/>
      <c r="I855" s="68"/>
      <c r="J855" s="68"/>
      <c r="K855" s="68"/>
      <c r="L855" s="68"/>
      <c r="M855" s="68"/>
      <c r="N855" s="68"/>
      <c r="O855" s="68"/>
      <c r="P855" s="68"/>
      <c r="Q855" s="68"/>
      <c r="R855" s="68"/>
      <c r="S855" s="68"/>
      <c r="T855" s="68"/>
      <c r="U855" s="68"/>
      <c r="V855" s="68"/>
      <c r="W855" s="68"/>
      <c r="X855" s="68"/>
      <c r="Y855" s="68"/>
      <c r="Z855" s="68"/>
    </row>
    <row r="856" spans="1:26" ht="17">
      <c r="A856" s="68"/>
      <c r="B856" s="104"/>
      <c r="C856" s="104"/>
      <c r="D856" s="104"/>
      <c r="E856" s="68"/>
      <c r="F856" s="68"/>
      <c r="G856" s="68"/>
      <c r="H856" s="68"/>
      <c r="I856" s="68"/>
      <c r="J856" s="68"/>
      <c r="K856" s="68"/>
      <c r="L856" s="68"/>
      <c r="M856" s="68"/>
      <c r="N856" s="68"/>
      <c r="O856" s="68"/>
      <c r="P856" s="68"/>
      <c r="Q856" s="68"/>
      <c r="R856" s="68"/>
      <c r="S856" s="68"/>
      <c r="T856" s="68"/>
      <c r="U856" s="68"/>
      <c r="V856" s="68"/>
      <c r="W856" s="68"/>
      <c r="X856" s="68"/>
      <c r="Y856" s="68"/>
      <c r="Z856" s="68"/>
    </row>
    <row r="857" spans="1:26" ht="17">
      <c r="A857" s="68"/>
      <c r="B857" s="104"/>
      <c r="C857" s="104"/>
      <c r="D857" s="104"/>
      <c r="E857" s="68"/>
      <c r="F857" s="68"/>
      <c r="G857" s="68"/>
      <c r="H857" s="68"/>
      <c r="I857" s="68"/>
      <c r="J857" s="68"/>
      <c r="K857" s="68"/>
      <c r="L857" s="68"/>
      <c r="M857" s="68"/>
      <c r="N857" s="68"/>
      <c r="O857" s="68"/>
      <c r="P857" s="68"/>
      <c r="Q857" s="68"/>
      <c r="R857" s="68"/>
      <c r="S857" s="68"/>
      <c r="T857" s="68"/>
      <c r="U857" s="68"/>
      <c r="V857" s="68"/>
      <c r="W857" s="68"/>
      <c r="X857" s="68"/>
      <c r="Y857" s="68"/>
      <c r="Z857" s="68"/>
    </row>
    <row r="858" spans="1:26" ht="17">
      <c r="A858" s="68"/>
      <c r="B858" s="104"/>
      <c r="C858" s="104"/>
      <c r="D858" s="104"/>
      <c r="E858" s="68"/>
      <c r="F858" s="68"/>
      <c r="G858" s="68"/>
      <c r="H858" s="68"/>
      <c r="I858" s="68"/>
      <c r="J858" s="68"/>
      <c r="K858" s="68"/>
      <c r="L858" s="68"/>
      <c r="M858" s="68"/>
      <c r="N858" s="68"/>
      <c r="O858" s="68"/>
      <c r="P858" s="68"/>
      <c r="Q858" s="68"/>
      <c r="R858" s="68"/>
      <c r="S858" s="68"/>
      <c r="T858" s="68"/>
      <c r="U858" s="68"/>
      <c r="V858" s="68"/>
      <c r="W858" s="68"/>
      <c r="X858" s="68"/>
      <c r="Y858" s="68"/>
      <c r="Z858" s="68"/>
    </row>
    <row r="859" spans="1:26" ht="17">
      <c r="A859" s="68"/>
      <c r="B859" s="104"/>
      <c r="C859" s="104"/>
      <c r="D859" s="104"/>
      <c r="E859" s="68"/>
      <c r="F859" s="68"/>
      <c r="G859" s="68"/>
      <c r="H859" s="68"/>
      <c r="I859" s="68"/>
      <c r="J859" s="68"/>
      <c r="K859" s="68"/>
      <c r="L859" s="68"/>
      <c r="M859" s="68"/>
      <c r="N859" s="68"/>
      <c r="O859" s="68"/>
      <c r="P859" s="68"/>
      <c r="Q859" s="68"/>
      <c r="R859" s="68"/>
      <c r="S859" s="68"/>
      <c r="T859" s="68"/>
      <c r="U859" s="68"/>
      <c r="V859" s="68"/>
      <c r="W859" s="68"/>
      <c r="X859" s="68"/>
      <c r="Y859" s="68"/>
      <c r="Z859" s="68"/>
    </row>
    <row r="860" spans="1:26" ht="17">
      <c r="A860" s="68"/>
      <c r="B860" s="104"/>
      <c r="C860" s="104"/>
      <c r="D860" s="104"/>
      <c r="E860" s="68"/>
      <c r="F860" s="68"/>
      <c r="G860" s="68"/>
      <c r="H860" s="68"/>
      <c r="I860" s="68"/>
      <c r="J860" s="68"/>
      <c r="K860" s="68"/>
      <c r="L860" s="68"/>
      <c r="M860" s="68"/>
      <c r="N860" s="68"/>
      <c r="O860" s="68"/>
      <c r="P860" s="68"/>
      <c r="Q860" s="68"/>
      <c r="R860" s="68"/>
      <c r="S860" s="68"/>
      <c r="T860" s="68"/>
      <c r="U860" s="68"/>
      <c r="V860" s="68"/>
      <c r="W860" s="68"/>
      <c r="X860" s="68"/>
      <c r="Y860" s="68"/>
      <c r="Z860" s="68"/>
    </row>
    <row r="861" spans="1:26" ht="17">
      <c r="A861" s="68"/>
      <c r="B861" s="104"/>
      <c r="C861" s="104"/>
      <c r="D861" s="104"/>
      <c r="E861" s="68"/>
      <c r="F861" s="68"/>
      <c r="G861" s="68"/>
      <c r="H861" s="68"/>
      <c r="I861" s="68"/>
      <c r="J861" s="68"/>
      <c r="K861" s="68"/>
      <c r="L861" s="68"/>
      <c r="M861" s="68"/>
      <c r="N861" s="68"/>
      <c r="O861" s="68"/>
      <c r="P861" s="68"/>
      <c r="Q861" s="68"/>
      <c r="R861" s="68"/>
      <c r="S861" s="68"/>
      <c r="T861" s="68"/>
      <c r="U861" s="68"/>
      <c r="V861" s="68"/>
      <c r="W861" s="68"/>
      <c r="X861" s="68"/>
      <c r="Y861" s="68"/>
      <c r="Z861" s="68"/>
    </row>
    <row r="862" spans="1:26" ht="17">
      <c r="A862" s="68"/>
      <c r="B862" s="104"/>
      <c r="C862" s="104"/>
      <c r="D862" s="104"/>
      <c r="E862" s="68"/>
      <c r="F862" s="68"/>
      <c r="G862" s="68"/>
      <c r="H862" s="68"/>
      <c r="I862" s="68"/>
      <c r="J862" s="68"/>
      <c r="K862" s="68"/>
      <c r="L862" s="68"/>
      <c r="M862" s="68"/>
      <c r="N862" s="68"/>
      <c r="O862" s="68"/>
      <c r="P862" s="68"/>
      <c r="Q862" s="68"/>
      <c r="R862" s="68"/>
      <c r="S862" s="68"/>
      <c r="T862" s="68"/>
      <c r="U862" s="68"/>
      <c r="V862" s="68"/>
      <c r="W862" s="68"/>
      <c r="X862" s="68"/>
      <c r="Y862" s="68"/>
      <c r="Z862" s="68"/>
    </row>
    <row r="863" spans="1:26" ht="17">
      <c r="A863" s="68"/>
      <c r="B863" s="104"/>
      <c r="C863" s="104"/>
      <c r="D863" s="104"/>
      <c r="E863" s="68"/>
      <c r="F863" s="68"/>
      <c r="G863" s="68"/>
      <c r="H863" s="68"/>
      <c r="I863" s="68"/>
      <c r="J863" s="68"/>
      <c r="K863" s="68"/>
      <c r="L863" s="68"/>
      <c r="M863" s="68"/>
      <c r="N863" s="68"/>
      <c r="O863" s="68"/>
      <c r="P863" s="68"/>
      <c r="Q863" s="68"/>
      <c r="R863" s="68"/>
      <c r="S863" s="68"/>
      <c r="T863" s="68"/>
      <c r="U863" s="68"/>
      <c r="V863" s="68"/>
      <c r="W863" s="68"/>
      <c r="X863" s="68"/>
      <c r="Y863" s="68"/>
      <c r="Z863" s="68"/>
    </row>
    <row r="864" spans="1:26" ht="17">
      <c r="A864" s="68"/>
      <c r="B864" s="104"/>
      <c r="C864" s="104"/>
      <c r="D864" s="104"/>
      <c r="E864" s="68"/>
      <c r="F864" s="68"/>
      <c r="G864" s="68"/>
      <c r="H864" s="68"/>
      <c r="I864" s="68"/>
      <c r="J864" s="68"/>
      <c r="K864" s="68"/>
      <c r="L864" s="68"/>
      <c r="M864" s="68"/>
      <c r="N864" s="68"/>
      <c r="O864" s="68"/>
      <c r="P864" s="68"/>
      <c r="Q864" s="68"/>
      <c r="R864" s="68"/>
      <c r="S864" s="68"/>
      <c r="T864" s="68"/>
      <c r="U864" s="68"/>
      <c r="V864" s="68"/>
      <c r="W864" s="68"/>
      <c r="X864" s="68"/>
      <c r="Y864" s="68"/>
      <c r="Z864" s="68"/>
    </row>
    <row r="865" spans="1:26" ht="17">
      <c r="A865" s="68"/>
      <c r="B865" s="104"/>
      <c r="C865" s="104"/>
      <c r="D865" s="104"/>
      <c r="E865" s="68"/>
      <c r="F865" s="68"/>
      <c r="G865" s="68"/>
      <c r="H865" s="68"/>
      <c r="I865" s="68"/>
      <c r="J865" s="68"/>
      <c r="K865" s="68"/>
      <c r="L865" s="68"/>
      <c r="M865" s="68"/>
      <c r="N865" s="68"/>
      <c r="O865" s="68"/>
      <c r="P865" s="68"/>
      <c r="Q865" s="68"/>
      <c r="R865" s="68"/>
      <c r="S865" s="68"/>
      <c r="T865" s="68"/>
      <c r="U865" s="68"/>
      <c r="V865" s="68"/>
      <c r="W865" s="68"/>
      <c r="X865" s="68"/>
      <c r="Y865" s="68"/>
      <c r="Z865" s="68"/>
    </row>
    <row r="866" spans="1:26" ht="17">
      <c r="A866" s="68"/>
      <c r="B866" s="104"/>
      <c r="C866" s="104"/>
      <c r="D866" s="104"/>
      <c r="E866" s="68"/>
      <c r="F866" s="68"/>
      <c r="G866" s="68"/>
      <c r="H866" s="68"/>
      <c r="I866" s="68"/>
      <c r="J866" s="68"/>
      <c r="K866" s="68"/>
      <c r="L866" s="68"/>
      <c r="M866" s="68"/>
      <c r="N866" s="68"/>
      <c r="O866" s="68"/>
      <c r="P866" s="68"/>
      <c r="Q866" s="68"/>
      <c r="R866" s="68"/>
      <c r="S866" s="68"/>
      <c r="T866" s="68"/>
      <c r="U866" s="68"/>
      <c r="V866" s="68"/>
      <c r="W866" s="68"/>
      <c r="X866" s="68"/>
      <c r="Y866" s="68"/>
      <c r="Z866" s="68"/>
    </row>
    <row r="867" spans="1:26" ht="17">
      <c r="A867" s="68"/>
      <c r="B867" s="104"/>
      <c r="C867" s="104"/>
      <c r="D867" s="104"/>
      <c r="E867" s="68"/>
      <c r="F867" s="68"/>
      <c r="G867" s="68"/>
      <c r="H867" s="68"/>
      <c r="I867" s="68"/>
      <c r="J867" s="68"/>
      <c r="K867" s="68"/>
      <c r="L867" s="68"/>
      <c r="M867" s="68"/>
      <c r="N867" s="68"/>
      <c r="O867" s="68"/>
      <c r="P867" s="68"/>
      <c r="Q867" s="68"/>
      <c r="R867" s="68"/>
      <c r="S867" s="68"/>
      <c r="T867" s="68"/>
      <c r="U867" s="68"/>
      <c r="V867" s="68"/>
      <c r="W867" s="68"/>
      <c r="X867" s="68"/>
      <c r="Y867" s="68"/>
      <c r="Z867" s="68"/>
    </row>
    <row r="868" spans="1:26" ht="17">
      <c r="A868" s="68"/>
      <c r="B868" s="104"/>
      <c r="C868" s="104"/>
      <c r="D868" s="104"/>
      <c r="E868" s="68"/>
      <c r="F868" s="68"/>
      <c r="G868" s="68"/>
      <c r="H868" s="68"/>
      <c r="I868" s="68"/>
      <c r="J868" s="68"/>
      <c r="K868" s="68"/>
      <c r="L868" s="68"/>
      <c r="M868" s="68"/>
      <c r="N868" s="68"/>
      <c r="O868" s="68"/>
      <c r="P868" s="68"/>
      <c r="Q868" s="68"/>
      <c r="R868" s="68"/>
      <c r="S868" s="68"/>
      <c r="T868" s="68"/>
      <c r="U868" s="68"/>
      <c r="V868" s="68"/>
      <c r="W868" s="68"/>
      <c r="X868" s="68"/>
      <c r="Y868" s="68"/>
      <c r="Z868" s="68"/>
    </row>
    <row r="869" spans="1:26" ht="17">
      <c r="A869" s="68"/>
      <c r="B869" s="104"/>
      <c r="C869" s="104"/>
      <c r="D869" s="104"/>
      <c r="E869" s="68"/>
      <c r="F869" s="68"/>
      <c r="G869" s="68"/>
      <c r="H869" s="68"/>
      <c r="I869" s="68"/>
      <c r="J869" s="68"/>
      <c r="K869" s="68"/>
      <c r="L869" s="68"/>
      <c r="M869" s="68"/>
      <c r="N869" s="68"/>
      <c r="O869" s="68"/>
      <c r="P869" s="68"/>
      <c r="Q869" s="68"/>
      <c r="R869" s="68"/>
      <c r="S869" s="68"/>
      <c r="T869" s="68"/>
      <c r="U869" s="68"/>
      <c r="V869" s="68"/>
      <c r="W869" s="68"/>
      <c r="X869" s="68"/>
      <c r="Y869" s="68"/>
      <c r="Z869" s="68"/>
    </row>
    <row r="870" spans="1:26" ht="17">
      <c r="A870" s="68"/>
      <c r="B870" s="104"/>
      <c r="C870" s="104"/>
      <c r="D870" s="104"/>
      <c r="E870" s="68"/>
      <c r="F870" s="68"/>
      <c r="G870" s="68"/>
      <c r="H870" s="68"/>
      <c r="I870" s="68"/>
      <c r="J870" s="68"/>
      <c r="K870" s="68"/>
      <c r="L870" s="68"/>
      <c r="M870" s="68"/>
      <c r="N870" s="68"/>
      <c r="O870" s="68"/>
      <c r="P870" s="68"/>
      <c r="Q870" s="68"/>
      <c r="R870" s="68"/>
      <c r="S870" s="68"/>
      <c r="T870" s="68"/>
      <c r="U870" s="68"/>
      <c r="V870" s="68"/>
      <c r="W870" s="68"/>
      <c r="X870" s="68"/>
      <c r="Y870" s="68"/>
      <c r="Z870" s="68"/>
    </row>
    <row r="871" spans="1:26" ht="17">
      <c r="A871" s="68"/>
      <c r="B871" s="104"/>
      <c r="C871" s="104"/>
      <c r="D871" s="104"/>
      <c r="E871" s="68"/>
      <c r="F871" s="68"/>
      <c r="G871" s="68"/>
      <c r="H871" s="68"/>
      <c r="I871" s="68"/>
      <c r="J871" s="68"/>
      <c r="K871" s="68"/>
      <c r="L871" s="68"/>
      <c r="M871" s="68"/>
      <c r="N871" s="68"/>
      <c r="O871" s="68"/>
      <c r="P871" s="68"/>
      <c r="Q871" s="68"/>
      <c r="R871" s="68"/>
      <c r="S871" s="68"/>
      <c r="T871" s="68"/>
      <c r="U871" s="68"/>
      <c r="V871" s="68"/>
      <c r="W871" s="68"/>
      <c r="X871" s="68"/>
      <c r="Y871" s="68"/>
      <c r="Z871" s="68"/>
    </row>
    <row r="872" spans="1:26" ht="17">
      <c r="A872" s="68"/>
      <c r="B872" s="104"/>
      <c r="C872" s="104"/>
      <c r="D872" s="104"/>
      <c r="E872" s="68"/>
      <c r="F872" s="68"/>
      <c r="G872" s="68"/>
      <c r="H872" s="68"/>
      <c r="I872" s="68"/>
      <c r="J872" s="68"/>
      <c r="K872" s="68"/>
      <c r="L872" s="68"/>
      <c r="M872" s="68"/>
      <c r="N872" s="68"/>
      <c r="O872" s="68"/>
      <c r="P872" s="68"/>
      <c r="Q872" s="68"/>
      <c r="R872" s="68"/>
      <c r="S872" s="68"/>
      <c r="T872" s="68"/>
      <c r="U872" s="68"/>
      <c r="V872" s="68"/>
      <c r="W872" s="68"/>
      <c r="X872" s="68"/>
      <c r="Y872" s="68"/>
      <c r="Z872" s="68"/>
    </row>
    <row r="873" spans="1:26" ht="17">
      <c r="A873" s="68"/>
      <c r="B873" s="104"/>
      <c r="C873" s="104"/>
      <c r="D873" s="104"/>
      <c r="E873" s="68"/>
      <c r="F873" s="68"/>
      <c r="G873" s="68"/>
      <c r="H873" s="68"/>
      <c r="I873" s="68"/>
      <c r="J873" s="68"/>
      <c r="K873" s="68"/>
      <c r="L873" s="68"/>
      <c r="M873" s="68"/>
      <c r="N873" s="68"/>
      <c r="O873" s="68"/>
      <c r="P873" s="68"/>
      <c r="Q873" s="68"/>
      <c r="R873" s="68"/>
      <c r="S873" s="68"/>
      <c r="T873" s="68"/>
      <c r="U873" s="68"/>
      <c r="V873" s="68"/>
      <c r="W873" s="68"/>
      <c r="X873" s="68"/>
      <c r="Y873" s="68"/>
      <c r="Z873" s="68"/>
    </row>
    <row r="874" spans="1:26" ht="17">
      <c r="A874" s="68"/>
      <c r="B874" s="104"/>
      <c r="C874" s="104"/>
      <c r="D874" s="104"/>
      <c r="E874" s="68"/>
      <c r="F874" s="68"/>
      <c r="G874" s="68"/>
      <c r="H874" s="68"/>
      <c r="I874" s="68"/>
      <c r="J874" s="68"/>
      <c r="K874" s="68"/>
      <c r="L874" s="68"/>
      <c r="M874" s="68"/>
      <c r="N874" s="68"/>
      <c r="O874" s="68"/>
      <c r="P874" s="68"/>
      <c r="Q874" s="68"/>
      <c r="R874" s="68"/>
      <c r="S874" s="68"/>
      <c r="T874" s="68"/>
      <c r="U874" s="68"/>
      <c r="V874" s="68"/>
      <c r="W874" s="68"/>
      <c r="X874" s="68"/>
      <c r="Y874" s="68"/>
      <c r="Z874" s="68"/>
    </row>
    <row r="875" spans="1:26" ht="17">
      <c r="A875" s="68"/>
      <c r="B875" s="104"/>
      <c r="C875" s="104"/>
      <c r="D875" s="104"/>
      <c r="E875" s="68"/>
      <c r="F875" s="68"/>
      <c r="G875" s="68"/>
      <c r="H875" s="68"/>
      <c r="I875" s="68"/>
      <c r="J875" s="68"/>
      <c r="K875" s="68"/>
      <c r="L875" s="68"/>
      <c r="M875" s="68"/>
      <c r="N875" s="68"/>
      <c r="O875" s="68"/>
      <c r="P875" s="68"/>
      <c r="Q875" s="68"/>
      <c r="R875" s="68"/>
      <c r="S875" s="68"/>
      <c r="T875" s="68"/>
      <c r="U875" s="68"/>
      <c r="V875" s="68"/>
      <c r="W875" s="68"/>
      <c r="X875" s="68"/>
      <c r="Y875" s="68"/>
      <c r="Z875" s="68"/>
    </row>
    <row r="876" spans="1:26" ht="17">
      <c r="A876" s="68"/>
      <c r="B876" s="104"/>
      <c r="C876" s="104"/>
      <c r="D876" s="104"/>
      <c r="E876" s="68"/>
      <c r="F876" s="68"/>
      <c r="G876" s="68"/>
      <c r="H876" s="68"/>
      <c r="I876" s="68"/>
      <c r="J876" s="68"/>
      <c r="K876" s="68"/>
      <c r="L876" s="68"/>
      <c r="M876" s="68"/>
      <c r="N876" s="68"/>
      <c r="O876" s="68"/>
      <c r="P876" s="68"/>
      <c r="Q876" s="68"/>
      <c r="R876" s="68"/>
      <c r="S876" s="68"/>
      <c r="T876" s="68"/>
      <c r="U876" s="68"/>
      <c r="V876" s="68"/>
      <c r="W876" s="68"/>
      <c r="X876" s="68"/>
      <c r="Y876" s="68"/>
      <c r="Z876" s="68"/>
    </row>
    <row r="877" spans="1:26" ht="17">
      <c r="A877" s="68"/>
      <c r="B877" s="104"/>
      <c r="C877" s="104"/>
      <c r="D877" s="104"/>
      <c r="E877" s="68"/>
      <c r="F877" s="68"/>
      <c r="G877" s="68"/>
      <c r="H877" s="68"/>
      <c r="I877" s="68"/>
      <c r="J877" s="68"/>
      <c r="K877" s="68"/>
      <c r="L877" s="68"/>
      <c r="M877" s="68"/>
      <c r="N877" s="68"/>
      <c r="O877" s="68"/>
      <c r="P877" s="68"/>
      <c r="Q877" s="68"/>
      <c r="R877" s="68"/>
      <c r="S877" s="68"/>
      <c r="T877" s="68"/>
      <c r="U877" s="68"/>
      <c r="V877" s="68"/>
      <c r="W877" s="68"/>
      <c r="X877" s="68"/>
      <c r="Y877" s="68"/>
      <c r="Z877" s="68"/>
    </row>
    <row r="878" spans="1:26" ht="17">
      <c r="A878" s="68"/>
      <c r="B878" s="104"/>
      <c r="C878" s="104"/>
      <c r="D878" s="104"/>
      <c r="E878" s="68"/>
      <c r="F878" s="68"/>
      <c r="G878" s="68"/>
      <c r="H878" s="68"/>
      <c r="I878" s="68"/>
      <c r="J878" s="68"/>
      <c r="K878" s="68"/>
      <c r="L878" s="68"/>
      <c r="M878" s="68"/>
      <c r="N878" s="68"/>
      <c r="O878" s="68"/>
      <c r="P878" s="68"/>
      <c r="Q878" s="68"/>
      <c r="R878" s="68"/>
      <c r="S878" s="68"/>
      <c r="T878" s="68"/>
      <c r="U878" s="68"/>
      <c r="V878" s="68"/>
      <c r="W878" s="68"/>
      <c r="X878" s="68"/>
      <c r="Y878" s="68"/>
      <c r="Z878" s="68"/>
    </row>
    <row r="879" spans="1:26" ht="17">
      <c r="A879" s="68"/>
      <c r="B879" s="104"/>
      <c r="C879" s="104"/>
      <c r="D879" s="104"/>
      <c r="E879" s="68"/>
      <c r="F879" s="68"/>
      <c r="G879" s="68"/>
      <c r="H879" s="68"/>
      <c r="I879" s="68"/>
      <c r="J879" s="68"/>
      <c r="K879" s="68"/>
      <c r="L879" s="68"/>
      <c r="M879" s="68"/>
      <c r="N879" s="68"/>
      <c r="O879" s="68"/>
      <c r="P879" s="68"/>
      <c r="Q879" s="68"/>
      <c r="R879" s="68"/>
      <c r="S879" s="68"/>
      <c r="T879" s="68"/>
      <c r="U879" s="68"/>
      <c r="V879" s="68"/>
      <c r="W879" s="68"/>
      <c r="X879" s="68"/>
      <c r="Y879" s="68"/>
      <c r="Z879" s="68"/>
    </row>
    <row r="880" spans="1:26" ht="17">
      <c r="A880" s="68"/>
      <c r="B880" s="104"/>
      <c r="C880" s="104"/>
      <c r="D880" s="104"/>
      <c r="E880" s="68"/>
      <c r="F880" s="68"/>
      <c r="G880" s="68"/>
      <c r="H880" s="68"/>
      <c r="I880" s="68"/>
      <c r="J880" s="68"/>
      <c r="K880" s="68"/>
      <c r="L880" s="68"/>
      <c r="M880" s="68"/>
      <c r="N880" s="68"/>
      <c r="O880" s="68"/>
      <c r="P880" s="68"/>
      <c r="Q880" s="68"/>
      <c r="R880" s="68"/>
      <c r="S880" s="68"/>
      <c r="T880" s="68"/>
      <c r="U880" s="68"/>
      <c r="V880" s="68"/>
      <c r="W880" s="68"/>
      <c r="X880" s="68"/>
      <c r="Y880" s="68"/>
      <c r="Z880" s="68"/>
    </row>
    <row r="881" spans="1:26" ht="17">
      <c r="A881" s="68"/>
      <c r="B881" s="104"/>
      <c r="C881" s="104"/>
      <c r="D881" s="104"/>
      <c r="E881" s="68"/>
      <c r="F881" s="68"/>
      <c r="G881" s="68"/>
      <c r="H881" s="68"/>
      <c r="I881" s="68"/>
      <c r="J881" s="68"/>
      <c r="K881" s="68"/>
      <c r="L881" s="68"/>
      <c r="M881" s="68"/>
      <c r="N881" s="68"/>
      <c r="O881" s="68"/>
      <c r="P881" s="68"/>
      <c r="Q881" s="68"/>
      <c r="R881" s="68"/>
      <c r="S881" s="68"/>
      <c r="T881" s="68"/>
      <c r="U881" s="68"/>
      <c r="V881" s="68"/>
      <c r="W881" s="68"/>
      <c r="X881" s="68"/>
      <c r="Y881" s="68"/>
      <c r="Z881" s="68"/>
    </row>
    <row r="882" spans="1:26" ht="17">
      <c r="A882" s="68"/>
      <c r="B882" s="104"/>
      <c r="C882" s="104"/>
      <c r="D882" s="104"/>
      <c r="E882" s="68"/>
      <c r="F882" s="68"/>
      <c r="G882" s="68"/>
      <c r="H882" s="68"/>
      <c r="I882" s="68"/>
      <c r="J882" s="68"/>
      <c r="K882" s="68"/>
      <c r="L882" s="68"/>
      <c r="M882" s="68"/>
      <c r="N882" s="68"/>
      <c r="O882" s="68"/>
      <c r="P882" s="68"/>
      <c r="Q882" s="68"/>
      <c r="R882" s="68"/>
      <c r="S882" s="68"/>
      <c r="T882" s="68"/>
      <c r="U882" s="68"/>
      <c r="V882" s="68"/>
      <c r="W882" s="68"/>
      <c r="X882" s="68"/>
      <c r="Y882" s="68"/>
      <c r="Z882" s="68"/>
    </row>
    <row r="883" spans="1:26" ht="17">
      <c r="A883" s="68"/>
      <c r="B883" s="104"/>
      <c r="C883" s="104"/>
      <c r="D883" s="104"/>
      <c r="E883" s="68"/>
      <c r="F883" s="68"/>
      <c r="G883" s="68"/>
      <c r="H883" s="68"/>
      <c r="I883" s="68"/>
      <c r="J883" s="68"/>
      <c r="K883" s="68"/>
      <c r="L883" s="68"/>
      <c r="M883" s="68"/>
      <c r="N883" s="68"/>
      <c r="O883" s="68"/>
      <c r="P883" s="68"/>
      <c r="Q883" s="68"/>
      <c r="R883" s="68"/>
      <c r="S883" s="68"/>
      <c r="T883" s="68"/>
      <c r="U883" s="68"/>
      <c r="V883" s="68"/>
      <c r="W883" s="68"/>
      <c r="X883" s="68"/>
      <c r="Y883" s="68"/>
      <c r="Z883" s="68"/>
    </row>
    <row r="884" spans="1:26" ht="17">
      <c r="A884" s="68"/>
      <c r="B884" s="104"/>
      <c r="C884" s="104"/>
      <c r="D884" s="104"/>
      <c r="E884" s="68"/>
      <c r="F884" s="68"/>
      <c r="G884" s="68"/>
      <c r="H884" s="68"/>
      <c r="I884" s="68"/>
      <c r="J884" s="68"/>
      <c r="K884" s="68"/>
      <c r="L884" s="68"/>
      <c r="M884" s="68"/>
      <c r="N884" s="68"/>
      <c r="O884" s="68"/>
      <c r="P884" s="68"/>
      <c r="Q884" s="68"/>
      <c r="R884" s="68"/>
      <c r="S884" s="68"/>
      <c r="T884" s="68"/>
      <c r="U884" s="68"/>
      <c r="V884" s="68"/>
      <c r="W884" s="68"/>
      <c r="X884" s="68"/>
      <c r="Y884" s="68"/>
      <c r="Z884" s="68"/>
    </row>
    <row r="885" spans="1:26" ht="17">
      <c r="A885" s="68"/>
      <c r="B885" s="104"/>
      <c r="C885" s="104"/>
      <c r="D885" s="104"/>
      <c r="E885" s="68"/>
      <c r="F885" s="68"/>
      <c r="G885" s="68"/>
      <c r="H885" s="68"/>
      <c r="I885" s="68"/>
      <c r="J885" s="68"/>
      <c r="K885" s="68"/>
      <c r="L885" s="68"/>
      <c r="M885" s="68"/>
      <c r="N885" s="68"/>
      <c r="O885" s="68"/>
      <c r="P885" s="68"/>
      <c r="Q885" s="68"/>
      <c r="R885" s="68"/>
      <c r="S885" s="68"/>
      <c r="T885" s="68"/>
      <c r="U885" s="68"/>
      <c r="V885" s="68"/>
      <c r="W885" s="68"/>
      <c r="X885" s="68"/>
      <c r="Y885" s="68"/>
      <c r="Z885" s="68"/>
    </row>
    <row r="886" spans="1:26" ht="17">
      <c r="A886" s="68"/>
      <c r="B886" s="104"/>
      <c r="C886" s="104"/>
      <c r="D886" s="104"/>
      <c r="E886" s="68"/>
      <c r="F886" s="68"/>
      <c r="G886" s="68"/>
      <c r="H886" s="68"/>
      <c r="I886" s="68"/>
      <c r="J886" s="68"/>
      <c r="K886" s="68"/>
      <c r="L886" s="68"/>
      <c r="M886" s="68"/>
      <c r="N886" s="68"/>
      <c r="O886" s="68"/>
      <c r="P886" s="68"/>
      <c r="Q886" s="68"/>
      <c r="R886" s="68"/>
      <c r="S886" s="68"/>
      <c r="T886" s="68"/>
      <c r="U886" s="68"/>
      <c r="V886" s="68"/>
      <c r="W886" s="68"/>
      <c r="X886" s="68"/>
      <c r="Y886" s="68"/>
      <c r="Z886" s="68"/>
    </row>
    <row r="887" spans="1:26" ht="17">
      <c r="A887" s="68"/>
      <c r="B887" s="104"/>
      <c r="C887" s="104"/>
      <c r="D887" s="104"/>
      <c r="E887" s="68"/>
      <c r="F887" s="68"/>
      <c r="G887" s="68"/>
      <c r="H887" s="68"/>
      <c r="I887" s="68"/>
      <c r="J887" s="68"/>
      <c r="K887" s="68"/>
      <c r="L887" s="68"/>
      <c r="M887" s="68"/>
      <c r="N887" s="68"/>
      <c r="O887" s="68"/>
      <c r="P887" s="68"/>
      <c r="Q887" s="68"/>
      <c r="R887" s="68"/>
      <c r="S887" s="68"/>
      <c r="T887" s="68"/>
      <c r="U887" s="68"/>
      <c r="V887" s="68"/>
      <c r="W887" s="68"/>
      <c r="X887" s="68"/>
      <c r="Y887" s="68"/>
      <c r="Z887" s="68"/>
    </row>
    <row r="888" spans="1:26" ht="17">
      <c r="A888" s="68"/>
      <c r="B888" s="104"/>
      <c r="C888" s="104"/>
      <c r="D888" s="104"/>
      <c r="E888" s="68"/>
      <c r="F888" s="68"/>
      <c r="G888" s="68"/>
      <c r="H888" s="68"/>
      <c r="I888" s="68"/>
      <c r="J888" s="68"/>
      <c r="K888" s="68"/>
      <c r="L888" s="68"/>
      <c r="M888" s="68"/>
      <c r="N888" s="68"/>
      <c r="O888" s="68"/>
      <c r="P888" s="68"/>
      <c r="Q888" s="68"/>
      <c r="R888" s="68"/>
      <c r="S888" s="68"/>
      <c r="T888" s="68"/>
      <c r="U888" s="68"/>
      <c r="V888" s="68"/>
      <c r="W888" s="68"/>
      <c r="X888" s="68"/>
      <c r="Y888" s="68"/>
      <c r="Z888" s="68"/>
    </row>
    <row r="889" spans="1:26" ht="17">
      <c r="A889" s="68"/>
      <c r="B889" s="104"/>
      <c r="C889" s="104"/>
      <c r="D889" s="104"/>
      <c r="E889" s="68"/>
      <c r="F889" s="68"/>
      <c r="G889" s="68"/>
      <c r="H889" s="68"/>
      <c r="I889" s="68"/>
      <c r="J889" s="68"/>
      <c r="K889" s="68"/>
      <c r="L889" s="68"/>
      <c r="M889" s="68"/>
      <c r="N889" s="68"/>
      <c r="O889" s="68"/>
      <c r="P889" s="68"/>
      <c r="Q889" s="68"/>
      <c r="R889" s="68"/>
      <c r="S889" s="68"/>
      <c r="T889" s="68"/>
      <c r="U889" s="68"/>
      <c r="V889" s="68"/>
      <c r="W889" s="68"/>
      <c r="X889" s="68"/>
      <c r="Y889" s="68"/>
      <c r="Z889" s="68"/>
    </row>
    <row r="890" spans="1:26" ht="17">
      <c r="A890" s="68"/>
      <c r="B890" s="104"/>
      <c r="C890" s="104"/>
      <c r="D890" s="104"/>
      <c r="E890" s="68"/>
      <c r="F890" s="68"/>
      <c r="G890" s="68"/>
      <c r="H890" s="68"/>
      <c r="I890" s="68"/>
      <c r="J890" s="68"/>
      <c r="K890" s="68"/>
      <c r="L890" s="68"/>
      <c r="M890" s="68"/>
      <c r="N890" s="68"/>
      <c r="O890" s="68"/>
      <c r="P890" s="68"/>
      <c r="Q890" s="68"/>
      <c r="R890" s="68"/>
      <c r="S890" s="68"/>
      <c r="T890" s="68"/>
      <c r="U890" s="68"/>
      <c r="V890" s="68"/>
      <c r="W890" s="68"/>
      <c r="X890" s="68"/>
      <c r="Y890" s="68"/>
      <c r="Z890" s="68"/>
    </row>
    <row r="891" spans="1:26" ht="17">
      <c r="A891" s="68"/>
      <c r="B891" s="104"/>
      <c r="C891" s="104"/>
      <c r="D891" s="104"/>
      <c r="E891" s="68"/>
      <c r="F891" s="68"/>
      <c r="G891" s="68"/>
      <c r="H891" s="68"/>
      <c r="I891" s="68"/>
      <c r="J891" s="68"/>
      <c r="K891" s="68"/>
      <c r="L891" s="68"/>
      <c r="M891" s="68"/>
      <c r="N891" s="68"/>
      <c r="O891" s="68"/>
      <c r="P891" s="68"/>
      <c r="Q891" s="68"/>
      <c r="R891" s="68"/>
      <c r="S891" s="68"/>
      <c r="T891" s="68"/>
      <c r="U891" s="68"/>
      <c r="V891" s="68"/>
      <c r="W891" s="68"/>
      <c r="X891" s="68"/>
      <c r="Y891" s="68"/>
      <c r="Z891" s="68"/>
    </row>
    <row r="892" spans="1:26" ht="17">
      <c r="A892" s="68"/>
      <c r="B892" s="104"/>
      <c r="C892" s="104"/>
      <c r="D892" s="104"/>
      <c r="E892" s="68"/>
      <c r="F892" s="68"/>
      <c r="G892" s="68"/>
      <c r="H892" s="68"/>
      <c r="I892" s="68"/>
      <c r="J892" s="68"/>
      <c r="K892" s="68"/>
      <c r="L892" s="68"/>
      <c r="M892" s="68"/>
      <c r="N892" s="68"/>
      <c r="O892" s="68"/>
      <c r="P892" s="68"/>
      <c r="Q892" s="68"/>
      <c r="R892" s="68"/>
      <c r="S892" s="68"/>
      <c r="T892" s="68"/>
      <c r="U892" s="68"/>
      <c r="V892" s="68"/>
      <c r="W892" s="68"/>
      <c r="X892" s="68"/>
      <c r="Y892" s="68"/>
      <c r="Z892" s="68"/>
    </row>
    <row r="893" spans="1:26" ht="17">
      <c r="A893" s="68"/>
      <c r="B893" s="104"/>
      <c r="C893" s="104"/>
      <c r="D893" s="104"/>
      <c r="E893" s="68"/>
      <c r="F893" s="68"/>
      <c r="G893" s="68"/>
      <c r="H893" s="68"/>
      <c r="I893" s="68"/>
      <c r="J893" s="68"/>
      <c r="K893" s="68"/>
      <c r="L893" s="68"/>
      <c r="M893" s="68"/>
      <c r="N893" s="68"/>
      <c r="O893" s="68"/>
      <c r="P893" s="68"/>
      <c r="Q893" s="68"/>
      <c r="R893" s="68"/>
      <c r="S893" s="68"/>
      <c r="T893" s="68"/>
      <c r="U893" s="68"/>
      <c r="V893" s="68"/>
      <c r="W893" s="68"/>
      <c r="X893" s="68"/>
      <c r="Y893" s="68"/>
      <c r="Z893" s="68"/>
    </row>
    <row r="894" spans="1:26" ht="17">
      <c r="A894" s="68"/>
      <c r="B894" s="104"/>
      <c r="C894" s="104"/>
      <c r="D894" s="104"/>
      <c r="E894" s="68"/>
      <c r="F894" s="68"/>
      <c r="G894" s="68"/>
      <c r="H894" s="68"/>
      <c r="I894" s="68"/>
      <c r="J894" s="68"/>
      <c r="K894" s="68"/>
      <c r="L894" s="68"/>
      <c r="M894" s="68"/>
      <c r="N894" s="68"/>
      <c r="O894" s="68"/>
      <c r="P894" s="68"/>
      <c r="Q894" s="68"/>
      <c r="R894" s="68"/>
      <c r="S894" s="68"/>
      <c r="T894" s="68"/>
      <c r="U894" s="68"/>
      <c r="V894" s="68"/>
      <c r="W894" s="68"/>
      <c r="X894" s="68"/>
      <c r="Y894" s="68"/>
      <c r="Z894" s="68"/>
    </row>
    <row r="895" spans="1:26" ht="17">
      <c r="A895" s="68"/>
      <c r="B895" s="104"/>
      <c r="C895" s="104"/>
      <c r="D895" s="104"/>
      <c r="E895" s="68"/>
      <c r="F895" s="68"/>
      <c r="G895" s="68"/>
      <c r="H895" s="68"/>
      <c r="I895" s="68"/>
      <c r="J895" s="68"/>
      <c r="K895" s="68"/>
      <c r="L895" s="68"/>
      <c r="M895" s="68"/>
      <c r="N895" s="68"/>
      <c r="O895" s="68"/>
      <c r="P895" s="68"/>
      <c r="Q895" s="68"/>
      <c r="R895" s="68"/>
      <c r="S895" s="68"/>
      <c r="T895" s="68"/>
      <c r="U895" s="68"/>
      <c r="V895" s="68"/>
      <c r="W895" s="68"/>
      <c r="X895" s="68"/>
      <c r="Y895" s="68"/>
      <c r="Z895" s="68"/>
    </row>
    <row r="896" spans="1:26" ht="17">
      <c r="A896" s="68"/>
      <c r="B896" s="104"/>
      <c r="C896" s="104"/>
      <c r="D896" s="104"/>
      <c r="E896" s="68"/>
      <c r="F896" s="68"/>
      <c r="G896" s="68"/>
      <c r="H896" s="68"/>
      <c r="I896" s="68"/>
      <c r="J896" s="68"/>
      <c r="K896" s="68"/>
      <c r="L896" s="68"/>
      <c r="M896" s="68"/>
      <c r="N896" s="68"/>
      <c r="O896" s="68"/>
      <c r="P896" s="68"/>
      <c r="Q896" s="68"/>
      <c r="R896" s="68"/>
      <c r="S896" s="68"/>
      <c r="T896" s="68"/>
      <c r="U896" s="68"/>
      <c r="V896" s="68"/>
      <c r="W896" s="68"/>
      <c r="X896" s="68"/>
      <c r="Y896" s="68"/>
      <c r="Z896" s="68"/>
    </row>
    <row r="897" spans="1:26" ht="17">
      <c r="A897" s="68"/>
      <c r="B897" s="104"/>
      <c r="C897" s="104"/>
      <c r="D897" s="104"/>
      <c r="E897" s="68"/>
      <c r="F897" s="68"/>
      <c r="G897" s="68"/>
      <c r="H897" s="68"/>
      <c r="I897" s="68"/>
      <c r="J897" s="68"/>
      <c r="K897" s="68"/>
      <c r="L897" s="68"/>
      <c r="M897" s="68"/>
      <c r="N897" s="68"/>
      <c r="O897" s="68"/>
      <c r="P897" s="68"/>
      <c r="Q897" s="68"/>
      <c r="R897" s="68"/>
      <c r="S897" s="68"/>
      <c r="T897" s="68"/>
      <c r="U897" s="68"/>
      <c r="V897" s="68"/>
      <c r="W897" s="68"/>
      <c r="X897" s="68"/>
      <c r="Y897" s="68"/>
      <c r="Z897" s="68"/>
    </row>
    <row r="898" spans="1:26" ht="17">
      <c r="A898" s="68"/>
      <c r="B898" s="104"/>
      <c r="C898" s="104"/>
      <c r="D898" s="104"/>
      <c r="E898" s="68"/>
      <c r="F898" s="68"/>
      <c r="G898" s="68"/>
      <c r="H898" s="68"/>
      <c r="I898" s="68"/>
      <c r="J898" s="68"/>
      <c r="K898" s="68"/>
      <c r="L898" s="68"/>
      <c r="M898" s="68"/>
      <c r="N898" s="68"/>
      <c r="O898" s="68"/>
      <c r="P898" s="68"/>
      <c r="Q898" s="68"/>
      <c r="R898" s="68"/>
      <c r="S898" s="68"/>
      <c r="T898" s="68"/>
      <c r="U898" s="68"/>
      <c r="V898" s="68"/>
      <c r="W898" s="68"/>
      <c r="X898" s="68"/>
      <c r="Y898" s="68"/>
      <c r="Z898" s="68"/>
    </row>
    <row r="899" spans="1:26" ht="17">
      <c r="A899" s="68"/>
      <c r="B899" s="104"/>
      <c r="C899" s="104"/>
      <c r="D899" s="104"/>
      <c r="E899" s="68"/>
      <c r="F899" s="68"/>
      <c r="G899" s="68"/>
      <c r="H899" s="68"/>
      <c r="I899" s="68"/>
      <c r="J899" s="68"/>
      <c r="K899" s="68"/>
      <c r="L899" s="68"/>
      <c r="M899" s="68"/>
      <c r="N899" s="68"/>
      <c r="O899" s="68"/>
      <c r="P899" s="68"/>
      <c r="Q899" s="68"/>
      <c r="R899" s="68"/>
      <c r="S899" s="68"/>
      <c r="T899" s="68"/>
      <c r="U899" s="68"/>
      <c r="V899" s="68"/>
      <c r="W899" s="68"/>
      <c r="X899" s="68"/>
      <c r="Y899" s="68"/>
      <c r="Z899" s="68"/>
    </row>
    <row r="900" spans="1:26" ht="17">
      <c r="A900" s="68"/>
      <c r="B900" s="104"/>
      <c r="C900" s="104"/>
      <c r="D900" s="104"/>
      <c r="E900" s="68"/>
      <c r="F900" s="68"/>
      <c r="G900" s="68"/>
      <c r="H900" s="68"/>
      <c r="I900" s="68"/>
      <c r="J900" s="68"/>
      <c r="K900" s="68"/>
      <c r="L900" s="68"/>
      <c r="M900" s="68"/>
      <c r="N900" s="68"/>
      <c r="O900" s="68"/>
      <c r="P900" s="68"/>
      <c r="Q900" s="68"/>
      <c r="R900" s="68"/>
      <c r="S900" s="68"/>
      <c r="T900" s="68"/>
      <c r="U900" s="68"/>
      <c r="V900" s="68"/>
      <c r="W900" s="68"/>
      <c r="X900" s="68"/>
      <c r="Y900" s="68"/>
      <c r="Z900" s="68"/>
    </row>
    <row r="901" spans="1:26" ht="17">
      <c r="A901" s="68"/>
      <c r="B901" s="104"/>
      <c r="C901" s="104"/>
      <c r="D901" s="104"/>
      <c r="E901" s="68"/>
      <c r="F901" s="68"/>
      <c r="G901" s="68"/>
      <c r="H901" s="68"/>
      <c r="I901" s="68"/>
      <c r="J901" s="68"/>
      <c r="K901" s="68"/>
      <c r="L901" s="68"/>
      <c r="M901" s="68"/>
      <c r="N901" s="68"/>
      <c r="O901" s="68"/>
      <c r="P901" s="68"/>
      <c r="Q901" s="68"/>
      <c r="R901" s="68"/>
      <c r="S901" s="68"/>
      <c r="T901" s="68"/>
      <c r="U901" s="68"/>
      <c r="V901" s="68"/>
      <c r="W901" s="68"/>
      <c r="X901" s="68"/>
      <c r="Y901" s="68"/>
      <c r="Z901" s="68"/>
    </row>
    <row r="902" spans="1:26" ht="17">
      <c r="A902" s="68"/>
      <c r="B902" s="104"/>
      <c r="C902" s="104"/>
      <c r="D902" s="104"/>
      <c r="E902" s="68"/>
      <c r="F902" s="68"/>
      <c r="G902" s="68"/>
      <c r="H902" s="68"/>
      <c r="I902" s="68"/>
      <c r="J902" s="68"/>
      <c r="K902" s="68"/>
      <c r="L902" s="68"/>
      <c r="M902" s="68"/>
      <c r="N902" s="68"/>
      <c r="O902" s="68"/>
      <c r="P902" s="68"/>
      <c r="Q902" s="68"/>
      <c r="R902" s="68"/>
      <c r="S902" s="68"/>
      <c r="T902" s="68"/>
      <c r="U902" s="68"/>
      <c r="V902" s="68"/>
      <c r="W902" s="68"/>
      <c r="X902" s="68"/>
      <c r="Y902" s="68"/>
      <c r="Z902" s="68"/>
    </row>
    <row r="903" spans="1:26" ht="17">
      <c r="A903" s="68"/>
      <c r="B903" s="104"/>
      <c r="C903" s="104"/>
      <c r="D903" s="104"/>
      <c r="E903" s="68"/>
      <c r="F903" s="68"/>
      <c r="G903" s="68"/>
      <c r="H903" s="68"/>
      <c r="I903" s="68"/>
      <c r="J903" s="68"/>
      <c r="K903" s="68"/>
      <c r="L903" s="68"/>
      <c r="M903" s="68"/>
      <c r="N903" s="68"/>
      <c r="O903" s="68"/>
      <c r="P903" s="68"/>
      <c r="Q903" s="68"/>
      <c r="R903" s="68"/>
      <c r="S903" s="68"/>
      <c r="T903" s="68"/>
      <c r="U903" s="68"/>
      <c r="V903" s="68"/>
      <c r="W903" s="68"/>
      <c r="X903" s="68"/>
      <c r="Y903" s="68"/>
      <c r="Z903" s="68"/>
    </row>
    <row r="904" spans="1:26" ht="17">
      <c r="A904" s="68"/>
      <c r="B904" s="104"/>
      <c r="C904" s="104"/>
      <c r="D904" s="104"/>
      <c r="E904" s="68"/>
      <c r="F904" s="68"/>
      <c r="G904" s="68"/>
      <c r="H904" s="68"/>
      <c r="I904" s="68"/>
      <c r="J904" s="68"/>
      <c r="K904" s="68"/>
      <c r="L904" s="68"/>
      <c r="M904" s="68"/>
      <c r="N904" s="68"/>
      <c r="O904" s="68"/>
      <c r="P904" s="68"/>
      <c r="Q904" s="68"/>
      <c r="R904" s="68"/>
      <c r="S904" s="68"/>
      <c r="T904" s="68"/>
      <c r="U904" s="68"/>
      <c r="V904" s="68"/>
      <c r="W904" s="68"/>
      <c r="X904" s="68"/>
      <c r="Y904" s="68"/>
      <c r="Z904" s="68"/>
    </row>
    <row r="905" spans="1:26" ht="17">
      <c r="A905" s="68"/>
      <c r="B905" s="104"/>
      <c r="C905" s="104"/>
      <c r="D905" s="104"/>
      <c r="E905" s="68"/>
      <c r="F905" s="68"/>
      <c r="G905" s="68"/>
      <c r="H905" s="68"/>
      <c r="I905" s="68"/>
      <c r="J905" s="68"/>
      <c r="K905" s="68"/>
      <c r="L905" s="68"/>
      <c r="M905" s="68"/>
      <c r="N905" s="68"/>
      <c r="O905" s="68"/>
      <c r="P905" s="68"/>
      <c r="Q905" s="68"/>
      <c r="R905" s="68"/>
      <c r="S905" s="68"/>
      <c r="T905" s="68"/>
      <c r="U905" s="68"/>
      <c r="V905" s="68"/>
      <c r="W905" s="68"/>
      <c r="X905" s="68"/>
      <c r="Y905" s="68"/>
      <c r="Z905" s="68"/>
    </row>
    <row r="906" spans="1:26" ht="17">
      <c r="A906" s="68"/>
      <c r="B906" s="104"/>
      <c r="C906" s="104"/>
      <c r="D906" s="104"/>
      <c r="E906" s="68"/>
      <c r="F906" s="68"/>
      <c r="G906" s="68"/>
      <c r="H906" s="68"/>
      <c r="I906" s="68"/>
      <c r="J906" s="68"/>
      <c r="K906" s="68"/>
      <c r="L906" s="68"/>
      <c r="M906" s="68"/>
      <c r="N906" s="68"/>
      <c r="O906" s="68"/>
      <c r="P906" s="68"/>
      <c r="Q906" s="68"/>
      <c r="R906" s="68"/>
      <c r="S906" s="68"/>
      <c r="T906" s="68"/>
      <c r="U906" s="68"/>
      <c r="V906" s="68"/>
      <c r="W906" s="68"/>
      <c r="X906" s="68"/>
      <c r="Y906" s="68"/>
      <c r="Z906" s="68"/>
    </row>
    <row r="907" spans="1:26" ht="17">
      <c r="A907" s="68"/>
      <c r="B907" s="104"/>
      <c r="C907" s="104"/>
      <c r="D907" s="104"/>
      <c r="E907" s="68"/>
      <c r="F907" s="68"/>
      <c r="G907" s="68"/>
      <c r="H907" s="68"/>
      <c r="I907" s="68"/>
      <c r="J907" s="68"/>
      <c r="K907" s="68"/>
      <c r="L907" s="68"/>
      <c r="M907" s="68"/>
      <c r="N907" s="68"/>
      <c r="O907" s="68"/>
      <c r="P907" s="68"/>
      <c r="Q907" s="68"/>
      <c r="R907" s="68"/>
      <c r="S907" s="68"/>
      <c r="T907" s="68"/>
      <c r="U907" s="68"/>
      <c r="V907" s="68"/>
      <c r="W907" s="68"/>
      <c r="X907" s="68"/>
      <c r="Y907" s="68"/>
      <c r="Z907" s="68"/>
    </row>
    <row r="908" spans="1:26" ht="17">
      <c r="A908" s="68"/>
      <c r="B908" s="104"/>
      <c r="C908" s="104"/>
      <c r="D908" s="104"/>
      <c r="E908" s="68"/>
      <c r="F908" s="68"/>
      <c r="G908" s="68"/>
      <c r="H908" s="68"/>
      <c r="I908" s="68"/>
      <c r="J908" s="68"/>
      <c r="K908" s="68"/>
      <c r="L908" s="68"/>
      <c r="M908" s="68"/>
      <c r="N908" s="68"/>
      <c r="O908" s="68"/>
      <c r="P908" s="68"/>
      <c r="Q908" s="68"/>
      <c r="R908" s="68"/>
      <c r="S908" s="68"/>
      <c r="T908" s="68"/>
      <c r="U908" s="68"/>
      <c r="V908" s="68"/>
      <c r="W908" s="68"/>
      <c r="X908" s="68"/>
      <c r="Y908" s="68"/>
      <c r="Z908" s="68"/>
    </row>
    <row r="909" spans="1:26" ht="17">
      <c r="A909" s="68"/>
      <c r="B909" s="104"/>
      <c r="C909" s="104"/>
      <c r="D909" s="104"/>
      <c r="E909" s="68"/>
      <c r="F909" s="68"/>
      <c r="G909" s="68"/>
      <c r="H909" s="68"/>
      <c r="I909" s="68"/>
      <c r="J909" s="68"/>
      <c r="K909" s="68"/>
      <c r="L909" s="68"/>
      <c r="M909" s="68"/>
      <c r="N909" s="68"/>
      <c r="O909" s="68"/>
      <c r="P909" s="68"/>
      <c r="Q909" s="68"/>
      <c r="R909" s="68"/>
      <c r="S909" s="68"/>
      <c r="T909" s="68"/>
      <c r="U909" s="68"/>
      <c r="V909" s="68"/>
      <c r="W909" s="68"/>
      <c r="X909" s="68"/>
      <c r="Y909" s="68"/>
      <c r="Z909" s="68"/>
    </row>
    <row r="910" spans="1:26" ht="17">
      <c r="A910" s="68"/>
      <c r="B910" s="104"/>
      <c r="C910" s="104"/>
      <c r="D910" s="104"/>
      <c r="E910" s="68"/>
      <c r="F910" s="68"/>
      <c r="G910" s="68"/>
      <c r="H910" s="68"/>
      <c r="I910" s="68"/>
      <c r="J910" s="68"/>
      <c r="K910" s="68"/>
      <c r="L910" s="68"/>
      <c r="M910" s="68"/>
      <c r="N910" s="68"/>
      <c r="O910" s="68"/>
      <c r="P910" s="68"/>
      <c r="Q910" s="68"/>
      <c r="R910" s="68"/>
      <c r="S910" s="68"/>
      <c r="T910" s="68"/>
      <c r="U910" s="68"/>
      <c r="V910" s="68"/>
      <c r="W910" s="68"/>
      <c r="X910" s="68"/>
      <c r="Y910" s="68"/>
      <c r="Z910" s="68"/>
    </row>
    <row r="911" spans="1:26" ht="17">
      <c r="A911" s="68"/>
      <c r="B911" s="104"/>
      <c r="C911" s="104"/>
      <c r="D911" s="104"/>
      <c r="E911" s="68"/>
      <c r="F911" s="68"/>
      <c r="G911" s="68"/>
      <c r="H911" s="68"/>
      <c r="I911" s="68"/>
      <c r="J911" s="68"/>
      <c r="K911" s="68"/>
      <c r="L911" s="68"/>
      <c r="M911" s="68"/>
      <c r="N911" s="68"/>
      <c r="O911" s="68"/>
      <c r="P911" s="68"/>
      <c r="Q911" s="68"/>
      <c r="R911" s="68"/>
      <c r="S911" s="68"/>
      <c r="T911" s="68"/>
      <c r="U911" s="68"/>
      <c r="V911" s="68"/>
      <c r="W911" s="68"/>
      <c r="X911" s="68"/>
      <c r="Y911" s="68"/>
      <c r="Z911" s="68"/>
    </row>
    <row r="912" spans="1:26" ht="17">
      <c r="A912" s="68"/>
      <c r="B912" s="104"/>
      <c r="C912" s="104"/>
      <c r="D912" s="104"/>
      <c r="E912" s="68"/>
      <c r="F912" s="68"/>
      <c r="G912" s="68"/>
      <c r="H912" s="68"/>
      <c r="I912" s="68"/>
      <c r="J912" s="68"/>
      <c r="K912" s="68"/>
      <c r="L912" s="68"/>
      <c r="M912" s="68"/>
      <c r="N912" s="68"/>
      <c r="O912" s="68"/>
      <c r="P912" s="68"/>
      <c r="Q912" s="68"/>
      <c r="R912" s="68"/>
      <c r="S912" s="68"/>
      <c r="T912" s="68"/>
      <c r="U912" s="68"/>
      <c r="V912" s="68"/>
      <c r="W912" s="68"/>
      <c r="X912" s="68"/>
      <c r="Y912" s="68"/>
      <c r="Z912" s="68"/>
    </row>
    <row r="913" spans="1:26" ht="17">
      <c r="A913" s="68"/>
      <c r="B913" s="104"/>
      <c r="C913" s="104"/>
      <c r="D913" s="104"/>
      <c r="E913" s="68"/>
      <c r="F913" s="68"/>
      <c r="G913" s="68"/>
      <c r="H913" s="68"/>
      <c r="I913" s="68"/>
      <c r="J913" s="68"/>
      <c r="K913" s="68"/>
      <c r="L913" s="68"/>
      <c r="M913" s="68"/>
      <c r="N913" s="68"/>
      <c r="O913" s="68"/>
      <c r="P913" s="68"/>
      <c r="Q913" s="68"/>
      <c r="R913" s="68"/>
      <c r="S913" s="68"/>
      <c r="T913" s="68"/>
      <c r="U913" s="68"/>
      <c r="V913" s="68"/>
      <c r="W913" s="68"/>
      <c r="X913" s="68"/>
      <c r="Y913" s="68"/>
      <c r="Z913" s="68"/>
    </row>
    <row r="914" spans="1:26" ht="17">
      <c r="A914" s="68"/>
      <c r="B914" s="104"/>
      <c r="C914" s="104"/>
      <c r="D914" s="104"/>
      <c r="E914" s="68"/>
      <c r="F914" s="68"/>
      <c r="G914" s="68"/>
      <c r="H914" s="68"/>
      <c r="I914" s="68"/>
      <c r="J914" s="68"/>
      <c r="K914" s="68"/>
      <c r="L914" s="68"/>
      <c r="M914" s="68"/>
      <c r="N914" s="68"/>
      <c r="O914" s="68"/>
      <c r="P914" s="68"/>
      <c r="Q914" s="68"/>
      <c r="R914" s="68"/>
      <c r="S914" s="68"/>
      <c r="T914" s="68"/>
      <c r="U914" s="68"/>
      <c r="V914" s="68"/>
      <c r="W914" s="68"/>
      <c r="X914" s="68"/>
      <c r="Y914" s="68"/>
      <c r="Z914" s="68"/>
    </row>
    <row r="915" spans="1:26" ht="17">
      <c r="A915" s="68"/>
      <c r="B915" s="104"/>
      <c r="C915" s="104"/>
      <c r="D915" s="104"/>
      <c r="E915" s="68"/>
      <c r="F915" s="68"/>
      <c r="G915" s="68"/>
      <c r="H915" s="68"/>
      <c r="I915" s="68"/>
      <c r="J915" s="68"/>
      <c r="K915" s="68"/>
      <c r="L915" s="68"/>
      <c r="M915" s="68"/>
      <c r="N915" s="68"/>
      <c r="O915" s="68"/>
      <c r="P915" s="68"/>
      <c r="Q915" s="68"/>
      <c r="R915" s="68"/>
      <c r="S915" s="68"/>
      <c r="T915" s="68"/>
      <c r="U915" s="68"/>
      <c r="V915" s="68"/>
      <c r="W915" s="68"/>
      <c r="X915" s="68"/>
      <c r="Y915" s="68"/>
      <c r="Z915" s="68"/>
    </row>
    <row r="916" spans="1:26" ht="17">
      <c r="A916" s="68"/>
      <c r="B916" s="104"/>
      <c r="C916" s="104"/>
      <c r="D916" s="104"/>
      <c r="E916" s="68"/>
      <c r="F916" s="68"/>
      <c r="G916" s="68"/>
      <c r="H916" s="68"/>
      <c r="I916" s="68"/>
      <c r="J916" s="68"/>
      <c r="K916" s="68"/>
      <c r="L916" s="68"/>
      <c r="M916" s="68"/>
      <c r="N916" s="68"/>
      <c r="O916" s="68"/>
      <c r="P916" s="68"/>
      <c r="Q916" s="68"/>
      <c r="R916" s="68"/>
      <c r="S916" s="68"/>
      <c r="T916" s="68"/>
      <c r="U916" s="68"/>
      <c r="V916" s="68"/>
      <c r="W916" s="68"/>
      <c r="X916" s="68"/>
      <c r="Y916" s="68"/>
      <c r="Z916" s="68"/>
    </row>
    <row r="917" spans="1:26" ht="17">
      <c r="A917" s="68"/>
      <c r="B917" s="104"/>
      <c r="C917" s="104"/>
      <c r="D917" s="104"/>
      <c r="E917" s="68"/>
      <c r="F917" s="68"/>
      <c r="G917" s="68"/>
      <c r="H917" s="68"/>
      <c r="I917" s="68"/>
      <c r="J917" s="68"/>
      <c r="K917" s="68"/>
      <c r="L917" s="68"/>
      <c r="M917" s="68"/>
      <c r="N917" s="68"/>
      <c r="O917" s="68"/>
      <c r="P917" s="68"/>
      <c r="Q917" s="68"/>
      <c r="R917" s="68"/>
      <c r="S917" s="68"/>
      <c r="T917" s="68"/>
      <c r="U917" s="68"/>
      <c r="V917" s="68"/>
      <c r="W917" s="68"/>
      <c r="X917" s="68"/>
      <c r="Y917" s="68"/>
      <c r="Z917" s="68"/>
    </row>
    <row r="918" spans="1:26" ht="17">
      <c r="A918" s="68"/>
      <c r="B918" s="104"/>
      <c r="C918" s="104"/>
      <c r="D918" s="104"/>
      <c r="E918" s="68"/>
      <c r="F918" s="68"/>
      <c r="G918" s="68"/>
      <c r="H918" s="68"/>
      <c r="I918" s="68"/>
      <c r="J918" s="68"/>
      <c r="K918" s="68"/>
      <c r="L918" s="68"/>
      <c r="M918" s="68"/>
      <c r="N918" s="68"/>
      <c r="O918" s="68"/>
      <c r="P918" s="68"/>
      <c r="Q918" s="68"/>
      <c r="R918" s="68"/>
      <c r="S918" s="68"/>
      <c r="T918" s="68"/>
      <c r="U918" s="68"/>
      <c r="V918" s="68"/>
      <c r="W918" s="68"/>
      <c r="X918" s="68"/>
      <c r="Y918" s="68"/>
      <c r="Z918" s="68"/>
    </row>
    <row r="919" spans="1:26" ht="17">
      <c r="A919" s="68"/>
      <c r="B919" s="104"/>
      <c r="C919" s="104"/>
      <c r="D919" s="104"/>
      <c r="E919" s="68"/>
      <c r="F919" s="68"/>
      <c r="G919" s="68"/>
      <c r="H919" s="68"/>
      <c r="I919" s="68"/>
      <c r="J919" s="68"/>
      <c r="K919" s="68"/>
      <c r="L919" s="68"/>
      <c r="M919" s="68"/>
      <c r="N919" s="68"/>
      <c r="O919" s="68"/>
      <c r="P919" s="68"/>
      <c r="Q919" s="68"/>
      <c r="R919" s="68"/>
      <c r="S919" s="68"/>
      <c r="T919" s="68"/>
      <c r="U919" s="68"/>
      <c r="V919" s="68"/>
      <c r="W919" s="68"/>
      <c r="X919" s="68"/>
      <c r="Y919" s="68"/>
      <c r="Z919" s="68"/>
    </row>
    <row r="920" spans="1:26" ht="17">
      <c r="A920" s="68"/>
      <c r="B920" s="104"/>
      <c r="C920" s="104"/>
      <c r="D920" s="104"/>
      <c r="E920" s="68"/>
      <c r="F920" s="68"/>
      <c r="G920" s="68"/>
      <c r="H920" s="68"/>
      <c r="I920" s="68"/>
      <c r="J920" s="68"/>
      <c r="K920" s="68"/>
      <c r="L920" s="68"/>
      <c r="M920" s="68"/>
      <c r="N920" s="68"/>
      <c r="O920" s="68"/>
      <c r="P920" s="68"/>
      <c r="Q920" s="68"/>
      <c r="R920" s="68"/>
      <c r="S920" s="68"/>
      <c r="T920" s="68"/>
      <c r="U920" s="68"/>
      <c r="V920" s="68"/>
      <c r="W920" s="68"/>
      <c r="X920" s="68"/>
      <c r="Y920" s="68"/>
      <c r="Z920" s="68"/>
    </row>
    <row r="921" spans="1:26" ht="17">
      <c r="A921" s="68"/>
      <c r="B921" s="104"/>
      <c r="C921" s="104"/>
      <c r="D921" s="104"/>
      <c r="E921" s="68"/>
      <c r="F921" s="68"/>
      <c r="G921" s="68"/>
      <c r="H921" s="68"/>
      <c r="I921" s="68"/>
      <c r="J921" s="68"/>
      <c r="K921" s="68"/>
      <c r="L921" s="68"/>
      <c r="M921" s="68"/>
      <c r="N921" s="68"/>
      <c r="O921" s="68"/>
      <c r="P921" s="68"/>
      <c r="Q921" s="68"/>
      <c r="R921" s="68"/>
      <c r="S921" s="68"/>
      <c r="T921" s="68"/>
      <c r="U921" s="68"/>
      <c r="V921" s="68"/>
      <c r="W921" s="68"/>
      <c r="X921" s="68"/>
      <c r="Y921" s="68"/>
      <c r="Z921" s="68"/>
    </row>
    <row r="922" spans="1:26" ht="17">
      <c r="A922" s="68"/>
      <c r="B922" s="104"/>
      <c r="C922" s="104"/>
      <c r="D922" s="104"/>
      <c r="E922" s="68"/>
      <c r="F922" s="68"/>
      <c r="G922" s="68"/>
      <c r="H922" s="68"/>
      <c r="I922" s="68"/>
      <c r="J922" s="68"/>
      <c r="K922" s="68"/>
      <c r="L922" s="68"/>
      <c r="M922" s="68"/>
      <c r="N922" s="68"/>
      <c r="O922" s="68"/>
      <c r="P922" s="68"/>
      <c r="Q922" s="68"/>
      <c r="R922" s="68"/>
      <c r="S922" s="68"/>
      <c r="T922" s="68"/>
      <c r="U922" s="68"/>
      <c r="V922" s="68"/>
      <c r="W922" s="68"/>
      <c r="X922" s="68"/>
      <c r="Y922" s="68"/>
      <c r="Z922" s="68"/>
    </row>
    <row r="923" spans="1:26" ht="17">
      <c r="A923" s="68"/>
      <c r="B923" s="104"/>
      <c r="C923" s="104"/>
      <c r="D923" s="104"/>
      <c r="E923" s="68"/>
      <c r="F923" s="68"/>
      <c r="G923" s="68"/>
      <c r="H923" s="68"/>
      <c r="I923" s="68"/>
      <c r="J923" s="68"/>
      <c r="K923" s="68"/>
      <c r="L923" s="68"/>
      <c r="M923" s="68"/>
      <c r="N923" s="68"/>
      <c r="O923" s="68"/>
      <c r="P923" s="68"/>
      <c r="Q923" s="68"/>
      <c r="R923" s="68"/>
      <c r="S923" s="68"/>
      <c r="T923" s="68"/>
      <c r="U923" s="68"/>
      <c r="V923" s="68"/>
      <c r="W923" s="68"/>
      <c r="X923" s="68"/>
      <c r="Y923" s="68"/>
      <c r="Z923" s="68"/>
    </row>
    <row r="924" spans="1:26" ht="17">
      <c r="A924" s="68"/>
      <c r="B924" s="104"/>
      <c r="C924" s="104"/>
      <c r="D924" s="104"/>
      <c r="E924" s="68"/>
      <c r="F924" s="68"/>
      <c r="G924" s="68"/>
      <c r="H924" s="68"/>
      <c r="I924" s="68"/>
      <c r="J924" s="68"/>
      <c r="K924" s="68"/>
      <c r="L924" s="68"/>
      <c r="M924" s="68"/>
      <c r="N924" s="68"/>
      <c r="O924" s="68"/>
      <c r="P924" s="68"/>
      <c r="Q924" s="68"/>
      <c r="R924" s="68"/>
      <c r="S924" s="68"/>
      <c r="T924" s="68"/>
      <c r="U924" s="68"/>
      <c r="V924" s="68"/>
      <c r="W924" s="68"/>
      <c r="X924" s="68"/>
      <c r="Y924" s="68"/>
      <c r="Z924" s="68"/>
    </row>
    <row r="925" spans="1:26" ht="17">
      <c r="A925" s="68"/>
      <c r="B925" s="104"/>
      <c r="C925" s="104"/>
      <c r="D925" s="104"/>
      <c r="E925" s="68"/>
      <c r="F925" s="68"/>
      <c r="G925" s="68"/>
      <c r="H925" s="68"/>
      <c r="I925" s="68"/>
      <c r="J925" s="68"/>
      <c r="K925" s="68"/>
      <c r="L925" s="68"/>
      <c r="M925" s="68"/>
      <c r="N925" s="68"/>
      <c r="O925" s="68"/>
      <c r="P925" s="68"/>
      <c r="Q925" s="68"/>
      <c r="R925" s="68"/>
      <c r="S925" s="68"/>
      <c r="T925" s="68"/>
      <c r="U925" s="68"/>
      <c r="V925" s="68"/>
      <c r="W925" s="68"/>
      <c r="X925" s="68"/>
      <c r="Y925" s="68"/>
      <c r="Z925" s="68"/>
    </row>
    <row r="926" spans="1:26" ht="17">
      <c r="A926" s="68"/>
      <c r="B926" s="104"/>
      <c r="C926" s="104"/>
      <c r="D926" s="104"/>
      <c r="E926" s="68"/>
      <c r="F926" s="68"/>
      <c r="G926" s="68"/>
      <c r="H926" s="68"/>
      <c r="I926" s="68"/>
      <c r="J926" s="68"/>
      <c r="K926" s="68"/>
      <c r="L926" s="68"/>
      <c r="M926" s="68"/>
      <c r="N926" s="68"/>
      <c r="O926" s="68"/>
      <c r="P926" s="68"/>
      <c r="Q926" s="68"/>
      <c r="R926" s="68"/>
      <c r="S926" s="68"/>
      <c r="T926" s="68"/>
      <c r="U926" s="68"/>
      <c r="V926" s="68"/>
      <c r="W926" s="68"/>
      <c r="X926" s="68"/>
      <c r="Y926" s="68"/>
      <c r="Z926" s="68"/>
    </row>
    <row r="927" spans="1:26" ht="17">
      <c r="A927" s="68"/>
      <c r="B927" s="104"/>
      <c r="C927" s="104"/>
      <c r="D927" s="104"/>
      <c r="E927" s="68"/>
      <c r="F927" s="68"/>
      <c r="G927" s="68"/>
      <c r="H927" s="68"/>
      <c r="I927" s="68"/>
      <c r="J927" s="68"/>
      <c r="K927" s="68"/>
      <c r="L927" s="68"/>
      <c r="M927" s="68"/>
      <c r="N927" s="68"/>
      <c r="O927" s="68"/>
      <c r="P927" s="68"/>
      <c r="Q927" s="68"/>
      <c r="R927" s="68"/>
      <c r="S927" s="68"/>
      <c r="T927" s="68"/>
      <c r="U927" s="68"/>
      <c r="V927" s="68"/>
      <c r="W927" s="68"/>
      <c r="X927" s="68"/>
      <c r="Y927" s="68"/>
      <c r="Z927" s="68"/>
    </row>
    <row r="928" spans="1:26" ht="17">
      <c r="A928" s="68"/>
      <c r="B928" s="104"/>
      <c r="C928" s="104"/>
      <c r="D928" s="104"/>
      <c r="E928" s="68"/>
      <c r="F928" s="68"/>
      <c r="G928" s="68"/>
      <c r="H928" s="68"/>
      <c r="I928" s="68"/>
      <c r="J928" s="68"/>
      <c r="K928" s="68"/>
      <c r="L928" s="68"/>
      <c r="M928" s="68"/>
      <c r="N928" s="68"/>
      <c r="O928" s="68"/>
      <c r="P928" s="68"/>
      <c r="Q928" s="68"/>
      <c r="R928" s="68"/>
      <c r="S928" s="68"/>
      <c r="T928" s="68"/>
      <c r="U928" s="68"/>
      <c r="V928" s="68"/>
      <c r="W928" s="68"/>
      <c r="X928" s="68"/>
      <c r="Y928" s="68"/>
      <c r="Z928" s="68"/>
    </row>
    <row r="929" spans="1:26" ht="17">
      <c r="A929" s="68"/>
      <c r="B929" s="104"/>
      <c r="C929" s="104"/>
      <c r="D929" s="104"/>
      <c r="E929" s="68"/>
      <c r="F929" s="68"/>
      <c r="G929" s="68"/>
      <c r="H929" s="68"/>
      <c r="I929" s="68"/>
      <c r="J929" s="68"/>
      <c r="K929" s="68"/>
      <c r="L929" s="68"/>
      <c r="M929" s="68"/>
      <c r="N929" s="68"/>
      <c r="O929" s="68"/>
      <c r="P929" s="68"/>
      <c r="Q929" s="68"/>
      <c r="R929" s="68"/>
      <c r="S929" s="68"/>
      <c r="T929" s="68"/>
      <c r="U929" s="68"/>
      <c r="V929" s="68"/>
      <c r="W929" s="68"/>
      <c r="X929" s="68"/>
      <c r="Y929" s="68"/>
      <c r="Z929" s="68"/>
    </row>
    <row r="930" spans="1:26" ht="17">
      <c r="A930" s="68"/>
      <c r="B930" s="104"/>
      <c r="C930" s="104"/>
      <c r="D930" s="104"/>
      <c r="E930" s="68"/>
      <c r="F930" s="68"/>
      <c r="G930" s="68"/>
      <c r="H930" s="68"/>
      <c r="I930" s="68"/>
      <c r="J930" s="68"/>
      <c r="K930" s="68"/>
      <c r="L930" s="68"/>
      <c r="M930" s="68"/>
      <c r="N930" s="68"/>
      <c r="O930" s="68"/>
      <c r="P930" s="68"/>
      <c r="Q930" s="68"/>
      <c r="R930" s="68"/>
      <c r="S930" s="68"/>
      <c r="T930" s="68"/>
      <c r="U930" s="68"/>
      <c r="V930" s="68"/>
      <c r="W930" s="68"/>
      <c r="X930" s="68"/>
      <c r="Y930" s="68"/>
      <c r="Z930" s="68"/>
    </row>
    <row r="931" spans="1:26" ht="17">
      <c r="A931" s="68"/>
      <c r="B931" s="104"/>
      <c r="C931" s="104"/>
      <c r="D931" s="104"/>
      <c r="E931" s="68"/>
      <c r="F931" s="68"/>
      <c r="G931" s="68"/>
      <c r="H931" s="68"/>
      <c r="I931" s="68"/>
      <c r="J931" s="68"/>
      <c r="K931" s="68"/>
      <c r="L931" s="68"/>
      <c r="M931" s="68"/>
      <c r="N931" s="68"/>
      <c r="O931" s="68"/>
      <c r="P931" s="68"/>
      <c r="Q931" s="68"/>
      <c r="R931" s="68"/>
      <c r="S931" s="68"/>
      <c r="T931" s="68"/>
      <c r="U931" s="68"/>
      <c r="V931" s="68"/>
      <c r="W931" s="68"/>
      <c r="X931" s="68"/>
      <c r="Y931" s="68"/>
      <c r="Z931" s="68"/>
    </row>
    <row r="932" spans="1:26" ht="17">
      <c r="A932" s="68"/>
      <c r="B932" s="104"/>
      <c r="C932" s="104"/>
      <c r="D932" s="104"/>
      <c r="E932" s="68"/>
      <c r="F932" s="68"/>
      <c r="G932" s="68"/>
      <c r="H932" s="68"/>
      <c r="I932" s="68"/>
      <c r="J932" s="68"/>
      <c r="K932" s="68"/>
      <c r="L932" s="68"/>
      <c r="M932" s="68"/>
      <c r="N932" s="68"/>
      <c r="O932" s="68"/>
      <c r="P932" s="68"/>
      <c r="Q932" s="68"/>
      <c r="R932" s="68"/>
      <c r="S932" s="68"/>
      <c r="T932" s="68"/>
      <c r="U932" s="68"/>
      <c r="V932" s="68"/>
      <c r="W932" s="68"/>
      <c r="X932" s="68"/>
      <c r="Y932" s="68"/>
      <c r="Z932" s="68"/>
    </row>
    <row r="933" spans="1:26" ht="17">
      <c r="A933" s="68"/>
      <c r="B933" s="104"/>
      <c r="C933" s="104"/>
      <c r="D933" s="104"/>
      <c r="E933" s="68"/>
      <c r="F933" s="68"/>
      <c r="G933" s="68"/>
      <c r="H933" s="68"/>
      <c r="I933" s="68"/>
      <c r="J933" s="68"/>
      <c r="K933" s="68"/>
      <c r="L933" s="68"/>
      <c r="M933" s="68"/>
      <c r="N933" s="68"/>
      <c r="O933" s="68"/>
      <c r="P933" s="68"/>
      <c r="Q933" s="68"/>
      <c r="R933" s="68"/>
      <c r="S933" s="68"/>
      <c r="T933" s="68"/>
      <c r="U933" s="68"/>
      <c r="V933" s="68"/>
      <c r="W933" s="68"/>
      <c r="X933" s="68"/>
      <c r="Y933" s="68"/>
      <c r="Z933" s="68"/>
    </row>
    <row r="934" spans="1:26" ht="17">
      <c r="A934" s="68"/>
      <c r="B934" s="104"/>
      <c r="C934" s="104"/>
      <c r="D934" s="104"/>
      <c r="E934" s="68"/>
      <c r="F934" s="68"/>
      <c r="G934" s="68"/>
      <c r="H934" s="68"/>
      <c r="I934" s="68"/>
      <c r="J934" s="68"/>
      <c r="K934" s="68"/>
      <c r="L934" s="68"/>
      <c r="M934" s="68"/>
      <c r="N934" s="68"/>
      <c r="O934" s="68"/>
      <c r="P934" s="68"/>
      <c r="Q934" s="68"/>
      <c r="R934" s="68"/>
      <c r="S934" s="68"/>
      <c r="T934" s="68"/>
      <c r="U934" s="68"/>
      <c r="V934" s="68"/>
      <c r="W934" s="68"/>
      <c r="X934" s="68"/>
      <c r="Y934" s="68"/>
      <c r="Z934" s="68"/>
    </row>
    <row r="935" spans="1:26" ht="17">
      <c r="A935" s="68"/>
      <c r="B935" s="104"/>
      <c r="C935" s="104"/>
      <c r="D935" s="104"/>
      <c r="E935" s="68"/>
      <c r="F935" s="68"/>
      <c r="G935" s="68"/>
      <c r="H935" s="68"/>
      <c r="I935" s="68"/>
      <c r="J935" s="68"/>
      <c r="K935" s="68"/>
      <c r="L935" s="68"/>
      <c r="M935" s="68"/>
      <c r="N935" s="68"/>
      <c r="O935" s="68"/>
      <c r="P935" s="68"/>
      <c r="Q935" s="68"/>
      <c r="R935" s="68"/>
      <c r="S935" s="68"/>
      <c r="T935" s="68"/>
      <c r="U935" s="68"/>
      <c r="V935" s="68"/>
      <c r="W935" s="68"/>
      <c r="X935" s="68"/>
      <c r="Y935" s="68"/>
      <c r="Z935" s="68"/>
    </row>
    <row r="936" spans="1:26" ht="17">
      <c r="A936" s="68"/>
      <c r="B936" s="104"/>
      <c r="C936" s="104"/>
      <c r="D936" s="104"/>
      <c r="E936" s="68"/>
      <c r="F936" s="68"/>
      <c r="G936" s="68"/>
      <c r="H936" s="68"/>
      <c r="I936" s="68"/>
      <c r="J936" s="68"/>
      <c r="K936" s="68"/>
      <c r="L936" s="68"/>
      <c r="M936" s="68"/>
      <c r="N936" s="68"/>
      <c r="O936" s="68"/>
      <c r="P936" s="68"/>
      <c r="Q936" s="68"/>
      <c r="R936" s="68"/>
      <c r="S936" s="68"/>
      <c r="T936" s="68"/>
      <c r="U936" s="68"/>
      <c r="V936" s="68"/>
      <c r="W936" s="68"/>
      <c r="X936" s="68"/>
      <c r="Y936" s="68"/>
      <c r="Z936" s="68"/>
    </row>
    <row r="937" spans="1:26" ht="17">
      <c r="A937" s="68"/>
      <c r="B937" s="104"/>
      <c r="C937" s="104"/>
      <c r="D937" s="104"/>
      <c r="E937" s="68"/>
      <c r="F937" s="68"/>
      <c r="G937" s="68"/>
      <c r="H937" s="68"/>
      <c r="I937" s="68"/>
      <c r="J937" s="68"/>
      <c r="K937" s="68"/>
      <c r="L937" s="68"/>
      <c r="M937" s="68"/>
      <c r="N937" s="68"/>
      <c r="O937" s="68"/>
      <c r="P937" s="68"/>
      <c r="Q937" s="68"/>
      <c r="R937" s="68"/>
      <c r="S937" s="68"/>
      <c r="T937" s="68"/>
      <c r="U937" s="68"/>
      <c r="V937" s="68"/>
      <c r="W937" s="68"/>
      <c r="X937" s="68"/>
      <c r="Y937" s="68"/>
      <c r="Z937" s="68"/>
    </row>
    <row r="938" spans="1:26" ht="17">
      <c r="A938" s="68"/>
      <c r="B938" s="104"/>
      <c r="C938" s="104"/>
      <c r="D938" s="104"/>
      <c r="E938" s="68"/>
      <c r="F938" s="68"/>
      <c r="G938" s="68"/>
      <c r="H938" s="68"/>
      <c r="I938" s="68"/>
      <c r="J938" s="68"/>
      <c r="K938" s="68"/>
      <c r="L938" s="68"/>
      <c r="M938" s="68"/>
      <c r="N938" s="68"/>
      <c r="O938" s="68"/>
      <c r="P938" s="68"/>
      <c r="Q938" s="68"/>
      <c r="R938" s="68"/>
      <c r="S938" s="68"/>
      <c r="T938" s="68"/>
      <c r="U938" s="68"/>
      <c r="V938" s="68"/>
      <c r="W938" s="68"/>
      <c r="X938" s="68"/>
      <c r="Y938" s="68"/>
      <c r="Z938" s="68"/>
    </row>
    <row r="939" spans="1:26" ht="17">
      <c r="A939" s="68"/>
      <c r="B939" s="104"/>
      <c r="C939" s="104"/>
      <c r="D939" s="104"/>
      <c r="E939" s="68"/>
      <c r="F939" s="68"/>
      <c r="G939" s="68"/>
      <c r="H939" s="68"/>
      <c r="I939" s="68"/>
      <c r="J939" s="68"/>
      <c r="K939" s="68"/>
      <c r="L939" s="68"/>
      <c r="M939" s="68"/>
      <c r="N939" s="68"/>
      <c r="O939" s="68"/>
      <c r="P939" s="68"/>
      <c r="Q939" s="68"/>
      <c r="R939" s="68"/>
      <c r="S939" s="68"/>
      <c r="T939" s="68"/>
      <c r="U939" s="68"/>
      <c r="V939" s="68"/>
      <c r="W939" s="68"/>
      <c r="X939" s="68"/>
      <c r="Y939" s="68"/>
      <c r="Z939" s="68"/>
    </row>
    <row r="940" spans="1:26" ht="17">
      <c r="A940" s="68"/>
      <c r="B940" s="104"/>
      <c r="C940" s="104"/>
      <c r="D940" s="104"/>
      <c r="E940" s="68"/>
      <c r="F940" s="68"/>
      <c r="G940" s="68"/>
      <c r="H940" s="68"/>
      <c r="I940" s="68"/>
      <c r="J940" s="68"/>
      <c r="K940" s="68"/>
      <c r="L940" s="68"/>
      <c r="M940" s="68"/>
      <c r="N940" s="68"/>
      <c r="O940" s="68"/>
      <c r="P940" s="68"/>
      <c r="Q940" s="68"/>
      <c r="R940" s="68"/>
      <c r="S940" s="68"/>
      <c r="T940" s="68"/>
      <c r="U940" s="68"/>
      <c r="V940" s="68"/>
      <c r="W940" s="68"/>
      <c r="X940" s="68"/>
      <c r="Y940" s="68"/>
      <c r="Z940" s="68"/>
    </row>
    <row r="941" spans="1:26" ht="17">
      <c r="A941" s="68"/>
      <c r="B941" s="104"/>
      <c r="C941" s="104"/>
      <c r="D941" s="104"/>
      <c r="E941" s="68"/>
      <c r="F941" s="68"/>
      <c r="G941" s="68"/>
      <c r="H941" s="68"/>
      <c r="I941" s="68"/>
      <c r="J941" s="68"/>
      <c r="K941" s="68"/>
      <c r="L941" s="68"/>
      <c r="M941" s="68"/>
      <c r="N941" s="68"/>
      <c r="O941" s="68"/>
      <c r="P941" s="68"/>
      <c r="Q941" s="68"/>
      <c r="R941" s="68"/>
      <c r="S941" s="68"/>
      <c r="T941" s="68"/>
      <c r="U941" s="68"/>
      <c r="V941" s="68"/>
      <c r="W941" s="68"/>
      <c r="X941" s="68"/>
      <c r="Y941" s="68"/>
      <c r="Z941" s="68"/>
    </row>
    <row r="942" spans="1:26" ht="17">
      <c r="A942" s="68"/>
      <c r="B942" s="104"/>
      <c r="C942" s="104"/>
      <c r="D942" s="104"/>
      <c r="E942" s="68"/>
      <c r="F942" s="68"/>
      <c r="G942" s="68"/>
      <c r="H942" s="68"/>
      <c r="I942" s="68"/>
      <c r="J942" s="68"/>
      <c r="K942" s="68"/>
      <c r="L942" s="68"/>
      <c r="M942" s="68"/>
      <c r="N942" s="68"/>
      <c r="O942" s="68"/>
      <c r="P942" s="68"/>
      <c r="Q942" s="68"/>
      <c r="R942" s="68"/>
      <c r="S942" s="68"/>
      <c r="T942" s="68"/>
      <c r="U942" s="68"/>
      <c r="V942" s="68"/>
      <c r="W942" s="68"/>
      <c r="X942" s="68"/>
      <c r="Y942" s="68"/>
      <c r="Z942" s="68"/>
    </row>
    <row r="943" spans="1:26" ht="17">
      <c r="A943" s="68"/>
      <c r="B943" s="104"/>
      <c r="C943" s="104"/>
      <c r="D943" s="104"/>
      <c r="E943" s="68"/>
      <c r="F943" s="68"/>
      <c r="G943" s="68"/>
      <c r="H943" s="68"/>
      <c r="I943" s="68"/>
      <c r="J943" s="68"/>
      <c r="K943" s="68"/>
      <c r="L943" s="68"/>
      <c r="M943" s="68"/>
      <c r="N943" s="68"/>
      <c r="O943" s="68"/>
      <c r="P943" s="68"/>
      <c r="Q943" s="68"/>
      <c r="R943" s="68"/>
      <c r="S943" s="68"/>
      <c r="T943" s="68"/>
      <c r="U943" s="68"/>
      <c r="V943" s="68"/>
      <c r="W943" s="68"/>
      <c r="X943" s="68"/>
      <c r="Y943" s="68"/>
      <c r="Z943" s="68"/>
    </row>
    <row r="944" spans="1:26" ht="17">
      <c r="A944" s="68"/>
      <c r="B944" s="104"/>
      <c r="C944" s="104"/>
      <c r="D944" s="104"/>
      <c r="E944" s="68"/>
      <c r="F944" s="68"/>
      <c r="G944" s="68"/>
      <c r="H944" s="68"/>
      <c r="I944" s="68"/>
      <c r="J944" s="68"/>
      <c r="K944" s="68"/>
      <c r="L944" s="68"/>
      <c r="M944" s="68"/>
      <c r="N944" s="68"/>
      <c r="O944" s="68"/>
      <c r="P944" s="68"/>
      <c r="Q944" s="68"/>
      <c r="R944" s="68"/>
      <c r="S944" s="68"/>
      <c r="T944" s="68"/>
      <c r="U944" s="68"/>
      <c r="V944" s="68"/>
      <c r="W944" s="68"/>
      <c r="X944" s="68"/>
      <c r="Y944" s="68"/>
      <c r="Z944" s="68"/>
    </row>
    <row r="945" spans="1:26" ht="17">
      <c r="A945" s="68"/>
      <c r="B945" s="104"/>
      <c r="C945" s="104"/>
      <c r="D945" s="104"/>
      <c r="E945" s="68"/>
      <c r="F945" s="68"/>
      <c r="G945" s="68"/>
      <c r="H945" s="68"/>
      <c r="I945" s="68"/>
      <c r="J945" s="68"/>
      <c r="K945" s="68"/>
      <c r="L945" s="68"/>
      <c r="M945" s="68"/>
      <c r="N945" s="68"/>
      <c r="O945" s="68"/>
      <c r="P945" s="68"/>
      <c r="Q945" s="68"/>
      <c r="R945" s="68"/>
      <c r="S945" s="68"/>
      <c r="T945" s="68"/>
      <c r="U945" s="68"/>
      <c r="V945" s="68"/>
      <c r="W945" s="68"/>
      <c r="X945" s="68"/>
      <c r="Y945" s="68"/>
      <c r="Z945" s="68"/>
    </row>
    <row r="946" spans="1:26" ht="17">
      <c r="A946" s="68"/>
      <c r="B946" s="104"/>
      <c r="C946" s="104"/>
      <c r="D946" s="104"/>
      <c r="E946" s="68"/>
      <c r="F946" s="68"/>
      <c r="G946" s="68"/>
      <c r="H946" s="68"/>
      <c r="I946" s="68"/>
      <c r="J946" s="68"/>
      <c r="K946" s="68"/>
      <c r="L946" s="68"/>
      <c r="M946" s="68"/>
      <c r="N946" s="68"/>
      <c r="O946" s="68"/>
      <c r="P946" s="68"/>
      <c r="Q946" s="68"/>
      <c r="R946" s="68"/>
      <c r="S946" s="68"/>
      <c r="T946" s="68"/>
      <c r="U946" s="68"/>
      <c r="V946" s="68"/>
      <c r="W946" s="68"/>
      <c r="X946" s="68"/>
      <c r="Y946" s="68"/>
      <c r="Z946" s="68"/>
    </row>
    <row r="947" spans="1:26" ht="17">
      <c r="A947" s="68"/>
      <c r="B947" s="104"/>
      <c r="C947" s="104"/>
      <c r="D947" s="104"/>
      <c r="E947" s="68"/>
      <c r="F947" s="68"/>
      <c r="G947" s="68"/>
      <c r="H947" s="68"/>
      <c r="I947" s="68"/>
      <c r="J947" s="68"/>
      <c r="K947" s="68"/>
      <c r="L947" s="68"/>
      <c r="M947" s="68"/>
      <c r="N947" s="68"/>
      <c r="O947" s="68"/>
      <c r="P947" s="68"/>
      <c r="Q947" s="68"/>
      <c r="R947" s="68"/>
      <c r="S947" s="68"/>
      <c r="T947" s="68"/>
      <c r="U947" s="68"/>
      <c r="V947" s="68"/>
      <c r="W947" s="68"/>
      <c r="X947" s="68"/>
      <c r="Y947" s="68"/>
      <c r="Z947" s="68"/>
    </row>
    <row r="948" spans="1:26" ht="17">
      <c r="A948" s="68"/>
      <c r="B948" s="104"/>
      <c r="C948" s="104"/>
      <c r="D948" s="104"/>
      <c r="E948" s="68"/>
      <c r="F948" s="68"/>
      <c r="G948" s="68"/>
      <c r="H948" s="68"/>
      <c r="I948" s="68"/>
      <c r="J948" s="68"/>
      <c r="K948" s="68"/>
      <c r="L948" s="68"/>
      <c r="M948" s="68"/>
      <c r="N948" s="68"/>
      <c r="O948" s="68"/>
      <c r="P948" s="68"/>
      <c r="Q948" s="68"/>
      <c r="R948" s="68"/>
      <c r="S948" s="68"/>
      <c r="T948" s="68"/>
      <c r="U948" s="68"/>
      <c r="V948" s="68"/>
      <c r="W948" s="68"/>
      <c r="X948" s="68"/>
      <c r="Y948" s="68"/>
      <c r="Z948" s="68"/>
    </row>
    <row r="949" spans="1:26" ht="17">
      <c r="A949" s="68"/>
      <c r="B949" s="104"/>
      <c r="C949" s="104"/>
      <c r="D949" s="104"/>
      <c r="E949" s="68"/>
      <c r="F949" s="68"/>
      <c r="G949" s="68"/>
      <c r="H949" s="68"/>
      <c r="I949" s="68"/>
      <c r="J949" s="68"/>
      <c r="K949" s="68"/>
      <c r="L949" s="68"/>
      <c r="M949" s="68"/>
      <c r="N949" s="68"/>
      <c r="O949" s="68"/>
      <c r="P949" s="68"/>
      <c r="Q949" s="68"/>
      <c r="R949" s="68"/>
      <c r="S949" s="68"/>
      <c r="T949" s="68"/>
      <c r="U949" s="68"/>
      <c r="V949" s="68"/>
      <c r="W949" s="68"/>
      <c r="X949" s="68"/>
      <c r="Y949" s="68"/>
      <c r="Z949" s="68"/>
    </row>
    <row r="950" spans="1:26" ht="17">
      <c r="A950" s="68"/>
      <c r="B950" s="104"/>
      <c r="C950" s="104"/>
      <c r="D950" s="104"/>
      <c r="E950" s="68"/>
      <c r="F950" s="68"/>
      <c r="G950" s="68"/>
      <c r="H950" s="68"/>
      <c r="I950" s="68"/>
      <c r="J950" s="68"/>
      <c r="K950" s="68"/>
      <c r="L950" s="68"/>
      <c r="M950" s="68"/>
      <c r="N950" s="68"/>
      <c r="O950" s="68"/>
      <c r="P950" s="68"/>
      <c r="Q950" s="68"/>
      <c r="R950" s="68"/>
      <c r="S950" s="68"/>
      <c r="T950" s="68"/>
      <c r="U950" s="68"/>
      <c r="V950" s="68"/>
      <c r="W950" s="68"/>
      <c r="X950" s="68"/>
      <c r="Y950" s="68"/>
      <c r="Z950" s="68"/>
    </row>
    <row r="951" spans="1:26" ht="17">
      <c r="A951" s="68"/>
      <c r="B951" s="104"/>
      <c r="C951" s="104"/>
      <c r="D951" s="104"/>
      <c r="E951" s="68"/>
      <c r="F951" s="68"/>
      <c r="G951" s="68"/>
      <c r="H951" s="68"/>
      <c r="I951" s="68"/>
      <c r="J951" s="68"/>
      <c r="K951" s="68"/>
      <c r="L951" s="68"/>
      <c r="M951" s="68"/>
      <c r="N951" s="68"/>
      <c r="O951" s="68"/>
      <c r="P951" s="68"/>
      <c r="Q951" s="68"/>
      <c r="R951" s="68"/>
      <c r="S951" s="68"/>
      <c r="T951" s="68"/>
      <c r="U951" s="68"/>
      <c r="V951" s="68"/>
      <c r="W951" s="68"/>
      <c r="X951" s="68"/>
      <c r="Y951" s="68"/>
      <c r="Z951" s="68"/>
    </row>
    <row r="952" spans="1:26" ht="17">
      <c r="A952" s="68"/>
      <c r="B952" s="104"/>
      <c r="C952" s="104"/>
      <c r="D952" s="104"/>
      <c r="E952" s="68"/>
      <c r="F952" s="68"/>
      <c r="G952" s="68"/>
      <c r="H952" s="68"/>
      <c r="I952" s="68"/>
      <c r="J952" s="68"/>
      <c r="K952" s="68"/>
      <c r="L952" s="68"/>
      <c r="M952" s="68"/>
      <c r="N952" s="68"/>
      <c r="O952" s="68"/>
      <c r="P952" s="68"/>
      <c r="Q952" s="68"/>
      <c r="R952" s="68"/>
      <c r="S952" s="68"/>
      <c r="T952" s="68"/>
      <c r="U952" s="68"/>
      <c r="V952" s="68"/>
      <c r="W952" s="68"/>
      <c r="X952" s="68"/>
      <c r="Y952" s="68"/>
      <c r="Z952" s="68"/>
    </row>
    <row r="953" spans="1:26" ht="17">
      <c r="A953" s="68"/>
      <c r="B953" s="104"/>
      <c r="C953" s="104"/>
      <c r="D953" s="104"/>
      <c r="E953" s="68"/>
      <c r="F953" s="68"/>
      <c r="G953" s="68"/>
      <c r="H953" s="68"/>
      <c r="I953" s="68"/>
      <c r="J953" s="68"/>
      <c r="K953" s="68"/>
      <c r="L953" s="68"/>
      <c r="M953" s="68"/>
      <c r="N953" s="68"/>
      <c r="O953" s="68"/>
      <c r="P953" s="68"/>
      <c r="Q953" s="68"/>
      <c r="R953" s="68"/>
      <c r="S953" s="68"/>
      <c r="T953" s="68"/>
      <c r="U953" s="68"/>
      <c r="V953" s="68"/>
      <c r="W953" s="68"/>
      <c r="X953" s="68"/>
      <c r="Y953" s="68"/>
      <c r="Z953" s="68"/>
    </row>
    <row r="954" spans="1:26" ht="17">
      <c r="A954" s="68"/>
      <c r="B954" s="104"/>
      <c r="C954" s="104"/>
      <c r="D954" s="104"/>
      <c r="E954" s="68"/>
      <c r="F954" s="68"/>
      <c r="G954" s="68"/>
      <c r="H954" s="68"/>
      <c r="I954" s="68"/>
      <c r="J954" s="68"/>
      <c r="K954" s="68"/>
      <c r="L954" s="68"/>
      <c r="M954" s="68"/>
      <c r="N954" s="68"/>
      <c r="O954" s="68"/>
      <c r="P954" s="68"/>
      <c r="Q954" s="68"/>
      <c r="R954" s="68"/>
      <c r="S954" s="68"/>
      <c r="T954" s="68"/>
      <c r="U954" s="68"/>
      <c r="V954" s="68"/>
      <c r="W954" s="68"/>
      <c r="X954" s="68"/>
      <c r="Y954" s="68"/>
      <c r="Z954" s="68"/>
    </row>
    <row r="955" spans="1:26" ht="17">
      <c r="A955" s="68"/>
      <c r="B955" s="104"/>
      <c r="C955" s="104"/>
      <c r="D955" s="104"/>
      <c r="E955" s="68"/>
      <c r="F955" s="68"/>
      <c r="G955" s="68"/>
      <c r="H955" s="68"/>
      <c r="I955" s="68"/>
      <c r="J955" s="68"/>
      <c r="K955" s="68"/>
      <c r="L955" s="68"/>
      <c r="M955" s="68"/>
      <c r="N955" s="68"/>
      <c r="O955" s="68"/>
      <c r="P955" s="68"/>
      <c r="Q955" s="68"/>
      <c r="R955" s="68"/>
      <c r="S955" s="68"/>
      <c r="T955" s="68"/>
      <c r="U955" s="68"/>
      <c r="V955" s="68"/>
      <c r="W955" s="68"/>
      <c r="X955" s="68"/>
      <c r="Y955" s="68"/>
      <c r="Z955" s="68"/>
    </row>
    <row r="956" spans="1:26" ht="17">
      <c r="A956" s="68"/>
      <c r="B956" s="104"/>
      <c r="C956" s="104"/>
      <c r="D956" s="104"/>
      <c r="E956" s="68"/>
      <c r="F956" s="68"/>
      <c r="G956" s="68"/>
      <c r="H956" s="68"/>
      <c r="I956" s="68"/>
      <c r="J956" s="68"/>
      <c r="K956" s="68"/>
      <c r="L956" s="68"/>
      <c r="M956" s="68"/>
      <c r="N956" s="68"/>
      <c r="O956" s="68"/>
      <c r="P956" s="68"/>
      <c r="Q956" s="68"/>
      <c r="R956" s="68"/>
      <c r="S956" s="68"/>
      <c r="T956" s="68"/>
      <c r="U956" s="68"/>
      <c r="V956" s="68"/>
      <c r="W956" s="68"/>
      <c r="X956" s="68"/>
      <c r="Y956" s="68"/>
      <c r="Z956" s="68"/>
    </row>
    <row r="957" spans="1:26" ht="17">
      <c r="A957" s="68"/>
      <c r="B957" s="104"/>
      <c r="C957" s="104"/>
      <c r="D957" s="104"/>
      <c r="E957" s="68"/>
      <c r="F957" s="68"/>
      <c r="G957" s="68"/>
      <c r="H957" s="68"/>
      <c r="I957" s="68"/>
      <c r="J957" s="68"/>
      <c r="K957" s="68"/>
      <c r="L957" s="68"/>
      <c r="M957" s="68"/>
      <c r="N957" s="68"/>
      <c r="O957" s="68"/>
      <c r="P957" s="68"/>
      <c r="Q957" s="68"/>
      <c r="R957" s="68"/>
      <c r="S957" s="68"/>
      <c r="T957" s="68"/>
      <c r="U957" s="68"/>
      <c r="V957" s="68"/>
      <c r="W957" s="68"/>
      <c r="X957" s="68"/>
      <c r="Y957" s="68"/>
      <c r="Z957" s="68"/>
    </row>
    <row r="958" spans="1:26" ht="17">
      <c r="A958" s="68"/>
      <c r="B958" s="104"/>
      <c r="C958" s="104"/>
      <c r="D958" s="104"/>
      <c r="E958" s="68"/>
      <c r="F958" s="68"/>
      <c r="G958" s="68"/>
      <c r="H958" s="68"/>
      <c r="I958" s="68"/>
      <c r="J958" s="68"/>
      <c r="K958" s="68"/>
      <c r="L958" s="68"/>
      <c r="M958" s="68"/>
      <c r="N958" s="68"/>
      <c r="O958" s="68"/>
      <c r="P958" s="68"/>
      <c r="Q958" s="68"/>
      <c r="R958" s="68"/>
      <c r="S958" s="68"/>
      <c r="T958" s="68"/>
      <c r="U958" s="68"/>
      <c r="V958" s="68"/>
      <c r="W958" s="68"/>
      <c r="X958" s="68"/>
      <c r="Y958" s="68"/>
      <c r="Z958" s="68"/>
    </row>
    <row r="959" spans="1:26" ht="17">
      <c r="A959" s="68"/>
      <c r="B959" s="104"/>
      <c r="C959" s="104"/>
      <c r="D959" s="104"/>
      <c r="E959" s="68"/>
      <c r="F959" s="68"/>
      <c r="G959" s="68"/>
      <c r="H959" s="68"/>
      <c r="I959" s="68"/>
      <c r="J959" s="68"/>
      <c r="K959" s="68"/>
      <c r="L959" s="68"/>
      <c r="M959" s="68"/>
      <c r="N959" s="68"/>
      <c r="O959" s="68"/>
      <c r="P959" s="68"/>
      <c r="Q959" s="68"/>
      <c r="R959" s="68"/>
      <c r="S959" s="68"/>
      <c r="T959" s="68"/>
      <c r="U959" s="68"/>
      <c r="V959" s="68"/>
      <c r="W959" s="68"/>
      <c r="X959" s="68"/>
      <c r="Y959" s="68"/>
      <c r="Z959" s="68"/>
    </row>
    <row r="960" spans="1:26" ht="17">
      <c r="A960" s="68"/>
      <c r="B960" s="104"/>
      <c r="C960" s="104"/>
      <c r="D960" s="104"/>
      <c r="E960" s="68"/>
      <c r="F960" s="68"/>
      <c r="G960" s="68"/>
      <c r="H960" s="68"/>
      <c r="I960" s="68"/>
      <c r="J960" s="68"/>
      <c r="K960" s="68"/>
      <c r="L960" s="68"/>
      <c r="M960" s="68"/>
      <c r="N960" s="68"/>
      <c r="O960" s="68"/>
      <c r="P960" s="68"/>
      <c r="Q960" s="68"/>
      <c r="R960" s="68"/>
      <c r="S960" s="68"/>
      <c r="T960" s="68"/>
      <c r="U960" s="68"/>
      <c r="V960" s="68"/>
      <c r="W960" s="68"/>
      <c r="X960" s="68"/>
      <c r="Y960" s="68"/>
      <c r="Z960" s="68"/>
    </row>
    <row r="961" spans="1:26" ht="17">
      <c r="A961" s="68"/>
      <c r="B961" s="104"/>
      <c r="C961" s="104"/>
      <c r="D961" s="104"/>
      <c r="E961" s="68"/>
      <c r="F961" s="68"/>
      <c r="G961" s="68"/>
      <c r="H961" s="68"/>
      <c r="I961" s="68"/>
      <c r="J961" s="68"/>
      <c r="K961" s="68"/>
      <c r="L961" s="68"/>
      <c r="M961" s="68"/>
      <c r="N961" s="68"/>
      <c r="O961" s="68"/>
      <c r="P961" s="68"/>
      <c r="Q961" s="68"/>
      <c r="R961" s="68"/>
      <c r="S961" s="68"/>
      <c r="T961" s="68"/>
      <c r="U961" s="68"/>
      <c r="V961" s="68"/>
      <c r="W961" s="68"/>
      <c r="X961" s="68"/>
      <c r="Y961" s="68"/>
      <c r="Z961" s="68"/>
    </row>
    <row r="962" spans="1:26" ht="17">
      <c r="A962" s="68"/>
      <c r="B962" s="104"/>
      <c r="C962" s="104"/>
      <c r="D962" s="104"/>
      <c r="E962" s="68"/>
      <c r="F962" s="68"/>
      <c r="G962" s="68"/>
      <c r="H962" s="68"/>
      <c r="I962" s="68"/>
      <c r="J962" s="68"/>
      <c r="K962" s="68"/>
      <c r="L962" s="68"/>
      <c r="M962" s="68"/>
      <c r="N962" s="68"/>
      <c r="O962" s="68"/>
      <c r="P962" s="68"/>
      <c r="Q962" s="68"/>
      <c r="R962" s="68"/>
      <c r="S962" s="68"/>
      <c r="T962" s="68"/>
      <c r="U962" s="68"/>
      <c r="V962" s="68"/>
      <c r="W962" s="68"/>
      <c r="X962" s="68"/>
      <c r="Y962" s="68"/>
      <c r="Z962" s="68"/>
    </row>
    <row r="963" spans="1:26" ht="17">
      <c r="A963" s="68"/>
      <c r="B963" s="104"/>
      <c r="C963" s="104"/>
      <c r="D963" s="104"/>
      <c r="E963" s="68"/>
      <c r="F963" s="68"/>
      <c r="G963" s="68"/>
      <c r="H963" s="68"/>
      <c r="I963" s="68"/>
      <c r="J963" s="68"/>
      <c r="K963" s="68"/>
      <c r="L963" s="68"/>
      <c r="M963" s="68"/>
      <c r="N963" s="68"/>
      <c r="O963" s="68"/>
      <c r="P963" s="68"/>
      <c r="Q963" s="68"/>
      <c r="R963" s="68"/>
      <c r="S963" s="68"/>
      <c r="T963" s="68"/>
      <c r="U963" s="68"/>
      <c r="V963" s="68"/>
      <c r="W963" s="68"/>
      <c r="X963" s="68"/>
      <c r="Y963" s="68"/>
      <c r="Z963" s="68"/>
    </row>
    <row r="964" spans="1:26" ht="17">
      <c r="A964" s="68"/>
      <c r="B964" s="104"/>
      <c r="C964" s="104"/>
      <c r="D964" s="104"/>
      <c r="E964" s="68"/>
      <c r="F964" s="68"/>
      <c r="G964" s="68"/>
      <c r="H964" s="68"/>
      <c r="I964" s="68"/>
      <c r="J964" s="68"/>
      <c r="K964" s="68"/>
      <c r="L964" s="68"/>
      <c r="M964" s="68"/>
      <c r="N964" s="68"/>
      <c r="O964" s="68"/>
      <c r="P964" s="68"/>
      <c r="Q964" s="68"/>
      <c r="R964" s="68"/>
      <c r="S964" s="68"/>
      <c r="T964" s="68"/>
      <c r="U964" s="68"/>
      <c r="V964" s="68"/>
      <c r="W964" s="68"/>
      <c r="X964" s="68"/>
      <c r="Y964" s="68"/>
      <c r="Z964" s="68"/>
    </row>
    <row r="965" spans="1:26" ht="17">
      <c r="A965" s="68"/>
      <c r="B965" s="104"/>
      <c r="C965" s="104"/>
      <c r="D965" s="104"/>
      <c r="E965" s="68"/>
      <c r="F965" s="68"/>
      <c r="G965" s="68"/>
      <c r="H965" s="68"/>
      <c r="I965" s="68"/>
      <c r="J965" s="68"/>
      <c r="K965" s="68"/>
      <c r="L965" s="68"/>
      <c r="M965" s="68"/>
      <c r="N965" s="68"/>
      <c r="O965" s="68"/>
      <c r="P965" s="68"/>
      <c r="Q965" s="68"/>
      <c r="R965" s="68"/>
      <c r="S965" s="68"/>
      <c r="T965" s="68"/>
      <c r="U965" s="68"/>
      <c r="V965" s="68"/>
      <c r="W965" s="68"/>
      <c r="X965" s="68"/>
      <c r="Y965" s="68"/>
      <c r="Z965" s="68"/>
    </row>
    <row r="966" spans="1:26" ht="17">
      <c r="A966" s="68"/>
      <c r="B966" s="104"/>
      <c r="C966" s="104"/>
      <c r="D966" s="104"/>
      <c r="E966" s="68"/>
      <c r="F966" s="68"/>
      <c r="G966" s="68"/>
      <c r="H966" s="68"/>
      <c r="I966" s="68"/>
      <c r="J966" s="68"/>
      <c r="K966" s="68"/>
      <c r="L966" s="68"/>
      <c r="M966" s="68"/>
      <c r="N966" s="68"/>
      <c r="O966" s="68"/>
      <c r="P966" s="68"/>
      <c r="Q966" s="68"/>
      <c r="R966" s="68"/>
      <c r="S966" s="68"/>
      <c r="T966" s="68"/>
      <c r="U966" s="68"/>
      <c r="V966" s="68"/>
      <c r="W966" s="68"/>
      <c r="X966" s="68"/>
      <c r="Y966" s="68"/>
      <c r="Z966" s="68"/>
    </row>
    <row r="967" spans="1:26" ht="17">
      <c r="A967" s="68"/>
      <c r="B967" s="104"/>
      <c r="C967" s="104"/>
      <c r="D967" s="104"/>
      <c r="E967" s="68"/>
      <c r="F967" s="68"/>
      <c r="G967" s="68"/>
      <c r="H967" s="68"/>
      <c r="I967" s="68"/>
      <c r="J967" s="68"/>
      <c r="K967" s="68"/>
      <c r="L967" s="68"/>
      <c r="M967" s="68"/>
      <c r="N967" s="68"/>
      <c r="O967" s="68"/>
      <c r="P967" s="68"/>
      <c r="Q967" s="68"/>
      <c r="R967" s="68"/>
      <c r="S967" s="68"/>
      <c r="T967" s="68"/>
      <c r="U967" s="68"/>
      <c r="V967" s="68"/>
      <c r="W967" s="68"/>
      <c r="X967" s="68"/>
      <c r="Y967" s="68"/>
      <c r="Z967" s="68"/>
    </row>
    <row r="968" spans="1:26" ht="17">
      <c r="A968" s="68"/>
      <c r="B968" s="104"/>
      <c r="C968" s="104"/>
      <c r="D968" s="104"/>
      <c r="E968" s="68"/>
      <c r="F968" s="68"/>
      <c r="G968" s="68"/>
      <c r="H968" s="68"/>
      <c r="I968" s="68"/>
      <c r="J968" s="68"/>
      <c r="K968" s="68"/>
      <c r="L968" s="68"/>
      <c r="M968" s="68"/>
      <c r="N968" s="68"/>
      <c r="O968" s="68"/>
      <c r="P968" s="68"/>
      <c r="Q968" s="68"/>
      <c r="R968" s="68"/>
      <c r="S968" s="68"/>
      <c r="T968" s="68"/>
      <c r="U968" s="68"/>
      <c r="V968" s="68"/>
      <c r="W968" s="68"/>
      <c r="X968" s="68"/>
      <c r="Y968" s="68"/>
      <c r="Z968" s="68"/>
    </row>
    <row r="969" spans="1:26" ht="17">
      <c r="A969" s="68"/>
      <c r="B969" s="104"/>
      <c r="C969" s="104"/>
      <c r="D969" s="104"/>
      <c r="E969" s="68"/>
      <c r="F969" s="68"/>
      <c r="G969" s="68"/>
      <c r="H969" s="68"/>
      <c r="I969" s="68"/>
      <c r="J969" s="68"/>
      <c r="K969" s="68"/>
      <c r="L969" s="68"/>
      <c r="M969" s="68"/>
      <c r="N969" s="68"/>
      <c r="O969" s="68"/>
      <c r="P969" s="68"/>
      <c r="Q969" s="68"/>
      <c r="R969" s="68"/>
      <c r="S969" s="68"/>
      <c r="T969" s="68"/>
      <c r="U969" s="68"/>
      <c r="V969" s="68"/>
      <c r="W969" s="68"/>
      <c r="X969" s="68"/>
      <c r="Y969" s="68"/>
      <c r="Z969" s="68"/>
    </row>
    <row r="970" spans="1:26" ht="17">
      <c r="A970" s="68"/>
      <c r="B970" s="104"/>
      <c r="C970" s="104"/>
      <c r="D970" s="104"/>
      <c r="E970" s="68"/>
      <c r="F970" s="68"/>
      <c r="G970" s="68"/>
      <c r="H970" s="68"/>
      <c r="I970" s="68"/>
      <c r="J970" s="68"/>
      <c r="K970" s="68"/>
      <c r="L970" s="68"/>
      <c r="M970" s="68"/>
      <c r="N970" s="68"/>
      <c r="O970" s="68"/>
      <c r="P970" s="68"/>
      <c r="Q970" s="68"/>
      <c r="R970" s="68"/>
      <c r="S970" s="68"/>
      <c r="T970" s="68"/>
      <c r="U970" s="68"/>
      <c r="V970" s="68"/>
      <c r="W970" s="68"/>
      <c r="X970" s="68"/>
      <c r="Y970" s="68"/>
      <c r="Z970" s="68"/>
    </row>
    <row r="971" spans="1:26" ht="17">
      <c r="A971" s="68"/>
      <c r="B971" s="104"/>
      <c r="C971" s="104"/>
      <c r="D971" s="104"/>
      <c r="E971" s="68"/>
      <c r="F971" s="68"/>
      <c r="G971" s="68"/>
      <c r="H971" s="68"/>
      <c r="I971" s="68"/>
      <c r="J971" s="68"/>
      <c r="K971" s="68"/>
      <c r="L971" s="68"/>
      <c r="M971" s="68"/>
      <c r="N971" s="68"/>
      <c r="O971" s="68"/>
      <c r="P971" s="68"/>
      <c r="Q971" s="68"/>
      <c r="R971" s="68"/>
      <c r="S971" s="68"/>
      <c r="T971" s="68"/>
      <c r="U971" s="68"/>
      <c r="V971" s="68"/>
      <c r="W971" s="68"/>
      <c r="X971" s="68"/>
      <c r="Y971" s="68"/>
      <c r="Z971" s="68"/>
    </row>
    <row r="972" spans="1:26" ht="17">
      <c r="A972" s="68"/>
      <c r="B972" s="104"/>
      <c r="C972" s="104"/>
      <c r="D972" s="104"/>
      <c r="E972" s="68"/>
      <c r="F972" s="68"/>
      <c r="G972" s="68"/>
      <c r="H972" s="68"/>
      <c r="I972" s="68"/>
      <c r="J972" s="68"/>
      <c r="K972" s="68"/>
      <c r="L972" s="68"/>
      <c r="M972" s="68"/>
      <c r="N972" s="68"/>
      <c r="O972" s="68"/>
      <c r="P972" s="68"/>
      <c r="Q972" s="68"/>
      <c r="R972" s="68"/>
      <c r="S972" s="68"/>
      <c r="T972" s="68"/>
      <c r="U972" s="68"/>
      <c r="V972" s="68"/>
      <c r="W972" s="68"/>
      <c r="X972" s="68"/>
      <c r="Y972" s="68"/>
      <c r="Z972" s="68"/>
    </row>
    <row r="973" spans="1:26" ht="17">
      <c r="A973" s="68"/>
      <c r="B973" s="104"/>
      <c r="C973" s="104"/>
      <c r="D973" s="104"/>
      <c r="E973" s="68"/>
      <c r="F973" s="68"/>
      <c r="G973" s="68"/>
      <c r="H973" s="68"/>
      <c r="I973" s="68"/>
      <c r="J973" s="68"/>
      <c r="K973" s="68"/>
      <c r="L973" s="68"/>
      <c r="M973" s="68"/>
      <c r="N973" s="68"/>
      <c r="O973" s="68"/>
      <c r="P973" s="68"/>
      <c r="Q973" s="68"/>
      <c r="R973" s="68"/>
      <c r="S973" s="68"/>
      <c r="T973" s="68"/>
      <c r="U973" s="68"/>
      <c r="V973" s="68"/>
      <c r="W973" s="68"/>
      <c r="X973" s="68"/>
      <c r="Y973" s="68"/>
      <c r="Z973" s="68"/>
    </row>
    <row r="974" spans="1:26" ht="17">
      <c r="A974" s="68"/>
      <c r="B974" s="104"/>
      <c r="C974" s="104"/>
      <c r="D974" s="104"/>
      <c r="E974" s="68"/>
      <c r="F974" s="68"/>
      <c r="G974" s="68"/>
      <c r="H974" s="68"/>
      <c r="I974" s="68"/>
      <c r="J974" s="68"/>
      <c r="K974" s="68"/>
      <c r="L974" s="68"/>
      <c r="M974" s="68"/>
      <c r="N974" s="68"/>
      <c r="O974" s="68"/>
      <c r="P974" s="68"/>
      <c r="Q974" s="68"/>
      <c r="R974" s="68"/>
      <c r="S974" s="68"/>
      <c r="T974" s="68"/>
      <c r="U974" s="68"/>
      <c r="V974" s="68"/>
      <c r="W974" s="68"/>
      <c r="X974" s="68"/>
      <c r="Y974" s="68"/>
      <c r="Z974" s="68"/>
    </row>
    <row r="975" spans="1:26" ht="17">
      <c r="A975" s="68"/>
      <c r="B975" s="104"/>
      <c r="C975" s="104"/>
      <c r="D975" s="104"/>
      <c r="E975" s="68"/>
      <c r="F975" s="68"/>
      <c r="G975" s="68"/>
      <c r="H975" s="68"/>
      <c r="I975" s="68"/>
      <c r="J975" s="68"/>
      <c r="K975" s="68"/>
      <c r="L975" s="68"/>
      <c r="M975" s="68"/>
      <c r="N975" s="68"/>
      <c r="O975" s="68"/>
      <c r="P975" s="68"/>
      <c r="Q975" s="68"/>
      <c r="R975" s="68"/>
      <c r="S975" s="68"/>
      <c r="T975" s="68"/>
      <c r="U975" s="68"/>
      <c r="V975" s="68"/>
      <c r="W975" s="68"/>
      <c r="X975" s="68"/>
      <c r="Y975" s="68"/>
      <c r="Z975" s="68"/>
    </row>
    <row r="976" spans="1:26" ht="17">
      <c r="A976" s="68"/>
      <c r="B976" s="104"/>
      <c r="C976" s="104"/>
      <c r="D976" s="104"/>
      <c r="E976" s="68"/>
      <c r="F976" s="68"/>
      <c r="G976" s="68"/>
      <c r="H976" s="68"/>
      <c r="I976" s="68"/>
      <c r="J976" s="68"/>
      <c r="K976" s="68"/>
      <c r="L976" s="68"/>
      <c r="M976" s="68"/>
      <c r="N976" s="68"/>
      <c r="O976" s="68"/>
      <c r="P976" s="68"/>
      <c r="Q976" s="68"/>
      <c r="R976" s="68"/>
      <c r="S976" s="68"/>
      <c r="T976" s="68"/>
      <c r="U976" s="68"/>
      <c r="V976" s="68"/>
      <c r="W976" s="68"/>
      <c r="X976" s="68"/>
      <c r="Y976" s="68"/>
      <c r="Z976" s="68"/>
    </row>
    <row r="977" spans="1:26" ht="17">
      <c r="A977" s="68"/>
      <c r="B977" s="104"/>
      <c r="C977" s="104"/>
      <c r="D977" s="104"/>
      <c r="E977" s="68"/>
      <c r="F977" s="68"/>
      <c r="G977" s="68"/>
      <c r="H977" s="68"/>
      <c r="I977" s="68"/>
      <c r="J977" s="68"/>
      <c r="K977" s="68"/>
      <c r="L977" s="68"/>
      <c r="M977" s="68"/>
      <c r="N977" s="68"/>
      <c r="O977" s="68"/>
      <c r="P977" s="68"/>
      <c r="Q977" s="68"/>
      <c r="R977" s="68"/>
      <c r="S977" s="68"/>
      <c r="T977" s="68"/>
      <c r="U977" s="68"/>
      <c r="V977" s="68"/>
      <c r="W977" s="68"/>
      <c r="X977" s="68"/>
      <c r="Y977" s="68"/>
      <c r="Z977" s="68"/>
    </row>
    <row r="978" spans="1:26" ht="17">
      <c r="A978" s="68"/>
      <c r="B978" s="104"/>
      <c r="C978" s="104"/>
      <c r="D978" s="104"/>
      <c r="E978" s="68"/>
      <c r="F978" s="68"/>
      <c r="G978" s="68"/>
      <c r="H978" s="68"/>
      <c r="I978" s="68"/>
      <c r="J978" s="68"/>
      <c r="K978" s="68"/>
      <c r="L978" s="68"/>
      <c r="M978" s="68"/>
      <c r="N978" s="68"/>
      <c r="O978" s="68"/>
      <c r="P978" s="68"/>
      <c r="Q978" s="68"/>
      <c r="R978" s="68"/>
      <c r="S978" s="68"/>
      <c r="T978" s="68"/>
      <c r="U978" s="68"/>
      <c r="V978" s="68"/>
      <c r="W978" s="68"/>
      <c r="X978" s="68"/>
      <c r="Y978" s="68"/>
      <c r="Z978" s="68"/>
    </row>
    <row r="979" spans="1:26" ht="17">
      <c r="A979" s="68"/>
      <c r="B979" s="104"/>
      <c r="C979" s="104"/>
      <c r="D979" s="104"/>
      <c r="E979" s="68"/>
      <c r="F979" s="68"/>
      <c r="G979" s="68"/>
      <c r="H979" s="68"/>
      <c r="I979" s="68"/>
      <c r="J979" s="68"/>
      <c r="K979" s="68"/>
      <c r="L979" s="68"/>
      <c r="M979" s="68"/>
      <c r="N979" s="68"/>
      <c r="O979" s="68"/>
      <c r="P979" s="68"/>
      <c r="Q979" s="68"/>
      <c r="R979" s="68"/>
      <c r="S979" s="68"/>
      <c r="T979" s="68"/>
      <c r="U979" s="68"/>
      <c r="V979" s="68"/>
      <c r="W979" s="68"/>
      <c r="X979" s="68"/>
      <c r="Y979" s="68"/>
      <c r="Z979" s="68"/>
    </row>
    <row r="980" spans="1:26" ht="17">
      <c r="A980" s="68"/>
      <c r="B980" s="104"/>
      <c r="C980" s="104"/>
      <c r="D980" s="104"/>
      <c r="E980" s="68"/>
      <c r="F980" s="68"/>
      <c r="G980" s="68"/>
      <c r="H980" s="68"/>
      <c r="I980" s="68"/>
      <c r="J980" s="68"/>
      <c r="K980" s="68"/>
      <c r="L980" s="68"/>
      <c r="M980" s="68"/>
      <c r="N980" s="68"/>
      <c r="O980" s="68"/>
      <c r="P980" s="68"/>
      <c r="Q980" s="68"/>
      <c r="R980" s="68"/>
      <c r="S980" s="68"/>
      <c r="T980" s="68"/>
      <c r="U980" s="68"/>
      <c r="V980" s="68"/>
      <c r="W980" s="68"/>
      <c r="X980" s="68"/>
      <c r="Y980" s="68"/>
      <c r="Z980" s="68"/>
    </row>
    <row r="981" spans="1:26" ht="17">
      <c r="A981" s="68"/>
      <c r="B981" s="104"/>
      <c r="C981" s="104"/>
      <c r="D981" s="104"/>
      <c r="E981" s="68"/>
      <c r="F981" s="68"/>
      <c r="G981" s="68"/>
      <c r="H981" s="68"/>
      <c r="I981" s="68"/>
      <c r="J981" s="68"/>
      <c r="K981" s="68"/>
      <c r="L981" s="68"/>
      <c r="M981" s="68"/>
      <c r="N981" s="68"/>
      <c r="O981" s="68"/>
      <c r="P981" s="68"/>
      <c r="Q981" s="68"/>
      <c r="R981" s="68"/>
      <c r="S981" s="68"/>
      <c r="T981" s="68"/>
      <c r="U981" s="68"/>
      <c r="V981" s="68"/>
      <c r="W981" s="68"/>
      <c r="X981" s="68"/>
      <c r="Y981" s="68"/>
      <c r="Z981" s="68"/>
    </row>
    <row r="982" spans="1:26" ht="17">
      <c r="A982" s="68"/>
      <c r="B982" s="104"/>
      <c r="C982" s="104"/>
      <c r="D982" s="104"/>
      <c r="E982" s="68"/>
      <c r="F982" s="68"/>
      <c r="G982" s="68"/>
      <c r="H982" s="68"/>
      <c r="I982" s="68"/>
      <c r="J982" s="68"/>
      <c r="K982" s="68"/>
      <c r="L982" s="68"/>
      <c r="M982" s="68"/>
      <c r="N982" s="68"/>
      <c r="O982" s="68"/>
      <c r="P982" s="68"/>
      <c r="Q982" s="68"/>
      <c r="R982" s="68"/>
      <c r="S982" s="68"/>
      <c r="T982" s="68"/>
      <c r="U982" s="68"/>
      <c r="V982" s="68"/>
      <c r="W982" s="68"/>
      <c r="X982" s="68"/>
      <c r="Y982" s="68"/>
      <c r="Z982" s="68"/>
    </row>
    <row r="983" spans="1:26" ht="17">
      <c r="A983" s="68"/>
      <c r="B983" s="104"/>
      <c r="C983" s="104"/>
      <c r="D983" s="104"/>
      <c r="E983" s="68"/>
      <c r="F983" s="68"/>
      <c r="G983" s="68"/>
      <c r="H983" s="68"/>
      <c r="I983" s="68"/>
      <c r="J983" s="68"/>
      <c r="K983" s="68"/>
      <c r="L983" s="68"/>
      <c r="M983" s="68"/>
      <c r="N983" s="68"/>
      <c r="O983" s="68"/>
      <c r="P983" s="68"/>
      <c r="Q983" s="68"/>
      <c r="R983" s="68"/>
      <c r="S983" s="68"/>
      <c r="T983" s="68"/>
      <c r="U983" s="68"/>
      <c r="V983" s="68"/>
      <c r="W983" s="68"/>
      <c r="X983" s="68"/>
      <c r="Y983" s="68"/>
      <c r="Z983" s="68"/>
    </row>
    <row r="984" spans="1:26" ht="17">
      <c r="A984" s="68"/>
      <c r="B984" s="104"/>
      <c r="C984" s="104"/>
      <c r="D984" s="104"/>
      <c r="E984" s="68"/>
      <c r="F984" s="68"/>
      <c r="G984" s="68"/>
      <c r="H984" s="68"/>
      <c r="I984" s="68"/>
      <c r="J984" s="68"/>
      <c r="K984" s="68"/>
      <c r="L984" s="68"/>
      <c r="M984" s="68"/>
      <c r="N984" s="68"/>
      <c r="O984" s="68"/>
      <c r="P984" s="68"/>
      <c r="Q984" s="68"/>
      <c r="R984" s="68"/>
      <c r="S984" s="68"/>
      <c r="T984" s="68"/>
      <c r="U984" s="68"/>
      <c r="V984" s="68"/>
      <c r="W984" s="68"/>
      <c r="X984" s="68"/>
      <c r="Y984" s="68"/>
      <c r="Z984" s="68"/>
    </row>
    <row r="985" spans="1:26" ht="17">
      <c r="A985" s="68"/>
      <c r="B985" s="104"/>
      <c r="C985" s="104"/>
      <c r="D985" s="104"/>
      <c r="E985" s="68"/>
      <c r="F985" s="68"/>
      <c r="G985" s="68"/>
      <c r="H985" s="68"/>
      <c r="I985" s="68"/>
      <c r="J985" s="68"/>
      <c r="K985" s="68"/>
      <c r="L985" s="68"/>
      <c r="M985" s="68"/>
      <c r="N985" s="68"/>
      <c r="O985" s="68"/>
      <c r="P985" s="68"/>
      <c r="Q985" s="68"/>
      <c r="R985" s="68"/>
      <c r="S985" s="68"/>
      <c r="T985" s="68"/>
      <c r="U985" s="68"/>
      <c r="V985" s="68"/>
      <c r="W985" s="68"/>
      <c r="X985" s="68"/>
      <c r="Y985" s="68"/>
      <c r="Z985" s="68"/>
    </row>
    <row r="986" spans="1:26" ht="17">
      <c r="A986" s="68"/>
      <c r="B986" s="104"/>
      <c r="C986" s="104"/>
      <c r="D986" s="104"/>
      <c r="E986" s="68"/>
      <c r="F986" s="68"/>
      <c r="G986" s="68"/>
      <c r="H986" s="68"/>
      <c r="I986" s="68"/>
      <c r="J986" s="68"/>
      <c r="K986" s="68"/>
      <c r="L986" s="68"/>
      <c r="M986" s="68"/>
      <c r="N986" s="68"/>
      <c r="O986" s="68"/>
      <c r="P986" s="68"/>
      <c r="Q986" s="68"/>
      <c r="R986" s="68"/>
      <c r="S986" s="68"/>
      <c r="T986" s="68"/>
      <c r="U986" s="68"/>
      <c r="V986" s="68"/>
      <c r="W986" s="68"/>
      <c r="X986" s="68"/>
      <c r="Y986" s="68"/>
      <c r="Z986" s="68"/>
    </row>
    <row r="987" spans="1:26" ht="17">
      <c r="A987" s="68"/>
      <c r="B987" s="104"/>
      <c r="C987" s="104"/>
      <c r="D987" s="104"/>
      <c r="E987" s="68"/>
      <c r="F987" s="68"/>
      <c r="G987" s="68"/>
      <c r="H987" s="68"/>
      <c r="I987" s="68"/>
      <c r="J987" s="68"/>
      <c r="K987" s="68"/>
      <c r="L987" s="68"/>
      <c r="M987" s="68"/>
      <c r="N987" s="68"/>
      <c r="O987" s="68"/>
      <c r="P987" s="68"/>
      <c r="Q987" s="68"/>
      <c r="R987" s="68"/>
      <c r="S987" s="68"/>
      <c r="T987" s="68"/>
      <c r="U987" s="68"/>
      <c r="V987" s="68"/>
      <c r="W987" s="68"/>
      <c r="X987" s="68"/>
      <c r="Y987" s="68"/>
      <c r="Z987" s="68"/>
    </row>
    <row r="988" spans="1:26" ht="17">
      <c r="A988" s="68"/>
      <c r="B988" s="104"/>
      <c r="C988" s="104"/>
      <c r="D988" s="104"/>
      <c r="E988" s="68"/>
      <c r="F988" s="68"/>
      <c r="G988" s="68"/>
      <c r="H988" s="68"/>
      <c r="I988" s="68"/>
      <c r="J988" s="68"/>
      <c r="K988" s="68"/>
      <c r="L988" s="68"/>
      <c r="M988" s="68"/>
      <c r="N988" s="68"/>
      <c r="O988" s="68"/>
      <c r="P988" s="68"/>
      <c r="Q988" s="68"/>
      <c r="R988" s="68"/>
      <c r="S988" s="68"/>
      <c r="T988" s="68"/>
      <c r="U988" s="68"/>
      <c r="V988" s="68"/>
      <c r="W988" s="68"/>
      <c r="X988" s="68"/>
      <c r="Y988" s="68"/>
      <c r="Z988" s="68"/>
    </row>
    <row r="989" spans="1:26" ht="17">
      <c r="A989" s="68"/>
      <c r="B989" s="104"/>
      <c r="C989" s="104"/>
      <c r="D989" s="104"/>
      <c r="E989" s="68"/>
      <c r="F989" s="68"/>
      <c r="G989" s="68"/>
      <c r="H989" s="68"/>
      <c r="I989" s="68"/>
      <c r="J989" s="68"/>
      <c r="K989" s="68"/>
      <c r="L989" s="68"/>
      <c r="M989" s="68"/>
      <c r="N989" s="68"/>
      <c r="O989" s="68"/>
      <c r="P989" s="68"/>
      <c r="Q989" s="68"/>
      <c r="R989" s="68"/>
      <c r="S989" s="68"/>
      <c r="T989" s="68"/>
      <c r="U989" s="68"/>
      <c r="V989" s="68"/>
      <c r="W989" s="68"/>
      <c r="X989" s="68"/>
      <c r="Y989" s="68"/>
      <c r="Z989" s="68"/>
    </row>
    <row r="990" spans="1:26" ht="17">
      <c r="A990" s="68"/>
      <c r="B990" s="104"/>
      <c r="C990" s="104"/>
      <c r="D990" s="104"/>
      <c r="E990" s="68"/>
      <c r="F990" s="68"/>
      <c r="G990" s="68"/>
      <c r="H990" s="68"/>
      <c r="I990" s="68"/>
      <c r="J990" s="68"/>
      <c r="K990" s="68"/>
      <c r="L990" s="68"/>
      <c r="M990" s="68"/>
      <c r="N990" s="68"/>
      <c r="O990" s="68"/>
      <c r="P990" s="68"/>
      <c r="Q990" s="68"/>
      <c r="R990" s="68"/>
      <c r="S990" s="68"/>
      <c r="T990" s="68"/>
      <c r="U990" s="68"/>
      <c r="V990" s="68"/>
      <c r="W990" s="68"/>
      <c r="X990" s="68"/>
      <c r="Y990" s="68"/>
      <c r="Z990" s="68"/>
    </row>
    <row r="991" spans="1:26" ht="17">
      <c r="A991" s="68"/>
      <c r="B991" s="104"/>
      <c r="C991" s="104"/>
      <c r="D991" s="104"/>
      <c r="E991" s="68"/>
      <c r="F991" s="68"/>
      <c r="G991" s="68"/>
      <c r="H991" s="68"/>
      <c r="I991" s="68"/>
      <c r="J991" s="68"/>
      <c r="K991" s="68"/>
      <c r="L991" s="68"/>
      <c r="M991" s="68"/>
      <c r="N991" s="68"/>
      <c r="O991" s="68"/>
      <c r="P991" s="68"/>
      <c r="Q991" s="68"/>
      <c r="R991" s="68"/>
      <c r="S991" s="68"/>
      <c r="T991" s="68"/>
      <c r="U991" s="68"/>
      <c r="V991" s="68"/>
      <c r="W991" s="68"/>
      <c r="X991" s="68"/>
      <c r="Y991" s="68"/>
      <c r="Z991" s="68"/>
    </row>
    <row r="992" spans="1:26" ht="17">
      <c r="A992" s="68"/>
      <c r="B992" s="104"/>
      <c r="C992" s="104"/>
      <c r="D992" s="104"/>
      <c r="E992" s="68"/>
      <c r="F992" s="68"/>
      <c r="G992" s="68"/>
      <c r="H992" s="68"/>
      <c r="I992" s="68"/>
      <c r="J992" s="68"/>
      <c r="K992" s="68"/>
      <c r="L992" s="68"/>
      <c r="M992" s="68"/>
      <c r="N992" s="68"/>
      <c r="O992" s="68"/>
      <c r="P992" s="68"/>
      <c r="Q992" s="68"/>
      <c r="R992" s="68"/>
      <c r="S992" s="68"/>
      <c r="T992" s="68"/>
      <c r="U992" s="68"/>
      <c r="V992" s="68"/>
      <c r="W992" s="68"/>
      <c r="X992" s="68"/>
      <c r="Y992" s="68"/>
      <c r="Z992" s="68"/>
    </row>
    <row r="993" spans="1:26" ht="17">
      <c r="A993" s="68"/>
      <c r="B993" s="104"/>
      <c r="C993" s="104"/>
      <c r="D993" s="104"/>
      <c r="E993" s="68"/>
      <c r="F993" s="68"/>
      <c r="G993" s="68"/>
      <c r="H993" s="68"/>
      <c r="I993" s="68"/>
      <c r="J993" s="68"/>
      <c r="K993" s="68"/>
      <c r="L993" s="68"/>
      <c r="M993" s="68"/>
      <c r="N993" s="68"/>
      <c r="O993" s="68"/>
      <c r="P993" s="68"/>
      <c r="Q993" s="68"/>
      <c r="R993" s="68"/>
      <c r="S993" s="68"/>
      <c r="T993" s="68"/>
      <c r="U993" s="68"/>
      <c r="V993" s="68"/>
      <c r="W993" s="68"/>
      <c r="X993" s="68"/>
      <c r="Y993" s="68"/>
      <c r="Z993" s="68"/>
    </row>
    <row r="994" spans="1:26" ht="17">
      <c r="A994" s="68"/>
      <c r="B994" s="104"/>
      <c r="C994" s="104"/>
      <c r="D994" s="104"/>
      <c r="E994" s="68"/>
      <c r="F994" s="68"/>
      <c r="G994" s="68"/>
      <c r="H994" s="68"/>
      <c r="I994" s="68"/>
      <c r="J994" s="68"/>
      <c r="K994" s="68"/>
      <c r="L994" s="68"/>
      <c r="M994" s="68"/>
      <c r="N994" s="68"/>
      <c r="O994" s="68"/>
      <c r="P994" s="68"/>
      <c r="Q994" s="68"/>
      <c r="R994" s="68"/>
      <c r="S994" s="68"/>
      <c r="T994" s="68"/>
      <c r="U994" s="68"/>
      <c r="V994" s="68"/>
      <c r="W994" s="68"/>
      <c r="X994" s="68"/>
      <c r="Y994" s="68"/>
      <c r="Z994" s="68"/>
    </row>
    <row r="995" spans="1:26" ht="17">
      <c r="A995" s="68"/>
      <c r="B995" s="104"/>
      <c r="C995" s="104"/>
      <c r="D995" s="104"/>
      <c r="E995" s="68"/>
      <c r="F995" s="68"/>
      <c r="G995" s="68"/>
      <c r="H995" s="68"/>
      <c r="I995" s="68"/>
      <c r="J995" s="68"/>
      <c r="K995" s="68"/>
      <c r="L995" s="68"/>
      <c r="M995" s="68"/>
      <c r="N995" s="68"/>
      <c r="O995" s="68"/>
      <c r="P995" s="68"/>
      <c r="Q995" s="68"/>
      <c r="R995" s="68"/>
      <c r="S995" s="68"/>
      <c r="T995" s="68"/>
      <c r="U995" s="68"/>
      <c r="V995" s="68"/>
      <c r="W995" s="68"/>
      <c r="X995" s="68"/>
      <c r="Y995" s="68"/>
      <c r="Z995" s="68"/>
    </row>
    <row r="996" spans="1:26" ht="17">
      <c r="A996" s="68"/>
      <c r="B996" s="104"/>
      <c r="C996" s="104"/>
      <c r="D996" s="104"/>
      <c r="E996" s="68"/>
      <c r="F996" s="68"/>
      <c r="G996" s="68"/>
      <c r="H996" s="68"/>
      <c r="I996" s="68"/>
      <c r="J996" s="68"/>
      <c r="K996" s="68"/>
      <c r="L996" s="68"/>
      <c r="M996" s="68"/>
      <c r="N996" s="68"/>
      <c r="O996" s="68"/>
      <c r="P996" s="68"/>
      <c r="Q996" s="68"/>
      <c r="R996" s="68"/>
      <c r="S996" s="68"/>
      <c r="T996" s="68"/>
      <c r="U996" s="68"/>
      <c r="V996" s="68"/>
      <c r="W996" s="68"/>
      <c r="X996" s="68"/>
      <c r="Y996" s="68"/>
      <c r="Z996" s="68"/>
    </row>
    <row r="997" spans="1:26" ht="17">
      <c r="A997" s="68"/>
      <c r="B997" s="104"/>
      <c r="C997" s="104"/>
      <c r="D997" s="104"/>
      <c r="E997" s="68"/>
      <c r="F997" s="68"/>
      <c r="G997" s="68"/>
      <c r="H997" s="68"/>
      <c r="I997" s="68"/>
      <c r="J997" s="68"/>
      <c r="K997" s="68"/>
      <c r="L997" s="68"/>
      <c r="M997" s="68"/>
      <c r="N997" s="68"/>
      <c r="O997" s="68"/>
      <c r="P997" s="68"/>
      <c r="Q997" s="68"/>
      <c r="R997" s="68"/>
      <c r="S997" s="68"/>
      <c r="T997" s="68"/>
      <c r="U997" s="68"/>
      <c r="V997" s="68"/>
      <c r="W997" s="68"/>
      <c r="X997" s="68"/>
      <c r="Y997" s="68"/>
      <c r="Z997" s="68"/>
    </row>
    <row r="998" spans="1:26" ht="17">
      <c r="A998" s="68"/>
      <c r="B998" s="104"/>
      <c r="C998" s="104"/>
      <c r="D998" s="104"/>
      <c r="E998" s="68"/>
      <c r="F998" s="68"/>
      <c r="G998" s="68"/>
      <c r="H998" s="68"/>
      <c r="I998" s="68"/>
      <c r="J998" s="68"/>
      <c r="K998" s="68"/>
      <c r="L998" s="68"/>
      <c r="M998" s="68"/>
      <c r="N998" s="68"/>
      <c r="O998" s="68"/>
      <c r="P998" s="68"/>
      <c r="Q998" s="68"/>
      <c r="R998" s="68"/>
      <c r="S998" s="68"/>
      <c r="T998" s="68"/>
      <c r="U998" s="68"/>
      <c r="V998" s="68"/>
      <c r="W998" s="68"/>
      <c r="X998" s="68"/>
      <c r="Y998" s="68"/>
      <c r="Z998" s="68"/>
    </row>
    <row r="999" spans="1:26" ht="17">
      <c r="A999" s="68"/>
      <c r="B999" s="104"/>
      <c r="C999" s="104"/>
      <c r="D999" s="104"/>
      <c r="E999" s="68"/>
      <c r="F999" s="68"/>
      <c r="G999" s="68"/>
      <c r="H999" s="68"/>
      <c r="I999" s="68"/>
      <c r="J999" s="68"/>
      <c r="K999" s="68"/>
      <c r="L999" s="68"/>
      <c r="M999" s="68"/>
      <c r="N999" s="68"/>
      <c r="O999" s="68"/>
      <c r="P999" s="68"/>
      <c r="Q999" s="68"/>
      <c r="R999" s="68"/>
      <c r="S999" s="68"/>
      <c r="T999" s="68"/>
      <c r="U999" s="68"/>
      <c r="V999" s="68"/>
      <c r="W999" s="68"/>
      <c r="X999" s="68"/>
      <c r="Y999" s="68"/>
      <c r="Z999" s="68"/>
    </row>
    <row r="1000" spans="1:26" ht="17">
      <c r="A1000" s="68"/>
      <c r="B1000" s="104"/>
      <c r="C1000" s="104"/>
      <c r="D1000" s="104"/>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mergeCells count="6">
    <mergeCell ref="G7:I7"/>
    <mergeCell ref="J7:M7"/>
    <mergeCell ref="B3:D3"/>
    <mergeCell ref="G6:I6"/>
    <mergeCell ref="J6:M6"/>
    <mergeCell ref="B4:C4"/>
  </mergeCells>
  <hyperlinks>
    <hyperlink ref="C19" r:id="rId1" xr:uid="{00000000-0004-0000-0000-000000000000}"/>
    <hyperlink ref="C20" r:id="rId2" xr:uid="{00000000-0004-0000-0000-000001000000}"/>
    <hyperlink ref="C21" r:id="rId3" xr:uid="{00000000-0004-0000-0000-000002000000}"/>
    <hyperlink ref="C22" r:id="rId4" xr:uid="{00000000-0004-0000-0000-000003000000}"/>
    <hyperlink ref="C23" r:id="rId5" xr:uid="{00000000-0004-0000-0000-000004000000}"/>
    <hyperlink ref="C24" r:id="rId6" xr:uid="{00000000-0004-0000-0000-000005000000}"/>
    <hyperlink ref="C25" r:id="rId7" xr:uid="{00000000-0004-0000-0000-000006000000}"/>
    <hyperlink ref="C26" r:id="rId8" location=":~:text=B%C3%A0i%20vi%E1%BA%BFt%20h%C6%B0%E1%BB%9Bng%20d%E1%BA%ABn%20c%C3%A1ch%20t%C3%ADnh%20m%E1%BB%A9c%20l%C6%B0%C6%A1ng" xr:uid="{00000000-0004-0000-0000-000007000000}"/>
    <hyperlink ref="C27" r:id="rId9" xr:uid="{00000000-0004-0000-0000-000008000000}"/>
    <hyperlink ref="C28" r:id="rId10" xr:uid="{00000000-0004-0000-0000-000009000000}"/>
    <hyperlink ref="C29" r:id="rId11" xr:uid="{00000000-0004-0000-0000-00000A000000}"/>
    <hyperlink ref="C30" r:id="rId12" xr:uid="{00000000-0004-0000-0000-00000C000000}"/>
    <hyperlink ref="C31" r:id="rId13" xr:uid="{00000000-0004-0000-0000-00000D000000}"/>
    <hyperlink ref="C32" r:id="rId14" xr:uid="{00000000-0004-0000-0000-00000E000000}"/>
    <hyperlink ref="C33" r:id="rId15" xr:uid="{00000000-0004-0000-0000-00000F000000}"/>
    <hyperlink ref="C34" r:id="rId16" xr:uid="{00000000-0004-0000-0000-000010000000}"/>
    <hyperlink ref="C35" r:id="rId17" xr:uid="{00000000-0004-0000-0000-000011000000}"/>
    <hyperlink ref="C36" r:id="rId18" xr:uid="{00000000-0004-0000-0000-00001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3:F29"/>
  <sheetViews>
    <sheetView showGridLines="0" topLeftCell="A11" workbookViewId="0">
      <selection activeCell="C17" sqref="C17"/>
    </sheetView>
  </sheetViews>
  <sheetFormatPr baseColWidth="10" defaultColWidth="12.6640625" defaultRowHeight="15.75" customHeight="1"/>
  <cols>
    <col min="1" max="1" width="12.6640625" style="63"/>
    <col min="2" max="2" width="22.83203125" style="63" customWidth="1"/>
    <col min="3" max="3" width="66.33203125" style="63" customWidth="1"/>
    <col min="4" max="4" width="58.5" style="63" customWidth="1"/>
    <col min="5" max="5" width="63.6640625" style="63" customWidth="1"/>
    <col min="6" max="16384" width="12.6640625" style="63"/>
  </cols>
  <sheetData>
    <row r="3" spans="2:6" ht="17">
      <c r="B3" s="132" t="s">
        <v>62</v>
      </c>
      <c r="C3" s="133"/>
      <c r="D3" s="80"/>
      <c r="E3" s="80"/>
    </row>
    <row r="4" spans="2:6" ht="18">
      <c r="B4" s="134" t="s">
        <v>63</v>
      </c>
      <c r="C4" s="135">
        <v>22</v>
      </c>
      <c r="D4" s="68"/>
      <c r="E4" s="68"/>
    </row>
    <row r="5" spans="2:6" ht="18">
      <c r="B5" s="136" t="s">
        <v>64</v>
      </c>
      <c r="C5" s="137" t="s">
        <v>65</v>
      </c>
      <c r="D5" s="68"/>
      <c r="E5" s="68"/>
    </row>
    <row r="6" spans="2:6" ht="18">
      <c r="B6" s="134" t="s">
        <v>66</v>
      </c>
      <c r="C6" s="138" t="s">
        <v>67</v>
      </c>
      <c r="D6" s="68"/>
      <c r="E6" s="68"/>
    </row>
    <row r="7" spans="2:6" ht="18">
      <c r="B7" s="136" t="s">
        <v>68</v>
      </c>
      <c r="C7" s="114" t="s">
        <v>69</v>
      </c>
      <c r="D7" s="68"/>
      <c r="E7" s="68"/>
    </row>
    <row r="8" spans="2:6" ht="18">
      <c r="B8" s="134" t="s">
        <v>70</v>
      </c>
      <c r="C8" s="139" t="s">
        <v>71</v>
      </c>
      <c r="D8" s="68"/>
      <c r="E8" s="68"/>
    </row>
    <row r="9" spans="2:6" ht="18">
      <c r="B9" s="136" t="s">
        <v>72</v>
      </c>
      <c r="C9" s="137" t="s">
        <v>73</v>
      </c>
      <c r="D9" s="68"/>
      <c r="E9" s="68"/>
    </row>
    <row r="10" spans="2:6" ht="18">
      <c r="B10" s="134" t="s">
        <v>24</v>
      </c>
      <c r="C10" s="138" t="s">
        <v>74</v>
      </c>
      <c r="D10" s="68"/>
      <c r="E10" s="68"/>
    </row>
    <row r="11" spans="2:6" ht="15.75" customHeight="1">
      <c r="B11" s="68"/>
      <c r="C11" s="68"/>
      <c r="D11" s="68"/>
      <c r="E11" s="68"/>
    </row>
    <row r="12" spans="2:6" ht="15.75" customHeight="1">
      <c r="B12" s="68"/>
      <c r="C12" s="68"/>
      <c r="D12" s="68"/>
      <c r="E12" s="68"/>
    </row>
    <row r="13" spans="2:6" ht="15.75" customHeight="1">
      <c r="B13" s="68"/>
      <c r="C13" s="68"/>
      <c r="D13" s="68"/>
      <c r="E13" s="68"/>
    </row>
    <row r="14" spans="2:6" ht="17">
      <c r="B14" s="140" t="s">
        <v>75</v>
      </c>
      <c r="C14" s="141"/>
      <c r="D14" s="142" t="s">
        <v>76</v>
      </c>
      <c r="E14" s="142" t="s">
        <v>77</v>
      </c>
      <c r="F14" s="143" t="s">
        <v>78</v>
      </c>
    </row>
    <row r="15" spans="2:6" ht="36">
      <c r="B15" s="144" t="s">
        <v>79</v>
      </c>
      <c r="C15" s="145" t="s">
        <v>80</v>
      </c>
      <c r="D15" s="137" t="s">
        <v>67</v>
      </c>
      <c r="E15" s="137" t="s">
        <v>81</v>
      </c>
    </row>
    <row r="16" spans="2:6" ht="36">
      <c r="B16" s="146"/>
      <c r="C16" s="145" t="s">
        <v>82</v>
      </c>
      <c r="D16" s="137" t="s">
        <v>83</v>
      </c>
      <c r="E16" s="137" t="s">
        <v>84</v>
      </c>
    </row>
    <row r="17" spans="2:5" ht="18">
      <c r="B17" s="144" t="s">
        <v>585</v>
      </c>
      <c r="C17" s="145" t="s">
        <v>85</v>
      </c>
      <c r="D17" s="147" t="s">
        <v>86</v>
      </c>
      <c r="E17" s="137" t="s">
        <v>87</v>
      </c>
    </row>
    <row r="18" spans="2:5" ht="18">
      <c r="B18" s="148"/>
      <c r="C18" s="145" t="s">
        <v>88</v>
      </c>
      <c r="D18" s="147" t="s">
        <v>89</v>
      </c>
      <c r="E18" s="137" t="s">
        <v>557</v>
      </c>
    </row>
    <row r="19" spans="2:5" ht="18">
      <c r="B19" s="148"/>
      <c r="C19" s="145" t="s">
        <v>90</v>
      </c>
      <c r="D19" s="147" t="s">
        <v>91</v>
      </c>
      <c r="E19" s="137" t="s">
        <v>561</v>
      </c>
    </row>
    <row r="20" spans="2:5" ht="18">
      <c r="B20" s="149"/>
      <c r="C20" s="145" t="s">
        <v>92</v>
      </c>
      <c r="D20" s="114" t="s">
        <v>93</v>
      </c>
      <c r="E20" s="150" t="s">
        <v>558</v>
      </c>
    </row>
    <row r="21" spans="2:5" s="154" customFormat="1" ht="54">
      <c r="B21" s="151" t="s">
        <v>94</v>
      </c>
      <c r="C21" s="152" t="s">
        <v>559</v>
      </c>
      <c r="D21" s="120" t="s">
        <v>95</v>
      </c>
      <c r="E21" s="153" t="s">
        <v>560</v>
      </c>
    </row>
    <row r="22" spans="2:5" ht="17">
      <c r="B22" s="155" t="s">
        <v>96</v>
      </c>
      <c r="C22" s="156"/>
      <c r="D22" s="156"/>
      <c r="E22" s="157"/>
    </row>
    <row r="23" spans="2:5" ht="18">
      <c r="B23" s="134" t="s">
        <v>97</v>
      </c>
      <c r="C23" s="158" t="s">
        <v>98</v>
      </c>
      <c r="D23" s="159" t="s">
        <v>586</v>
      </c>
      <c r="E23" s="160"/>
    </row>
    <row r="24" spans="2:5" ht="18">
      <c r="B24" s="134" t="s">
        <v>99</v>
      </c>
      <c r="C24" s="158" t="s">
        <v>100</v>
      </c>
      <c r="D24" s="161" t="s">
        <v>101</v>
      </c>
      <c r="E24" s="162"/>
    </row>
    <row r="25" spans="2:5" s="154" customFormat="1" ht="18">
      <c r="B25" s="151" t="s">
        <v>102</v>
      </c>
      <c r="C25" s="163" t="s">
        <v>103</v>
      </c>
      <c r="D25" s="164" t="s">
        <v>104</v>
      </c>
      <c r="E25" s="165"/>
    </row>
    <row r="26" spans="2:5" ht="17">
      <c r="B26" s="166" t="s">
        <v>105</v>
      </c>
      <c r="C26" s="156"/>
      <c r="D26" s="156"/>
      <c r="E26" s="157"/>
    </row>
    <row r="27" spans="2:5" ht="18">
      <c r="B27" s="134" t="s">
        <v>106</v>
      </c>
      <c r="C27" s="167" t="s">
        <v>107</v>
      </c>
      <c r="D27" s="168"/>
      <c r="E27" s="169"/>
    </row>
    <row r="28" spans="2:5" ht="36" customHeight="1">
      <c r="B28" s="134" t="s">
        <v>108</v>
      </c>
      <c r="C28" s="167" t="s">
        <v>562</v>
      </c>
      <c r="D28" s="168"/>
      <c r="E28" s="170"/>
    </row>
    <row r="29" spans="2:5" ht="36" customHeight="1">
      <c r="B29" s="134" t="s">
        <v>109</v>
      </c>
      <c r="C29" s="167" t="s">
        <v>563</v>
      </c>
      <c r="D29" s="168"/>
      <c r="E29" s="170"/>
    </row>
  </sheetData>
  <mergeCells count="12">
    <mergeCell ref="B26:E26"/>
    <mergeCell ref="D23:E23"/>
    <mergeCell ref="C27:E27"/>
    <mergeCell ref="C28:D28"/>
    <mergeCell ref="C29:D29"/>
    <mergeCell ref="D25:E25"/>
    <mergeCell ref="D24:E24"/>
    <mergeCell ref="B3:C3"/>
    <mergeCell ref="B14:C14"/>
    <mergeCell ref="B15:B16"/>
    <mergeCell ref="B17:B20"/>
    <mergeCell ref="B22:E22"/>
  </mergeCells>
  <hyperlinks>
    <hyperlink ref="F14"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R44"/>
  <sheetViews>
    <sheetView showGridLines="0" topLeftCell="A2" workbookViewId="0">
      <selection activeCell="D27" sqref="D27"/>
    </sheetView>
  </sheetViews>
  <sheetFormatPr baseColWidth="10" defaultColWidth="12.6640625" defaultRowHeight="15.75" customHeight="1"/>
  <cols>
    <col min="1" max="1" width="12.6640625" style="63"/>
    <col min="2" max="2" width="21.6640625" style="63" customWidth="1"/>
    <col min="3" max="3" width="43.6640625" style="63" customWidth="1"/>
    <col min="4" max="4" width="35.1640625" style="63" customWidth="1"/>
    <col min="5" max="5" width="12.6640625" style="63"/>
    <col min="6" max="6" width="18.6640625" style="63" customWidth="1"/>
    <col min="7" max="7" width="23.6640625" style="63" customWidth="1"/>
    <col min="8" max="8" width="28" style="63" customWidth="1"/>
    <col min="9" max="9" width="12.6640625" style="63"/>
    <col min="10" max="10" width="21.1640625" style="63" customWidth="1"/>
    <col min="11" max="11" width="21.6640625" style="63" customWidth="1"/>
    <col min="12" max="12" width="29.33203125" style="63" customWidth="1"/>
    <col min="13" max="14" width="12.6640625" style="63"/>
    <col min="15" max="15" width="23.1640625" style="63" customWidth="1"/>
    <col min="16" max="16" width="28.83203125" style="63" customWidth="1"/>
    <col min="17" max="16384" width="12.6640625" style="63"/>
  </cols>
  <sheetData>
    <row r="1" spans="2:18" ht="17">
      <c r="F1" s="68"/>
      <c r="G1" s="68"/>
      <c r="H1" s="68"/>
      <c r="I1" s="68"/>
      <c r="J1" s="68"/>
      <c r="K1" s="68"/>
      <c r="L1" s="68"/>
      <c r="M1" s="68"/>
      <c r="N1" s="68"/>
      <c r="O1" s="68"/>
      <c r="P1" s="68"/>
      <c r="Q1" s="68"/>
      <c r="R1" s="68"/>
    </row>
    <row r="2" spans="2:18" ht="17">
      <c r="B2" s="171" t="s">
        <v>110</v>
      </c>
      <c r="C2" s="172"/>
      <c r="D2" s="173"/>
      <c r="E2" s="80"/>
      <c r="F2" s="174" t="s">
        <v>111</v>
      </c>
      <c r="G2" s="172"/>
      <c r="H2" s="173"/>
      <c r="I2" s="175" t="s">
        <v>27</v>
      </c>
      <c r="J2" s="176" t="s">
        <v>112</v>
      </c>
      <c r="K2" s="177"/>
      <c r="L2" s="107"/>
      <c r="M2" s="178" t="s">
        <v>27</v>
      </c>
      <c r="R2" s="68"/>
    </row>
    <row r="3" spans="2:18" ht="18">
      <c r="B3" s="179" t="s">
        <v>113</v>
      </c>
      <c r="C3" s="179" t="s">
        <v>114</v>
      </c>
      <c r="D3" s="179" t="s">
        <v>115</v>
      </c>
      <c r="E3" s="180" t="s">
        <v>27</v>
      </c>
      <c r="F3" s="181" t="s">
        <v>116</v>
      </c>
      <c r="G3" s="181" t="s">
        <v>117</v>
      </c>
      <c r="H3" s="182" t="s">
        <v>118</v>
      </c>
      <c r="I3" s="68"/>
      <c r="J3" s="183" t="s">
        <v>116</v>
      </c>
      <c r="K3" s="114" t="s">
        <v>117</v>
      </c>
      <c r="L3" s="184" t="s">
        <v>118</v>
      </c>
      <c r="M3" s="68"/>
      <c r="R3" s="68"/>
    </row>
    <row r="4" spans="2:18" ht="17">
      <c r="B4" s="185">
        <v>1</v>
      </c>
      <c r="C4" s="185" t="s">
        <v>119</v>
      </c>
      <c r="D4" s="186">
        <v>0.05</v>
      </c>
      <c r="E4" s="187" t="s">
        <v>120</v>
      </c>
      <c r="F4" s="183">
        <v>1</v>
      </c>
      <c r="G4" s="114" t="s">
        <v>121</v>
      </c>
      <c r="H4" s="184">
        <v>0.05</v>
      </c>
      <c r="I4" s="68"/>
      <c r="J4" s="188">
        <v>1</v>
      </c>
      <c r="K4" s="189" t="s">
        <v>121</v>
      </c>
      <c r="L4" s="190">
        <v>4.7E-2</v>
      </c>
      <c r="M4" s="68"/>
      <c r="R4" s="68"/>
    </row>
    <row r="5" spans="2:18" ht="17">
      <c r="B5" s="188">
        <v>2</v>
      </c>
      <c r="C5" s="188" t="s">
        <v>122</v>
      </c>
      <c r="D5" s="191">
        <v>0.1</v>
      </c>
      <c r="E5" s="187" t="s">
        <v>120</v>
      </c>
      <c r="F5" s="188">
        <f t="shared" ref="F5:F16" si="0">F4+1</f>
        <v>2</v>
      </c>
      <c r="G5" s="189" t="s">
        <v>123</v>
      </c>
      <c r="H5" s="190">
        <v>5.5E-2</v>
      </c>
      <c r="I5" s="68"/>
      <c r="J5" s="183">
        <f t="shared" ref="J5:J16" si="1">J4+1</f>
        <v>2</v>
      </c>
      <c r="K5" s="114" t="s">
        <v>123</v>
      </c>
      <c r="L5" s="184">
        <v>4.5999999999999999E-2</v>
      </c>
      <c r="M5" s="68"/>
      <c r="R5" s="68"/>
    </row>
    <row r="6" spans="2:18" ht="17">
      <c r="B6" s="185">
        <v>3</v>
      </c>
      <c r="C6" s="185" t="s">
        <v>124</v>
      </c>
      <c r="D6" s="186">
        <v>0.15</v>
      </c>
      <c r="E6" s="187" t="s">
        <v>120</v>
      </c>
      <c r="F6" s="183">
        <f t="shared" si="0"/>
        <v>3</v>
      </c>
      <c r="G6" s="114" t="s">
        <v>125</v>
      </c>
      <c r="H6" s="192">
        <v>0.06</v>
      </c>
      <c r="I6" s="68"/>
      <c r="J6" s="188">
        <f t="shared" si="1"/>
        <v>3</v>
      </c>
      <c r="K6" s="189" t="s">
        <v>125</v>
      </c>
      <c r="L6" s="190">
        <v>4.8000000000000001E-2</v>
      </c>
      <c r="M6" s="68"/>
      <c r="R6" s="68"/>
    </row>
    <row r="7" spans="2:18" ht="17">
      <c r="B7" s="188">
        <v>4</v>
      </c>
      <c r="C7" s="188" t="s">
        <v>126</v>
      </c>
      <c r="D7" s="191">
        <v>0.2</v>
      </c>
      <c r="E7" s="187" t="s">
        <v>120</v>
      </c>
      <c r="F7" s="188">
        <f t="shared" si="0"/>
        <v>4</v>
      </c>
      <c r="G7" s="189" t="s">
        <v>127</v>
      </c>
      <c r="H7" s="191">
        <v>0.06</v>
      </c>
      <c r="I7" s="68"/>
      <c r="J7" s="193">
        <f t="shared" si="1"/>
        <v>4</v>
      </c>
      <c r="K7" s="114" t="s">
        <v>127</v>
      </c>
      <c r="L7" s="184">
        <v>4.7E-2</v>
      </c>
      <c r="M7" s="68"/>
      <c r="R7" s="68"/>
    </row>
    <row r="8" spans="2:18" ht="17">
      <c r="B8" s="185">
        <v>5</v>
      </c>
      <c r="C8" s="185" t="s">
        <v>128</v>
      </c>
      <c r="D8" s="186">
        <v>0.25</v>
      </c>
      <c r="E8" s="187" t="s">
        <v>120</v>
      </c>
      <c r="F8" s="183">
        <f t="shared" si="0"/>
        <v>5</v>
      </c>
      <c r="G8" s="114" t="s">
        <v>129</v>
      </c>
      <c r="H8" s="184">
        <v>6.5000000000000002E-2</v>
      </c>
      <c r="I8" s="68"/>
      <c r="J8" s="194">
        <f t="shared" si="1"/>
        <v>5</v>
      </c>
      <c r="K8" s="189" t="s">
        <v>129</v>
      </c>
      <c r="L8" s="190">
        <v>4.9000000000000002E-2</v>
      </c>
      <c r="M8" s="68"/>
      <c r="R8" s="68"/>
    </row>
    <row r="9" spans="2:18" ht="17">
      <c r="B9" s="188">
        <v>6</v>
      </c>
      <c r="C9" s="188" t="s">
        <v>130</v>
      </c>
      <c r="D9" s="191">
        <v>0.3</v>
      </c>
      <c r="E9" s="187" t="s">
        <v>120</v>
      </c>
      <c r="F9" s="188">
        <f t="shared" si="0"/>
        <v>6</v>
      </c>
      <c r="G9" s="189" t="s">
        <v>131</v>
      </c>
      <c r="H9" s="190">
        <v>6.7000000000000004E-2</v>
      </c>
      <c r="I9" s="68"/>
      <c r="J9" s="193">
        <f t="shared" si="1"/>
        <v>6</v>
      </c>
      <c r="K9" s="114" t="s">
        <v>131</v>
      </c>
      <c r="L9" s="184">
        <v>4.7500000000000001E-2</v>
      </c>
      <c r="M9" s="68"/>
      <c r="R9" s="68"/>
    </row>
    <row r="10" spans="2:18" ht="17">
      <c r="B10" s="185">
        <v>7</v>
      </c>
      <c r="C10" s="185" t="s">
        <v>132</v>
      </c>
      <c r="D10" s="186">
        <v>0.35</v>
      </c>
      <c r="E10" s="187" t="s">
        <v>120</v>
      </c>
      <c r="F10" s="183">
        <f t="shared" si="0"/>
        <v>7</v>
      </c>
      <c r="G10" s="114" t="s">
        <v>133</v>
      </c>
      <c r="H10" s="184">
        <v>7.1999999999999995E-2</v>
      </c>
      <c r="I10" s="68"/>
      <c r="J10" s="194">
        <f t="shared" si="1"/>
        <v>7</v>
      </c>
      <c r="K10" s="189" t="s">
        <v>133</v>
      </c>
      <c r="L10" s="191">
        <v>0.05</v>
      </c>
      <c r="M10" s="68"/>
      <c r="R10" s="68"/>
    </row>
    <row r="11" spans="2:18" ht="17">
      <c r="B11" s="80"/>
      <c r="C11" s="80"/>
      <c r="D11" s="80"/>
      <c r="E11" s="187" t="s">
        <v>120</v>
      </c>
      <c r="F11" s="188">
        <f t="shared" si="0"/>
        <v>8</v>
      </c>
      <c r="G11" s="189" t="s">
        <v>134</v>
      </c>
      <c r="H11" s="191">
        <v>6.6000000000000003E-2</v>
      </c>
      <c r="I11" s="68"/>
      <c r="J11" s="193">
        <f t="shared" si="1"/>
        <v>8</v>
      </c>
      <c r="K11" s="114" t="s">
        <v>134</v>
      </c>
      <c r="L11" s="192">
        <v>5.1999999999999998E-2</v>
      </c>
      <c r="M11" s="68"/>
      <c r="R11" s="68"/>
    </row>
    <row r="12" spans="2:18" ht="17">
      <c r="B12" s="195" t="s">
        <v>135</v>
      </c>
      <c r="C12" s="173"/>
      <c r="D12" s="196" t="s">
        <v>136</v>
      </c>
      <c r="E12" s="187" t="s">
        <v>120</v>
      </c>
      <c r="F12" s="183">
        <f t="shared" si="0"/>
        <v>9</v>
      </c>
      <c r="G12" s="114" t="s">
        <v>137</v>
      </c>
      <c r="H12" s="192">
        <v>7.0000000000000007E-2</v>
      </c>
      <c r="I12" s="68"/>
      <c r="J12" s="194">
        <f t="shared" si="1"/>
        <v>9</v>
      </c>
      <c r="K12" s="189" t="s">
        <v>137</v>
      </c>
      <c r="L12" s="191">
        <v>4.9000000000000002E-2</v>
      </c>
      <c r="M12" s="68"/>
      <c r="R12" s="68"/>
    </row>
    <row r="13" spans="2:18" ht="17">
      <c r="B13" s="197" t="s">
        <v>138</v>
      </c>
      <c r="C13" s="107"/>
      <c r="D13" s="198">
        <v>132000000</v>
      </c>
      <c r="E13" s="180" t="s">
        <v>27</v>
      </c>
      <c r="F13" s="188">
        <f t="shared" si="0"/>
        <v>10</v>
      </c>
      <c r="G13" s="189" t="s">
        <v>139</v>
      </c>
      <c r="H13" s="191">
        <v>7.0000000000000007E-2</v>
      </c>
      <c r="I13" s="68"/>
      <c r="J13" s="193">
        <f t="shared" si="1"/>
        <v>10</v>
      </c>
      <c r="K13" s="114" t="s">
        <v>139</v>
      </c>
      <c r="L13" s="184">
        <v>5.3999999999999999E-2</v>
      </c>
      <c r="M13" s="68"/>
      <c r="R13" s="68"/>
    </row>
    <row r="14" spans="2:18" ht="17">
      <c r="B14" s="199" t="s">
        <v>140</v>
      </c>
      <c r="C14" s="107"/>
      <c r="D14" s="200">
        <f>4400000*12</f>
        <v>52800000</v>
      </c>
      <c r="E14" s="180" t="s">
        <v>27</v>
      </c>
      <c r="F14" s="183">
        <f t="shared" si="0"/>
        <v>11</v>
      </c>
      <c r="G14" s="114" t="s">
        <v>141</v>
      </c>
      <c r="H14" s="184">
        <v>6.2E-2</v>
      </c>
      <c r="I14" s="68"/>
      <c r="J14" s="194">
        <f t="shared" si="1"/>
        <v>11</v>
      </c>
      <c r="K14" s="189" t="s">
        <v>141</v>
      </c>
      <c r="L14" s="190">
        <v>5.6000000000000001E-2</v>
      </c>
      <c r="M14" s="68"/>
      <c r="R14" s="68"/>
    </row>
    <row r="15" spans="2:18" ht="17">
      <c r="B15" s="68"/>
      <c r="C15" s="68"/>
      <c r="D15" s="68"/>
      <c r="E15" s="143"/>
      <c r="F15" s="188">
        <f t="shared" si="0"/>
        <v>12</v>
      </c>
      <c r="G15" s="189" t="s">
        <v>142</v>
      </c>
      <c r="H15" s="190">
        <v>6.5000000000000002E-2</v>
      </c>
      <c r="I15" s="68"/>
      <c r="J15" s="193">
        <f t="shared" si="1"/>
        <v>12</v>
      </c>
      <c r="K15" s="114" t="s">
        <v>142</v>
      </c>
      <c r="L15" s="184">
        <v>5.6000000000000001E-2</v>
      </c>
      <c r="M15" s="68"/>
      <c r="R15" s="68"/>
    </row>
    <row r="16" spans="2:18" ht="17">
      <c r="B16" s="80" t="s">
        <v>120</v>
      </c>
      <c r="C16" s="80" t="s">
        <v>120</v>
      </c>
      <c r="D16" s="187" t="s">
        <v>120</v>
      </c>
      <c r="E16" s="201" t="s">
        <v>120</v>
      </c>
      <c r="F16" s="183">
        <f t="shared" si="0"/>
        <v>13</v>
      </c>
      <c r="G16" s="114" t="s">
        <v>143</v>
      </c>
      <c r="H16" s="184">
        <v>7.9000000000000001E-2</v>
      </c>
      <c r="I16" s="68"/>
      <c r="J16" s="202">
        <f t="shared" si="1"/>
        <v>13</v>
      </c>
      <c r="K16" s="189" t="s">
        <v>143</v>
      </c>
      <c r="L16" s="190">
        <v>0.05</v>
      </c>
      <c r="M16" s="68"/>
      <c r="R16" s="68"/>
    </row>
    <row r="17" spans="2:18" ht="17">
      <c r="B17" s="195" t="s">
        <v>144</v>
      </c>
      <c r="C17" s="172"/>
      <c r="D17" s="173"/>
      <c r="E17" s="180" t="s">
        <v>27</v>
      </c>
      <c r="F17" s="203" t="s">
        <v>145</v>
      </c>
      <c r="G17" s="107"/>
      <c r="H17" s="190">
        <f>AVERAGE(H4:H16)</f>
        <v>6.4692307692307688E-2</v>
      </c>
      <c r="I17" s="68"/>
      <c r="J17" s="204" t="s">
        <v>145</v>
      </c>
      <c r="K17" s="107"/>
      <c r="L17" s="205">
        <f>MAX(L4:L16)</f>
        <v>5.6000000000000001E-2</v>
      </c>
      <c r="M17" s="68"/>
      <c r="R17" s="68"/>
    </row>
    <row r="18" spans="2:18" ht="17">
      <c r="B18" s="197" t="s">
        <v>146</v>
      </c>
      <c r="C18" s="107"/>
      <c r="D18" s="206">
        <v>1</v>
      </c>
      <c r="E18" s="80"/>
      <c r="F18" s="68"/>
      <c r="G18" s="68"/>
      <c r="H18" s="68"/>
      <c r="I18" s="68"/>
      <c r="J18" s="69"/>
      <c r="K18" s="70"/>
      <c r="L18" s="67"/>
      <c r="M18" s="68"/>
      <c r="N18" s="207"/>
      <c r="O18" s="68"/>
      <c r="P18" s="68"/>
      <c r="Q18" s="68"/>
      <c r="R18" s="68"/>
    </row>
    <row r="19" spans="2:18" ht="17">
      <c r="B19" s="197" t="s">
        <v>147</v>
      </c>
      <c r="C19" s="107"/>
      <c r="D19" s="186">
        <v>0.9</v>
      </c>
      <c r="E19" s="80"/>
      <c r="F19" s="68"/>
      <c r="G19" s="68"/>
      <c r="H19" s="68"/>
      <c r="I19" s="68"/>
      <c r="J19" s="68"/>
      <c r="K19" s="68"/>
      <c r="L19" s="207"/>
      <c r="M19" s="68"/>
      <c r="N19" s="207"/>
      <c r="O19" s="68"/>
      <c r="P19" s="68"/>
      <c r="Q19" s="68"/>
      <c r="R19" s="68"/>
    </row>
    <row r="20" spans="2:18" ht="17">
      <c r="B20" s="199" t="s">
        <v>148</v>
      </c>
      <c r="C20" s="107"/>
      <c r="D20" s="191">
        <v>0.7</v>
      </c>
      <c r="E20" s="80"/>
      <c r="F20" s="195" t="s">
        <v>149</v>
      </c>
      <c r="G20" s="173"/>
      <c r="H20" s="175" t="s">
        <v>27</v>
      </c>
      <c r="I20" s="68"/>
      <c r="J20" s="208" t="s">
        <v>150</v>
      </c>
      <c r="K20" s="177"/>
      <c r="L20" s="107"/>
      <c r="M20" s="68"/>
      <c r="R20" s="68"/>
    </row>
    <row r="21" spans="2:18" ht="17">
      <c r="B21" s="197" t="s">
        <v>151</v>
      </c>
      <c r="C21" s="107"/>
      <c r="D21" s="186">
        <v>0.5</v>
      </c>
      <c r="E21" s="80"/>
      <c r="F21" s="181" t="s">
        <v>152</v>
      </c>
      <c r="G21" s="181" t="s">
        <v>153</v>
      </c>
      <c r="H21" s="209"/>
      <c r="I21" s="68"/>
      <c r="J21" s="210" t="s">
        <v>154</v>
      </c>
      <c r="K21" s="107"/>
      <c r="L21" s="211">
        <v>3.474E-2</v>
      </c>
      <c r="M21" s="178" t="s">
        <v>27</v>
      </c>
      <c r="R21" s="68"/>
    </row>
    <row r="22" spans="2:18" ht="17">
      <c r="B22" s="199" t="s">
        <v>155</v>
      </c>
      <c r="C22" s="107"/>
      <c r="D22" s="191">
        <v>0.3</v>
      </c>
      <c r="E22" s="80"/>
      <c r="F22" s="183">
        <v>2021</v>
      </c>
      <c r="G22" s="184">
        <v>1.84E-2</v>
      </c>
      <c r="H22" s="70"/>
      <c r="I22" s="68"/>
      <c r="J22" s="212" t="s">
        <v>156</v>
      </c>
      <c r="K22" s="107"/>
      <c r="L22" s="190">
        <v>3.5000000000000003E-2</v>
      </c>
      <c r="M22" s="68"/>
      <c r="R22" s="68"/>
    </row>
    <row r="23" spans="2:18" ht="17">
      <c r="B23" s="197" t="s">
        <v>157</v>
      </c>
      <c r="C23" s="107"/>
      <c r="D23" s="186">
        <v>0.2</v>
      </c>
      <c r="E23" s="80"/>
      <c r="F23" s="188">
        <f t="shared" ref="F23:F31" si="2">F22+1</f>
        <v>2022</v>
      </c>
      <c r="G23" s="190">
        <v>3.1600000000000003E-2</v>
      </c>
      <c r="H23" s="68"/>
      <c r="I23" s="68"/>
      <c r="J23" s="213" t="s">
        <v>158</v>
      </c>
      <c r="K23" s="107"/>
      <c r="L23" s="211">
        <v>3.5000000000000003E-2</v>
      </c>
      <c r="M23" s="68"/>
      <c r="R23" s="68"/>
    </row>
    <row r="24" spans="2:18" ht="17">
      <c r="B24" s="68"/>
      <c r="C24" s="68"/>
      <c r="D24" s="68"/>
      <c r="E24" s="68"/>
      <c r="F24" s="183">
        <f t="shared" si="2"/>
        <v>2023</v>
      </c>
      <c r="G24" s="184">
        <v>3.2500000000000001E-2</v>
      </c>
      <c r="H24" s="68"/>
      <c r="I24" s="68"/>
      <c r="J24" s="214" t="s">
        <v>159</v>
      </c>
      <c r="K24" s="107"/>
      <c r="L24" s="205">
        <f>L22+L21</f>
        <v>6.9739999999999996E-2</v>
      </c>
      <c r="M24" s="68"/>
      <c r="R24" s="68"/>
    </row>
    <row r="25" spans="2:18" ht="39.75" customHeight="1">
      <c r="B25" s="171" t="s">
        <v>160</v>
      </c>
      <c r="C25" s="172"/>
      <c r="D25" s="173"/>
      <c r="E25" s="215" t="s">
        <v>27</v>
      </c>
      <c r="F25" s="188">
        <f t="shared" si="2"/>
        <v>2024</v>
      </c>
      <c r="G25" s="190">
        <v>3.6200000000000003E-2</v>
      </c>
      <c r="H25" s="68"/>
      <c r="I25" s="68"/>
      <c r="J25" s="216" t="s">
        <v>161</v>
      </c>
      <c r="K25" s="107"/>
      <c r="L25" s="205">
        <f>L23+L21</f>
        <v>6.9739999999999996E-2</v>
      </c>
      <c r="M25" s="68"/>
      <c r="R25" s="68"/>
    </row>
    <row r="26" spans="2:18" ht="17">
      <c r="B26" s="197" t="s">
        <v>162</v>
      </c>
      <c r="C26" s="107"/>
      <c r="D26" s="217" t="s">
        <v>163</v>
      </c>
      <c r="E26" s="68"/>
      <c r="F26" s="183">
        <f t="shared" si="2"/>
        <v>2025</v>
      </c>
      <c r="G26" s="184">
        <v>2.9499999999999998E-2</v>
      </c>
      <c r="H26" s="68"/>
      <c r="I26" s="207"/>
      <c r="J26" s="68"/>
      <c r="K26" s="68"/>
      <c r="L26" s="99"/>
      <c r="M26" s="99"/>
      <c r="N26" s="218"/>
      <c r="O26" s="218"/>
      <c r="P26" s="68"/>
      <c r="Q26" s="68"/>
      <c r="R26" s="68"/>
    </row>
    <row r="27" spans="2:18" ht="17">
      <c r="B27" s="199" t="s">
        <v>164</v>
      </c>
      <c r="C27" s="107"/>
      <c r="D27" s="219">
        <v>458000000</v>
      </c>
      <c r="E27" s="66"/>
      <c r="F27" s="188">
        <f t="shared" si="2"/>
        <v>2026</v>
      </c>
      <c r="G27" s="190">
        <v>2.4899999999999999E-2</v>
      </c>
      <c r="H27" s="68"/>
      <c r="I27" s="207"/>
      <c r="J27" s="68"/>
      <c r="K27" s="68"/>
      <c r="L27" s="99"/>
      <c r="M27" s="99"/>
      <c r="N27" s="220"/>
      <c r="O27" s="68"/>
      <c r="P27" s="68"/>
      <c r="Q27" s="68"/>
      <c r="R27" s="68"/>
    </row>
    <row r="28" spans="2:18" ht="17">
      <c r="E28" s="68"/>
      <c r="F28" s="183">
        <f t="shared" si="2"/>
        <v>2027</v>
      </c>
      <c r="G28" s="184">
        <v>2.8000000000000001E-2</v>
      </c>
      <c r="H28" s="68"/>
      <c r="I28" s="207"/>
      <c r="J28" s="68"/>
      <c r="K28" s="68"/>
      <c r="L28" s="68"/>
      <c r="M28" s="68"/>
      <c r="N28" s="207"/>
      <c r="O28" s="68"/>
      <c r="P28" s="68"/>
      <c r="Q28" s="68"/>
      <c r="R28" s="68"/>
    </row>
    <row r="29" spans="2:18" ht="17">
      <c r="E29" s="68"/>
      <c r="F29" s="188">
        <f t="shared" si="2"/>
        <v>2028</v>
      </c>
      <c r="G29" s="190">
        <v>2.9000000000000001E-2</v>
      </c>
      <c r="H29" s="68"/>
      <c r="I29" s="207"/>
      <c r="J29" s="68"/>
      <c r="K29" s="68"/>
      <c r="L29" s="68"/>
      <c r="M29" s="68"/>
      <c r="N29" s="207"/>
      <c r="O29" s="68"/>
      <c r="P29" s="68"/>
      <c r="Q29" s="68"/>
      <c r="R29" s="68"/>
    </row>
    <row r="30" spans="2:18" ht="17">
      <c r="E30" s="68"/>
      <c r="F30" s="183">
        <f t="shared" si="2"/>
        <v>2029</v>
      </c>
      <c r="G30" s="184">
        <v>2.9000000000000001E-2</v>
      </c>
      <c r="H30" s="68"/>
      <c r="I30" s="207"/>
      <c r="J30" s="68"/>
      <c r="K30" s="68"/>
      <c r="L30" s="218"/>
      <c r="M30" s="218"/>
      <c r="N30" s="68"/>
      <c r="O30" s="68"/>
      <c r="P30" s="68"/>
      <c r="Q30" s="68"/>
      <c r="R30" s="68"/>
    </row>
    <row r="31" spans="2:18" ht="17">
      <c r="D31" s="221"/>
      <c r="E31" s="68"/>
      <c r="F31" s="188">
        <f t="shared" si="2"/>
        <v>2030</v>
      </c>
      <c r="G31" s="190">
        <v>2.9000000000000001E-2</v>
      </c>
      <c r="H31" s="68"/>
      <c r="I31" s="207"/>
      <c r="J31" s="68"/>
      <c r="K31" s="68"/>
      <c r="L31" s="68"/>
      <c r="M31" s="68"/>
      <c r="N31" s="68"/>
      <c r="O31" s="68"/>
      <c r="P31" s="68"/>
      <c r="Q31" s="68"/>
      <c r="R31" s="68"/>
    </row>
    <row r="32" spans="2:18" ht="17">
      <c r="E32" s="80"/>
      <c r="F32" s="181" t="s">
        <v>165</v>
      </c>
      <c r="G32" s="182">
        <f>AVERAGE(G22:G31)</f>
        <v>2.8810000000000002E-2</v>
      </c>
      <c r="H32" s="68"/>
      <c r="I32" s="207"/>
      <c r="J32" s="68"/>
      <c r="K32" s="68"/>
      <c r="L32" s="68"/>
      <c r="M32" s="68"/>
      <c r="N32" s="68"/>
      <c r="O32" s="68"/>
      <c r="P32" s="68"/>
      <c r="Q32" s="68"/>
      <c r="R32" s="68"/>
    </row>
    <row r="33" spans="3:18" ht="17">
      <c r="E33" s="68"/>
      <c r="F33" s="68"/>
      <c r="G33" s="68"/>
      <c r="H33" s="68"/>
      <c r="I33" s="207"/>
      <c r="J33" s="68"/>
      <c r="K33" s="68"/>
      <c r="L33" s="68"/>
      <c r="M33" s="68"/>
      <c r="N33" s="68"/>
      <c r="O33" s="68"/>
      <c r="P33" s="68"/>
      <c r="Q33" s="68"/>
      <c r="R33" s="68"/>
    </row>
    <row r="34" spans="3:18" ht="17">
      <c r="E34" s="80"/>
      <c r="F34" s="68"/>
      <c r="G34" s="68"/>
      <c r="H34" s="68"/>
      <c r="I34" s="207"/>
      <c r="J34" s="68"/>
      <c r="K34" s="68"/>
      <c r="L34" s="68"/>
      <c r="M34" s="68"/>
      <c r="N34" s="68"/>
      <c r="O34" s="68"/>
      <c r="P34" s="68"/>
      <c r="Q34" s="68"/>
      <c r="R34" s="68"/>
    </row>
    <row r="35" spans="3:18" ht="17">
      <c r="D35" s="221"/>
      <c r="E35" s="80"/>
      <c r="F35" s="68"/>
      <c r="G35" s="68"/>
      <c r="H35" s="68"/>
      <c r="I35" s="207"/>
      <c r="J35" s="68"/>
      <c r="K35" s="68"/>
      <c r="L35" s="68"/>
      <c r="M35" s="68"/>
      <c r="N35" s="68"/>
      <c r="O35" s="68"/>
      <c r="P35" s="68"/>
      <c r="Q35" s="68"/>
      <c r="R35" s="68"/>
    </row>
    <row r="36" spans="3:18" ht="17">
      <c r="E36" s="68"/>
      <c r="F36" s="68"/>
      <c r="G36" s="68"/>
      <c r="H36" s="68"/>
      <c r="I36" s="207"/>
      <c r="J36" s="68"/>
      <c r="K36" s="68"/>
      <c r="L36" s="68"/>
      <c r="M36" s="68"/>
      <c r="N36" s="68"/>
      <c r="O36" s="68"/>
      <c r="P36" s="68"/>
      <c r="Q36" s="68"/>
      <c r="R36" s="68"/>
    </row>
    <row r="37" spans="3:18" ht="17">
      <c r="D37" s="221"/>
      <c r="E37" s="221"/>
      <c r="H37" s="68"/>
      <c r="I37" s="68"/>
      <c r="J37" s="68"/>
      <c r="K37" s="68"/>
      <c r="L37" s="68"/>
      <c r="M37" s="68"/>
      <c r="N37" s="68"/>
      <c r="O37" s="68"/>
      <c r="P37" s="68"/>
      <c r="Q37" s="68"/>
      <c r="R37" s="68"/>
    </row>
    <row r="38" spans="3:18" ht="17">
      <c r="C38" s="68"/>
      <c r="H38" s="68"/>
      <c r="I38" s="68"/>
      <c r="J38" s="68"/>
      <c r="K38" s="68"/>
      <c r="L38" s="68"/>
      <c r="M38" s="68"/>
      <c r="N38" s="68"/>
      <c r="O38" s="68"/>
      <c r="P38" s="68"/>
      <c r="Q38" s="68"/>
      <c r="R38" s="68"/>
    </row>
    <row r="39" spans="3:18" ht="17">
      <c r="H39" s="68"/>
      <c r="I39" s="68"/>
      <c r="J39" s="68"/>
      <c r="K39" s="68"/>
      <c r="L39" s="68"/>
      <c r="M39" s="68"/>
      <c r="N39" s="68"/>
      <c r="O39" s="68"/>
      <c r="P39" s="68"/>
      <c r="Q39" s="68"/>
      <c r="R39" s="68"/>
    </row>
    <row r="40" spans="3:18" ht="17">
      <c r="C40" s="221"/>
      <c r="H40" s="68"/>
      <c r="I40" s="68"/>
      <c r="J40" s="68"/>
      <c r="K40" s="68"/>
      <c r="L40" s="68"/>
      <c r="M40" s="68"/>
      <c r="N40" s="68"/>
      <c r="O40" s="68"/>
      <c r="P40" s="68"/>
      <c r="Q40" s="68"/>
      <c r="R40" s="68"/>
    </row>
    <row r="41" spans="3:18" ht="17">
      <c r="C41" s="221"/>
      <c r="H41" s="68"/>
      <c r="I41" s="68"/>
      <c r="J41" s="68"/>
      <c r="K41" s="68"/>
      <c r="L41" s="68"/>
      <c r="M41" s="68"/>
      <c r="N41" s="68"/>
      <c r="O41" s="68"/>
      <c r="P41" s="68"/>
      <c r="Q41" s="68"/>
      <c r="R41" s="68"/>
    </row>
    <row r="42" spans="3:18" ht="17">
      <c r="C42" s="221"/>
      <c r="H42" s="68"/>
      <c r="I42" s="68"/>
      <c r="J42" s="68"/>
      <c r="K42" s="68"/>
      <c r="L42" s="68"/>
      <c r="M42" s="68"/>
      <c r="N42" s="68"/>
      <c r="O42" s="68"/>
      <c r="P42" s="68"/>
      <c r="Q42" s="68"/>
      <c r="R42" s="68"/>
    </row>
    <row r="43" spans="3:18" ht="17">
      <c r="H43" s="68"/>
      <c r="I43" s="68"/>
      <c r="J43" s="68"/>
      <c r="K43" s="68"/>
      <c r="L43" s="68"/>
      <c r="M43" s="68"/>
      <c r="N43" s="68"/>
      <c r="O43" s="68"/>
      <c r="P43" s="68"/>
      <c r="Q43" s="68"/>
      <c r="R43" s="68"/>
    </row>
    <row r="44" spans="3:18" ht="17">
      <c r="H44" s="68"/>
      <c r="I44" s="68"/>
      <c r="J44" s="68"/>
      <c r="K44" s="68"/>
      <c r="L44" s="68"/>
      <c r="M44" s="68"/>
      <c r="N44" s="68"/>
      <c r="O44" s="68"/>
      <c r="P44" s="68"/>
      <c r="Q44" s="68"/>
      <c r="R44" s="68"/>
    </row>
  </sheetData>
  <mergeCells count="27">
    <mergeCell ref="J22:K22"/>
    <mergeCell ref="J24:K24"/>
    <mergeCell ref="F17:G17"/>
    <mergeCell ref="J17:K17"/>
    <mergeCell ref="B2:D2"/>
    <mergeCell ref="F2:H2"/>
    <mergeCell ref="J2:L2"/>
    <mergeCell ref="B12:C12"/>
    <mergeCell ref="B13:C13"/>
    <mergeCell ref="B14:C14"/>
    <mergeCell ref="B17:D17"/>
    <mergeCell ref="B27:C27"/>
    <mergeCell ref="B18:C18"/>
    <mergeCell ref="J18:K18"/>
    <mergeCell ref="B19:C19"/>
    <mergeCell ref="B20:C20"/>
    <mergeCell ref="F20:G20"/>
    <mergeCell ref="B21:C21"/>
    <mergeCell ref="B22:C22"/>
    <mergeCell ref="B23:C23"/>
    <mergeCell ref="J23:K23"/>
    <mergeCell ref="B25:D25"/>
    <mergeCell ref="J25:K25"/>
    <mergeCell ref="B26:C26"/>
    <mergeCell ref="J20:L20"/>
    <mergeCell ref="J21:K21"/>
    <mergeCell ref="H21:H22"/>
  </mergeCells>
  <hyperlinks>
    <hyperlink ref="I2" r:id="rId1" xr:uid="{00000000-0004-0000-0200-000000000000}"/>
    <hyperlink ref="M2" r:id="rId2" xr:uid="{00000000-0004-0000-0200-000001000000}"/>
    <hyperlink ref="E3" r:id="rId3" xr:uid="{00000000-0004-0000-0200-000002000000}"/>
    <hyperlink ref="E13" r:id="rId4" xr:uid="{00000000-0004-0000-0200-000003000000}"/>
    <hyperlink ref="E14" r:id="rId5" xr:uid="{00000000-0004-0000-0200-000004000000}"/>
    <hyperlink ref="E15" r:id="rId6" display="https://ketoanleanh.edu.vn/kinh-nghiem-ke-toan/cach-tinh-bao-hiem-xa-hoi-bhxh.html" xr:uid="{00000000-0004-0000-0200-000005000000}"/>
    <hyperlink ref="E17" r:id="rId7" xr:uid="{00000000-0004-0000-0200-000006000000}"/>
    <hyperlink ref="H20" r:id="rId8" xr:uid="{00000000-0004-0000-0200-000007000000}"/>
    <hyperlink ref="M21" r:id="rId9" xr:uid="{00000000-0004-0000-0200-000008000000}"/>
    <hyperlink ref="E25" r:id="rId10" xr:uid="{00000000-0004-0000-0200-00000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005"/>
  <sheetViews>
    <sheetView showGridLines="0" zoomScale="117" zoomScaleNormal="117" workbookViewId="0">
      <selection activeCell="F9" sqref="F9"/>
    </sheetView>
  </sheetViews>
  <sheetFormatPr baseColWidth="10" defaultColWidth="12.6640625" defaultRowHeight="15.75" customHeight="1"/>
  <cols>
    <col min="1" max="1" width="12.6640625" style="224"/>
    <col min="2" max="2" width="30.33203125" style="224" customWidth="1"/>
    <col min="3" max="3" width="22.1640625" style="224" customWidth="1"/>
    <col min="4" max="5" width="17.6640625" style="224" customWidth="1"/>
    <col min="6" max="6" width="33.6640625" style="224" customWidth="1"/>
    <col min="7" max="7" width="15.5" style="224" customWidth="1"/>
    <col min="8" max="10" width="12.6640625" style="224"/>
    <col min="11" max="11" width="34.33203125" style="224" customWidth="1"/>
    <col min="12" max="12" width="21.83203125" style="224" customWidth="1"/>
    <col min="13" max="14" width="12.6640625" style="224"/>
    <col min="15" max="15" width="30" style="224" customWidth="1"/>
    <col min="16" max="16" width="18.5" style="224" customWidth="1"/>
    <col min="17" max="16384" width="12.6640625" style="224"/>
  </cols>
  <sheetData>
    <row r="1" spans="1:28" ht="15.75" customHeight="1">
      <c r="A1" s="222"/>
      <c r="B1" s="222"/>
      <c r="C1" s="222"/>
      <c r="D1" s="222"/>
      <c r="E1" s="222"/>
      <c r="F1" s="222"/>
      <c r="G1" s="222"/>
      <c r="H1" s="222"/>
      <c r="I1" s="222"/>
      <c r="J1" s="222"/>
      <c r="K1" s="222"/>
      <c r="L1" s="223"/>
      <c r="M1" s="222"/>
      <c r="N1" s="222"/>
      <c r="O1" s="222"/>
      <c r="P1" s="222"/>
      <c r="Q1" s="222"/>
      <c r="R1" s="222"/>
      <c r="S1" s="222"/>
      <c r="T1" s="222"/>
      <c r="U1" s="222"/>
      <c r="V1" s="222"/>
      <c r="W1" s="222"/>
      <c r="X1" s="222"/>
      <c r="Y1" s="222"/>
      <c r="Z1" s="222"/>
      <c r="AA1" s="222"/>
      <c r="AB1" s="222"/>
    </row>
    <row r="2" spans="1:28" ht="15.75" customHeight="1">
      <c r="A2" s="222"/>
      <c r="B2" s="225" t="s">
        <v>166</v>
      </c>
      <c r="C2" s="226"/>
      <c r="D2" s="226"/>
      <c r="E2" s="226"/>
      <c r="F2" s="226"/>
      <c r="G2" s="226"/>
      <c r="H2" s="226"/>
      <c r="I2" s="227"/>
      <c r="J2" s="227"/>
      <c r="K2" s="225" t="s">
        <v>167</v>
      </c>
      <c r="L2" s="226"/>
      <c r="M2" s="226"/>
      <c r="N2" s="226"/>
      <c r="O2" s="226"/>
      <c r="P2" s="226"/>
      <c r="Q2" s="226"/>
      <c r="R2" s="226"/>
      <c r="S2" s="222"/>
      <c r="T2" s="222"/>
      <c r="U2" s="222"/>
      <c r="V2" s="222"/>
      <c r="W2" s="222"/>
      <c r="X2" s="222"/>
      <c r="Y2" s="222"/>
      <c r="Z2" s="222"/>
      <c r="AA2" s="222"/>
      <c r="AB2" s="222"/>
    </row>
    <row r="3" spans="1:28" ht="15.75" customHeight="1">
      <c r="A3" s="222"/>
      <c r="B3" s="222"/>
      <c r="C3" s="222"/>
      <c r="D3" s="222"/>
      <c r="E3" s="222"/>
      <c r="F3" s="222"/>
      <c r="G3" s="222"/>
      <c r="H3" s="222"/>
      <c r="I3" s="222"/>
      <c r="J3" s="227"/>
      <c r="K3" s="227"/>
      <c r="L3" s="223"/>
      <c r="M3" s="227"/>
      <c r="N3" s="227"/>
      <c r="O3" s="227"/>
      <c r="P3" s="227"/>
      <c r="Q3" s="227"/>
      <c r="R3" s="227"/>
      <c r="S3" s="222"/>
      <c r="T3" s="222"/>
      <c r="U3" s="222"/>
      <c r="V3" s="222"/>
      <c r="W3" s="222"/>
      <c r="X3" s="222"/>
      <c r="Y3" s="222"/>
      <c r="Z3" s="222"/>
      <c r="AA3" s="222"/>
      <c r="AB3" s="222"/>
    </row>
    <row r="4" spans="1:28" ht="15.75" customHeight="1">
      <c r="A4" s="222"/>
      <c r="B4" s="228" t="s">
        <v>168</v>
      </c>
      <c r="C4" s="229" t="s">
        <v>169</v>
      </c>
      <c r="D4" s="229" t="s">
        <v>170</v>
      </c>
      <c r="E4" s="222"/>
      <c r="F4" s="228" t="s">
        <v>171</v>
      </c>
      <c r="G4" s="229" t="s">
        <v>169</v>
      </c>
      <c r="H4" s="229" t="s">
        <v>170</v>
      </c>
      <c r="I4" s="222"/>
      <c r="J4" s="227"/>
      <c r="K4" s="228" t="s">
        <v>168</v>
      </c>
      <c r="L4" s="230" t="s">
        <v>169</v>
      </c>
      <c r="M4" s="229" t="s">
        <v>170</v>
      </c>
      <c r="N4" s="227"/>
      <c r="O4" s="228" t="s">
        <v>171</v>
      </c>
      <c r="P4" s="229" t="s">
        <v>169</v>
      </c>
      <c r="Q4" s="229" t="s">
        <v>170</v>
      </c>
      <c r="R4" s="227"/>
      <c r="S4" s="222"/>
      <c r="T4" s="222"/>
      <c r="U4" s="222"/>
      <c r="V4" s="222"/>
      <c r="W4" s="222"/>
      <c r="X4" s="222"/>
      <c r="Y4" s="222"/>
      <c r="Z4" s="222"/>
      <c r="AA4" s="222"/>
      <c r="AB4" s="222"/>
    </row>
    <row r="5" spans="1:28" ht="15.75" customHeight="1">
      <c r="A5" s="222"/>
      <c r="B5" s="231" t="s">
        <v>172</v>
      </c>
      <c r="C5" s="232"/>
      <c r="D5" s="222"/>
      <c r="E5" s="222"/>
      <c r="F5" s="231" t="s">
        <v>173</v>
      </c>
      <c r="G5" s="222"/>
      <c r="H5" s="232"/>
      <c r="I5" s="232"/>
      <c r="J5" s="227"/>
      <c r="K5" s="231" t="s">
        <v>174</v>
      </c>
      <c r="L5" s="233"/>
      <c r="M5" s="227"/>
      <c r="N5" s="227"/>
      <c r="O5" s="231" t="s">
        <v>173</v>
      </c>
      <c r="P5" s="222"/>
      <c r="Q5" s="232"/>
      <c r="R5" s="227"/>
      <c r="S5" s="222"/>
      <c r="T5" s="222"/>
      <c r="U5" s="222"/>
      <c r="V5" s="222"/>
      <c r="W5" s="222"/>
      <c r="X5" s="222"/>
      <c r="Y5" s="222"/>
      <c r="Z5" s="222"/>
      <c r="AA5" s="222"/>
      <c r="AB5" s="222"/>
    </row>
    <row r="6" spans="1:28" ht="15.75" customHeight="1">
      <c r="A6" s="222"/>
      <c r="B6" s="222" t="s">
        <v>175</v>
      </c>
      <c r="C6" s="223">
        <v>10000000</v>
      </c>
      <c r="D6" s="234">
        <f t="shared" ref="D6:D9" si="0">C6/$C$18</f>
        <v>3.3757553252540255E-2</v>
      </c>
      <c r="E6" s="222"/>
      <c r="F6" s="222" t="s">
        <v>176</v>
      </c>
      <c r="G6" s="235">
        <v>0</v>
      </c>
      <c r="H6" s="234">
        <v>0</v>
      </c>
      <c r="I6" s="232"/>
      <c r="J6" s="227"/>
      <c r="K6" s="231" t="s">
        <v>172</v>
      </c>
      <c r="L6" s="223"/>
      <c r="M6" s="227"/>
      <c r="N6" s="227"/>
      <c r="O6" s="222" t="s">
        <v>176</v>
      </c>
      <c r="P6" s="235">
        <v>0</v>
      </c>
      <c r="Q6" s="234">
        <v>0</v>
      </c>
      <c r="R6" s="227"/>
      <c r="S6" s="222"/>
      <c r="T6" s="222"/>
      <c r="U6" s="222"/>
      <c r="V6" s="222"/>
      <c r="W6" s="222"/>
      <c r="X6" s="222"/>
      <c r="Y6" s="222"/>
      <c r="Z6" s="222"/>
      <c r="AA6" s="222"/>
      <c r="AB6" s="222"/>
    </row>
    <row r="7" spans="1:28" ht="15.75" customHeight="1">
      <c r="A7" s="222"/>
      <c r="B7" s="222" t="s">
        <v>177</v>
      </c>
      <c r="C7" s="223">
        <v>70000000</v>
      </c>
      <c r="D7" s="234">
        <f t="shared" si="0"/>
        <v>0.23630287276778178</v>
      </c>
      <c r="E7" s="222"/>
      <c r="F7" s="222" t="s">
        <v>178</v>
      </c>
      <c r="G7" s="235">
        <v>0</v>
      </c>
      <c r="H7" s="234">
        <v>0</v>
      </c>
      <c r="I7" s="236"/>
      <c r="J7" s="227"/>
      <c r="K7" s="222" t="s">
        <v>175</v>
      </c>
      <c r="L7" s="223">
        <v>10000000</v>
      </c>
      <c r="M7" s="234">
        <f t="shared" ref="M7:M9" si="1">L7/$L$25</f>
        <v>5.5795519457236501E-4</v>
      </c>
      <c r="N7" s="227"/>
      <c r="O7" s="222" t="s">
        <v>178</v>
      </c>
      <c r="P7" s="235">
        <v>0</v>
      </c>
      <c r="Q7" s="234">
        <v>0</v>
      </c>
      <c r="R7" s="227"/>
      <c r="S7" s="222"/>
      <c r="T7" s="222"/>
      <c r="U7" s="222"/>
      <c r="V7" s="222"/>
      <c r="W7" s="222"/>
      <c r="X7" s="222"/>
      <c r="Y7" s="222"/>
      <c r="Z7" s="222"/>
      <c r="AA7" s="222"/>
      <c r="AB7" s="222"/>
    </row>
    <row r="8" spans="1:28" ht="15.75" customHeight="1">
      <c r="A8" s="222"/>
      <c r="B8" s="222" t="s">
        <v>179</v>
      </c>
      <c r="C8" s="223">
        <v>20000000</v>
      </c>
      <c r="D8" s="234">
        <f t="shared" si="0"/>
        <v>6.751510650508051E-2</v>
      </c>
      <c r="E8" s="222"/>
      <c r="F8" s="222" t="s">
        <v>180</v>
      </c>
      <c r="G8" s="235">
        <v>0</v>
      </c>
      <c r="H8" s="234">
        <v>0</v>
      </c>
      <c r="I8" s="236"/>
      <c r="J8" s="227"/>
      <c r="K8" s="222" t="s">
        <v>177</v>
      </c>
      <c r="L8" s="223">
        <v>70000000</v>
      </c>
      <c r="M8" s="234">
        <f t="shared" si="1"/>
        <v>3.9056863620065552E-3</v>
      </c>
      <c r="N8" s="227"/>
      <c r="O8" s="222" t="s">
        <v>180</v>
      </c>
      <c r="P8" s="235">
        <v>0</v>
      </c>
      <c r="Q8" s="234">
        <v>0</v>
      </c>
      <c r="R8" s="227"/>
      <c r="S8" s="222"/>
      <c r="T8" s="222"/>
      <c r="U8" s="222"/>
      <c r="V8" s="222"/>
      <c r="W8" s="222"/>
      <c r="X8" s="222"/>
      <c r="Y8" s="222"/>
      <c r="Z8" s="222"/>
      <c r="AA8" s="222"/>
      <c r="AB8" s="222"/>
    </row>
    <row r="9" spans="1:28" ht="15.75" customHeight="1">
      <c r="A9" s="222"/>
      <c r="B9" s="237" t="s">
        <v>181</v>
      </c>
      <c r="C9" s="233">
        <f>SUM(C6:C8)</f>
        <v>100000000</v>
      </c>
      <c r="D9" s="234">
        <f t="shared" si="0"/>
        <v>0.33757553252540257</v>
      </c>
      <c r="E9" s="222"/>
      <c r="F9" s="238" t="s">
        <v>182</v>
      </c>
      <c r="G9" s="227">
        <f>SUM(G6:G8)</f>
        <v>0</v>
      </c>
      <c r="H9" s="222"/>
      <c r="I9" s="232"/>
      <c r="J9" s="227"/>
      <c r="K9" s="222" t="s">
        <v>179</v>
      </c>
      <c r="L9" s="223">
        <v>20000000</v>
      </c>
      <c r="M9" s="234">
        <f t="shared" si="1"/>
        <v>1.11591038914473E-3</v>
      </c>
      <c r="N9" s="227"/>
      <c r="O9" s="239" t="s">
        <v>183</v>
      </c>
      <c r="P9" s="240">
        <f>'7. Human capital &amp; pension valu'!C59</f>
        <v>30672921526.977238</v>
      </c>
      <c r="Q9" s="222"/>
      <c r="R9" s="227"/>
      <c r="S9" s="222"/>
      <c r="T9" s="222"/>
      <c r="U9" s="222"/>
      <c r="V9" s="222"/>
      <c r="W9" s="222"/>
      <c r="X9" s="222"/>
      <c r="Y9" s="222"/>
      <c r="Z9" s="222"/>
      <c r="AA9" s="222"/>
      <c r="AB9" s="222"/>
    </row>
    <row r="10" spans="1:28" ht="15.75" customHeight="1">
      <c r="A10" s="222"/>
      <c r="B10" s="231" t="s">
        <v>184</v>
      </c>
      <c r="C10" s="223"/>
      <c r="D10" s="234"/>
      <c r="E10" s="222"/>
      <c r="F10" s="231" t="s">
        <v>185</v>
      </c>
      <c r="G10" s="240">
        <f>C18-G9</f>
        <v>296230000</v>
      </c>
      <c r="H10" s="236"/>
      <c r="I10" s="236"/>
      <c r="J10" s="222"/>
      <c r="K10" s="237" t="s">
        <v>181</v>
      </c>
      <c r="L10" s="233">
        <f>SUM(L7:L9)</f>
        <v>100000000</v>
      </c>
      <c r="M10" s="234"/>
      <c r="N10" s="227"/>
      <c r="O10" s="241" t="s">
        <v>186</v>
      </c>
      <c r="P10" s="240">
        <f>L25-P9</f>
        <v>-12750335453.261543</v>
      </c>
      <c r="Q10" s="232"/>
      <c r="R10" s="227"/>
      <c r="S10" s="222"/>
      <c r="T10" s="222"/>
      <c r="U10" s="222"/>
      <c r="V10" s="222"/>
      <c r="W10" s="222"/>
      <c r="X10" s="222"/>
      <c r="Y10" s="222"/>
      <c r="Z10" s="222"/>
      <c r="AA10" s="222"/>
      <c r="AB10" s="222"/>
    </row>
    <row r="11" spans="1:28" ht="15.75" customHeight="1">
      <c r="A11" s="222"/>
      <c r="B11" s="222" t="s">
        <v>187</v>
      </c>
      <c r="C11" s="223">
        <v>25000000</v>
      </c>
      <c r="D11" s="234">
        <f t="shared" ref="D11:D17" si="2">C11/$C$18</f>
        <v>8.4393883131350642E-2</v>
      </c>
      <c r="E11" s="222"/>
      <c r="F11" s="231" t="s">
        <v>188</v>
      </c>
      <c r="G11" s="227">
        <f>G10+G9</f>
        <v>296230000</v>
      </c>
      <c r="H11" s="232"/>
      <c r="I11" s="232"/>
      <c r="J11" s="222"/>
      <c r="K11" s="231" t="s">
        <v>184</v>
      </c>
      <c r="L11" s="223"/>
      <c r="M11" s="234"/>
      <c r="N11" s="227"/>
      <c r="O11" s="222"/>
      <c r="P11" s="222"/>
      <c r="Q11" s="222"/>
      <c r="R11" s="227"/>
      <c r="S11" s="222"/>
      <c r="T11" s="222"/>
      <c r="U11" s="222"/>
      <c r="V11" s="222"/>
      <c r="W11" s="222"/>
      <c r="X11" s="222"/>
      <c r="Y11" s="222"/>
      <c r="Z11" s="222"/>
      <c r="AA11" s="222"/>
      <c r="AB11" s="222"/>
    </row>
    <row r="12" spans="1:28" ht="15.75" customHeight="1">
      <c r="A12" s="222"/>
      <c r="B12" s="222" t="s">
        <v>189</v>
      </c>
      <c r="C12" s="223">
        <v>27990000</v>
      </c>
      <c r="D12" s="234">
        <f t="shared" si="2"/>
        <v>9.448739155386017E-2</v>
      </c>
      <c r="E12" s="222"/>
      <c r="F12" s="222"/>
      <c r="G12" s="227"/>
      <c r="H12" s="232"/>
      <c r="I12" s="232"/>
      <c r="J12" s="222"/>
      <c r="K12" s="222" t="s">
        <v>187</v>
      </c>
      <c r="L12" s="223">
        <v>25000000</v>
      </c>
      <c r="M12" s="234">
        <f t="shared" ref="M12:M17" si="3">L12/$L$25</f>
        <v>1.3948879864309125E-3</v>
      </c>
      <c r="N12" s="227"/>
      <c r="O12" s="222"/>
      <c r="P12" s="222"/>
      <c r="Q12" s="222"/>
      <c r="R12" s="227"/>
      <c r="S12" s="222"/>
      <c r="T12" s="222"/>
      <c r="U12" s="222"/>
      <c r="V12" s="222"/>
      <c r="W12" s="222"/>
      <c r="X12" s="222"/>
      <c r="Y12" s="222"/>
      <c r="Z12" s="222"/>
      <c r="AA12" s="222"/>
      <c r="AB12" s="222"/>
    </row>
    <row r="13" spans="1:28" ht="15.75" customHeight="1">
      <c r="A13" s="222"/>
      <c r="B13" s="222" t="s">
        <v>190</v>
      </c>
      <c r="C13" s="223">
        <v>25000000</v>
      </c>
      <c r="D13" s="234">
        <f t="shared" si="2"/>
        <v>8.4393883131350642E-2</v>
      </c>
      <c r="E13" s="222"/>
      <c r="F13" s="222"/>
      <c r="G13" s="227"/>
      <c r="H13" s="232"/>
      <c r="I13" s="232"/>
      <c r="J13" s="222"/>
      <c r="K13" s="222" t="s">
        <v>189</v>
      </c>
      <c r="L13" s="223">
        <v>27990000</v>
      </c>
      <c r="M13" s="234">
        <f t="shared" si="3"/>
        <v>1.5617165896080498E-3</v>
      </c>
      <c r="N13" s="227"/>
      <c r="O13" s="231"/>
      <c r="P13" s="227"/>
      <c r="Q13" s="232"/>
      <c r="R13" s="227"/>
      <c r="S13" s="222"/>
      <c r="T13" s="222"/>
      <c r="U13" s="222"/>
      <c r="V13" s="222"/>
      <c r="W13" s="222"/>
      <c r="X13" s="222"/>
      <c r="Y13" s="222"/>
      <c r="Z13" s="222"/>
      <c r="AA13" s="222"/>
      <c r="AB13" s="222"/>
    </row>
    <row r="14" spans="1:28" ht="15.75" customHeight="1">
      <c r="A14" s="222"/>
      <c r="B14" s="222" t="s">
        <v>191</v>
      </c>
      <c r="C14" s="223">
        <v>18000000</v>
      </c>
      <c r="D14" s="234">
        <f t="shared" si="2"/>
        <v>6.0763595854572458E-2</v>
      </c>
      <c r="E14" s="222"/>
      <c r="F14" s="242" t="s">
        <v>176</v>
      </c>
      <c r="G14" s="243"/>
      <c r="H14" s="222"/>
      <c r="I14" s="222"/>
      <c r="J14" s="222"/>
      <c r="K14" s="222" t="s">
        <v>190</v>
      </c>
      <c r="L14" s="223">
        <v>25000000</v>
      </c>
      <c r="M14" s="234">
        <f t="shared" si="3"/>
        <v>1.3948879864309125E-3</v>
      </c>
      <c r="N14" s="227"/>
      <c r="O14" s="227"/>
      <c r="P14" s="227"/>
      <c r="Q14" s="227"/>
      <c r="R14" s="227"/>
      <c r="S14" s="222"/>
      <c r="T14" s="222"/>
      <c r="U14" s="222"/>
      <c r="V14" s="222"/>
      <c r="W14" s="222"/>
      <c r="X14" s="222"/>
      <c r="Y14" s="222"/>
      <c r="Z14" s="222"/>
      <c r="AA14" s="222"/>
      <c r="AB14" s="222"/>
    </row>
    <row r="15" spans="1:28" ht="15.75" customHeight="1">
      <c r="A15" s="222"/>
      <c r="B15" s="222" t="s">
        <v>192</v>
      </c>
      <c r="C15" s="223">
        <v>56000000</v>
      </c>
      <c r="D15" s="234">
        <f t="shared" si="2"/>
        <v>0.18904229821422544</v>
      </c>
      <c r="E15" s="222"/>
      <c r="F15" s="242"/>
      <c r="G15" s="243"/>
      <c r="H15" s="222"/>
      <c r="I15" s="222"/>
      <c r="J15" s="222"/>
      <c r="K15" s="222" t="s">
        <v>191</v>
      </c>
      <c r="L15" s="223">
        <v>18000000</v>
      </c>
      <c r="M15" s="234">
        <f t="shared" si="3"/>
        <v>1.004319350230257E-3</v>
      </c>
      <c r="N15" s="227"/>
      <c r="O15" s="227"/>
      <c r="P15" s="227"/>
      <c r="Q15" s="227"/>
      <c r="R15" s="227"/>
      <c r="S15" s="222"/>
      <c r="T15" s="222"/>
      <c r="U15" s="222"/>
      <c r="V15" s="222"/>
      <c r="W15" s="222"/>
      <c r="X15" s="222"/>
      <c r="Y15" s="222"/>
      <c r="Z15" s="222"/>
      <c r="AA15" s="222"/>
      <c r="AB15" s="222"/>
    </row>
    <row r="16" spans="1:28" ht="15.75" customHeight="1">
      <c r="A16" s="222"/>
      <c r="B16" s="222" t="s">
        <v>193</v>
      </c>
      <c r="C16" s="223">
        <v>44240000</v>
      </c>
      <c r="D16" s="234">
        <f t="shared" si="2"/>
        <v>0.14934341558923808</v>
      </c>
      <c r="E16" s="222"/>
      <c r="F16" s="242"/>
      <c r="G16" s="243"/>
      <c r="H16" s="222"/>
      <c r="I16" s="222"/>
      <c r="J16" s="222"/>
      <c r="K16" s="222" t="s">
        <v>192</v>
      </c>
      <c r="L16" s="223">
        <v>56000000</v>
      </c>
      <c r="M16" s="234">
        <f t="shared" si="3"/>
        <v>3.1245490896052441E-3</v>
      </c>
      <c r="N16" s="227"/>
      <c r="O16" s="227"/>
      <c r="P16" s="227"/>
      <c r="Q16" s="227"/>
      <c r="R16" s="227"/>
      <c r="S16" s="222"/>
      <c r="T16" s="222"/>
      <c r="U16" s="222"/>
      <c r="V16" s="222"/>
      <c r="W16" s="222"/>
      <c r="X16" s="222"/>
      <c r="Y16" s="222"/>
      <c r="Z16" s="222"/>
      <c r="AA16" s="222"/>
      <c r="AB16" s="222"/>
    </row>
    <row r="17" spans="1:28" ht="15.75" customHeight="1">
      <c r="A17" s="222"/>
      <c r="B17" s="237" t="s">
        <v>194</v>
      </c>
      <c r="C17" s="233">
        <f>SUM(C11:C16)</f>
        <v>196230000</v>
      </c>
      <c r="D17" s="234">
        <f t="shared" si="2"/>
        <v>0.66242446747459749</v>
      </c>
      <c r="E17" s="222"/>
      <c r="F17" s="242" t="s">
        <v>178</v>
      </c>
      <c r="G17" s="243">
        <f>G7</f>
        <v>0</v>
      </c>
      <c r="H17" s="222"/>
      <c r="I17" s="222"/>
      <c r="J17" s="227"/>
      <c r="K17" s="222" t="s">
        <v>193</v>
      </c>
      <c r="L17" s="223">
        <v>44240000</v>
      </c>
      <c r="M17" s="234">
        <f t="shared" si="3"/>
        <v>2.4683937807881431E-3</v>
      </c>
      <c r="N17" s="227"/>
      <c r="R17" s="227"/>
      <c r="S17" s="222"/>
      <c r="T17" s="222"/>
      <c r="U17" s="222"/>
      <c r="V17" s="222"/>
      <c r="W17" s="222"/>
      <c r="X17" s="222"/>
      <c r="Y17" s="222"/>
      <c r="Z17" s="222"/>
      <c r="AA17" s="222"/>
      <c r="AB17" s="222"/>
    </row>
    <row r="18" spans="1:28" ht="15.75" customHeight="1">
      <c r="A18" s="222"/>
      <c r="B18" s="231" t="s">
        <v>195</v>
      </c>
      <c r="C18" s="244">
        <f>C9+C17</f>
        <v>296230000</v>
      </c>
      <c r="D18" s="226"/>
      <c r="E18" s="222"/>
      <c r="F18" s="222"/>
      <c r="G18" s="222"/>
      <c r="H18" s="222"/>
      <c r="I18" s="222"/>
      <c r="J18" s="227"/>
      <c r="K18" s="237" t="s">
        <v>194</v>
      </c>
      <c r="L18" s="233">
        <f>SUM(L12:L17)</f>
        <v>196230000</v>
      </c>
      <c r="M18" s="234"/>
      <c r="N18" s="227"/>
      <c r="O18" s="227"/>
      <c r="P18" s="227"/>
      <c r="Q18" s="227"/>
      <c r="R18" s="227"/>
      <c r="S18" s="222"/>
      <c r="T18" s="222"/>
      <c r="U18" s="222"/>
      <c r="V18" s="222"/>
      <c r="W18" s="222"/>
      <c r="X18" s="222"/>
      <c r="Y18" s="222"/>
      <c r="Z18" s="222"/>
      <c r="AA18" s="222"/>
      <c r="AB18" s="222"/>
    </row>
    <row r="19" spans="1:28" ht="15.75" customHeight="1">
      <c r="A19" s="222"/>
      <c r="B19" s="222"/>
      <c r="C19" s="222"/>
      <c r="D19" s="222"/>
      <c r="E19" s="222"/>
      <c r="F19" s="222"/>
      <c r="G19" s="222"/>
      <c r="H19" s="222"/>
      <c r="I19" s="222"/>
      <c r="J19" s="227"/>
      <c r="K19" s="245" t="s">
        <v>196</v>
      </c>
      <c r="L19" s="223"/>
      <c r="M19" s="234"/>
      <c r="N19" s="227"/>
      <c r="O19" s="227"/>
      <c r="P19" s="227"/>
      <c r="Q19" s="227"/>
      <c r="R19" s="227"/>
      <c r="S19" s="222"/>
      <c r="T19" s="222"/>
      <c r="U19" s="222"/>
      <c r="V19" s="222"/>
      <c r="W19" s="222"/>
      <c r="X19" s="222"/>
      <c r="Y19" s="222"/>
      <c r="Z19" s="222"/>
      <c r="AA19" s="222"/>
      <c r="AB19" s="222"/>
    </row>
    <row r="20" spans="1:28" ht="15.75" customHeight="1">
      <c r="A20" s="222"/>
      <c r="B20" s="222"/>
      <c r="C20" s="222"/>
      <c r="D20" s="222"/>
      <c r="E20" s="222"/>
      <c r="F20" s="222"/>
      <c r="G20" s="222"/>
      <c r="H20" s="222"/>
      <c r="I20" s="222"/>
      <c r="J20" s="227"/>
      <c r="K20" s="222" t="s">
        <v>197</v>
      </c>
      <c r="L20" s="246">
        <f>'7. Human capital &amp; pension valu'!C21</f>
        <v>6098109894.0450249</v>
      </c>
      <c r="M20" s="234">
        <f t="shared" ref="M20:M21" si="4">L20/$L$25</f>
        <v>0.34024720924555563</v>
      </c>
      <c r="N20" s="227"/>
      <c r="O20" s="227"/>
      <c r="P20" s="227"/>
      <c r="Q20" s="227"/>
      <c r="R20" s="227"/>
      <c r="S20" s="222"/>
      <c r="T20" s="222"/>
      <c r="U20" s="222"/>
      <c r="V20" s="222"/>
      <c r="W20" s="222"/>
      <c r="X20" s="222"/>
      <c r="Y20" s="222"/>
      <c r="Z20" s="222"/>
      <c r="AA20" s="222"/>
      <c r="AB20" s="222"/>
    </row>
    <row r="21" spans="1:28" ht="15.75" customHeight="1">
      <c r="A21" s="222"/>
      <c r="B21" s="247" t="s">
        <v>198</v>
      </c>
      <c r="C21" s="248" t="s">
        <v>199</v>
      </c>
      <c r="D21" s="248" t="s">
        <v>200</v>
      </c>
      <c r="E21" s="222"/>
      <c r="F21" s="222"/>
      <c r="G21" s="222"/>
      <c r="H21" s="222"/>
      <c r="I21" s="222"/>
      <c r="J21" s="227"/>
      <c r="K21" s="222" t="s">
        <v>201</v>
      </c>
      <c r="L21" s="246">
        <f>'7. Human capital &amp; pension valu'!C34</f>
        <v>6986337245.1810837</v>
      </c>
      <c r="M21" s="234">
        <f t="shared" si="4"/>
        <v>0.3898063156983172</v>
      </c>
      <c r="N21" s="227"/>
      <c r="O21" s="227"/>
      <c r="P21" s="227"/>
      <c r="Q21" s="227"/>
      <c r="R21" s="227"/>
      <c r="S21" s="222"/>
      <c r="T21" s="222"/>
      <c r="U21" s="222"/>
      <c r="V21" s="222"/>
      <c r="W21" s="222"/>
      <c r="X21" s="222"/>
      <c r="Y21" s="222"/>
      <c r="Z21" s="222"/>
      <c r="AA21" s="222"/>
      <c r="AB21" s="222"/>
    </row>
    <row r="22" spans="1:28" ht="15.75" customHeight="1">
      <c r="A22" s="222"/>
      <c r="B22" s="249" t="s">
        <v>202</v>
      </c>
      <c r="C22" s="249" t="s">
        <v>203</v>
      </c>
      <c r="D22" s="250">
        <f>G10/C18</f>
        <v>1</v>
      </c>
      <c r="E22" s="222"/>
      <c r="F22" s="222"/>
      <c r="G22" s="222"/>
      <c r="H22" s="251"/>
      <c r="I22" s="222"/>
      <c r="J22" s="227"/>
      <c r="K22" s="231" t="s">
        <v>43</v>
      </c>
      <c r="L22" s="233"/>
      <c r="M22" s="234"/>
      <c r="N22" s="227"/>
      <c r="O22" s="227"/>
      <c r="P22" s="227"/>
      <c r="Q22" s="227"/>
      <c r="R22" s="227"/>
      <c r="S22" s="222"/>
      <c r="T22" s="222"/>
      <c r="U22" s="222"/>
      <c r="V22" s="222"/>
      <c r="W22" s="222"/>
      <c r="X22" s="222"/>
      <c r="Y22" s="222"/>
      <c r="Z22" s="222"/>
      <c r="AA22" s="222"/>
      <c r="AB22" s="222"/>
    </row>
    <row r="23" spans="1:28" ht="15.75" customHeight="1">
      <c r="A23" s="222"/>
      <c r="B23" s="222"/>
      <c r="C23" s="222"/>
      <c r="D23" s="222"/>
      <c r="E23" s="222"/>
      <c r="F23" s="222"/>
      <c r="G23" s="252"/>
      <c r="H23" s="226"/>
      <c r="I23" s="222"/>
      <c r="J23" s="227"/>
      <c r="K23" s="222" t="s">
        <v>204</v>
      </c>
      <c r="L23" s="223">
        <f>'7. Human capital &amp; pension valu'!AP45</f>
        <v>2299820663.0175705</v>
      </c>
      <c r="M23" s="234">
        <f t="shared" ref="M23:M24" si="5">L23/$L$25</f>
        <v>0.1283196885515514</v>
      </c>
      <c r="N23" s="227"/>
      <c r="O23" s="227"/>
      <c r="P23" s="227"/>
      <c r="Q23" s="227"/>
      <c r="R23" s="227"/>
      <c r="S23" s="222"/>
      <c r="T23" s="222"/>
      <c r="U23" s="222"/>
      <c r="V23" s="222"/>
      <c r="W23" s="222"/>
      <c r="X23" s="222"/>
      <c r="Y23" s="222"/>
      <c r="Z23" s="222"/>
      <c r="AA23" s="222"/>
      <c r="AB23" s="222"/>
    </row>
    <row r="24" spans="1:28" ht="15.75" customHeight="1">
      <c r="A24" s="222"/>
      <c r="B24" s="222"/>
      <c r="C24" s="222"/>
      <c r="D24" s="222"/>
      <c r="E24" s="222"/>
      <c r="F24" s="222"/>
      <c r="G24" s="222"/>
      <c r="H24" s="222"/>
      <c r="I24" s="222"/>
      <c r="J24" s="227"/>
      <c r="K24" s="222" t="s">
        <v>205</v>
      </c>
      <c r="L24" s="223">
        <f>'7. Human capital &amp; pension valu'!AP53</f>
        <v>2242088271.4720144</v>
      </c>
      <c r="M24" s="234">
        <f t="shared" si="5"/>
        <v>0.12509847977575853</v>
      </c>
      <c r="N24" s="227"/>
      <c r="O24" s="227"/>
      <c r="P24" s="227"/>
      <c r="Q24" s="227"/>
      <c r="R24" s="227"/>
      <c r="S24" s="222"/>
      <c r="T24" s="222"/>
      <c r="U24" s="222"/>
      <c r="V24" s="222"/>
      <c r="W24" s="222"/>
      <c r="X24" s="222"/>
      <c r="Y24" s="222"/>
      <c r="Z24" s="222"/>
      <c r="AA24" s="222"/>
      <c r="AB24" s="222"/>
    </row>
    <row r="25" spans="1:28" ht="15.75" customHeight="1">
      <c r="A25" s="222"/>
      <c r="B25" s="222"/>
      <c r="C25" s="222"/>
      <c r="D25" s="222"/>
      <c r="E25" s="222"/>
      <c r="F25" s="222"/>
      <c r="G25" s="222"/>
      <c r="H25" s="222"/>
      <c r="I25" s="222"/>
      <c r="J25" s="222"/>
      <c r="K25" s="231" t="s">
        <v>195</v>
      </c>
      <c r="L25" s="223">
        <f>L10+L18+SUM(L20:L24)</f>
        <v>17922586073.715694</v>
      </c>
      <c r="M25" s="222"/>
      <c r="N25" s="222"/>
      <c r="O25" s="222"/>
      <c r="P25" s="222"/>
      <c r="Q25" s="222"/>
      <c r="R25" s="222"/>
      <c r="S25" s="222"/>
      <c r="T25" s="222"/>
      <c r="U25" s="222"/>
      <c r="V25" s="222"/>
      <c r="W25" s="222"/>
      <c r="X25" s="222"/>
      <c r="Y25" s="222"/>
      <c r="Z25" s="222"/>
      <c r="AA25" s="222"/>
      <c r="AB25" s="222"/>
    </row>
    <row r="26" spans="1:28" ht="15.75" customHeight="1">
      <c r="A26" s="222"/>
      <c r="B26" s="222"/>
      <c r="C26" s="222"/>
      <c r="D26" s="222"/>
      <c r="E26" s="222"/>
      <c r="F26" s="222"/>
      <c r="G26" s="222"/>
      <c r="H26" s="222"/>
      <c r="I26" s="222"/>
      <c r="J26" s="222"/>
      <c r="K26" s="222"/>
      <c r="L26" s="223"/>
      <c r="M26" s="222"/>
      <c r="N26" s="222"/>
      <c r="O26" s="222"/>
      <c r="P26" s="222"/>
      <c r="Q26" s="222"/>
      <c r="R26" s="222"/>
      <c r="S26" s="222"/>
      <c r="T26" s="222"/>
      <c r="U26" s="222"/>
      <c r="V26" s="222"/>
      <c r="W26" s="222"/>
      <c r="X26" s="222"/>
      <c r="Y26" s="222"/>
      <c r="Z26" s="222"/>
      <c r="AA26" s="222"/>
      <c r="AB26" s="222"/>
    </row>
    <row r="27" spans="1:28" ht="15.75" customHeight="1">
      <c r="A27" s="222"/>
      <c r="B27" s="222"/>
      <c r="C27" s="222"/>
      <c r="D27" s="222"/>
      <c r="E27" s="222"/>
      <c r="F27" s="222"/>
      <c r="G27" s="222"/>
      <c r="H27" s="222"/>
      <c r="I27" s="222"/>
      <c r="J27" s="222"/>
      <c r="K27" s="222"/>
      <c r="L27" s="223"/>
      <c r="M27" s="222"/>
      <c r="N27" s="222"/>
      <c r="O27" s="222"/>
      <c r="P27" s="222"/>
      <c r="Q27" s="222"/>
      <c r="R27" s="222"/>
      <c r="S27" s="222"/>
      <c r="T27" s="222"/>
      <c r="U27" s="222"/>
      <c r="V27" s="222"/>
      <c r="W27" s="222"/>
      <c r="X27" s="222"/>
      <c r="Y27" s="222"/>
      <c r="Z27" s="222"/>
      <c r="AA27" s="222"/>
      <c r="AB27" s="222"/>
    </row>
    <row r="28" spans="1:28" ht="15.75" customHeight="1">
      <c r="A28" s="222"/>
      <c r="B28" s="222"/>
      <c r="C28" s="222"/>
      <c r="D28" s="222"/>
      <c r="E28" s="222"/>
      <c r="F28" s="222"/>
      <c r="G28" s="222"/>
      <c r="H28" s="222"/>
      <c r="I28" s="222"/>
      <c r="J28" s="222"/>
      <c r="K28" s="222"/>
      <c r="L28" s="223"/>
      <c r="M28" s="222"/>
      <c r="N28" s="222"/>
      <c r="O28" s="222"/>
      <c r="P28" s="222"/>
      <c r="Q28" s="222"/>
      <c r="R28" s="222"/>
      <c r="S28" s="222"/>
      <c r="T28" s="222"/>
      <c r="U28" s="222"/>
      <c r="V28" s="222"/>
      <c r="W28" s="222"/>
      <c r="X28" s="222"/>
      <c r="Y28" s="222"/>
      <c r="Z28" s="222"/>
      <c r="AA28" s="222"/>
      <c r="AB28" s="222"/>
    </row>
    <row r="29" spans="1:28" ht="15.75" customHeight="1">
      <c r="A29" s="222"/>
      <c r="B29" s="222"/>
      <c r="C29" s="222"/>
      <c r="D29" s="222"/>
      <c r="E29" s="222"/>
      <c r="F29" s="222"/>
      <c r="G29" s="222"/>
      <c r="H29" s="222"/>
      <c r="I29" s="222"/>
      <c r="J29" s="222"/>
      <c r="K29" s="222"/>
      <c r="L29" s="223"/>
      <c r="M29" s="222"/>
      <c r="N29" s="222"/>
      <c r="O29" s="222"/>
      <c r="P29" s="222"/>
      <c r="Q29" s="222"/>
      <c r="R29" s="222"/>
      <c r="S29" s="222"/>
      <c r="T29" s="222"/>
      <c r="U29" s="222"/>
      <c r="V29" s="222"/>
      <c r="W29" s="222"/>
      <c r="X29" s="222"/>
      <c r="Y29" s="222"/>
      <c r="Z29" s="222"/>
      <c r="AA29" s="222"/>
      <c r="AB29" s="222"/>
    </row>
    <row r="30" spans="1:28" ht="15.75" customHeight="1">
      <c r="A30" s="222"/>
      <c r="B30" s="222"/>
      <c r="C30" s="222"/>
      <c r="D30" s="222"/>
      <c r="E30" s="222"/>
      <c r="F30" s="222"/>
      <c r="G30" s="222"/>
      <c r="H30" s="222"/>
      <c r="I30" s="222"/>
      <c r="J30" s="222"/>
      <c r="K30" s="222"/>
      <c r="L30" s="223"/>
      <c r="M30" s="222"/>
      <c r="N30" s="222"/>
      <c r="O30" s="222"/>
      <c r="P30" s="222"/>
      <c r="Q30" s="222"/>
      <c r="R30" s="222"/>
      <c r="S30" s="222"/>
      <c r="T30" s="222"/>
      <c r="U30" s="222"/>
      <c r="V30" s="222"/>
      <c r="W30" s="222"/>
      <c r="X30" s="222"/>
      <c r="Y30" s="222"/>
      <c r="Z30" s="222"/>
      <c r="AA30" s="222"/>
      <c r="AB30" s="222"/>
    </row>
    <row r="31" spans="1:28" ht="15.75" customHeight="1">
      <c r="A31" s="222"/>
      <c r="B31" s="222"/>
      <c r="C31" s="222"/>
      <c r="D31" s="222"/>
      <c r="E31" s="222"/>
      <c r="F31" s="222"/>
      <c r="G31" s="222"/>
      <c r="H31" s="222"/>
      <c r="I31" s="222"/>
      <c r="J31" s="222"/>
      <c r="K31" s="222"/>
      <c r="L31" s="223"/>
      <c r="M31" s="222"/>
      <c r="N31" s="222"/>
      <c r="O31" s="222"/>
      <c r="P31" s="222"/>
      <c r="Q31" s="222"/>
      <c r="R31" s="222"/>
      <c r="S31" s="222"/>
      <c r="T31" s="222"/>
      <c r="U31" s="222"/>
      <c r="V31" s="222"/>
      <c r="W31" s="222"/>
      <c r="X31" s="222"/>
      <c r="Y31" s="222"/>
      <c r="Z31" s="222"/>
      <c r="AA31" s="222"/>
      <c r="AB31" s="222"/>
    </row>
    <row r="32" spans="1:28" ht="15.75" customHeight="1">
      <c r="A32" s="222"/>
      <c r="B32" s="222"/>
      <c r="C32" s="222"/>
      <c r="D32" s="222"/>
      <c r="E32" s="222"/>
      <c r="F32" s="222"/>
      <c r="G32" s="222"/>
      <c r="H32" s="222"/>
      <c r="I32" s="222"/>
      <c r="J32" s="222"/>
      <c r="K32" s="222"/>
      <c r="L32" s="223"/>
      <c r="M32" s="222"/>
      <c r="N32" s="222"/>
      <c r="O32" s="222"/>
      <c r="P32" s="222"/>
      <c r="Q32" s="222"/>
      <c r="R32" s="222"/>
      <c r="S32" s="222"/>
      <c r="T32" s="222"/>
      <c r="U32" s="222"/>
      <c r="V32" s="222"/>
      <c r="W32" s="222"/>
      <c r="X32" s="222"/>
      <c r="Y32" s="222"/>
      <c r="Z32" s="222"/>
      <c r="AA32" s="222"/>
      <c r="AB32" s="222"/>
    </row>
    <row r="33" spans="1:28" ht="15.75" customHeight="1">
      <c r="A33" s="222"/>
      <c r="B33" s="222"/>
      <c r="C33" s="222"/>
      <c r="D33" s="222"/>
      <c r="E33" s="222"/>
      <c r="F33" s="222"/>
      <c r="G33" s="222"/>
      <c r="H33" s="222"/>
      <c r="I33" s="222"/>
      <c r="J33" s="222"/>
      <c r="K33" s="222"/>
      <c r="L33" s="223"/>
      <c r="M33" s="222"/>
      <c r="N33" s="222"/>
      <c r="O33" s="222"/>
      <c r="P33" s="222"/>
      <c r="Q33" s="222"/>
      <c r="R33" s="222"/>
      <c r="S33" s="222"/>
      <c r="T33" s="222"/>
      <c r="U33" s="222"/>
      <c r="V33" s="222"/>
      <c r="W33" s="222"/>
      <c r="X33" s="222"/>
      <c r="Y33" s="222"/>
      <c r="Z33" s="222"/>
      <c r="AA33" s="222"/>
      <c r="AB33" s="222"/>
    </row>
    <row r="34" spans="1:28" ht="15.75" customHeight="1">
      <c r="A34" s="222"/>
      <c r="B34" s="222"/>
      <c r="C34" s="222"/>
      <c r="D34" s="222"/>
      <c r="E34" s="222"/>
      <c r="F34" s="222"/>
      <c r="G34" s="222"/>
      <c r="H34" s="222"/>
      <c r="I34" s="222"/>
      <c r="J34" s="222"/>
      <c r="K34" s="222"/>
      <c r="L34" s="223"/>
      <c r="M34" s="222"/>
      <c r="N34" s="222"/>
      <c r="O34" s="222"/>
      <c r="P34" s="222"/>
      <c r="Q34" s="222"/>
      <c r="R34" s="222"/>
      <c r="S34" s="222"/>
      <c r="T34" s="222"/>
      <c r="U34" s="222"/>
      <c r="V34" s="222"/>
      <c r="W34" s="222"/>
      <c r="X34" s="222"/>
      <c r="Y34" s="222"/>
      <c r="Z34" s="222"/>
      <c r="AA34" s="222"/>
      <c r="AB34" s="222"/>
    </row>
    <row r="35" spans="1:28" ht="15.75" customHeight="1">
      <c r="A35" s="222"/>
      <c r="B35" s="222"/>
      <c r="C35" s="222"/>
      <c r="D35" s="222"/>
      <c r="E35" s="222"/>
      <c r="F35" s="222"/>
      <c r="G35" s="222"/>
      <c r="H35" s="222"/>
      <c r="I35" s="222"/>
      <c r="J35" s="222"/>
      <c r="K35" s="222"/>
      <c r="L35" s="223"/>
      <c r="M35" s="222"/>
      <c r="N35" s="222"/>
      <c r="O35" s="222"/>
      <c r="P35" s="222"/>
      <c r="Q35" s="222"/>
      <c r="R35" s="222"/>
      <c r="S35" s="222"/>
      <c r="T35" s="222"/>
      <c r="U35" s="222"/>
      <c r="V35" s="222"/>
      <c r="W35" s="222"/>
      <c r="X35" s="222"/>
      <c r="Y35" s="222"/>
      <c r="Z35" s="222"/>
      <c r="AA35" s="222"/>
      <c r="AB35" s="222"/>
    </row>
    <row r="36" spans="1:28" ht="15.75" customHeight="1">
      <c r="A36" s="222"/>
      <c r="B36" s="222"/>
      <c r="C36" s="222"/>
      <c r="D36" s="222"/>
      <c r="E36" s="222"/>
      <c r="F36" s="222"/>
      <c r="G36" s="222"/>
      <c r="H36" s="222"/>
      <c r="I36" s="222"/>
      <c r="J36" s="222"/>
      <c r="K36" s="222"/>
      <c r="L36" s="223"/>
      <c r="M36" s="222"/>
      <c r="N36" s="222"/>
      <c r="O36" s="222"/>
      <c r="P36" s="222"/>
      <c r="Q36" s="222"/>
      <c r="R36" s="222"/>
      <c r="S36" s="222"/>
      <c r="T36" s="222"/>
      <c r="U36" s="222"/>
      <c r="V36" s="222"/>
      <c r="W36" s="222"/>
      <c r="X36" s="222"/>
      <c r="Y36" s="222"/>
      <c r="Z36" s="222"/>
      <c r="AA36" s="222"/>
      <c r="AB36" s="222"/>
    </row>
    <row r="37" spans="1:28" ht="15.75" customHeight="1">
      <c r="A37" s="222"/>
      <c r="B37" s="222"/>
      <c r="C37" s="222"/>
      <c r="D37" s="222"/>
      <c r="E37" s="222"/>
      <c r="F37" s="222"/>
      <c r="G37" s="222"/>
      <c r="H37" s="222"/>
      <c r="I37" s="222"/>
      <c r="J37" s="222"/>
      <c r="K37" s="222"/>
      <c r="L37" s="223"/>
      <c r="M37" s="222"/>
      <c r="N37" s="222"/>
      <c r="O37" s="222"/>
      <c r="P37" s="222"/>
      <c r="Q37" s="222"/>
      <c r="R37" s="222"/>
      <c r="S37" s="222"/>
      <c r="T37" s="222"/>
      <c r="U37" s="222"/>
      <c r="V37" s="222"/>
      <c r="W37" s="222"/>
      <c r="X37" s="222"/>
      <c r="Y37" s="222"/>
      <c r="Z37" s="222"/>
      <c r="AA37" s="222"/>
      <c r="AB37" s="222"/>
    </row>
    <row r="38" spans="1:28" ht="15.75" customHeight="1">
      <c r="A38" s="222"/>
      <c r="B38" s="222"/>
      <c r="C38" s="222"/>
      <c r="D38" s="222"/>
      <c r="E38" s="222"/>
      <c r="F38" s="222"/>
      <c r="G38" s="222"/>
      <c r="H38" s="222"/>
      <c r="I38" s="222"/>
      <c r="J38" s="222"/>
      <c r="K38" s="222"/>
      <c r="L38" s="223"/>
      <c r="M38" s="222"/>
      <c r="N38" s="222"/>
      <c r="O38" s="222"/>
      <c r="P38" s="222"/>
      <c r="Q38" s="222"/>
      <c r="R38" s="222"/>
      <c r="S38" s="222"/>
      <c r="T38" s="222"/>
      <c r="U38" s="222"/>
      <c r="V38" s="222"/>
      <c r="W38" s="222"/>
      <c r="X38" s="222"/>
      <c r="Y38" s="222"/>
      <c r="Z38" s="222"/>
      <c r="AA38" s="222"/>
      <c r="AB38" s="222"/>
    </row>
    <row r="39" spans="1:28" ht="15.75" customHeight="1">
      <c r="A39" s="222"/>
      <c r="B39" s="222"/>
      <c r="C39" s="222"/>
      <c r="D39" s="222"/>
      <c r="E39" s="222"/>
      <c r="F39" s="222"/>
      <c r="G39" s="222"/>
      <c r="H39" s="222"/>
      <c r="I39" s="222"/>
      <c r="J39" s="222"/>
      <c r="K39" s="222"/>
      <c r="L39" s="223"/>
      <c r="M39" s="222"/>
      <c r="N39" s="222"/>
      <c r="O39" s="222"/>
      <c r="P39" s="222"/>
      <c r="Q39" s="222"/>
      <c r="R39" s="222"/>
      <c r="S39" s="222"/>
      <c r="T39" s="222"/>
      <c r="U39" s="222"/>
      <c r="V39" s="222"/>
      <c r="W39" s="222"/>
      <c r="X39" s="222"/>
      <c r="Y39" s="222"/>
      <c r="Z39" s="222"/>
      <c r="AA39" s="222"/>
      <c r="AB39" s="222"/>
    </row>
    <row r="40" spans="1:28" ht="16">
      <c r="A40" s="222"/>
      <c r="B40" s="222"/>
      <c r="C40" s="222"/>
      <c r="D40" s="222"/>
      <c r="E40" s="222"/>
      <c r="F40" s="222"/>
      <c r="G40" s="222"/>
      <c r="H40" s="222"/>
      <c r="I40" s="222"/>
      <c r="J40" s="222"/>
      <c r="K40" s="222"/>
      <c r="L40" s="223"/>
      <c r="M40" s="222"/>
      <c r="N40" s="222"/>
      <c r="O40" s="222"/>
      <c r="P40" s="222"/>
      <c r="Q40" s="222"/>
      <c r="R40" s="222"/>
      <c r="S40" s="222"/>
      <c r="T40" s="222"/>
      <c r="U40" s="222"/>
      <c r="V40" s="222"/>
      <c r="W40" s="222"/>
      <c r="X40" s="222"/>
      <c r="Y40" s="222"/>
      <c r="Z40" s="222"/>
      <c r="AA40" s="222"/>
      <c r="AB40" s="222"/>
    </row>
    <row r="41" spans="1:28" ht="16">
      <c r="A41" s="222"/>
      <c r="B41" s="222"/>
      <c r="C41" s="222"/>
      <c r="D41" s="222"/>
      <c r="E41" s="222"/>
      <c r="F41" s="222"/>
      <c r="G41" s="222"/>
      <c r="H41" s="222"/>
      <c r="I41" s="222"/>
      <c r="J41" s="222"/>
      <c r="K41" s="222"/>
      <c r="L41" s="223"/>
      <c r="M41" s="222"/>
      <c r="N41" s="222"/>
      <c r="O41" s="222"/>
      <c r="P41" s="222"/>
      <c r="Q41" s="222"/>
      <c r="R41" s="222"/>
      <c r="S41" s="222"/>
      <c r="T41" s="222"/>
      <c r="U41" s="222"/>
      <c r="V41" s="222"/>
      <c r="W41" s="222"/>
      <c r="X41" s="222"/>
      <c r="Y41" s="222"/>
      <c r="Z41" s="222"/>
      <c r="AA41" s="222"/>
      <c r="AB41" s="222"/>
    </row>
    <row r="42" spans="1:28" ht="16">
      <c r="A42" s="222"/>
      <c r="B42" s="222"/>
      <c r="C42" s="222"/>
      <c r="D42" s="222"/>
      <c r="E42" s="222"/>
      <c r="F42" s="222"/>
      <c r="G42" s="222"/>
      <c r="H42" s="222"/>
      <c r="I42" s="222"/>
      <c r="J42" s="222"/>
      <c r="K42" s="222"/>
      <c r="L42" s="223"/>
      <c r="M42" s="222"/>
      <c r="N42" s="222"/>
      <c r="O42" s="222"/>
      <c r="P42" s="222"/>
      <c r="Q42" s="222"/>
      <c r="R42" s="222"/>
      <c r="S42" s="222"/>
      <c r="T42" s="222"/>
      <c r="U42" s="222"/>
      <c r="V42" s="222"/>
      <c r="W42" s="222"/>
      <c r="X42" s="222"/>
      <c r="Y42" s="222"/>
      <c r="Z42" s="222"/>
      <c r="AA42" s="222"/>
      <c r="AB42" s="222"/>
    </row>
    <row r="43" spans="1:28" ht="16">
      <c r="A43" s="222"/>
      <c r="B43" s="222"/>
      <c r="C43" s="222"/>
      <c r="D43" s="222"/>
      <c r="E43" s="222"/>
      <c r="F43" s="222"/>
      <c r="G43" s="222"/>
      <c r="H43" s="222"/>
      <c r="I43" s="222"/>
      <c r="J43" s="222"/>
      <c r="K43" s="222"/>
      <c r="L43" s="223"/>
      <c r="M43" s="222"/>
      <c r="N43" s="222"/>
      <c r="O43" s="222"/>
      <c r="P43" s="222"/>
      <c r="Q43" s="222"/>
      <c r="R43" s="222"/>
      <c r="S43" s="222"/>
      <c r="T43" s="222"/>
      <c r="U43" s="222"/>
      <c r="V43" s="222"/>
      <c r="W43" s="222"/>
      <c r="X43" s="222"/>
      <c r="Y43" s="222"/>
      <c r="Z43" s="222"/>
      <c r="AA43" s="222"/>
      <c r="AB43" s="222"/>
    </row>
    <row r="44" spans="1:28" ht="16">
      <c r="A44" s="222"/>
      <c r="B44" s="222"/>
      <c r="C44" s="222"/>
      <c r="D44" s="222"/>
      <c r="E44" s="222"/>
      <c r="F44" s="222"/>
      <c r="G44" s="222"/>
      <c r="H44" s="222"/>
      <c r="I44" s="222"/>
      <c r="J44" s="222"/>
      <c r="K44" s="222"/>
      <c r="L44" s="223"/>
      <c r="M44" s="222"/>
      <c r="N44" s="222"/>
      <c r="O44" s="222"/>
      <c r="P44" s="222"/>
      <c r="Q44" s="222"/>
      <c r="R44" s="222"/>
      <c r="S44" s="222"/>
      <c r="T44" s="222"/>
      <c r="U44" s="222"/>
      <c r="V44" s="222"/>
      <c r="W44" s="222"/>
      <c r="X44" s="222"/>
      <c r="Y44" s="222"/>
      <c r="Z44" s="222"/>
      <c r="AA44" s="222"/>
      <c r="AB44" s="222"/>
    </row>
    <row r="45" spans="1:28" ht="16">
      <c r="A45" s="222"/>
      <c r="B45" s="222"/>
      <c r="C45" s="222"/>
      <c r="D45" s="222"/>
      <c r="E45" s="222"/>
      <c r="F45" s="222"/>
      <c r="G45" s="222"/>
      <c r="H45" s="222"/>
      <c r="I45" s="222"/>
      <c r="J45" s="222"/>
      <c r="K45" s="222"/>
      <c r="L45" s="223"/>
      <c r="M45" s="222"/>
      <c r="N45" s="222"/>
      <c r="O45" s="222"/>
      <c r="P45" s="222"/>
      <c r="Q45" s="222"/>
      <c r="R45" s="222"/>
      <c r="S45" s="222"/>
      <c r="T45" s="222"/>
      <c r="U45" s="222"/>
      <c r="V45" s="222"/>
      <c r="W45" s="222"/>
      <c r="X45" s="222"/>
      <c r="Y45" s="222"/>
      <c r="Z45" s="222"/>
      <c r="AA45" s="222"/>
      <c r="AB45" s="222"/>
    </row>
    <row r="46" spans="1:28" ht="16">
      <c r="A46" s="222"/>
      <c r="B46" s="222"/>
      <c r="C46" s="222"/>
      <c r="D46" s="222"/>
      <c r="E46" s="222"/>
      <c r="F46" s="222"/>
      <c r="G46" s="222"/>
      <c r="H46" s="222"/>
      <c r="I46" s="222"/>
      <c r="J46" s="222"/>
      <c r="K46" s="222"/>
      <c r="L46" s="223"/>
      <c r="M46" s="222"/>
      <c r="N46" s="222"/>
      <c r="O46" s="222"/>
      <c r="P46" s="222"/>
      <c r="Q46" s="222"/>
      <c r="R46" s="222"/>
      <c r="S46" s="222"/>
      <c r="T46" s="222"/>
      <c r="U46" s="222"/>
      <c r="V46" s="222"/>
      <c r="W46" s="222"/>
      <c r="X46" s="222"/>
      <c r="Y46" s="222"/>
      <c r="Z46" s="222"/>
      <c r="AA46" s="222"/>
      <c r="AB46" s="222"/>
    </row>
    <row r="47" spans="1:28" ht="16">
      <c r="A47" s="222"/>
      <c r="B47" s="222"/>
      <c r="C47" s="222"/>
      <c r="D47" s="222"/>
      <c r="E47" s="222"/>
      <c r="F47" s="222"/>
      <c r="G47" s="222"/>
      <c r="H47" s="222"/>
      <c r="I47" s="222"/>
      <c r="J47" s="222"/>
      <c r="K47" s="222"/>
      <c r="L47" s="223"/>
      <c r="M47" s="222"/>
      <c r="N47" s="222"/>
      <c r="O47" s="222"/>
      <c r="P47" s="222"/>
      <c r="Q47" s="222"/>
      <c r="R47" s="222"/>
      <c r="S47" s="222"/>
      <c r="T47" s="222"/>
      <c r="U47" s="222"/>
      <c r="V47" s="222"/>
      <c r="W47" s="222"/>
      <c r="X47" s="222"/>
      <c r="Y47" s="222"/>
      <c r="Z47" s="222"/>
      <c r="AA47" s="222"/>
      <c r="AB47" s="222"/>
    </row>
    <row r="48" spans="1:28" ht="16">
      <c r="A48" s="222"/>
      <c r="B48" s="222"/>
      <c r="C48" s="222"/>
      <c r="D48" s="222"/>
      <c r="E48" s="222"/>
      <c r="F48" s="222"/>
      <c r="G48" s="222"/>
      <c r="H48" s="222"/>
      <c r="I48" s="222"/>
      <c r="J48" s="222"/>
      <c r="K48" s="222"/>
      <c r="L48" s="223"/>
      <c r="M48" s="222"/>
      <c r="N48" s="222"/>
      <c r="O48" s="222"/>
      <c r="P48" s="222"/>
      <c r="Q48" s="222"/>
      <c r="R48" s="222"/>
      <c r="S48" s="222"/>
      <c r="T48" s="222"/>
      <c r="U48" s="222"/>
      <c r="V48" s="222"/>
      <c r="W48" s="222"/>
      <c r="X48" s="222"/>
      <c r="Y48" s="222"/>
      <c r="Z48" s="222"/>
      <c r="AA48" s="222"/>
      <c r="AB48" s="222"/>
    </row>
    <row r="49" spans="1:28" ht="16">
      <c r="A49" s="222"/>
      <c r="B49" s="222"/>
      <c r="C49" s="222"/>
      <c r="D49" s="222"/>
      <c r="E49" s="222"/>
      <c r="F49" s="222"/>
      <c r="G49" s="222"/>
      <c r="H49" s="222"/>
      <c r="I49" s="222"/>
      <c r="J49" s="222"/>
      <c r="K49" s="222"/>
      <c r="L49" s="223"/>
      <c r="M49" s="222"/>
      <c r="N49" s="222"/>
      <c r="O49" s="222"/>
      <c r="P49" s="222"/>
      <c r="Q49" s="222"/>
      <c r="R49" s="222"/>
      <c r="S49" s="222"/>
      <c r="T49" s="222"/>
      <c r="U49" s="222"/>
      <c r="V49" s="222"/>
      <c r="W49" s="222"/>
      <c r="X49" s="222"/>
      <c r="Y49" s="222"/>
      <c r="Z49" s="222"/>
      <c r="AA49" s="222"/>
      <c r="AB49" s="222"/>
    </row>
    <row r="50" spans="1:28" ht="16">
      <c r="A50" s="222"/>
      <c r="B50" s="222"/>
      <c r="C50" s="222"/>
      <c r="D50" s="222"/>
      <c r="E50" s="222"/>
      <c r="F50" s="222"/>
      <c r="G50" s="222"/>
      <c r="H50" s="222"/>
      <c r="I50" s="222"/>
      <c r="J50" s="222"/>
      <c r="K50" s="222"/>
      <c r="L50" s="223"/>
      <c r="M50" s="222"/>
      <c r="N50" s="222"/>
      <c r="O50" s="222"/>
      <c r="P50" s="222"/>
      <c r="Q50" s="222"/>
      <c r="R50" s="222"/>
      <c r="S50" s="222"/>
      <c r="T50" s="222"/>
      <c r="U50" s="222"/>
      <c r="V50" s="222"/>
      <c r="W50" s="222"/>
      <c r="X50" s="222"/>
      <c r="Y50" s="222"/>
      <c r="Z50" s="222"/>
      <c r="AA50" s="222"/>
      <c r="AB50" s="222"/>
    </row>
    <row r="51" spans="1:28" ht="16">
      <c r="A51" s="222"/>
      <c r="B51" s="222"/>
      <c r="C51" s="222"/>
      <c r="D51" s="222"/>
      <c r="E51" s="222"/>
      <c r="F51" s="222"/>
      <c r="G51" s="222"/>
      <c r="H51" s="222"/>
      <c r="I51" s="222"/>
      <c r="J51" s="222"/>
      <c r="K51" s="222"/>
      <c r="L51" s="223"/>
      <c r="M51" s="222"/>
      <c r="N51" s="222"/>
      <c r="O51" s="222"/>
      <c r="P51" s="222"/>
      <c r="Q51" s="222"/>
      <c r="R51" s="222"/>
      <c r="S51" s="222"/>
      <c r="T51" s="222"/>
      <c r="U51" s="222"/>
      <c r="V51" s="222"/>
      <c r="W51" s="222"/>
      <c r="X51" s="222"/>
      <c r="Y51" s="222"/>
      <c r="Z51" s="222"/>
      <c r="AA51" s="222"/>
      <c r="AB51" s="222"/>
    </row>
    <row r="52" spans="1:28" ht="16">
      <c r="A52" s="222"/>
      <c r="B52" s="222"/>
      <c r="C52" s="222"/>
      <c r="D52" s="222"/>
      <c r="E52" s="222"/>
      <c r="F52" s="222"/>
      <c r="G52" s="222"/>
      <c r="H52" s="222"/>
      <c r="I52" s="222"/>
      <c r="J52" s="222"/>
      <c r="K52" s="222"/>
      <c r="L52" s="223"/>
      <c r="M52" s="222"/>
      <c r="N52" s="222"/>
      <c r="O52" s="222"/>
      <c r="P52" s="222"/>
      <c r="Q52" s="222"/>
      <c r="R52" s="222"/>
      <c r="S52" s="222"/>
      <c r="T52" s="222"/>
      <c r="U52" s="222"/>
      <c r="V52" s="222"/>
      <c r="W52" s="222"/>
      <c r="X52" s="222"/>
      <c r="Y52" s="222"/>
      <c r="Z52" s="222"/>
      <c r="AA52" s="222"/>
      <c r="AB52" s="222"/>
    </row>
    <row r="53" spans="1:28" ht="16">
      <c r="A53" s="222"/>
      <c r="B53" s="222"/>
      <c r="C53" s="222"/>
      <c r="D53" s="222"/>
      <c r="E53" s="222"/>
      <c r="F53" s="222"/>
      <c r="G53" s="222"/>
      <c r="H53" s="222"/>
      <c r="I53" s="222"/>
      <c r="J53" s="222"/>
      <c r="K53" s="222"/>
      <c r="L53" s="223"/>
      <c r="M53" s="222"/>
      <c r="N53" s="222"/>
      <c r="O53" s="222"/>
      <c r="P53" s="222"/>
      <c r="Q53" s="222"/>
      <c r="R53" s="222"/>
      <c r="S53" s="222"/>
      <c r="T53" s="222"/>
      <c r="U53" s="222"/>
      <c r="V53" s="222"/>
      <c r="W53" s="222"/>
      <c r="X53" s="222"/>
      <c r="Y53" s="222"/>
      <c r="Z53" s="222"/>
      <c r="AA53" s="222"/>
      <c r="AB53" s="222"/>
    </row>
    <row r="54" spans="1:28" ht="16">
      <c r="A54" s="222"/>
      <c r="B54" s="222"/>
      <c r="C54" s="222"/>
      <c r="D54" s="222"/>
      <c r="E54" s="222"/>
      <c r="F54" s="222"/>
      <c r="G54" s="222"/>
      <c r="H54" s="222"/>
      <c r="I54" s="222"/>
      <c r="J54" s="222"/>
      <c r="K54" s="222"/>
      <c r="L54" s="223"/>
      <c r="M54" s="222"/>
      <c r="N54" s="222"/>
      <c r="O54" s="222"/>
      <c r="P54" s="222"/>
      <c r="Q54" s="222"/>
      <c r="R54" s="222"/>
      <c r="S54" s="222"/>
      <c r="T54" s="222"/>
      <c r="U54" s="222"/>
      <c r="V54" s="222"/>
      <c r="W54" s="222"/>
      <c r="X54" s="222"/>
      <c r="Y54" s="222"/>
      <c r="Z54" s="222"/>
      <c r="AA54" s="222"/>
      <c r="AB54" s="222"/>
    </row>
    <row r="55" spans="1:28" ht="16">
      <c r="A55" s="222"/>
      <c r="B55" s="222"/>
      <c r="C55" s="222"/>
      <c r="D55" s="222"/>
      <c r="E55" s="222"/>
      <c r="F55" s="222"/>
      <c r="G55" s="222"/>
      <c r="H55" s="222"/>
      <c r="I55" s="222"/>
      <c r="J55" s="222"/>
      <c r="K55" s="222"/>
      <c r="L55" s="223"/>
      <c r="M55" s="222"/>
      <c r="N55" s="222"/>
      <c r="O55" s="222"/>
      <c r="P55" s="222"/>
      <c r="Q55" s="222"/>
      <c r="R55" s="222"/>
      <c r="S55" s="222"/>
      <c r="T55" s="222"/>
      <c r="U55" s="222"/>
      <c r="V55" s="222"/>
      <c r="W55" s="222"/>
      <c r="X55" s="222"/>
      <c r="Y55" s="222"/>
      <c r="Z55" s="222"/>
      <c r="AA55" s="222"/>
      <c r="AB55" s="222"/>
    </row>
    <row r="56" spans="1:28" ht="16">
      <c r="A56" s="222"/>
      <c r="B56" s="222"/>
      <c r="C56" s="222"/>
      <c r="D56" s="222"/>
      <c r="E56" s="222"/>
      <c r="F56" s="222"/>
      <c r="G56" s="222"/>
      <c r="H56" s="222"/>
      <c r="I56" s="222"/>
      <c r="J56" s="222"/>
      <c r="K56" s="222"/>
      <c r="L56" s="223"/>
      <c r="M56" s="222"/>
      <c r="N56" s="222"/>
      <c r="O56" s="222"/>
      <c r="P56" s="222"/>
      <c r="Q56" s="222"/>
      <c r="R56" s="222"/>
      <c r="S56" s="222"/>
      <c r="T56" s="222"/>
      <c r="U56" s="222"/>
      <c r="V56" s="222"/>
      <c r="W56" s="222"/>
      <c r="X56" s="222"/>
      <c r="Y56" s="222"/>
      <c r="Z56" s="222"/>
      <c r="AA56" s="222"/>
      <c r="AB56" s="222"/>
    </row>
    <row r="57" spans="1:28" ht="16">
      <c r="A57" s="222"/>
      <c r="B57" s="222"/>
      <c r="C57" s="222"/>
      <c r="D57" s="222"/>
      <c r="E57" s="222"/>
      <c r="F57" s="222"/>
      <c r="G57" s="222"/>
      <c r="H57" s="222"/>
      <c r="I57" s="222"/>
      <c r="J57" s="222"/>
      <c r="K57" s="222"/>
      <c r="L57" s="223"/>
      <c r="M57" s="222"/>
      <c r="N57" s="222"/>
      <c r="O57" s="222"/>
      <c r="P57" s="222"/>
      <c r="Q57" s="222"/>
      <c r="R57" s="222"/>
      <c r="S57" s="222"/>
      <c r="T57" s="222"/>
      <c r="U57" s="222"/>
      <c r="V57" s="222"/>
      <c r="W57" s="222"/>
      <c r="X57" s="222"/>
      <c r="Y57" s="222"/>
      <c r="Z57" s="222"/>
      <c r="AA57" s="222"/>
      <c r="AB57" s="222"/>
    </row>
    <row r="58" spans="1:28" ht="16">
      <c r="A58" s="222"/>
      <c r="B58" s="222"/>
      <c r="C58" s="222"/>
      <c r="D58" s="222"/>
      <c r="E58" s="222"/>
      <c r="F58" s="222"/>
      <c r="G58" s="222"/>
      <c r="H58" s="222"/>
      <c r="I58" s="222"/>
      <c r="J58" s="222"/>
      <c r="K58" s="222"/>
      <c r="L58" s="223"/>
      <c r="M58" s="222"/>
      <c r="N58" s="222"/>
      <c r="O58" s="222"/>
      <c r="P58" s="222"/>
      <c r="Q58" s="222"/>
      <c r="R58" s="222"/>
      <c r="S58" s="222"/>
      <c r="T58" s="222"/>
      <c r="U58" s="222"/>
      <c r="V58" s="222"/>
      <c r="W58" s="222"/>
      <c r="X58" s="222"/>
      <c r="Y58" s="222"/>
      <c r="Z58" s="222"/>
      <c r="AA58" s="222"/>
      <c r="AB58" s="222"/>
    </row>
    <row r="59" spans="1:28" ht="16">
      <c r="A59" s="222"/>
      <c r="B59" s="222"/>
      <c r="C59" s="222"/>
      <c r="D59" s="222"/>
      <c r="E59" s="222"/>
      <c r="F59" s="222"/>
      <c r="G59" s="222"/>
      <c r="H59" s="222"/>
      <c r="I59" s="222"/>
      <c r="J59" s="222"/>
      <c r="K59" s="222"/>
      <c r="L59" s="223"/>
      <c r="M59" s="222"/>
      <c r="N59" s="222"/>
      <c r="O59" s="222"/>
      <c r="P59" s="222"/>
      <c r="Q59" s="222"/>
      <c r="R59" s="222"/>
      <c r="S59" s="222"/>
      <c r="T59" s="222"/>
      <c r="U59" s="222"/>
      <c r="V59" s="222"/>
      <c r="W59" s="222"/>
      <c r="X59" s="222"/>
      <c r="Y59" s="222"/>
      <c r="Z59" s="222"/>
      <c r="AA59" s="222"/>
      <c r="AB59" s="222"/>
    </row>
    <row r="60" spans="1:28" ht="16">
      <c r="A60" s="222"/>
      <c r="B60" s="222"/>
      <c r="C60" s="222"/>
      <c r="D60" s="222"/>
      <c r="E60" s="222"/>
      <c r="F60" s="222"/>
      <c r="G60" s="222"/>
      <c r="H60" s="222"/>
      <c r="I60" s="222"/>
      <c r="J60" s="222"/>
      <c r="K60" s="222"/>
      <c r="L60" s="223"/>
      <c r="M60" s="222"/>
      <c r="N60" s="222"/>
      <c r="O60" s="222"/>
      <c r="P60" s="222"/>
      <c r="Q60" s="222"/>
      <c r="R60" s="222"/>
      <c r="S60" s="222"/>
      <c r="T60" s="222"/>
      <c r="U60" s="222"/>
      <c r="V60" s="222"/>
      <c r="W60" s="222"/>
      <c r="X60" s="222"/>
      <c r="Y60" s="222"/>
      <c r="Z60" s="222"/>
      <c r="AA60" s="222"/>
      <c r="AB60" s="222"/>
    </row>
    <row r="61" spans="1:28" ht="16">
      <c r="A61" s="222"/>
      <c r="B61" s="222"/>
      <c r="C61" s="222"/>
      <c r="D61" s="222"/>
      <c r="E61" s="222"/>
      <c r="F61" s="222"/>
      <c r="G61" s="222"/>
      <c r="H61" s="222"/>
      <c r="I61" s="222"/>
      <c r="J61" s="222"/>
      <c r="K61" s="222"/>
      <c r="L61" s="223"/>
      <c r="M61" s="222"/>
      <c r="N61" s="222"/>
      <c r="O61" s="222"/>
      <c r="P61" s="222"/>
      <c r="Q61" s="222"/>
      <c r="R61" s="222"/>
      <c r="S61" s="222"/>
      <c r="T61" s="222"/>
      <c r="U61" s="222"/>
      <c r="V61" s="222"/>
      <c r="W61" s="222"/>
      <c r="X61" s="222"/>
      <c r="Y61" s="222"/>
      <c r="Z61" s="222"/>
      <c r="AA61" s="222"/>
      <c r="AB61" s="222"/>
    </row>
    <row r="62" spans="1:28" ht="16">
      <c r="A62" s="222"/>
      <c r="B62" s="222"/>
      <c r="C62" s="222"/>
      <c r="D62" s="222"/>
      <c r="E62" s="222"/>
      <c r="F62" s="222"/>
      <c r="G62" s="222"/>
      <c r="H62" s="222"/>
      <c r="I62" s="222"/>
      <c r="J62" s="222"/>
      <c r="K62" s="222"/>
      <c r="L62" s="223"/>
      <c r="M62" s="222"/>
      <c r="N62" s="222"/>
      <c r="O62" s="222"/>
      <c r="P62" s="222"/>
      <c r="Q62" s="222"/>
      <c r="R62" s="222"/>
      <c r="S62" s="222"/>
      <c r="T62" s="222"/>
      <c r="U62" s="222"/>
      <c r="V62" s="222"/>
      <c r="W62" s="222"/>
      <c r="X62" s="222"/>
      <c r="Y62" s="222"/>
      <c r="Z62" s="222"/>
      <c r="AA62" s="222"/>
      <c r="AB62" s="222"/>
    </row>
    <row r="63" spans="1:28" ht="16">
      <c r="A63" s="222"/>
      <c r="B63" s="222"/>
      <c r="C63" s="222"/>
      <c r="D63" s="222"/>
      <c r="E63" s="222"/>
      <c r="F63" s="222"/>
      <c r="G63" s="222"/>
      <c r="H63" s="222"/>
      <c r="I63" s="222"/>
      <c r="J63" s="222"/>
      <c r="K63" s="222"/>
      <c r="L63" s="223"/>
      <c r="M63" s="222"/>
      <c r="N63" s="222"/>
      <c r="O63" s="222"/>
      <c r="P63" s="222"/>
      <c r="Q63" s="222"/>
      <c r="R63" s="222"/>
      <c r="S63" s="222"/>
      <c r="T63" s="222"/>
      <c r="U63" s="222"/>
      <c r="V63" s="222"/>
      <c r="W63" s="222"/>
      <c r="X63" s="222"/>
      <c r="Y63" s="222"/>
      <c r="Z63" s="222"/>
      <c r="AA63" s="222"/>
      <c r="AB63" s="222"/>
    </row>
    <row r="64" spans="1:28" ht="16">
      <c r="A64" s="222"/>
      <c r="B64" s="222"/>
      <c r="C64" s="222"/>
      <c r="D64" s="222"/>
      <c r="E64" s="222"/>
      <c r="F64" s="222"/>
      <c r="G64" s="222"/>
      <c r="H64" s="222"/>
      <c r="I64" s="222"/>
      <c r="J64" s="222"/>
      <c r="K64" s="222"/>
      <c r="L64" s="223"/>
      <c r="M64" s="222"/>
      <c r="N64" s="222"/>
      <c r="O64" s="222"/>
      <c r="P64" s="222"/>
      <c r="Q64" s="222"/>
      <c r="R64" s="222"/>
      <c r="S64" s="222"/>
      <c r="T64" s="222"/>
      <c r="U64" s="222"/>
      <c r="V64" s="222"/>
      <c r="W64" s="222"/>
      <c r="X64" s="222"/>
      <c r="Y64" s="222"/>
      <c r="Z64" s="222"/>
      <c r="AA64" s="222"/>
      <c r="AB64" s="222"/>
    </row>
    <row r="65" spans="1:28" ht="16">
      <c r="A65" s="222"/>
      <c r="B65" s="222"/>
      <c r="C65" s="222"/>
      <c r="D65" s="222"/>
      <c r="E65" s="222"/>
      <c r="F65" s="222"/>
      <c r="G65" s="222"/>
      <c r="H65" s="222"/>
      <c r="I65" s="222"/>
      <c r="J65" s="222"/>
      <c r="K65" s="222"/>
      <c r="L65" s="223"/>
      <c r="M65" s="222"/>
      <c r="N65" s="222"/>
      <c r="O65" s="222"/>
      <c r="P65" s="222"/>
      <c r="Q65" s="222"/>
      <c r="R65" s="222"/>
      <c r="S65" s="222"/>
      <c r="T65" s="222"/>
      <c r="U65" s="222"/>
      <c r="V65" s="222"/>
      <c r="W65" s="222"/>
      <c r="X65" s="222"/>
      <c r="Y65" s="222"/>
      <c r="Z65" s="222"/>
      <c r="AA65" s="222"/>
      <c r="AB65" s="222"/>
    </row>
    <row r="66" spans="1:28" ht="16">
      <c r="A66" s="222"/>
      <c r="B66" s="222"/>
      <c r="C66" s="222"/>
      <c r="D66" s="222"/>
      <c r="E66" s="222"/>
      <c r="F66" s="222"/>
      <c r="G66" s="222"/>
      <c r="H66" s="222"/>
      <c r="I66" s="222"/>
      <c r="J66" s="222"/>
      <c r="K66" s="222"/>
      <c r="L66" s="223"/>
      <c r="M66" s="222"/>
      <c r="N66" s="222"/>
      <c r="O66" s="222"/>
      <c r="P66" s="222"/>
      <c r="Q66" s="222"/>
      <c r="R66" s="222"/>
      <c r="S66" s="222"/>
      <c r="T66" s="222"/>
      <c r="U66" s="222"/>
      <c r="V66" s="222"/>
      <c r="W66" s="222"/>
      <c r="X66" s="222"/>
      <c r="Y66" s="222"/>
      <c r="Z66" s="222"/>
      <c r="AA66" s="222"/>
      <c r="AB66" s="222"/>
    </row>
    <row r="67" spans="1:28" ht="16">
      <c r="A67" s="222"/>
      <c r="B67" s="222"/>
      <c r="C67" s="222"/>
      <c r="D67" s="222"/>
      <c r="E67" s="222"/>
      <c r="F67" s="222"/>
      <c r="G67" s="222"/>
      <c r="H67" s="222"/>
      <c r="I67" s="222"/>
      <c r="J67" s="222"/>
      <c r="K67" s="222"/>
      <c r="L67" s="223"/>
      <c r="M67" s="222"/>
      <c r="N67" s="222"/>
      <c r="O67" s="222"/>
      <c r="P67" s="222"/>
      <c r="Q67" s="222"/>
      <c r="R67" s="222"/>
      <c r="S67" s="222"/>
      <c r="T67" s="222"/>
      <c r="U67" s="222"/>
      <c r="V67" s="222"/>
      <c r="W67" s="222"/>
      <c r="X67" s="222"/>
      <c r="Y67" s="222"/>
      <c r="Z67" s="222"/>
      <c r="AA67" s="222"/>
      <c r="AB67" s="222"/>
    </row>
    <row r="68" spans="1:28" ht="16">
      <c r="A68" s="222"/>
      <c r="B68" s="222"/>
      <c r="C68" s="222"/>
      <c r="D68" s="222"/>
      <c r="E68" s="222"/>
      <c r="F68" s="222"/>
      <c r="G68" s="222"/>
      <c r="H68" s="222"/>
      <c r="I68" s="222"/>
      <c r="J68" s="222"/>
      <c r="K68" s="222"/>
      <c r="L68" s="223"/>
      <c r="M68" s="222"/>
      <c r="N68" s="222"/>
      <c r="O68" s="222"/>
      <c r="P68" s="222"/>
      <c r="Q68" s="222"/>
      <c r="R68" s="222"/>
      <c r="S68" s="222"/>
      <c r="T68" s="222"/>
      <c r="U68" s="222"/>
      <c r="V68" s="222"/>
      <c r="W68" s="222"/>
      <c r="X68" s="222"/>
      <c r="Y68" s="222"/>
      <c r="Z68" s="222"/>
      <c r="AA68" s="222"/>
      <c r="AB68" s="222"/>
    </row>
    <row r="69" spans="1:28" ht="16">
      <c r="A69" s="222"/>
      <c r="B69" s="222"/>
      <c r="C69" s="222"/>
      <c r="D69" s="222"/>
      <c r="E69" s="222"/>
      <c r="F69" s="222"/>
      <c r="G69" s="222"/>
      <c r="H69" s="222"/>
      <c r="I69" s="222"/>
      <c r="J69" s="222"/>
      <c r="K69" s="222"/>
      <c r="L69" s="223"/>
      <c r="M69" s="222"/>
      <c r="N69" s="222"/>
      <c r="O69" s="222"/>
      <c r="P69" s="222"/>
      <c r="Q69" s="222"/>
      <c r="R69" s="222"/>
      <c r="S69" s="222"/>
      <c r="T69" s="222"/>
      <c r="U69" s="222"/>
      <c r="V69" s="222"/>
      <c r="W69" s="222"/>
      <c r="X69" s="222"/>
      <c r="Y69" s="222"/>
      <c r="Z69" s="222"/>
      <c r="AA69" s="222"/>
      <c r="AB69" s="222"/>
    </row>
    <row r="70" spans="1:28" ht="16">
      <c r="A70" s="222"/>
      <c r="B70" s="222"/>
      <c r="C70" s="222"/>
      <c r="D70" s="222"/>
      <c r="E70" s="222"/>
      <c r="F70" s="222"/>
      <c r="G70" s="222"/>
      <c r="H70" s="222"/>
      <c r="I70" s="222"/>
      <c r="J70" s="222"/>
      <c r="K70" s="222"/>
      <c r="L70" s="223"/>
      <c r="M70" s="222"/>
      <c r="N70" s="222"/>
      <c r="O70" s="222"/>
      <c r="P70" s="222"/>
      <c r="Q70" s="222"/>
      <c r="R70" s="222"/>
      <c r="S70" s="222"/>
      <c r="T70" s="222"/>
      <c r="U70" s="222"/>
      <c r="V70" s="222"/>
      <c r="W70" s="222"/>
      <c r="X70" s="222"/>
      <c r="Y70" s="222"/>
      <c r="Z70" s="222"/>
      <c r="AA70" s="222"/>
      <c r="AB70" s="222"/>
    </row>
    <row r="71" spans="1:28" ht="16">
      <c r="A71" s="222"/>
      <c r="B71" s="222"/>
      <c r="C71" s="222"/>
      <c r="D71" s="222"/>
      <c r="E71" s="222"/>
      <c r="F71" s="222"/>
      <c r="G71" s="222"/>
      <c r="H71" s="222"/>
      <c r="I71" s="222"/>
      <c r="J71" s="222"/>
      <c r="K71" s="222"/>
      <c r="L71" s="223"/>
      <c r="M71" s="222"/>
      <c r="N71" s="222"/>
      <c r="O71" s="222"/>
      <c r="P71" s="222"/>
      <c r="Q71" s="222"/>
      <c r="R71" s="222"/>
      <c r="S71" s="222"/>
      <c r="T71" s="222"/>
      <c r="U71" s="222"/>
      <c r="V71" s="222"/>
      <c r="W71" s="222"/>
      <c r="X71" s="222"/>
      <c r="Y71" s="222"/>
      <c r="Z71" s="222"/>
      <c r="AA71" s="222"/>
      <c r="AB71" s="222"/>
    </row>
    <row r="72" spans="1:28" ht="16">
      <c r="A72" s="222"/>
      <c r="B72" s="222"/>
      <c r="C72" s="222"/>
      <c r="D72" s="222"/>
      <c r="E72" s="222"/>
      <c r="F72" s="222"/>
      <c r="G72" s="222"/>
      <c r="H72" s="222"/>
      <c r="I72" s="222"/>
      <c r="J72" s="222"/>
      <c r="K72" s="222"/>
      <c r="L72" s="223"/>
      <c r="M72" s="222"/>
      <c r="N72" s="222"/>
      <c r="O72" s="222"/>
      <c r="P72" s="222"/>
      <c r="Q72" s="222"/>
      <c r="R72" s="222"/>
      <c r="S72" s="222"/>
      <c r="T72" s="222"/>
      <c r="U72" s="222"/>
      <c r="V72" s="222"/>
      <c r="W72" s="222"/>
      <c r="X72" s="222"/>
      <c r="Y72" s="222"/>
      <c r="Z72" s="222"/>
      <c r="AA72" s="222"/>
      <c r="AB72" s="222"/>
    </row>
    <row r="73" spans="1:28" ht="16">
      <c r="A73" s="222"/>
      <c r="B73" s="222"/>
      <c r="C73" s="222"/>
      <c r="D73" s="222"/>
      <c r="E73" s="222"/>
      <c r="F73" s="222"/>
      <c r="G73" s="222"/>
      <c r="H73" s="222"/>
      <c r="I73" s="222"/>
      <c r="J73" s="222"/>
      <c r="K73" s="222"/>
      <c r="L73" s="223"/>
      <c r="M73" s="222"/>
      <c r="N73" s="222"/>
      <c r="O73" s="222"/>
      <c r="P73" s="222"/>
      <c r="Q73" s="222"/>
      <c r="R73" s="222"/>
      <c r="S73" s="222"/>
      <c r="T73" s="222"/>
      <c r="U73" s="222"/>
      <c r="V73" s="222"/>
      <c r="W73" s="222"/>
      <c r="X73" s="222"/>
      <c r="Y73" s="222"/>
      <c r="Z73" s="222"/>
      <c r="AA73" s="222"/>
      <c r="AB73" s="222"/>
    </row>
    <row r="74" spans="1:28" ht="16">
      <c r="A74" s="222"/>
      <c r="B74" s="222"/>
      <c r="C74" s="222"/>
      <c r="D74" s="222"/>
      <c r="E74" s="222"/>
      <c r="F74" s="222"/>
      <c r="G74" s="222"/>
      <c r="H74" s="222"/>
      <c r="I74" s="222"/>
      <c r="J74" s="222"/>
      <c r="K74" s="222"/>
      <c r="L74" s="223"/>
      <c r="M74" s="222"/>
      <c r="N74" s="222"/>
      <c r="O74" s="222"/>
      <c r="P74" s="222"/>
      <c r="Q74" s="222"/>
      <c r="R74" s="222"/>
      <c r="S74" s="222"/>
      <c r="T74" s="222"/>
      <c r="U74" s="222"/>
      <c r="V74" s="222"/>
      <c r="W74" s="222"/>
      <c r="X74" s="222"/>
      <c r="Y74" s="222"/>
      <c r="Z74" s="222"/>
      <c r="AA74" s="222"/>
      <c r="AB74" s="222"/>
    </row>
    <row r="75" spans="1:28" ht="16">
      <c r="A75" s="222"/>
      <c r="B75" s="222"/>
      <c r="C75" s="222"/>
      <c r="D75" s="222"/>
      <c r="E75" s="222"/>
      <c r="F75" s="222"/>
      <c r="G75" s="222"/>
      <c r="H75" s="222"/>
      <c r="I75" s="222"/>
      <c r="J75" s="222"/>
      <c r="K75" s="222"/>
      <c r="L75" s="223"/>
      <c r="M75" s="222"/>
      <c r="N75" s="222"/>
      <c r="O75" s="222"/>
      <c r="P75" s="222"/>
      <c r="Q75" s="222"/>
      <c r="R75" s="222"/>
      <c r="S75" s="222"/>
      <c r="T75" s="222"/>
      <c r="U75" s="222"/>
      <c r="V75" s="222"/>
      <c r="W75" s="222"/>
      <c r="X75" s="222"/>
      <c r="Y75" s="222"/>
      <c r="Z75" s="222"/>
      <c r="AA75" s="222"/>
      <c r="AB75" s="222"/>
    </row>
    <row r="76" spans="1:28" ht="16">
      <c r="A76" s="222"/>
      <c r="B76" s="222"/>
      <c r="C76" s="222"/>
      <c r="D76" s="222"/>
      <c r="E76" s="222"/>
      <c r="F76" s="222"/>
      <c r="G76" s="222"/>
      <c r="H76" s="222"/>
      <c r="I76" s="222"/>
      <c r="J76" s="222"/>
      <c r="K76" s="222"/>
      <c r="L76" s="223"/>
      <c r="M76" s="222"/>
      <c r="N76" s="222"/>
      <c r="O76" s="222"/>
      <c r="P76" s="222"/>
      <c r="Q76" s="222"/>
      <c r="R76" s="222"/>
      <c r="S76" s="222"/>
      <c r="T76" s="222"/>
      <c r="U76" s="222"/>
      <c r="V76" s="222"/>
      <c r="W76" s="222"/>
      <c r="X76" s="222"/>
      <c r="Y76" s="222"/>
      <c r="Z76" s="222"/>
      <c r="AA76" s="222"/>
      <c r="AB76" s="222"/>
    </row>
    <row r="77" spans="1:28" ht="16">
      <c r="A77" s="222"/>
      <c r="B77" s="222"/>
      <c r="C77" s="222"/>
      <c r="D77" s="222"/>
      <c r="E77" s="222"/>
      <c r="F77" s="222"/>
      <c r="G77" s="222"/>
      <c r="H77" s="222"/>
      <c r="I77" s="222"/>
      <c r="J77" s="222"/>
      <c r="K77" s="222"/>
      <c r="L77" s="223"/>
      <c r="M77" s="222"/>
      <c r="N77" s="222"/>
      <c r="O77" s="222"/>
      <c r="P77" s="222"/>
      <c r="Q77" s="222"/>
      <c r="R77" s="222"/>
      <c r="S77" s="222"/>
      <c r="T77" s="222"/>
      <c r="U77" s="222"/>
      <c r="V77" s="222"/>
      <c r="W77" s="222"/>
      <c r="X77" s="222"/>
      <c r="Y77" s="222"/>
      <c r="Z77" s="222"/>
      <c r="AA77" s="222"/>
      <c r="AB77" s="222"/>
    </row>
    <row r="78" spans="1:28" ht="16">
      <c r="A78" s="222"/>
      <c r="B78" s="222"/>
      <c r="C78" s="222"/>
      <c r="D78" s="222"/>
      <c r="E78" s="222"/>
      <c r="F78" s="222"/>
      <c r="G78" s="222"/>
      <c r="H78" s="222"/>
      <c r="I78" s="222"/>
      <c r="J78" s="222"/>
      <c r="K78" s="222"/>
      <c r="L78" s="223"/>
      <c r="M78" s="222"/>
      <c r="N78" s="222"/>
      <c r="O78" s="222"/>
      <c r="P78" s="222"/>
      <c r="Q78" s="222"/>
      <c r="R78" s="222"/>
      <c r="S78" s="222"/>
      <c r="T78" s="222"/>
      <c r="U78" s="222"/>
      <c r="V78" s="222"/>
      <c r="W78" s="222"/>
      <c r="X78" s="222"/>
      <c r="Y78" s="222"/>
      <c r="Z78" s="222"/>
      <c r="AA78" s="222"/>
      <c r="AB78" s="222"/>
    </row>
    <row r="79" spans="1:28" ht="16">
      <c r="A79" s="222"/>
      <c r="B79" s="222"/>
      <c r="C79" s="222"/>
      <c r="D79" s="222"/>
      <c r="E79" s="222"/>
      <c r="F79" s="222"/>
      <c r="G79" s="222"/>
      <c r="H79" s="222"/>
      <c r="I79" s="222"/>
      <c r="J79" s="222"/>
      <c r="K79" s="222"/>
      <c r="L79" s="223"/>
      <c r="M79" s="222"/>
      <c r="N79" s="222"/>
      <c r="O79" s="222"/>
      <c r="P79" s="222"/>
      <c r="Q79" s="222"/>
      <c r="R79" s="222"/>
      <c r="S79" s="222"/>
      <c r="T79" s="222"/>
      <c r="U79" s="222"/>
      <c r="V79" s="222"/>
      <c r="W79" s="222"/>
      <c r="X79" s="222"/>
      <c r="Y79" s="222"/>
      <c r="Z79" s="222"/>
      <c r="AA79" s="222"/>
      <c r="AB79" s="222"/>
    </row>
    <row r="80" spans="1:28" ht="16">
      <c r="A80" s="222"/>
      <c r="B80" s="222"/>
      <c r="C80" s="222"/>
      <c r="D80" s="222"/>
      <c r="E80" s="222"/>
      <c r="F80" s="222"/>
      <c r="G80" s="222"/>
      <c r="H80" s="222"/>
      <c r="I80" s="222"/>
      <c r="J80" s="222"/>
      <c r="K80" s="222"/>
      <c r="L80" s="223"/>
      <c r="M80" s="222"/>
      <c r="N80" s="222"/>
      <c r="O80" s="222"/>
      <c r="P80" s="222"/>
      <c r="Q80" s="222"/>
      <c r="R80" s="222"/>
      <c r="S80" s="222"/>
      <c r="T80" s="222"/>
      <c r="U80" s="222"/>
      <c r="V80" s="222"/>
      <c r="W80" s="222"/>
      <c r="X80" s="222"/>
      <c r="Y80" s="222"/>
      <c r="Z80" s="222"/>
      <c r="AA80" s="222"/>
      <c r="AB80" s="222"/>
    </row>
    <row r="81" spans="1:28" ht="16">
      <c r="A81" s="222"/>
      <c r="B81" s="222"/>
      <c r="C81" s="222"/>
      <c r="D81" s="222"/>
      <c r="E81" s="222"/>
      <c r="F81" s="222"/>
      <c r="G81" s="222"/>
      <c r="H81" s="222"/>
      <c r="I81" s="222"/>
      <c r="J81" s="222"/>
      <c r="K81" s="222"/>
      <c r="L81" s="223"/>
      <c r="M81" s="222"/>
      <c r="N81" s="222"/>
      <c r="O81" s="222"/>
      <c r="P81" s="222"/>
      <c r="Q81" s="222"/>
      <c r="R81" s="222"/>
      <c r="S81" s="222"/>
      <c r="T81" s="222"/>
      <c r="U81" s="222"/>
      <c r="V81" s="222"/>
      <c r="W81" s="222"/>
      <c r="X81" s="222"/>
      <c r="Y81" s="222"/>
      <c r="Z81" s="222"/>
      <c r="AA81" s="222"/>
      <c r="AB81" s="222"/>
    </row>
    <row r="82" spans="1:28" ht="16">
      <c r="A82" s="222"/>
      <c r="B82" s="222"/>
      <c r="C82" s="222"/>
      <c r="D82" s="222"/>
      <c r="E82" s="222"/>
      <c r="F82" s="222"/>
      <c r="G82" s="222"/>
      <c r="H82" s="222"/>
      <c r="I82" s="222"/>
      <c r="J82" s="222"/>
      <c r="K82" s="222"/>
      <c r="L82" s="223"/>
      <c r="M82" s="222"/>
      <c r="N82" s="222"/>
      <c r="O82" s="222"/>
      <c r="P82" s="222"/>
      <c r="Q82" s="222"/>
      <c r="R82" s="222"/>
      <c r="S82" s="222"/>
      <c r="T82" s="222"/>
      <c r="U82" s="222"/>
      <c r="V82" s="222"/>
      <c r="W82" s="222"/>
      <c r="X82" s="222"/>
      <c r="Y82" s="222"/>
      <c r="Z82" s="222"/>
      <c r="AA82" s="222"/>
      <c r="AB82" s="222"/>
    </row>
    <row r="83" spans="1:28" ht="16">
      <c r="A83" s="222"/>
      <c r="B83" s="222"/>
      <c r="C83" s="222"/>
      <c r="D83" s="222"/>
      <c r="E83" s="222"/>
      <c r="F83" s="222"/>
      <c r="G83" s="222"/>
      <c r="H83" s="222"/>
      <c r="I83" s="222"/>
      <c r="J83" s="222"/>
      <c r="K83" s="222"/>
      <c r="L83" s="223"/>
      <c r="M83" s="222"/>
      <c r="N83" s="222"/>
      <c r="O83" s="222"/>
      <c r="P83" s="222"/>
      <c r="Q83" s="222"/>
      <c r="R83" s="222"/>
      <c r="S83" s="222"/>
      <c r="T83" s="222"/>
      <c r="U83" s="222"/>
      <c r="V83" s="222"/>
      <c r="W83" s="222"/>
      <c r="X83" s="222"/>
      <c r="Y83" s="222"/>
      <c r="Z83" s="222"/>
      <c r="AA83" s="222"/>
      <c r="AB83" s="222"/>
    </row>
    <row r="84" spans="1:28" ht="16">
      <c r="A84" s="222"/>
      <c r="B84" s="222"/>
      <c r="C84" s="222"/>
      <c r="D84" s="222"/>
      <c r="E84" s="222"/>
      <c r="F84" s="222"/>
      <c r="G84" s="222"/>
      <c r="H84" s="222"/>
      <c r="I84" s="222"/>
      <c r="J84" s="222"/>
      <c r="K84" s="222"/>
      <c r="L84" s="223"/>
      <c r="M84" s="222"/>
      <c r="N84" s="222"/>
      <c r="O84" s="222"/>
      <c r="P84" s="222"/>
      <c r="Q84" s="222"/>
      <c r="R84" s="222"/>
      <c r="S84" s="222"/>
      <c r="T84" s="222"/>
      <c r="U84" s="222"/>
      <c r="V84" s="222"/>
      <c r="W84" s="222"/>
      <c r="X84" s="222"/>
      <c r="Y84" s="222"/>
      <c r="Z84" s="222"/>
      <c r="AA84" s="222"/>
      <c r="AB84" s="222"/>
    </row>
    <row r="85" spans="1:28" ht="16">
      <c r="A85" s="222"/>
      <c r="B85" s="222"/>
      <c r="C85" s="222"/>
      <c r="D85" s="222"/>
      <c r="E85" s="222"/>
      <c r="F85" s="222"/>
      <c r="G85" s="222"/>
      <c r="H85" s="222"/>
      <c r="I85" s="222"/>
      <c r="J85" s="222"/>
      <c r="K85" s="222"/>
      <c r="L85" s="223"/>
      <c r="M85" s="222"/>
      <c r="N85" s="222"/>
      <c r="O85" s="222"/>
      <c r="P85" s="222"/>
      <c r="Q85" s="222"/>
      <c r="R85" s="222"/>
      <c r="S85" s="222"/>
      <c r="T85" s="222"/>
      <c r="U85" s="222"/>
      <c r="V85" s="222"/>
      <c r="W85" s="222"/>
      <c r="X85" s="222"/>
      <c r="Y85" s="222"/>
      <c r="Z85" s="222"/>
      <c r="AA85" s="222"/>
      <c r="AB85" s="222"/>
    </row>
    <row r="86" spans="1:28" ht="16">
      <c r="A86" s="222"/>
      <c r="B86" s="222"/>
      <c r="C86" s="222"/>
      <c r="D86" s="222"/>
      <c r="E86" s="222"/>
      <c r="F86" s="222"/>
      <c r="G86" s="222"/>
      <c r="H86" s="222"/>
      <c r="I86" s="222"/>
      <c r="J86" s="222"/>
      <c r="K86" s="222"/>
      <c r="L86" s="223"/>
      <c r="M86" s="222"/>
      <c r="N86" s="222"/>
      <c r="O86" s="222"/>
      <c r="P86" s="222"/>
      <c r="Q86" s="222"/>
      <c r="R86" s="222"/>
      <c r="S86" s="222"/>
      <c r="T86" s="222"/>
      <c r="U86" s="222"/>
      <c r="V86" s="222"/>
      <c r="W86" s="222"/>
      <c r="X86" s="222"/>
      <c r="Y86" s="222"/>
      <c r="Z86" s="222"/>
      <c r="AA86" s="222"/>
      <c r="AB86" s="222"/>
    </row>
    <row r="87" spans="1:28" ht="16">
      <c r="A87" s="222"/>
      <c r="B87" s="222"/>
      <c r="C87" s="222"/>
      <c r="D87" s="222"/>
      <c r="E87" s="222"/>
      <c r="F87" s="222"/>
      <c r="G87" s="222"/>
      <c r="H87" s="222"/>
      <c r="I87" s="222"/>
      <c r="J87" s="222"/>
      <c r="K87" s="222"/>
      <c r="L87" s="223"/>
      <c r="M87" s="222"/>
      <c r="N87" s="222"/>
      <c r="O87" s="222"/>
      <c r="P87" s="222"/>
      <c r="Q87" s="222"/>
      <c r="R87" s="222"/>
      <c r="S87" s="222"/>
      <c r="T87" s="222"/>
      <c r="U87" s="222"/>
      <c r="V87" s="222"/>
      <c r="W87" s="222"/>
      <c r="X87" s="222"/>
      <c r="Y87" s="222"/>
      <c r="Z87" s="222"/>
      <c r="AA87" s="222"/>
      <c r="AB87" s="222"/>
    </row>
    <row r="88" spans="1:28" ht="16">
      <c r="A88" s="222"/>
      <c r="B88" s="222"/>
      <c r="C88" s="222"/>
      <c r="D88" s="222"/>
      <c r="E88" s="222"/>
      <c r="F88" s="222"/>
      <c r="G88" s="222"/>
      <c r="H88" s="222"/>
      <c r="I88" s="222"/>
      <c r="J88" s="222"/>
      <c r="K88" s="222"/>
      <c r="L88" s="223"/>
      <c r="M88" s="222"/>
      <c r="N88" s="222"/>
      <c r="O88" s="222"/>
      <c r="P88" s="222"/>
      <c r="Q88" s="222"/>
      <c r="R88" s="222"/>
      <c r="S88" s="222"/>
      <c r="T88" s="222"/>
      <c r="U88" s="222"/>
      <c r="V88" s="222"/>
      <c r="W88" s="222"/>
      <c r="X88" s="222"/>
      <c r="Y88" s="222"/>
      <c r="Z88" s="222"/>
      <c r="AA88" s="222"/>
      <c r="AB88" s="222"/>
    </row>
    <row r="89" spans="1:28" ht="16">
      <c r="A89" s="222"/>
      <c r="B89" s="222"/>
      <c r="C89" s="222"/>
      <c r="D89" s="222"/>
      <c r="E89" s="222"/>
      <c r="F89" s="222"/>
      <c r="G89" s="222"/>
      <c r="H89" s="222"/>
      <c r="I89" s="222"/>
      <c r="J89" s="222"/>
      <c r="K89" s="222"/>
      <c r="L89" s="223"/>
      <c r="M89" s="222"/>
      <c r="N89" s="222"/>
      <c r="O89" s="222"/>
      <c r="P89" s="222"/>
      <c r="Q89" s="222"/>
      <c r="R89" s="222"/>
      <c r="S89" s="222"/>
      <c r="T89" s="222"/>
      <c r="U89" s="222"/>
      <c r="V89" s="222"/>
      <c r="W89" s="222"/>
      <c r="X89" s="222"/>
      <c r="Y89" s="222"/>
      <c r="Z89" s="222"/>
      <c r="AA89" s="222"/>
      <c r="AB89" s="222"/>
    </row>
    <row r="90" spans="1:28" ht="16">
      <c r="A90" s="222"/>
      <c r="B90" s="222"/>
      <c r="C90" s="222"/>
      <c r="D90" s="222"/>
      <c r="E90" s="222"/>
      <c r="F90" s="222"/>
      <c r="G90" s="222"/>
      <c r="H90" s="222"/>
      <c r="I90" s="222"/>
      <c r="J90" s="222"/>
      <c r="K90" s="222"/>
      <c r="L90" s="223"/>
      <c r="M90" s="222"/>
      <c r="N90" s="222"/>
      <c r="O90" s="222"/>
      <c r="P90" s="222"/>
      <c r="Q90" s="222"/>
      <c r="R90" s="222"/>
      <c r="S90" s="222"/>
      <c r="T90" s="222"/>
      <c r="U90" s="222"/>
      <c r="V90" s="222"/>
      <c r="W90" s="222"/>
      <c r="X90" s="222"/>
      <c r="Y90" s="222"/>
      <c r="Z90" s="222"/>
      <c r="AA90" s="222"/>
      <c r="AB90" s="222"/>
    </row>
    <row r="91" spans="1:28" ht="16">
      <c r="A91" s="222"/>
      <c r="B91" s="222"/>
      <c r="C91" s="222"/>
      <c r="D91" s="222"/>
      <c r="E91" s="222"/>
      <c r="F91" s="222"/>
      <c r="G91" s="222"/>
      <c r="H91" s="222"/>
      <c r="I91" s="222"/>
      <c r="J91" s="222"/>
      <c r="K91" s="222"/>
      <c r="L91" s="223"/>
      <c r="M91" s="222"/>
      <c r="N91" s="222"/>
      <c r="O91" s="222"/>
      <c r="P91" s="222"/>
      <c r="Q91" s="222"/>
      <c r="R91" s="222"/>
      <c r="S91" s="222"/>
      <c r="T91" s="222"/>
      <c r="U91" s="222"/>
      <c r="V91" s="222"/>
      <c r="W91" s="222"/>
      <c r="X91" s="222"/>
      <c r="Y91" s="222"/>
      <c r="Z91" s="222"/>
      <c r="AA91" s="222"/>
      <c r="AB91" s="222"/>
    </row>
    <row r="92" spans="1:28" ht="16">
      <c r="A92" s="222"/>
      <c r="B92" s="222"/>
      <c r="C92" s="222"/>
      <c r="D92" s="222"/>
      <c r="E92" s="222"/>
      <c r="F92" s="222"/>
      <c r="G92" s="222"/>
      <c r="H92" s="222"/>
      <c r="I92" s="222"/>
      <c r="J92" s="222"/>
      <c r="K92" s="222"/>
      <c r="L92" s="223"/>
      <c r="M92" s="222"/>
      <c r="N92" s="222"/>
      <c r="O92" s="222"/>
      <c r="P92" s="222"/>
      <c r="Q92" s="222"/>
      <c r="R92" s="222"/>
      <c r="S92" s="222"/>
      <c r="T92" s="222"/>
      <c r="U92" s="222"/>
      <c r="V92" s="222"/>
      <c r="W92" s="222"/>
      <c r="X92" s="222"/>
      <c r="Y92" s="222"/>
      <c r="Z92" s="222"/>
      <c r="AA92" s="222"/>
      <c r="AB92" s="222"/>
    </row>
    <row r="93" spans="1:28" ht="16">
      <c r="A93" s="222"/>
      <c r="B93" s="222"/>
      <c r="C93" s="222"/>
      <c r="D93" s="222"/>
      <c r="E93" s="222"/>
      <c r="F93" s="222"/>
      <c r="G93" s="222"/>
      <c r="H93" s="222"/>
      <c r="I93" s="222"/>
      <c r="J93" s="222"/>
      <c r="K93" s="222"/>
      <c r="L93" s="223"/>
      <c r="M93" s="222"/>
      <c r="N93" s="222"/>
      <c r="O93" s="222"/>
      <c r="P93" s="222"/>
      <c r="Q93" s="222"/>
      <c r="R93" s="222"/>
      <c r="S93" s="222"/>
      <c r="T93" s="222"/>
      <c r="U93" s="222"/>
      <c r="V93" s="222"/>
      <c r="W93" s="222"/>
      <c r="X93" s="222"/>
      <c r="Y93" s="222"/>
      <c r="Z93" s="222"/>
      <c r="AA93" s="222"/>
      <c r="AB93" s="222"/>
    </row>
    <row r="94" spans="1:28" ht="16">
      <c r="A94" s="222"/>
      <c r="B94" s="222"/>
      <c r="C94" s="222"/>
      <c r="D94" s="222"/>
      <c r="E94" s="222"/>
      <c r="F94" s="222"/>
      <c r="G94" s="222"/>
      <c r="H94" s="222"/>
      <c r="I94" s="222"/>
      <c r="J94" s="222"/>
      <c r="K94" s="222"/>
      <c r="L94" s="223"/>
      <c r="M94" s="222"/>
      <c r="N94" s="222"/>
      <c r="O94" s="222"/>
      <c r="P94" s="222"/>
      <c r="Q94" s="222"/>
      <c r="R94" s="222"/>
      <c r="S94" s="222"/>
      <c r="T94" s="222"/>
      <c r="U94" s="222"/>
      <c r="V94" s="222"/>
      <c r="W94" s="222"/>
      <c r="X94" s="222"/>
      <c r="Y94" s="222"/>
      <c r="Z94" s="222"/>
      <c r="AA94" s="222"/>
      <c r="AB94" s="222"/>
    </row>
    <row r="95" spans="1:28" ht="16">
      <c r="A95" s="222"/>
      <c r="B95" s="222"/>
      <c r="C95" s="222"/>
      <c r="D95" s="222"/>
      <c r="E95" s="222"/>
      <c r="F95" s="222"/>
      <c r="G95" s="222"/>
      <c r="H95" s="222"/>
      <c r="I95" s="222"/>
      <c r="J95" s="222"/>
      <c r="K95" s="222"/>
      <c r="L95" s="223"/>
      <c r="M95" s="222"/>
      <c r="N95" s="222"/>
      <c r="O95" s="222"/>
      <c r="P95" s="222"/>
      <c r="Q95" s="222"/>
      <c r="R95" s="222"/>
      <c r="S95" s="222"/>
      <c r="T95" s="222"/>
      <c r="U95" s="222"/>
      <c r="V95" s="222"/>
      <c r="W95" s="222"/>
      <c r="X95" s="222"/>
      <c r="Y95" s="222"/>
      <c r="Z95" s="222"/>
      <c r="AA95" s="222"/>
      <c r="AB95" s="222"/>
    </row>
    <row r="96" spans="1:28" ht="16">
      <c r="A96" s="222"/>
      <c r="B96" s="222"/>
      <c r="C96" s="222"/>
      <c r="D96" s="222"/>
      <c r="E96" s="222"/>
      <c r="F96" s="222"/>
      <c r="G96" s="222"/>
      <c r="H96" s="222"/>
      <c r="I96" s="222"/>
      <c r="J96" s="222"/>
      <c r="K96" s="222"/>
      <c r="L96" s="223"/>
      <c r="M96" s="222"/>
      <c r="N96" s="222"/>
      <c r="O96" s="222"/>
      <c r="P96" s="222"/>
      <c r="Q96" s="222"/>
      <c r="R96" s="222"/>
      <c r="S96" s="222"/>
      <c r="T96" s="222"/>
      <c r="U96" s="222"/>
      <c r="V96" s="222"/>
      <c r="W96" s="222"/>
      <c r="X96" s="222"/>
      <c r="Y96" s="222"/>
      <c r="Z96" s="222"/>
      <c r="AA96" s="222"/>
      <c r="AB96" s="222"/>
    </row>
    <row r="97" spans="1:28" ht="16">
      <c r="A97" s="222"/>
      <c r="B97" s="222"/>
      <c r="C97" s="222"/>
      <c r="D97" s="222"/>
      <c r="E97" s="222"/>
      <c r="F97" s="222"/>
      <c r="G97" s="222"/>
      <c r="H97" s="222"/>
      <c r="I97" s="222"/>
      <c r="J97" s="222"/>
      <c r="K97" s="222"/>
      <c r="L97" s="223"/>
      <c r="M97" s="222"/>
      <c r="N97" s="222"/>
      <c r="O97" s="222"/>
      <c r="P97" s="222"/>
      <c r="Q97" s="222"/>
      <c r="R97" s="222"/>
      <c r="S97" s="222"/>
      <c r="T97" s="222"/>
      <c r="U97" s="222"/>
      <c r="V97" s="222"/>
      <c r="W97" s="222"/>
      <c r="X97" s="222"/>
      <c r="Y97" s="222"/>
      <c r="Z97" s="222"/>
      <c r="AA97" s="222"/>
      <c r="AB97" s="222"/>
    </row>
    <row r="98" spans="1:28" ht="16">
      <c r="A98" s="222"/>
      <c r="B98" s="222"/>
      <c r="C98" s="222"/>
      <c r="D98" s="222"/>
      <c r="E98" s="222"/>
      <c r="F98" s="222"/>
      <c r="G98" s="222"/>
      <c r="H98" s="222"/>
      <c r="I98" s="222"/>
      <c r="J98" s="222"/>
      <c r="K98" s="222"/>
      <c r="L98" s="223"/>
      <c r="M98" s="222"/>
      <c r="N98" s="222"/>
      <c r="O98" s="222"/>
      <c r="P98" s="222"/>
      <c r="Q98" s="222"/>
      <c r="R98" s="222"/>
      <c r="S98" s="222"/>
      <c r="T98" s="222"/>
      <c r="U98" s="222"/>
      <c r="V98" s="222"/>
      <c r="W98" s="222"/>
      <c r="X98" s="222"/>
      <c r="Y98" s="222"/>
      <c r="Z98" s="222"/>
      <c r="AA98" s="222"/>
      <c r="AB98" s="222"/>
    </row>
    <row r="99" spans="1:28" ht="16">
      <c r="A99" s="222"/>
      <c r="B99" s="222"/>
      <c r="C99" s="222"/>
      <c r="D99" s="222"/>
      <c r="E99" s="222"/>
      <c r="F99" s="222"/>
      <c r="G99" s="222"/>
      <c r="H99" s="222"/>
      <c r="I99" s="222"/>
      <c r="J99" s="222"/>
      <c r="K99" s="222"/>
      <c r="L99" s="223"/>
      <c r="M99" s="222"/>
      <c r="N99" s="222"/>
      <c r="O99" s="222"/>
      <c r="P99" s="222"/>
      <c r="Q99" s="222"/>
      <c r="R99" s="222"/>
      <c r="S99" s="222"/>
      <c r="T99" s="222"/>
      <c r="U99" s="222"/>
      <c r="V99" s="222"/>
      <c r="W99" s="222"/>
      <c r="X99" s="222"/>
      <c r="Y99" s="222"/>
      <c r="Z99" s="222"/>
      <c r="AA99" s="222"/>
      <c r="AB99" s="222"/>
    </row>
    <row r="100" spans="1:28" ht="16">
      <c r="A100" s="222"/>
      <c r="B100" s="222"/>
      <c r="C100" s="222"/>
      <c r="D100" s="222"/>
      <c r="E100" s="222"/>
      <c r="F100" s="222"/>
      <c r="G100" s="222"/>
      <c r="H100" s="222"/>
      <c r="I100" s="222"/>
      <c r="J100" s="222"/>
      <c r="K100" s="222"/>
      <c r="L100" s="223"/>
      <c r="M100" s="222"/>
      <c r="N100" s="222"/>
      <c r="O100" s="222"/>
      <c r="P100" s="222"/>
      <c r="Q100" s="222"/>
      <c r="R100" s="222"/>
      <c r="S100" s="222"/>
      <c r="T100" s="222"/>
      <c r="U100" s="222"/>
      <c r="V100" s="222"/>
      <c r="W100" s="222"/>
      <c r="X100" s="222"/>
      <c r="Y100" s="222"/>
      <c r="Z100" s="222"/>
      <c r="AA100" s="222"/>
      <c r="AB100" s="222"/>
    </row>
    <row r="101" spans="1:28" ht="16">
      <c r="A101" s="222"/>
      <c r="B101" s="222"/>
      <c r="C101" s="222"/>
      <c r="D101" s="222"/>
      <c r="E101" s="222"/>
      <c r="F101" s="222"/>
      <c r="G101" s="222"/>
      <c r="H101" s="222"/>
      <c r="I101" s="222"/>
      <c r="J101" s="222"/>
      <c r="K101" s="222"/>
      <c r="L101" s="223"/>
      <c r="M101" s="222"/>
      <c r="N101" s="222"/>
      <c r="O101" s="222"/>
      <c r="P101" s="222"/>
      <c r="Q101" s="222"/>
      <c r="R101" s="222"/>
      <c r="S101" s="222"/>
      <c r="T101" s="222"/>
      <c r="U101" s="222"/>
      <c r="V101" s="222"/>
      <c r="W101" s="222"/>
      <c r="X101" s="222"/>
      <c r="Y101" s="222"/>
      <c r="Z101" s="222"/>
      <c r="AA101" s="222"/>
      <c r="AB101" s="222"/>
    </row>
    <row r="102" spans="1:28" ht="16">
      <c r="A102" s="222"/>
      <c r="B102" s="222"/>
      <c r="C102" s="222"/>
      <c r="D102" s="222"/>
      <c r="E102" s="222"/>
      <c r="F102" s="222"/>
      <c r="G102" s="222"/>
      <c r="H102" s="222"/>
      <c r="I102" s="222"/>
      <c r="J102" s="222"/>
      <c r="K102" s="222"/>
      <c r="L102" s="223"/>
      <c r="M102" s="222"/>
      <c r="N102" s="222"/>
      <c r="O102" s="222"/>
      <c r="P102" s="222"/>
      <c r="Q102" s="222"/>
      <c r="R102" s="222"/>
      <c r="S102" s="222"/>
      <c r="T102" s="222"/>
      <c r="U102" s="222"/>
      <c r="V102" s="222"/>
      <c r="W102" s="222"/>
      <c r="X102" s="222"/>
      <c r="Y102" s="222"/>
      <c r="Z102" s="222"/>
      <c r="AA102" s="222"/>
      <c r="AB102" s="222"/>
    </row>
    <row r="103" spans="1:28" ht="16">
      <c r="A103" s="222"/>
      <c r="B103" s="222"/>
      <c r="C103" s="222"/>
      <c r="D103" s="222"/>
      <c r="E103" s="222"/>
      <c r="F103" s="222"/>
      <c r="G103" s="222"/>
      <c r="H103" s="222"/>
      <c r="I103" s="222"/>
      <c r="J103" s="222"/>
      <c r="K103" s="222"/>
      <c r="L103" s="223"/>
      <c r="M103" s="222"/>
      <c r="N103" s="222"/>
      <c r="O103" s="222"/>
      <c r="P103" s="222"/>
      <c r="Q103" s="222"/>
      <c r="R103" s="222"/>
      <c r="S103" s="222"/>
      <c r="T103" s="222"/>
      <c r="U103" s="222"/>
      <c r="V103" s="222"/>
      <c r="W103" s="222"/>
      <c r="X103" s="222"/>
      <c r="Y103" s="222"/>
      <c r="Z103" s="222"/>
      <c r="AA103" s="222"/>
      <c r="AB103" s="222"/>
    </row>
    <row r="104" spans="1:28" ht="16">
      <c r="A104" s="222"/>
      <c r="B104" s="222"/>
      <c r="C104" s="222"/>
      <c r="D104" s="222"/>
      <c r="E104" s="222"/>
      <c r="F104" s="222"/>
      <c r="G104" s="222"/>
      <c r="H104" s="222"/>
      <c r="I104" s="222"/>
      <c r="J104" s="222"/>
      <c r="K104" s="222"/>
      <c r="L104" s="223"/>
      <c r="M104" s="222"/>
      <c r="N104" s="222"/>
      <c r="O104" s="222"/>
      <c r="P104" s="222"/>
      <c r="Q104" s="222"/>
      <c r="R104" s="222"/>
      <c r="S104" s="222"/>
      <c r="T104" s="222"/>
      <c r="U104" s="222"/>
      <c r="V104" s="222"/>
      <c r="W104" s="222"/>
      <c r="X104" s="222"/>
      <c r="Y104" s="222"/>
      <c r="Z104" s="222"/>
      <c r="AA104" s="222"/>
      <c r="AB104" s="222"/>
    </row>
    <row r="105" spans="1:28" ht="16">
      <c r="A105" s="222"/>
      <c r="B105" s="222"/>
      <c r="C105" s="222"/>
      <c r="D105" s="222"/>
      <c r="E105" s="222"/>
      <c r="F105" s="222"/>
      <c r="G105" s="222"/>
      <c r="H105" s="222"/>
      <c r="I105" s="222"/>
      <c r="J105" s="222"/>
      <c r="K105" s="222"/>
      <c r="L105" s="223"/>
      <c r="M105" s="222"/>
      <c r="N105" s="222"/>
      <c r="O105" s="222"/>
      <c r="P105" s="222"/>
      <c r="Q105" s="222"/>
      <c r="R105" s="222"/>
      <c r="S105" s="222"/>
      <c r="T105" s="222"/>
      <c r="U105" s="222"/>
      <c r="V105" s="222"/>
      <c r="W105" s="222"/>
      <c r="X105" s="222"/>
      <c r="Y105" s="222"/>
      <c r="Z105" s="222"/>
      <c r="AA105" s="222"/>
      <c r="AB105" s="222"/>
    </row>
    <row r="106" spans="1:28" ht="16">
      <c r="A106" s="222"/>
      <c r="B106" s="222"/>
      <c r="C106" s="222"/>
      <c r="D106" s="222"/>
      <c r="E106" s="222"/>
      <c r="F106" s="222"/>
      <c r="G106" s="222"/>
      <c r="H106" s="222"/>
      <c r="I106" s="222"/>
      <c r="J106" s="222"/>
      <c r="K106" s="222"/>
      <c r="L106" s="223"/>
      <c r="M106" s="222"/>
      <c r="N106" s="222"/>
      <c r="O106" s="222"/>
      <c r="P106" s="222"/>
      <c r="Q106" s="222"/>
      <c r="R106" s="222"/>
      <c r="S106" s="222"/>
      <c r="T106" s="222"/>
      <c r="U106" s="222"/>
      <c r="V106" s="222"/>
      <c r="W106" s="222"/>
      <c r="X106" s="222"/>
      <c r="Y106" s="222"/>
      <c r="Z106" s="222"/>
      <c r="AA106" s="222"/>
      <c r="AB106" s="222"/>
    </row>
    <row r="107" spans="1:28" ht="16">
      <c r="A107" s="222"/>
      <c r="B107" s="222"/>
      <c r="C107" s="222"/>
      <c r="D107" s="222"/>
      <c r="E107" s="222"/>
      <c r="F107" s="222"/>
      <c r="G107" s="222"/>
      <c r="H107" s="222"/>
      <c r="I107" s="222"/>
      <c r="J107" s="222"/>
      <c r="K107" s="222"/>
      <c r="L107" s="223"/>
      <c r="M107" s="222"/>
      <c r="N107" s="222"/>
      <c r="O107" s="222"/>
      <c r="P107" s="222"/>
      <c r="Q107" s="222"/>
      <c r="R107" s="222"/>
      <c r="S107" s="222"/>
      <c r="T107" s="222"/>
      <c r="U107" s="222"/>
      <c r="V107" s="222"/>
      <c r="W107" s="222"/>
      <c r="X107" s="222"/>
      <c r="Y107" s="222"/>
      <c r="Z107" s="222"/>
      <c r="AA107" s="222"/>
      <c r="AB107" s="222"/>
    </row>
    <row r="108" spans="1:28" ht="16">
      <c r="A108" s="222"/>
      <c r="B108" s="222"/>
      <c r="C108" s="222"/>
      <c r="D108" s="222"/>
      <c r="E108" s="222"/>
      <c r="F108" s="222"/>
      <c r="G108" s="222"/>
      <c r="H108" s="222"/>
      <c r="I108" s="222"/>
      <c r="J108" s="222"/>
      <c r="K108" s="222"/>
      <c r="L108" s="223"/>
      <c r="M108" s="222"/>
      <c r="N108" s="222"/>
      <c r="O108" s="222"/>
      <c r="P108" s="222"/>
      <c r="Q108" s="222"/>
      <c r="R108" s="222"/>
      <c r="S108" s="222"/>
      <c r="T108" s="222"/>
      <c r="U108" s="222"/>
      <c r="V108" s="222"/>
      <c r="W108" s="222"/>
      <c r="X108" s="222"/>
      <c r="Y108" s="222"/>
      <c r="Z108" s="222"/>
      <c r="AA108" s="222"/>
      <c r="AB108" s="222"/>
    </row>
    <row r="109" spans="1:28" ht="16">
      <c r="A109" s="222"/>
      <c r="B109" s="222"/>
      <c r="C109" s="222"/>
      <c r="D109" s="222"/>
      <c r="E109" s="222"/>
      <c r="F109" s="222"/>
      <c r="G109" s="222"/>
      <c r="H109" s="222"/>
      <c r="I109" s="222"/>
      <c r="J109" s="222"/>
      <c r="K109" s="222"/>
      <c r="L109" s="223"/>
      <c r="M109" s="222"/>
      <c r="N109" s="222"/>
      <c r="O109" s="222"/>
      <c r="P109" s="222"/>
      <c r="Q109" s="222"/>
      <c r="R109" s="222"/>
      <c r="S109" s="222"/>
      <c r="T109" s="222"/>
      <c r="U109" s="222"/>
      <c r="V109" s="222"/>
      <c r="W109" s="222"/>
      <c r="X109" s="222"/>
      <c r="Y109" s="222"/>
      <c r="Z109" s="222"/>
      <c r="AA109" s="222"/>
      <c r="AB109" s="222"/>
    </row>
    <row r="110" spans="1:28" ht="16">
      <c r="A110" s="222"/>
      <c r="B110" s="222"/>
      <c r="C110" s="222"/>
      <c r="D110" s="222"/>
      <c r="E110" s="222"/>
      <c r="F110" s="222"/>
      <c r="G110" s="222"/>
      <c r="H110" s="222"/>
      <c r="I110" s="222"/>
      <c r="J110" s="222"/>
      <c r="K110" s="222"/>
      <c r="L110" s="223"/>
      <c r="M110" s="222"/>
      <c r="N110" s="222"/>
      <c r="O110" s="222"/>
      <c r="P110" s="222"/>
      <c r="Q110" s="222"/>
      <c r="R110" s="222"/>
      <c r="S110" s="222"/>
      <c r="T110" s="222"/>
      <c r="U110" s="222"/>
      <c r="V110" s="222"/>
      <c r="W110" s="222"/>
      <c r="X110" s="222"/>
      <c r="Y110" s="222"/>
      <c r="Z110" s="222"/>
      <c r="AA110" s="222"/>
      <c r="AB110" s="222"/>
    </row>
    <row r="111" spans="1:28" ht="16">
      <c r="A111" s="222"/>
      <c r="B111" s="222"/>
      <c r="C111" s="222"/>
      <c r="D111" s="222"/>
      <c r="E111" s="222"/>
      <c r="F111" s="222"/>
      <c r="G111" s="222"/>
      <c r="H111" s="222"/>
      <c r="I111" s="222"/>
      <c r="J111" s="222"/>
      <c r="K111" s="222"/>
      <c r="L111" s="223"/>
      <c r="M111" s="222"/>
      <c r="N111" s="222"/>
      <c r="O111" s="222"/>
      <c r="P111" s="222"/>
      <c r="Q111" s="222"/>
      <c r="R111" s="222"/>
      <c r="S111" s="222"/>
      <c r="T111" s="222"/>
      <c r="U111" s="222"/>
      <c r="V111" s="222"/>
      <c r="W111" s="222"/>
      <c r="X111" s="222"/>
      <c r="Y111" s="222"/>
      <c r="Z111" s="222"/>
      <c r="AA111" s="222"/>
      <c r="AB111" s="222"/>
    </row>
    <row r="112" spans="1:28" ht="16">
      <c r="A112" s="222"/>
      <c r="B112" s="222"/>
      <c r="C112" s="222"/>
      <c r="D112" s="222"/>
      <c r="E112" s="222"/>
      <c r="F112" s="222"/>
      <c r="G112" s="222"/>
      <c r="H112" s="222"/>
      <c r="I112" s="222"/>
      <c r="J112" s="222"/>
      <c r="K112" s="222"/>
      <c r="L112" s="223"/>
      <c r="M112" s="222"/>
      <c r="N112" s="222"/>
      <c r="O112" s="222"/>
      <c r="P112" s="222"/>
      <c r="Q112" s="222"/>
      <c r="R112" s="222"/>
      <c r="S112" s="222"/>
      <c r="T112" s="222"/>
      <c r="U112" s="222"/>
      <c r="V112" s="222"/>
      <c r="W112" s="222"/>
      <c r="X112" s="222"/>
      <c r="Y112" s="222"/>
      <c r="Z112" s="222"/>
      <c r="AA112" s="222"/>
      <c r="AB112" s="222"/>
    </row>
    <row r="113" spans="1:28" ht="16">
      <c r="A113" s="222"/>
      <c r="B113" s="222"/>
      <c r="C113" s="222"/>
      <c r="D113" s="222"/>
      <c r="E113" s="222"/>
      <c r="F113" s="222"/>
      <c r="G113" s="222"/>
      <c r="H113" s="222"/>
      <c r="I113" s="222"/>
      <c r="J113" s="222"/>
      <c r="K113" s="222"/>
      <c r="L113" s="223"/>
      <c r="M113" s="222"/>
      <c r="N113" s="222"/>
      <c r="O113" s="222"/>
      <c r="P113" s="222"/>
      <c r="Q113" s="222"/>
      <c r="R113" s="222"/>
      <c r="S113" s="222"/>
      <c r="T113" s="222"/>
      <c r="U113" s="222"/>
      <c r="V113" s="222"/>
      <c r="W113" s="222"/>
      <c r="X113" s="222"/>
      <c r="Y113" s="222"/>
      <c r="Z113" s="222"/>
      <c r="AA113" s="222"/>
      <c r="AB113" s="222"/>
    </row>
    <row r="114" spans="1:28" ht="16">
      <c r="A114" s="222"/>
      <c r="B114" s="222"/>
      <c r="C114" s="222"/>
      <c r="D114" s="222"/>
      <c r="E114" s="222"/>
      <c r="F114" s="222"/>
      <c r="G114" s="222"/>
      <c r="H114" s="222"/>
      <c r="I114" s="222"/>
      <c r="J114" s="222"/>
      <c r="K114" s="222"/>
      <c r="L114" s="223"/>
      <c r="M114" s="222"/>
      <c r="N114" s="222"/>
      <c r="O114" s="222"/>
      <c r="P114" s="222"/>
      <c r="Q114" s="222"/>
      <c r="R114" s="222"/>
      <c r="S114" s="222"/>
      <c r="T114" s="222"/>
      <c r="U114" s="222"/>
      <c r="V114" s="222"/>
      <c r="W114" s="222"/>
      <c r="X114" s="222"/>
      <c r="Y114" s="222"/>
      <c r="Z114" s="222"/>
      <c r="AA114" s="222"/>
      <c r="AB114" s="222"/>
    </row>
    <row r="115" spans="1:28" ht="16">
      <c r="A115" s="222"/>
      <c r="B115" s="222"/>
      <c r="C115" s="222"/>
      <c r="D115" s="222"/>
      <c r="E115" s="222"/>
      <c r="F115" s="222"/>
      <c r="G115" s="222"/>
      <c r="H115" s="222"/>
      <c r="I115" s="222"/>
      <c r="J115" s="222"/>
      <c r="K115" s="222"/>
      <c r="L115" s="223"/>
      <c r="M115" s="222"/>
      <c r="N115" s="222"/>
      <c r="O115" s="222"/>
      <c r="P115" s="222"/>
      <c r="Q115" s="222"/>
      <c r="R115" s="222"/>
      <c r="S115" s="222"/>
      <c r="T115" s="222"/>
      <c r="U115" s="222"/>
      <c r="V115" s="222"/>
      <c r="W115" s="222"/>
      <c r="X115" s="222"/>
      <c r="Y115" s="222"/>
      <c r="Z115" s="222"/>
      <c r="AA115" s="222"/>
      <c r="AB115" s="222"/>
    </row>
    <row r="116" spans="1:28" ht="16">
      <c r="A116" s="222"/>
      <c r="B116" s="222"/>
      <c r="C116" s="222"/>
      <c r="D116" s="222"/>
      <c r="E116" s="222"/>
      <c r="F116" s="222"/>
      <c r="G116" s="222"/>
      <c r="H116" s="222"/>
      <c r="I116" s="222"/>
      <c r="J116" s="222"/>
      <c r="K116" s="222"/>
      <c r="L116" s="223"/>
      <c r="M116" s="222"/>
      <c r="N116" s="222"/>
      <c r="O116" s="222"/>
      <c r="P116" s="222"/>
      <c r="Q116" s="222"/>
      <c r="R116" s="222"/>
      <c r="S116" s="222"/>
      <c r="T116" s="222"/>
      <c r="U116" s="222"/>
      <c r="V116" s="222"/>
      <c r="W116" s="222"/>
      <c r="X116" s="222"/>
      <c r="Y116" s="222"/>
      <c r="Z116" s="222"/>
      <c r="AA116" s="222"/>
      <c r="AB116" s="222"/>
    </row>
    <row r="117" spans="1:28" ht="16">
      <c r="A117" s="222"/>
      <c r="B117" s="222"/>
      <c r="C117" s="222"/>
      <c r="D117" s="222"/>
      <c r="E117" s="222"/>
      <c r="F117" s="222"/>
      <c r="G117" s="222"/>
      <c r="H117" s="222"/>
      <c r="I117" s="222"/>
      <c r="J117" s="222"/>
      <c r="K117" s="222"/>
      <c r="L117" s="223"/>
      <c r="M117" s="222"/>
      <c r="N117" s="222"/>
      <c r="O117" s="222"/>
      <c r="P117" s="222"/>
      <c r="Q117" s="222"/>
      <c r="R117" s="222"/>
      <c r="S117" s="222"/>
      <c r="T117" s="222"/>
      <c r="U117" s="222"/>
      <c r="V117" s="222"/>
      <c r="W117" s="222"/>
      <c r="X117" s="222"/>
      <c r="Y117" s="222"/>
      <c r="Z117" s="222"/>
      <c r="AA117" s="222"/>
      <c r="AB117" s="222"/>
    </row>
    <row r="118" spans="1:28" ht="16">
      <c r="A118" s="222"/>
      <c r="B118" s="222"/>
      <c r="C118" s="222"/>
      <c r="D118" s="222"/>
      <c r="E118" s="222"/>
      <c r="F118" s="222"/>
      <c r="G118" s="222"/>
      <c r="H118" s="222"/>
      <c r="I118" s="222"/>
      <c r="J118" s="222"/>
      <c r="K118" s="222"/>
      <c r="L118" s="223"/>
      <c r="M118" s="222"/>
      <c r="N118" s="222"/>
      <c r="O118" s="222"/>
      <c r="P118" s="222"/>
      <c r="Q118" s="222"/>
      <c r="R118" s="222"/>
      <c r="S118" s="222"/>
      <c r="T118" s="222"/>
      <c r="U118" s="222"/>
      <c r="V118" s="222"/>
      <c r="W118" s="222"/>
      <c r="X118" s="222"/>
      <c r="Y118" s="222"/>
      <c r="Z118" s="222"/>
      <c r="AA118" s="222"/>
      <c r="AB118" s="222"/>
    </row>
    <row r="119" spans="1:28" ht="16">
      <c r="A119" s="222"/>
      <c r="B119" s="222"/>
      <c r="C119" s="222"/>
      <c r="D119" s="222"/>
      <c r="E119" s="222"/>
      <c r="F119" s="222"/>
      <c r="G119" s="222"/>
      <c r="H119" s="222"/>
      <c r="I119" s="222"/>
      <c r="J119" s="222"/>
      <c r="K119" s="222"/>
      <c r="L119" s="223"/>
      <c r="M119" s="222"/>
      <c r="N119" s="222"/>
      <c r="O119" s="222"/>
      <c r="P119" s="222"/>
      <c r="Q119" s="222"/>
      <c r="R119" s="222"/>
      <c r="S119" s="222"/>
      <c r="T119" s="222"/>
      <c r="U119" s="222"/>
      <c r="V119" s="222"/>
      <c r="W119" s="222"/>
      <c r="X119" s="222"/>
      <c r="Y119" s="222"/>
      <c r="Z119" s="222"/>
      <c r="AA119" s="222"/>
      <c r="AB119" s="222"/>
    </row>
    <row r="120" spans="1:28" ht="16">
      <c r="A120" s="222"/>
      <c r="B120" s="222"/>
      <c r="C120" s="222"/>
      <c r="D120" s="222"/>
      <c r="E120" s="222"/>
      <c r="F120" s="222"/>
      <c r="G120" s="222"/>
      <c r="H120" s="222"/>
      <c r="I120" s="222"/>
      <c r="J120" s="222"/>
      <c r="K120" s="222"/>
      <c r="L120" s="223"/>
      <c r="M120" s="222"/>
      <c r="N120" s="222"/>
      <c r="O120" s="222"/>
      <c r="P120" s="222"/>
      <c r="Q120" s="222"/>
      <c r="R120" s="222"/>
      <c r="S120" s="222"/>
      <c r="T120" s="222"/>
      <c r="U120" s="222"/>
      <c r="V120" s="222"/>
      <c r="W120" s="222"/>
      <c r="X120" s="222"/>
      <c r="Y120" s="222"/>
      <c r="Z120" s="222"/>
      <c r="AA120" s="222"/>
      <c r="AB120" s="222"/>
    </row>
    <row r="121" spans="1:28" ht="16">
      <c r="A121" s="222"/>
      <c r="B121" s="222"/>
      <c r="C121" s="222"/>
      <c r="D121" s="222"/>
      <c r="E121" s="222"/>
      <c r="F121" s="222"/>
      <c r="G121" s="222"/>
      <c r="H121" s="222"/>
      <c r="I121" s="222"/>
      <c r="J121" s="222"/>
      <c r="K121" s="222"/>
      <c r="L121" s="223"/>
      <c r="M121" s="222"/>
      <c r="N121" s="222"/>
      <c r="O121" s="222"/>
      <c r="P121" s="222"/>
      <c r="Q121" s="222"/>
      <c r="R121" s="222"/>
      <c r="S121" s="222"/>
      <c r="T121" s="222"/>
      <c r="U121" s="222"/>
      <c r="V121" s="222"/>
      <c r="W121" s="222"/>
      <c r="X121" s="222"/>
      <c r="Y121" s="222"/>
      <c r="Z121" s="222"/>
      <c r="AA121" s="222"/>
      <c r="AB121" s="222"/>
    </row>
    <row r="122" spans="1:28" ht="16">
      <c r="A122" s="222"/>
      <c r="B122" s="222"/>
      <c r="C122" s="222"/>
      <c r="D122" s="222"/>
      <c r="E122" s="222"/>
      <c r="F122" s="222"/>
      <c r="G122" s="222"/>
      <c r="H122" s="222"/>
      <c r="I122" s="222"/>
      <c r="J122" s="222"/>
      <c r="K122" s="222"/>
      <c r="L122" s="223"/>
      <c r="M122" s="222"/>
      <c r="N122" s="222"/>
      <c r="O122" s="222"/>
      <c r="P122" s="222"/>
      <c r="Q122" s="222"/>
      <c r="R122" s="222"/>
      <c r="S122" s="222"/>
      <c r="T122" s="222"/>
      <c r="U122" s="222"/>
      <c r="V122" s="222"/>
      <c r="W122" s="222"/>
      <c r="X122" s="222"/>
      <c r="Y122" s="222"/>
      <c r="Z122" s="222"/>
      <c r="AA122" s="222"/>
      <c r="AB122" s="222"/>
    </row>
    <row r="123" spans="1:28" ht="16">
      <c r="A123" s="222"/>
      <c r="B123" s="222"/>
      <c r="C123" s="222"/>
      <c r="D123" s="222"/>
      <c r="E123" s="222"/>
      <c r="F123" s="222"/>
      <c r="G123" s="222"/>
      <c r="H123" s="222"/>
      <c r="I123" s="222"/>
      <c r="J123" s="222"/>
      <c r="K123" s="222"/>
      <c r="L123" s="223"/>
      <c r="M123" s="222"/>
      <c r="N123" s="222"/>
      <c r="O123" s="222"/>
      <c r="P123" s="222"/>
      <c r="Q123" s="222"/>
      <c r="R123" s="222"/>
      <c r="S123" s="222"/>
      <c r="T123" s="222"/>
      <c r="U123" s="222"/>
      <c r="V123" s="222"/>
      <c r="W123" s="222"/>
      <c r="X123" s="222"/>
      <c r="Y123" s="222"/>
      <c r="Z123" s="222"/>
      <c r="AA123" s="222"/>
      <c r="AB123" s="222"/>
    </row>
    <row r="124" spans="1:28" ht="16">
      <c r="A124" s="222"/>
      <c r="B124" s="222"/>
      <c r="C124" s="222"/>
      <c r="D124" s="222"/>
      <c r="E124" s="222"/>
      <c r="F124" s="222"/>
      <c r="G124" s="222"/>
      <c r="H124" s="222"/>
      <c r="I124" s="222"/>
      <c r="J124" s="222"/>
      <c r="K124" s="222"/>
      <c r="L124" s="223"/>
      <c r="M124" s="222"/>
      <c r="N124" s="222"/>
      <c r="O124" s="222"/>
      <c r="P124" s="222"/>
      <c r="Q124" s="222"/>
      <c r="R124" s="222"/>
      <c r="S124" s="222"/>
      <c r="T124" s="222"/>
      <c r="U124" s="222"/>
      <c r="V124" s="222"/>
      <c r="W124" s="222"/>
      <c r="X124" s="222"/>
      <c r="Y124" s="222"/>
      <c r="Z124" s="222"/>
      <c r="AA124" s="222"/>
      <c r="AB124" s="222"/>
    </row>
    <row r="125" spans="1:28" ht="16">
      <c r="A125" s="222"/>
      <c r="B125" s="222"/>
      <c r="C125" s="222"/>
      <c r="D125" s="222"/>
      <c r="E125" s="222"/>
      <c r="F125" s="222"/>
      <c r="G125" s="222"/>
      <c r="H125" s="222"/>
      <c r="I125" s="222"/>
      <c r="J125" s="222"/>
      <c r="K125" s="222"/>
      <c r="L125" s="223"/>
      <c r="M125" s="222"/>
      <c r="N125" s="222"/>
      <c r="O125" s="222"/>
      <c r="P125" s="222"/>
      <c r="Q125" s="222"/>
      <c r="R125" s="222"/>
      <c r="S125" s="222"/>
      <c r="T125" s="222"/>
      <c r="U125" s="222"/>
      <c r="V125" s="222"/>
      <c r="W125" s="222"/>
      <c r="X125" s="222"/>
      <c r="Y125" s="222"/>
      <c r="Z125" s="222"/>
      <c r="AA125" s="222"/>
      <c r="AB125" s="222"/>
    </row>
    <row r="126" spans="1:28" ht="16">
      <c r="A126" s="222"/>
      <c r="B126" s="222"/>
      <c r="C126" s="222"/>
      <c r="D126" s="222"/>
      <c r="E126" s="222"/>
      <c r="F126" s="222"/>
      <c r="G126" s="222"/>
      <c r="H126" s="222"/>
      <c r="I126" s="222"/>
      <c r="J126" s="222"/>
      <c r="K126" s="222"/>
      <c r="L126" s="223"/>
      <c r="M126" s="222"/>
      <c r="N126" s="222"/>
      <c r="O126" s="222"/>
      <c r="P126" s="222"/>
      <c r="Q126" s="222"/>
      <c r="R126" s="222"/>
      <c r="S126" s="222"/>
      <c r="T126" s="222"/>
      <c r="U126" s="222"/>
      <c r="V126" s="222"/>
      <c r="W126" s="222"/>
      <c r="X126" s="222"/>
      <c r="Y126" s="222"/>
      <c r="Z126" s="222"/>
      <c r="AA126" s="222"/>
      <c r="AB126" s="222"/>
    </row>
    <row r="127" spans="1:28" ht="16">
      <c r="A127" s="222"/>
      <c r="B127" s="222"/>
      <c r="C127" s="222"/>
      <c r="D127" s="222"/>
      <c r="E127" s="222"/>
      <c r="F127" s="222"/>
      <c r="G127" s="222"/>
      <c r="H127" s="222"/>
      <c r="I127" s="222"/>
      <c r="J127" s="222"/>
      <c r="K127" s="222"/>
      <c r="L127" s="223"/>
      <c r="M127" s="222"/>
      <c r="N127" s="222"/>
      <c r="O127" s="222"/>
      <c r="P127" s="222"/>
      <c r="Q127" s="222"/>
      <c r="R127" s="222"/>
      <c r="S127" s="222"/>
      <c r="T127" s="222"/>
      <c r="U127" s="222"/>
      <c r="V127" s="222"/>
      <c r="W127" s="222"/>
      <c r="X127" s="222"/>
      <c r="Y127" s="222"/>
      <c r="Z127" s="222"/>
      <c r="AA127" s="222"/>
      <c r="AB127" s="222"/>
    </row>
    <row r="128" spans="1:28" ht="16">
      <c r="A128" s="222"/>
      <c r="B128" s="222"/>
      <c r="C128" s="222"/>
      <c r="D128" s="222"/>
      <c r="E128" s="222"/>
      <c r="F128" s="222"/>
      <c r="G128" s="222"/>
      <c r="H128" s="222"/>
      <c r="I128" s="222"/>
      <c r="J128" s="222"/>
      <c r="K128" s="222"/>
      <c r="L128" s="223"/>
      <c r="M128" s="222"/>
      <c r="N128" s="222"/>
      <c r="O128" s="222"/>
      <c r="P128" s="222"/>
      <c r="Q128" s="222"/>
      <c r="R128" s="222"/>
      <c r="S128" s="222"/>
      <c r="T128" s="222"/>
      <c r="U128" s="222"/>
      <c r="V128" s="222"/>
      <c r="W128" s="222"/>
      <c r="X128" s="222"/>
      <c r="Y128" s="222"/>
      <c r="Z128" s="222"/>
      <c r="AA128" s="222"/>
      <c r="AB128" s="222"/>
    </row>
    <row r="129" spans="1:28" ht="16">
      <c r="A129" s="222"/>
      <c r="B129" s="222"/>
      <c r="C129" s="222"/>
      <c r="D129" s="222"/>
      <c r="E129" s="222"/>
      <c r="F129" s="222"/>
      <c r="G129" s="222"/>
      <c r="H129" s="222"/>
      <c r="I129" s="222"/>
      <c r="J129" s="222"/>
      <c r="K129" s="222"/>
      <c r="L129" s="223"/>
      <c r="M129" s="222"/>
      <c r="N129" s="222"/>
      <c r="O129" s="222"/>
      <c r="P129" s="222"/>
      <c r="Q129" s="222"/>
      <c r="R129" s="222"/>
      <c r="S129" s="222"/>
      <c r="T129" s="222"/>
      <c r="U129" s="222"/>
      <c r="V129" s="222"/>
      <c r="W129" s="222"/>
      <c r="X129" s="222"/>
      <c r="Y129" s="222"/>
      <c r="Z129" s="222"/>
      <c r="AA129" s="222"/>
      <c r="AB129" s="222"/>
    </row>
    <row r="130" spans="1:28" ht="16">
      <c r="A130" s="222"/>
      <c r="B130" s="222"/>
      <c r="C130" s="222"/>
      <c r="D130" s="222"/>
      <c r="E130" s="222"/>
      <c r="F130" s="222"/>
      <c r="G130" s="222"/>
      <c r="H130" s="222"/>
      <c r="I130" s="222"/>
      <c r="J130" s="222"/>
      <c r="K130" s="222"/>
      <c r="L130" s="223"/>
      <c r="M130" s="222"/>
      <c r="N130" s="222"/>
      <c r="O130" s="222"/>
      <c r="P130" s="222"/>
      <c r="Q130" s="222"/>
      <c r="R130" s="222"/>
      <c r="S130" s="222"/>
      <c r="T130" s="222"/>
      <c r="U130" s="222"/>
      <c r="V130" s="222"/>
      <c r="W130" s="222"/>
      <c r="X130" s="222"/>
      <c r="Y130" s="222"/>
      <c r="Z130" s="222"/>
      <c r="AA130" s="222"/>
      <c r="AB130" s="222"/>
    </row>
    <row r="131" spans="1:28" ht="16">
      <c r="A131" s="222"/>
      <c r="B131" s="222"/>
      <c r="C131" s="222"/>
      <c r="D131" s="222"/>
      <c r="E131" s="222"/>
      <c r="F131" s="222"/>
      <c r="G131" s="222"/>
      <c r="H131" s="222"/>
      <c r="I131" s="222"/>
      <c r="J131" s="222"/>
      <c r="K131" s="222"/>
      <c r="L131" s="223"/>
      <c r="M131" s="222"/>
      <c r="N131" s="222"/>
      <c r="O131" s="222"/>
      <c r="P131" s="222"/>
      <c r="Q131" s="222"/>
      <c r="R131" s="222"/>
      <c r="S131" s="222"/>
      <c r="T131" s="222"/>
      <c r="U131" s="222"/>
      <c r="V131" s="222"/>
      <c r="W131" s="222"/>
      <c r="X131" s="222"/>
      <c r="Y131" s="222"/>
      <c r="Z131" s="222"/>
      <c r="AA131" s="222"/>
      <c r="AB131" s="222"/>
    </row>
    <row r="132" spans="1:28" ht="16">
      <c r="A132" s="222"/>
      <c r="B132" s="222"/>
      <c r="C132" s="222"/>
      <c r="D132" s="222"/>
      <c r="E132" s="222"/>
      <c r="F132" s="222"/>
      <c r="G132" s="222"/>
      <c r="H132" s="222"/>
      <c r="I132" s="222"/>
      <c r="J132" s="222"/>
      <c r="K132" s="222"/>
      <c r="L132" s="223"/>
      <c r="M132" s="222"/>
      <c r="N132" s="222"/>
      <c r="O132" s="222"/>
      <c r="P132" s="222"/>
      <c r="Q132" s="222"/>
      <c r="R132" s="222"/>
      <c r="S132" s="222"/>
      <c r="T132" s="222"/>
      <c r="U132" s="222"/>
      <c r="V132" s="222"/>
      <c r="W132" s="222"/>
      <c r="X132" s="222"/>
      <c r="Y132" s="222"/>
      <c r="Z132" s="222"/>
      <c r="AA132" s="222"/>
      <c r="AB132" s="222"/>
    </row>
    <row r="133" spans="1:28" ht="16">
      <c r="A133" s="222"/>
      <c r="B133" s="222"/>
      <c r="C133" s="222"/>
      <c r="D133" s="222"/>
      <c r="E133" s="222"/>
      <c r="F133" s="222"/>
      <c r="G133" s="222"/>
      <c r="H133" s="222"/>
      <c r="I133" s="222"/>
      <c r="J133" s="222"/>
      <c r="K133" s="222"/>
      <c r="L133" s="223"/>
      <c r="M133" s="222"/>
      <c r="N133" s="222"/>
      <c r="O133" s="222"/>
      <c r="P133" s="222"/>
      <c r="Q133" s="222"/>
      <c r="R133" s="222"/>
      <c r="S133" s="222"/>
      <c r="T133" s="222"/>
      <c r="U133" s="222"/>
      <c r="V133" s="222"/>
      <c r="W133" s="222"/>
      <c r="X133" s="222"/>
      <c r="Y133" s="222"/>
      <c r="Z133" s="222"/>
      <c r="AA133" s="222"/>
      <c r="AB133" s="222"/>
    </row>
    <row r="134" spans="1:28" ht="16">
      <c r="A134" s="222"/>
      <c r="B134" s="222"/>
      <c r="C134" s="222"/>
      <c r="D134" s="222"/>
      <c r="E134" s="222"/>
      <c r="F134" s="222"/>
      <c r="G134" s="222"/>
      <c r="H134" s="222"/>
      <c r="I134" s="222"/>
      <c r="J134" s="222"/>
      <c r="K134" s="222"/>
      <c r="L134" s="223"/>
      <c r="M134" s="222"/>
      <c r="N134" s="222"/>
      <c r="O134" s="222"/>
      <c r="P134" s="222"/>
      <c r="Q134" s="222"/>
      <c r="R134" s="222"/>
      <c r="S134" s="222"/>
      <c r="T134" s="222"/>
      <c r="U134" s="222"/>
      <c r="V134" s="222"/>
      <c r="W134" s="222"/>
      <c r="X134" s="222"/>
      <c r="Y134" s="222"/>
      <c r="Z134" s="222"/>
      <c r="AA134" s="222"/>
      <c r="AB134" s="222"/>
    </row>
    <row r="135" spans="1:28" ht="16">
      <c r="A135" s="222"/>
      <c r="B135" s="222"/>
      <c r="C135" s="222"/>
      <c r="D135" s="222"/>
      <c r="E135" s="222"/>
      <c r="F135" s="222"/>
      <c r="G135" s="222"/>
      <c r="H135" s="222"/>
      <c r="I135" s="222"/>
      <c r="J135" s="222"/>
      <c r="K135" s="222"/>
      <c r="L135" s="223"/>
      <c r="M135" s="222"/>
      <c r="N135" s="222"/>
      <c r="O135" s="222"/>
      <c r="P135" s="222"/>
      <c r="Q135" s="222"/>
      <c r="R135" s="222"/>
      <c r="S135" s="222"/>
      <c r="T135" s="222"/>
      <c r="U135" s="222"/>
      <c r="V135" s="222"/>
      <c r="W135" s="222"/>
      <c r="X135" s="222"/>
      <c r="Y135" s="222"/>
      <c r="Z135" s="222"/>
      <c r="AA135" s="222"/>
      <c r="AB135" s="222"/>
    </row>
    <row r="136" spans="1:28" ht="16">
      <c r="A136" s="222"/>
      <c r="B136" s="222"/>
      <c r="C136" s="222"/>
      <c r="D136" s="222"/>
      <c r="E136" s="222"/>
      <c r="F136" s="222"/>
      <c r="G136" s="222"/>
      <c r="H136" s="222"/>
      <c r="I136" s="222"/>
      <c r="J136" s="222"/>
      <c r="K136" s="222"/>
      <c r="L136" s="223"/>
      <c r="M136" s="222"/>
      <c r="N136" s="222"/>
      <c r="O136" s="222"/>
      <c r="P136" s="222"/>
      <c r="Q136" s="222"/>
      <c r="R136" s="222"/>
      <c r="S136" s="222"/>
      <c r="T136" s="222"/>
      <c r="U136" s="222"/>
      <c r="V136" s="222"/>
      <c r="W136" s="222"/>
      <c r="X136" s="222"/>
      <c r="Y136" s="222"/>
      <c r="Z136" s="222"/>
      <c r="AA136" s="222"/>
      <c r="AB136" s="222"/>
    </row>
    <row r="137" spans="1:28" ht="16">
      <c r="A137" s="222"/>
      <c r="B137" s="222"/>
      <c r="C137" s="222"/>
      <c r="D137" s="222"/>
      <c r="E137" s="222"/>
      <c r="F137" s="222"/>
      <c r="G137" s="222"/>
      <c r="H137" s="222"/>
      <c r="I137" s="222"/>
      <c r="J137" s="222"/>
      <c r="K137" s="222"/>
      <c r="L137" s="223"/>
      <c r="M137" s="222"/>
      <c r="N137" s="222"/>
      <c r="O137" s="222"/>
      <c r="P137" s="222"/>
      <c r="Q137" s="222"/>
      <c r="R137" s="222"/>
      <c r="S137" s="222"/>
      <c r="T137" s="222"/>
      <c r="U137" s="222"/>
      <c r="V137" s="222"/>
      <c r="W137" s="222"/>
      <c r="X137" s="222"/>
      <c r="Y137" s="222"/>
      <c r="Z137" s="222"/>
      <c r="AA137" s="222"/>
      <c r="AB137" s="222"/>
    </row>
    <row r="138" spans="1:28" ht="16">
      <c r="A138" s="222"/>
      <c r="B138" s="222"/>
      <c r="C138" s="222"/>
      <c r="D138" s="222"/>
      <c r="E138" s="222"/>
      <c r="F138" s="222"/>
      <c r="G138" s="222"/>
      <c r="H138" s="222"/>
      <c r="I138" s="222"/>
      <c r="J138" s="222"/>
      <c r="K138" s="222"/>
      <c r="L138" s="223"/>
      <c r="M138" s="222"/>
      <c r="N138" s="222"/>
      <c r="O138" s="222"/>
      <c r="P138" s="222"/>
      <c r="Q138" s="222"/>
      <c r="R138" s="222"/>
      <c r="S138" s="222"/>
      <c r="T138" s="222"/>
      <c r="U138" s="222"/>
      <c r="V138" s="222"/>
      <c r="W138" s="222"/>
      <c r="X138" s="222"/>
      <c r="Y138" s="222"/>
      <c r="Z138" s="222"/>
      <c r="AA138" s="222"/>
      <c r="AB138" s="222"/>
    </row>
    <row r="139" spans="1:28" ht="16">
      <c r="A139" s="222"/>
      <c r="B139" s="222"/>
      <c r="C139" s="222"/>
      <c r="D139" s="222"/>
      <c r="E139" s="222"/>
      <c r="F139" s="222"/>
      <c r="G139" s="222"/>
      <c r="H139" s="222"/>
      <c r="I139" s="222"/>
      <c r="J139" s="222"/>
      <c r="K139" s="222"/>
      <c r="L139" s="223"/>
      <c r="M139" s="222"/>
      <c r="N139" s="222"/>
      <c r="O139" s="222"/>
      <c r="P139" s="222"/>
      <c r="Q139" s="222"/>
      <c r="R139" s="222"/>
      <c r="S139" s="222"/>
      <c r="T139" s="222"/>
      <c r="U139" s="222"/>
      <c r="V139" s="222"/>
      <c r="W139" s="222"/>
      <c r="X139" s="222"/>
      <c r="Y139" s="222"/>
      <c r="Z139" s="222"/>
      <c r="AA139" s="222"/>
      <c r="AB139" s="222"/>
    </row>
    <row r="140" spans="1:28" ht="16">
      <c r="A140" s="222"/>
      <c r="B140" s="222"/>
      <c r="C140" s="222"/>
      <c r="D140" s="222"/>
      <c r="E140" s="222"/>
      <c r="F140" s="222"/>
      <c r="G140" s="222"/>
      <c r="H140" s="222"/>
      <c r="I140" s="222"/>
      <c r="J140" s="222"/>
      <c r="K140" s="222"/>
      <c r="L140" s="223"/>
      <c r="M140" s="222"/>
      <c r="N140" s="222"/>
      <c r="O140" s="222"/>
      <c r="P140" s="222"/>
      <c r="Q140" s="222"/>
      <c r="R140" s="222"/>
      <c r="S140" s="222"/>
      <c r="T140" s="222"/>
      <c r="U140" s="222"/>
      <c r="V140" s="222"/>
      <c r="W140" s="222"/>
      <c r="X140" s="222"/>
      <c r="Y140" s="222"/>
      <c r="Z140" s="222"/>
      <c r="AA140" s="222"/>
      <c r="AB140" s="222"/>
    </row>
    <row r="141" spans="1:28" ht="16">
      <c r="A141" s="222"/>
      <c r="B141" s="222"/>
      <c r="C141" s="222"/>
      <c r="D141" s="222"/>
      <c r="E141" s="222"/>
      <c r="F141" s="222"/>
      <c r="G141" s="222"/>
      <c r="H141" s="222"/>
      <c r="I141" s="222"/>
      <c r="J141" s="222"/>
      <c r="K141" s="222"/>
      <c r="L141" s="223"/>
      <c r="M141" s="222"/>
      <c r="N141" s="222"/>
      <c r="O141" s="222"/>
      <c r="P141" s="222"/>
      <c r="Q141" s="222"/>
      <c r="R141" s="222"/>
      <c r="S141" s="222"/>
      <c r="T141" s="222"/>
      <c r="U141" s="222"/>
      <c r="V141" s="222"/>
      <c r="W141" s="222"/>
      <c r="X141" s="222"/>
      <c r="Y141" s="222"/>
      <c r="Z141" s="222"/>
      <c r="AA141" s="222"/>
      <c r="AB141" s="222"/>
    </row>
    <row r="142" spans="1:28" ht="16">
      <c r="A142" s="222"/>
      <c r="B142" s="222"/>
      <c r="C142" s="222"/>
      <c r="D142" s="222"/>
      <c r="E142" s="222"/>
      <c r="F142" s="222"/>
      <c r="G142" s="222"/>
      <c r="H142" s="222"/>
      <c r="I142" s="222"/>
      <c r="J142" s="222"/>
      <c r="K142" s="222"/>
      <c r="L142" s="223"/>
      <c r="M142" s="222"/>
      <c r="N142" s="222"/>
      <c r="O142" s="222"/>
      <c r="P142" s="222"/>
      <c r="Q142" s="222"/>
      <c r="R142" s="222"/>
      <c r="S142" s="222"/>
      <c r="T142" s="222"/>
      <c r="U142" s="222"/>
      <c r="V142" s="222"/>
      <c r="W142" s="222"/>
      <c r="X142" s="222"/>
      <c r="Y142" s="222"/>
      <c r="Z142" s="222"/>
      <c r="AA142" s="222"/>
      <c r="AB142" s="222"/>
    </row>
    <row r="143" spans="1:28" ht="16">
      <c r="A143" s="222"/>
      <c r="B143" s="222"/>
      <c r="C143" s="222"/>
      <c r="D143" s="222"/>
      <c r="E143" s="222"/>
      <c r="F143" s="222"/>
      <c r="G143" s="222"/>
      <c r="H143" s="222"/>
      <c r="I143" s="222"/>
      <c r="J143" s="222"/>
      <c r="K143" s="222"/>
      <c r="L143" s="223"/>
      <c r="M143" s="222"/>
      <c r="N143" s="222"/>
      <c r="O143" s="222"/>
      <c r="P143" s="222"/>
      <c r="Q143" s="222"/>
      <c r="R143" s="222"/>
      <c r="S143" s="222"/>
      <c r="T143" s="222"/>
      <c r="U143" s="222"/>
      <c r="V143" s="222"/>
      <c r="W143" s="222"/>
      <c r="X143" s="222"/>
      <c r="Y143" s="222"/>
      <c r="Z143" s="222"/>
      <c r="AA143" s="222"/>
      <c r="AB143" s="222"/>
    </row>
    <row r="144" spans="1:28" ht="16">
      <c r="A144" s="222"/>
      <c r="B144" s="222"/>
      <c r="C144" s="222"/>
      <c r="D144" s="222"/>
      <c r="E144" s="222"/>
      <c r="F144" s="222"/>
      <c r="G144" s="222"/>
      <c r="H144" s="222"/>
      <c r="I144" s="222"/>
      <c r="J144" s="222"/>
      <c r="K144" s="222"/>
      <c r="L144" s="223"/>
      <c r="M144" s="222"/>
      <c r="N144" s="222"/>
      <c r="O144" s="222"/>
      <c r="P144" s="222"/>
      <c r="Q144" s="222"/>
      <c r="R144" s="222"/>
      <c r="S144" s="222"/>
      <c r="T144" s="222"/>
      <c r="U144" s="222"/>
      <c r="V144" s="222"/>
      <c r="W144" s="222"/>
      <c r="X144" s="222"/>
      <c r="Y144" s="222"/>
      <c r="Z144" s="222"/>
      <c r="AA144" s="222"/>
      <c r="AB144" s="222"/>
    </row>
    <row r="145" spans="1:28" ht="16">
      <c r="A145" s="222"/>
      <c r="B145" s="222"/>
      <c r="C145" s="222"/>
      <c r="D145" s="222"/>
      <c r="E145" s="222"/>
      <c r="F145" s="222"/>
      <c r="G145" s="222"/>
      <c r="H145" s="222"/>
      <c r="I145" s="222"/>
      <c r="J145" s="222"/>
      <c r="K145" s="222"/>
      <c r="L145" s="223"/>
      <c r="M145" s="222"/>
      <c r="N145" s="222"/>
      <c r="O145" s="222"/>
      <c r="P145" s="222"/>
      <c r="Q145" s="222"/>
      <c r="R145" s="222"/>
      <c r="S145" s="222"/>
      <c r="T145" s="222"/>
      <c r="U145" s="222"/>
      <c r="V145" s="222"/>
      <c r="W145" s="222"/>
      <c r="X145" s="222"/>
      <c r="Y145" s="222"/>
      <c r="Z145" s="222"/>
      <c r="AA145" s="222"/>
      <c r="AB145" s="222"/>
    </row>
    <row r="146" spans="1:28" ht="16">
      <c r="A146" s="222"/>
      <c r="B146" s="222"/>
      <c r="C146" s="222"/>
      <c r="D146" s="222"/>
      <c r="E146" s="222"/>
      <c r="F146" s="222"/>
      <c r="G146" s="222"/>
      <c r="H146" s="222"/>
      <c r="I146" s="222"/>
      <c r="J146" s="222"/>
      <c r="K146" s="222"/>
      <c r="L146" s="223"/>
      <c r="M146" s="222"/>
      <c r="N146" s="222"/>
      <c r="O146" s="222"/>
      <c r="P146" s="222"/>
      <c r="Q146" s="222"/>
      <c r="R146" s="222"/>
      <c r="S146" s="222"/>
      <c r="T146" s="222"/>
      <c r="U146" s="222"/>
      <c r="V146" s="222"/>
      <c r="W146" s="222"/>
      <c r="X146" s="222"/>
      <c r="Y146" s="222"/>
      <c r="Z146" s="222"/>
      <c r="AA146" s="222"/>
      <c r="AB146" s="222"/>
    </row>
    <row r="147" spans="1:28" ht="16">
      <c r="A147" s="222"/>
      <c r="B147" s="222"/>
      <c r="C147" s="222"/>
      <c r="D147" s="222"/>
      <c r="E147" s="222"/>
      <c r="F147" s="222"/>
      <c r="G147" s="222"/>
      <c r="H147" s="222"/>
      <c r="I147" s="222"/>
      <c r="J147" s="222"/>
      <c r="K147" s="222"/>
      <c r="L147" s="223"/>
      <c r="M147" s="222"/>
      <c r="N147" s="222"/>
      <c r="O147" s="222"/>
      <c r="P147" s="222"/>
      <c r="Q147" s="222"/>
      <c r="R147" s="222"/>
      <c r="S147" s="222"/>
      <c r="T147" s="222"/>
      <c r="U147" s="222"/>
      <c r="V147" s="222"/>
      <c r="W147" s="222"/>
      <c r="X147" s="222"/>
      <c r="Y147" s="222"/>
      <c r="Z147" s="222"/>
      <c r="AA147" s="222"/>
      <c r="AB147" s="222"/>
    </row>
    <row r="148" spans="1:28" ht="16">
      <c r="A148" s="222"/>
      <c r="B148" s="222"/>
      <c r="C148" s="222"/>
      <c r="D148" s="222"/>
      <c r="E148" s="222"/>
      <c r="F148" s="222"/>
      <c r="G148" s="222"/>
      <c r="H148" s="222"/>
      <c r="I148" s="222"/>
      <c r="J148" s="222"/>
      <c r="K148" s="222"/>
      <c r="L148" s="223"/>
      <c r="M148" s="222"/>
      <c r="N148" s="222"/>
      <c r="O148" s="222"/>
      <c r="P148" s="222"/>
      <c r="Q148" s="222"/>
      <c r="R148" s="222"/>
      <c r="S148" s="222"/>
      <c r="T148" s="222"/>
      <c r="U148" s="222"/>
      <c r="V148" s="222"/>
      <c r="W148" s="222"/>
      <c r="X148" s="222"/>
      <c r="Y148" s="222"/>
      <c r="Z148" s="222"/>
      <c r="AA148" s="222"/>
      <c r="AB148" s="222"/>
    </row>
    <row r="149" spans="1:28" ht="16">
      <c r="A149" s="222"/>
      <c r="B149" s="222"/>
      <c r="C149" s="222"/>
      <c r="D149" s="222"/>
      <c r="E149" s="222"/>
      <c r="F149" s="222"/>
      <c r="G149" s="222"/>
      <c r="H149" s="222"/>
      <c r="I149" s="222"/>
      <c r="J149" s="222"/>
      <c r="K149" s="222"/>
      <c r="L149" s="223"/>
      <c r="M149" s="222"/>
      <c r="N149" s="222"/>
      <c r="O149" s="222"/>
      <c r="P149" s="222"/>
      <c r="Q149" s="222"/>
      <c r="R149" s="222"/>
      <c r="S149" s="222"/>
      <c r="T149" s="222"/>
      <c r="U149" s="222"/>
      <c r="V149" s="222"/>
      <c r="W149" s="222"/>
      <c r="X149" s="222"/>
      <c r="Y149" s="222"/>
      <c r="Z149" s="222"/>
      <c r="AA149" s="222"/>
      <c r="AB149" s="222"/>
    </row>
    <row r="150" spans="1:28" ht="16">
      <c r="A150" s="222"/>
      <c r="B150" s="222"/>
      <c r="C150" s="222"/>
      <c r="D150" s="222"/>
      <c r="E150" s="222"/>
      <c r="F150" s="222"/>
      <c r="G150" s="222"/>
      <c r="H150" s="222"/>
      <c r="I150" s="222"/>
      <c r="J150" s="222"/>
      <c r="K150" s="222"/>
      <c r="L150" s="223"/>
      <c r="M150" s="222"/>
      <c r="N150" s="222"/>
      <c r="O150" s="222"/>
      <c r="P150" s="222"/>
      <c r="Q150" s="222"/>
      <c r="R150" s="222"/>
      <c r="S150" s="222"/>
      <c r="T150" s="222"/>
      <c r="U150" s="222"/>
      <c r="V150" s="222"/>
      <c r="W150" s="222"/>
      <c r="X150" s="222"/>
      <c r="Y150" s="222"/>
      <c r="Z150" s="222"/>
      <c r="AA150" s="222"/>
      <c r="AB150" s="222"/>
    </row>
    <row r="151" spans="1:28" ht="16">
      <c r="A151" s="222"/>
      <c r="B151" s="222"/>
      <c r="C151" s="222"/>
      <c r="D151" s="222"/>
      <c r="E151" s="222"/>
      <c r="F151" s="222"/>
      <c r="G151" s="222"/>
      <c r="H151" s="222"/>
      <c r="I151" s="222"/>
      <c r="J151" s="222"/>
      <c r="K151" s="222"/>
      <c r="L151" s="223"/>
      <c r="M151" s="222"/>
      <c r="N151" s="222"/>
      <c r="O151" s="222"/>
      <c r="P151" s="222"/>
      <c r="Q151" s="222"/>
      <c r="R151" s="222"/>
      <c r="S151" s="222"/>
      <c r="T151" s="222"/>
      <c r="U151" s="222"/>
      <c r="V151" s="222"/>
      <c r="W151" s="222"/>
      <c r="X151" s="222"/>
      <c r="Y151" s="222"/>
      <c r="Z151" s="222"/>
      <c r="AA151" s="222"/>
      <c r="AB151" s="222"/>
    </row>
    <row r="152" spans="1:28" ht="16">
      <c r="A152" s="222"/>
      <c r="B152" s="222"/>
      <c r="C152" s="222"/>
      <c r="D152" s="222"/>
      <c r="E152" s="222"/>
      <c r="F152" s="222"/>
      <c r="G152" s="222"/>
      <c r="H152" s="222"/>
      <c r="I152" s="222"/>
      <c r="J152" s="222"/>
      <c r="K152" s="222"/>
      <c r="L152" s="223"/>
      <c r="M152" s="222"/>
      <c r="N152" s="222"/>
      <c r="O152" s="222"/>
      <c r="P152" s="222"/>
      <c r="Q152" s="222"/>
      <c r="R152" s="222"/>
      <c r="S152" s="222"/>
      <c r="T152" s="222"/>
      <c r="U152" s="222"/>
      <c r="V152" s="222"/>
      <c r="W152" s="222"/>
      <c r="X152" s="222"/>
      <c r="Y152" s="222"/>
      <c r="Z152" s="222"/>
      <c r="AA152" s="222"/>
      <c r="AB152" s="222"/>
    </row>
    <row r="153" spans="1:28" ht="16">
      <c r="A153" s="222"/>
      <c r="B153" s="222"/>
      <c r="C153" s="222"/>
      <c r="D153" s="222"/>
      <c r="E153" s="222"/>
      <c r="F153" s="222"/>
      <c r="G153" s="222"/>
      <c r="H153" s="222"/>
      <c r="I153" s="222"/>
      <c r="J153" s="222"/>
      <c r="K153" s="222"/>
      <c r="L153" s="223"/>
      <c r="M153" s="222"/>
      <c r="N153" s="222"/>
      <c r="O153" s="222"/>
      <c r="P153" s="222"/>
      <c r="Q153" s="222"/>
      <c r="R153" s="222"/>
      <c r="S153" s="222"/>
      <c r="T153" s="222"/>
      <c r="U153" s="222"/>
      <c r="V153" s="222"/>
      <c r="W153" s="222"/>
      <c r="X153" s="222"/>
      <c r="Y153" s="222"/>
      <c r="Z153" s="222"/>
      <c r="AA153" s="222"/>
      <c r="AB153" s="222"/>
    </row>
    <row r="154" spans="1:28" ht="16">
      <c r="A154" s="222"/>
      <c r="B154" s="222"/>
      <c r="C154" s="222"/>
      <c r="D154" s="222"/>
      <c r="E154" s="222"/>
      <c r="F154" s="222"/>
      <c r="G154" s="222"/>
      <c r="H154" s="222"/>
      <c r="I154" s="222"/>
      <c r="J154" s="222"/>
      <c r="K154" s="222"/>
      <c r="L154" s="223"/>
      <c r="M154" s="222"/>
      <c r="N154" s="222"/>
      <c r="O154" s="222"/>
      <c r="P154" s="222"/>
      <c r="Q154" s="222"/>
      <c r="R154" s="222"/>
      <c r="S154" s="222"/>
      <c r="T154" s="222"/>
      <c r="U154" s="222"/>
      <c r="V154" s="222"/>
      <c r="W154" s="222"/>
      <c r="X154" s="222"/>
      <c r="Y154" s="222"/>
      <c r="Z154" s="222"/>
      <c r="AA154" s="222"/>
      <c r="AB154" s="222"/>
    </row>
    <row r="155" spans="1:28" ht="16">
      <c r="A155" s="222"/>
      <c r="B155" s="222"/>
      <c r="C155" s="222"/>
      <c r="D155" s="222"/>
      <c r="E155" s="222"/>
      <c r="F155" s="222"/>
      <c r="G155" s="222"/>
      <c r="H155" s="222"/>
      <c r="I155" s="222"/>
      <c r="J155" s="222"/>
      <c r="K155" s="222"/>
      <c r="L155" s="223"/>
      <c r="M155" s="222"/>
      <c r="N155" s="222"/>
      <c r="O155" s="222"/>
      <c r="P155" s="222"/>
      <c r="Q155" s="222"/>
      <c r="R155" s="222"/>
      <c r="S155" s="222"/>
      <c r="T155" s="222"/>
      <c r="U155" s="222"/>
      <c r="V155" s="222"/>
      <c r="W155" s="222"/>
      <c r="X155" s="222"/>
      <c r="Y155" s="222"/>
      <c r="Z155" s="222"/>
      <c r="AA155" s="222"/>
      <c r="AB155" s="222"/>
    </row>
    <row r="156" spans="1:28" ht="16">
      <c r="A156" s="222"/>
      <c r="B156" s="222"/>
      <c r="C156" s="222"/>
      <c r="D156" s="222"/>
      <c r="E156" s="222"/>
      <c r="F156" s="222"/>
      <c r="G156" s="222"/>
      <c r="H156" s="222"/>
      <c r="I156" s="222"/>
      <c r="J156" s="222"/>
      <c r="K156" s="222"/>
      <c r="L156" s="223"/>
      <c r="M156" s="222"/>
      <c r="N156" s="222"/>
      <c r="O156" s="222"/>
      <c r="P156" s="222"/>
      <c r="Q156" s="222"/>
      <c r="R156" s="222"/>
      <c r="S156" s="222"/>
      <c r="T156" s="222"/>
      <c r="U156" s="222"/>
      <c r="V156" s="222"/>
      <c r="W156" s="222"/>
      <c r="X156" s="222"/>
      <c r="Y156" s="222"/>
      <c r="Z156" s="222"/>
      <c r="AA156" s="222"/>
      <c r="AB156" s="222"/>
    </row>
    <row r="157" spans="1:28" ht="16">
      <c r="A157" s="222"/>
      <c r="B157" s="222"/>
      <c r="C157" s="222"/>
      <c r="D157" s="222"/>
      <c r="E157" s="222"/>
      <c r="F157" s="222"/>
      <c r="G157" s="222"/>
      <c r="H157" s="222"/>
      <c r="I157" s="222"/>
      <c r="J157" s="222"/>
      <c r="K157" s="222"/>
      <c r="L157" s="223"/>
      <c r="M157" s="222"/>
      <c r="N157" s="222"/>
      <c r="O157" s="222"/>
      <c r="P157" s="222"/>
      <c r="Q157" s="222"/>
      <c r="R157" s="222"/>
      <c r="S157" s="222"/>
      <c r="T157" s="222"/>
      <c r="U157" s="222"/>
      <c r="V157" s="222"/>
      <c r="W157" s="222"/>
      <c r="X157" s="222"/>
      <c r="Y157" s="222"/>
      <c r="Z157" s="222"/>
      <c r="AA157" s="222"/>
      <c r="AB157" s="222"/>
    </row>
    <row r="158" spans="1:28" ht="16">
      <c r="A158" s="222"/>
      <c r="B158" s="222"/>
      <c r="C158" s="222"/>
      <c r="D158" s="222"/>
      <c r="E158" s="222"/>
      <c r="F158" s="222"/>
      <c r="G158" s="222"/>
      <c r="H158" s="222"/>
      <c r="I158" s="222"/>
      <c r="J158" s="222"/>
      <c r="K158" s="222"/>
      <c r="L158" s="223"/>
      <c r="M158" s="222"/>
      <c r="N158" s="222"/>
      <c r="O158" s="222"/>
      <c r="P158" s="222"/>
      <c r="Q158" s="222"/>
      <c r="R158" s="222"/>
      <c r="S158" s="222"/>
      <c r="T158" s="222"/>
      <c r="U158" s="222"/>
      <c r="V158" s="222"/>
      <c r="W158" s="222"/>
      <c r="X158" s="222"/>
      <c r="Y158" s="222"/>
      <c r="Z158" s="222"/>
      <c r="AA158" s="222"/>
      <c r="AB158" s="222"/>
    </row>
    <row r="159" spans="1:28" ht="16">
      <c r="A159" s="222"/>
      <c r="B159" s="222"/>
      <c r="C159" s="222"/>
      <c r="D159" s="222"/>
      <c r="E159" s="222"/>
      <c r="F159" s="222"/>
      <c r="G159" s="222"/>
      <c r="H159" s="222"/>
      <c r="I159" s="222"/>
      <c r="J159" s="222"/>
      <c r="K159" s="222"/>
      <c r="L159" s="223"/>
      <c r="M159" s="222"/>
      <c r="N159" s="222"/>
      <c r="O159" s="222"/>
      <c r="P159" s="222"/>
      <c r="Q159" s="222"/>
      <c r="R159" s="222"/>
      <c r="S159" s="222"/>
      <c r="T159" s="222"/>
      <c r="U159" s="222"/>
      <c r="V159" s="222"/>
      <c r="W159" s="222"/>
      <c r="X159" s="222"/>
      <c r="Y159" s="222"/>
      <c r="Z159" s="222"/>
      <c r="AA159" s="222"/>
      <c r="AB159" s="222"/>
    </row>
    <row r="160" spans="1:28" ht="16">
      <c r="A160" s="222"/>
      <c r="B160" s="222"/>
      <c r="C160" s="222"/>
      <c r="D160" s="222"/>
      <c r="E160" s="222"/>
      <c r="F160" s="222"/>
      <c r="G160" s="222"/>
      <c r="H160" s="222"/>
      <c r="I160" s="222"/>
      <c r="J160" s="222"/>
      <c r="K160" s="222"/>
      <c r="L160" s="223"/>
      <c r="M160" s="222"/>
      <c r="N160" s="222"/>
      <c r="O160" s="222"/>
      <c r="P160" s="222"/>
      <c r="Q160" s="222"/>
      <c r="R160" s="222"/>
      <c r="S160" s="222"/>
      <c r="T160" s="222"/>
      <c r="U160" s="222"/>
      <c r="V160" s="222"/>
      <c r="W160" s="222"/>
      <c r="X160" s="222"/>
      <c r="Y160" s="222"/>
      <c r="Z160" s="222"/>
      <c r="AA160" s="222"/>
      <c r="AB160" s="222"/>
    </row>
    <row r="161" spans="1:28" ht="16">
      <c r="A161" s="222"/>
      <c r="B161" s="222"/>
      <c r="C161" s="222"/>
      <c r="D161" s="222"/>
      <c r="E161" s="222"/>
      <c r="F161" s="222"/>
      <c r="G161" s="222"/>
      <c r="H161" s="222"/>
      <c r="I161" s="222"/>
      <c r="J161" s="222"/>
      <c r="K161" s="222"/>
      <c r="L161" s="223"/>
      <c r="M161" s="222"/>
      <c r="N161" s="222"/>
      <c r="O161" s="222"/>
      <c r="P161" s="222"/>
      <c r="Q161" s="222"/>
      <c r="R161" s="222"/>
      <c r="S161" s="222"/>
      <c r="T161" s="222"/>
      <c r="U161" s="222"/>
      <c r="V161" s="222"/>
      <c r="W161" s="222"/>
      <c r="X161" s="222"/>
      <c r="Y161" s="222"/>
      <c r="Z161" s="222"/>
      <c r="AA161" s="222"/>
      <c r="AB161" s="222"/>
    </row>
    <row r="162" spans="1:28" ht="16">
      <c r="A162" s="222"/>
      <c r="B162" s="222"/>
      <c r="C162" s="222"/>
      <c r="D162" s="222"/>
      <c r="E162" s="222"/>
      <c r="F162" s="222"/>
      <c r="G162" s="222"/>
      <c r="H162" s="222"/>
      <c r="I162" s="222"/>
      <c r="J162" s="222"/>
      <c r="K162" s="222"/>
      <c r="L162" s="223"/>
      <c r="M162" s="222"/>
      <c r="N162" s="222"/>
      <c r="O162" s="222"/>
      <c r="P162" s="222"/>
      <c r="Q162" s="222"/>
      <c r="R162" s="222"/>
      <c r="S162" s="222"/>
      <c r="T162" s="222"/>
      <c r="U162" s="222"/>
      <c r="V162" s="222"/>
      <c r="W162" s="222"/>
      <c r="X162" s="222"/>
      <c r="Y162" s="222"/>
      <c r="Z162" s="222"/>
      <c r="AA162" s="222"/>
      <c r="AB162" s="222"/>
    </row>
    <row r="163" spans="1:28" ht="16">
      <c r="A163" s="222"/>
      <c r="B163" s="222"/>
      <c r="C163" s="222"/>
      <c r="D163" s="222"/>
      <c r="E163" s="222"/>
      <c r="F163" s="222"/>
      <c r="G163" s="222"/>
      <c r="H163" s="222"/>
      <c r="I163" s="222"/>
      <c r="J163" s="222"/>
      <c r="K163" s="222"/>
      <c r="L163" s="223"/>
      <c r="M163" s="222"/>
      <c r="N163" s="222"/>
      <c r="O163" s="222"/>
      <c r="P163" s="222"/>
      <c r="Q163" s="222"/>
      <c r="R163" s="222"/>
      <c r="S163" s="222"/>
      <c r="T163" s="222"/>
      <c r="U163" s="222"/>
      <c r="V163" s="222"/>
      <c r="W163" s="222"/>
      <c r="X163" s="222"/>
      <c r="Y163" s="222"/>
      <c r="Z163" s="222"/>
      <c r="AA163" s="222"/>
      <c r="AB163" s="222"/>
    </row>
    <row r="164" spans="1:28" ht="16">
      <c r="A164" s="222"/>
      <c r="B164" s="222"/>
      <c r="C164" s="222"/>
      <c r="D164" s="222"/>
      <c r="E164" s="222"/>
      <c r="F164" s="222"/>
      <c r="G164" s="222"/>
      <c r="H164" s="222"/>
      <c r="I164" s="222"/>
      <c r="J164" s="222"/>
      <c r="K164" s="222"/>
      <c r="L164" s="223"/>
      <c r="M164" s="222"/>
      <c r="N164" s="222"/>
      <c r="O164" s="222"/>
      <c r="P164" s="222"/>
      <c r="Q164" s="222"/>
      <c r="R164" s="222"/>
      <c r="S164" s="222"/>
      <c r="T164" s="222"/>
      <c r="U164" s="222"/>
      <c r="V164" s="222"/>
      <c r="W164" s="222"/>
      <c r="X164" s="222"/>
      <c r="Y164" s="222"/>
      <c r="Z164" s="222"/>
      <c r="AA164" s="222"/>
      <c r="AB164" s="222"/>
    </row>
    <row r="165" spans="1:28" ht="16">
      <c r="A165" s="222"/>
      <c r="B165" s="222"/>
      <c r="C165" s="222"/>
      <c r="D165" s="222"/>
      <c r="E165" s="222"/>
      <c r="F165" s="222"/>
      <c r="G165" s="222"/>
      <c r="H165" s="222"/>
      <c r="I165" s="222"/>
      <c r="J165" s="222"/>
      <c r="K165" s="222"/>
      <c r="L165" s="223"/>
      <c r="M165" s="222"/>
      <c r="N165" s="222"/>
      <c r="O165" s="222"/>
      <c r="P165" s="222"/>
      <c r="Q165" s="222"/>
      <c r="R165" s="222"/>
      <c r="S165" s="222"/>
      <c r="T165" s="222"/>
      <c r="U165" s="222"/>
      <c r="V165" s="222"/>
      <c r="W165" s="222"/>
      <c r="X165" s="222"/>
      <c r="Y165" s="222"/>
      <c r="Z165" s="222"/>
      <c r="AA165" s="222"/>
      <c r="AB165" s="222"/>
    </row>
    <row r="166" spans="1:28" ht="16">
      <c r="A166" s="222"/>
      <c r="B166" s="222"/>
      <c r="C166" s="222"/>
      <c r="D166" s="222"/>
      <c r="E166" s="222"/>
      <c r="F166" s="222"/>
      <c r="G166" s="222"/>
      <c r="H166" s="222"/>
      <c r="I166" s="222"/>
      <c r="J166" s="222"/>
      <c r="K166" s="222"/>
      <c r="L166" s="223"/>
      <c r="M166" s="222"/>
      <c r="N166" s="222"/>
      <c r="O166" s="222"/>
      <c r="P166" s="222"/>
      <c r="Q166" s="222"/>
      <c r="R166" s="222"/>
      <c r="S166" s="222"/>
      <c r="T166" s="222"/>
      <c r="U166" s="222"/>
      <c r="V166" s="222"/>
      <c r="W166" s="222"/>
      <c r="X166" s="222"/>
      <c r="Y166" s="222"/>
      <c r="Z166" s="222"/>
      <c r="AA166" s="222"/>
      <c r="AB166" s="222"/>
    </row>
    <row r="167" spans="1:28" ht="16">
      <c r="A167" s="222"/>
      <c r="B167" s="222"/>
      <c r="C167" s="222"/>
      <c r="D167" s="222"/>
      <c r="E167" s="222"/>
      <c r="F167" s="222"/>
      <c r="G167" s="222"/>
      <c r="H167" s="222"/>
      <c r="I167" s="222"/>
      <c r="J167" s="222"/>
      <c r="K167" s="222"/>
      <c r="L167" s="223"/>
      <c r="M167" s="222"/>
      <c r="N167" s="222"/>
      <c r="O167" s="222"/>
      <c r="P167" s="222"/>
      <c r="Q167" s="222"/>
      <c r="R167" s="222"/>
      <c r="S167" s="222"/>
      <c r="T167" s="222"/>
      <c r="U167" s="222"/>
      <c r="V167" s="222"/>
      <c r="W167" s="222"/>
      <c r="X167" s="222"/>
      <c r="Y167" s="222"/>
      <c r="Z167" s="222"/>
      <c r="AA167" s="222"/>
      <c r="AB167" s="222"/>
    </row>
    <row r="168" spans="1:28" ht="16">
      <c r="A168" s="222"/>
      <c r="B168" s="222"/>
      <c r="C168" s="222"/>
      <c r="D168" s="222"/>
      <c r="E168" s="222"/>
      <c r="F168" s="222"/>
      <c r="G168" s="222"/>
      <c r="H168" s="222"/>
      <c r="I168" s="222"/>
      <c r="J168" s="222"/>
      <c r="K168" s="222"/>
      <c r="L168" s="223"/>
      <c r="M168" s="222"/>
      <c r="N168" s="222"/>
      <c r="O168" s="222"/>
      <c r="P168" s="222"/>
      <c r="Q168" s="222"/>
      <c r="R168" s="222"/>
      <c r="S168" s="222"/>
      <c r="T168" s="222"/>
      <c r="U168" s="222"/>
      <c r="V168" s="222"/>
      <c r="W168" s="222"/>
      <c r="X168" s="222"/>
      <c r="Y168" s="222"/>
      <c r="Z168" s="222"/>
      <c r="AA168" s="222"/>
      <c r="AB168" s="222"/>
    </row>
    <row r="169" spans="1:28" ht="16">
      <c r="A169" s="222"/>
      <c r="B169" s="222"/>
      <c r="C169" s="222"/>
      <c r="D169" s="222"/>
      <c r="E169" s="222"/>
      <c r="F169" s="222"/>
      <c r="G169" s="222"/>
      <c r="H169" s="222"/>
      <c r="I169" s="222"/>
      <c r="J169" s="222"/>
      <c r="K169" s="222"/>
      <c r="L169" s="223"/>
      <c r="M169" s="222"/>
      <c r="N169" s="222"/>
      <c r="O169" s="222"/>
      <c r="P169" s="222"/>
      <c r="Q169" s="222"/>
      <c r="R169" s="222"/>
      <c r="S169" s="222"/>
      <c r="T169" s="222"/>
      <c r="U169" s="222"/>
      <c r="V169" s="222"/>
      <c r="W169" s="222"/>
      <c r="X169" s="222"/>
      <c r="Y169" s="222"/>
      <c r="Z169" s="222"/>
      <c r="AA169" s="222"/>
      <c r="AB169" s="222"/>
    </row>
    <row r="170" spans="1:28" ht="16">
      <c r="A170" s="222"/>
      <c r="B170" s="222"/>
      <c r="C170" s="222"/>
      <c r="D170" s="222"/>
      <c r="E170" s="222"/>
      <c r="F170" s="222"/>
      <c r="G170" s="222"/>
      <c r="H170" s="222"/>
      <c r="I170" s="222"/>
      <c r="J170" s="222"/>
      <c r="K170" s="222"/>
      <c r="L170" s="223"/>
      <c r="M170" s="222"/>
      <c r="N170" s="222"/>
      <c r="O170" s="222"/>
      <c r="P170" s="222"/>
      <c r="Q170" s="222"/>
      <c r="R170" s="222"/>
      <c r="S170" s="222"/>
      <c r="T170" s="222"/>
      <c r="U170" s="222"/>
      <c r="V170" s="222"/>
      <c r="W170" s="222"/>
      <c r="X170" s="222"/>
      <c r="Y170" s="222"/>
      <c r="Z170" s="222"/>
      <c r="AA170" s="222"/>
      <c r="AB170" s="222"/>
    </row>
    <row r="171" spans="1:28" ht="16">
      <c r="A171" s="222"/>
      <c r="B171" s="222"/>
      <c r="C171" s="222"/>
      <c r="D171" s="222"/>
      <c r="E171" s="222"/>
      <c r="F171" s="222"/>
      <c r="G171" s="222"/>
      <c r="H171" s="222"/>
      <c r="I171" s="222"/>
      <c r="J171" s="222"/>
      <c r="K171" s="222"/>
      <c r="L171" s="223"/>
      <c r="M171" s="222"/>
      <c r="N171" s="222"/>
      <c r="O171" s="222"/>
      <c r="P171" s="222"/>
      <c r="Q171" s="222"/>
      <c r="R171" s="222"/>
      <c r="S171" s="222"/>
      <c r="T171" s="222"/>
      <c r="U171" s="222"/>
      <c r="V171" s="222"/>
      <c r="W171" s="222"/>
      <c r="X171" s="222"/>
      <c r="Y171" s="222"/>
      <c r="Z171" s="222"/>
      <c r="AA171" s="222"/>
      <c r="AB171" s="222"/>
    </row>
    <row r="172" spans="1:28" ht="16">
      <c r="A172" s="222"/>
      <c r="B172" s="222"/>
      <c r="C172" s="222"/>
      <c r="D172" s="222"/>
      <c r="E172" s="222"/>
      <c r="F172" s="222"/>
      <c r="G172" s="222"/>
      <c r="H172" s="222"/>
      <c r="I172" s="222"/>
      <c r="J172" s="222"/>
      <c r="K172" s="222"/>
      <c r="L172" s="223"/>
      <c r="M172" s="222"/>
      <c r="N172" s="222"/>
      <c r="O172" s="222"/>
      <c r="P172" s="222"/>
      <c r="Q172" s="222"/>
      <c r="R172" s="222"/>
      <c r="S172" s="222"/>
      <c r="T172" s="222"/>
      <c r="U172" s="222"/>
      <c r="V172" s="222"/>
      <c r="W172" s="222"/>
      <c r="X172" s="222"/>
      <c r="Y172" s="222"/>
      <c r="Z172" s="222"/>
      <c r="AA172" s="222"/>
      <c r="AB172" s="222"/>
    </row>
    <row r="173" spans="1:28" ht="16">
      <c r="A173" s="222"/>
      <c r="B173" s="222"/>
      <c r="C173" s="222"/>
      <c r="D173" s="222"/>
      <c r="E173" s="222"/>
      <c r="F173" s="222"/>
      <c r="G173" s="222"/>
      <c r="H173" s="222"/>
      <c r="I173" s="222"/>
      <c r="J173" s="222"/>
      <c r="K173" s="222"/>
      <c r="L173" s="223"/>
      <c r="M173" s="222"/>
      <c r="N173" s="222"/>
      <c r="O173" s="222"/>
      <c r="P173" s="222"/>
      <c r="Q173" s="222"/>
      <c r="R173" s="222"/>
      <c r="S173" s="222"/>
      <c r="T173" s="222"/>
      <c r="U173" s="222"/>
      <c r="V173" s="222"/>
      <c r="W173" s="222"/>
      <c r="X173" s="222"/>
      <c r="Y173" s="222"/>
      <c r="Z173" s="222"/>
      <c r="AA173" s="222"/>
      <c r="AB173" s="222"/>
    </row>
    <row r="174" spans="1:28" ht="16">
      <c r="A174" s="222"/>
      <c r="B174" s="222"/>
      <c r="C174" s="222"/>
      <c r="D174" s="222"/>
      <c r="E174" s="222"/>
      <c r="F174" s="222"/>
      <c r="G174" s="222"/>
      <c r="H174" s="222"/>
      <c r="I174" s="222"/>
      <c r="J174" s="222"/>
      <c r="K174" s="222"/>
      <c r="L174" s="223"/>
      <c r="M174" s="222"/>
      <c r="N174" s="222"/>
      <c r="O174" s="222"/>
      <c r="P174" s="222"/>
      <c r="Q174" s="222"/>
      <c r="R174" s="222"/>
      <c r="S174" s="222"/>
      <c r="T174" s="222"/>
      <c r="U174" s="222"/>
      <c r="V174" s="222"/>
      <c r="W174" s="222"/>
      <c r="X174" s="222"/>
      <c r="Y174" s="222"/>
      <c r="Z174" s="222"/>
      <c r="AA174" s="222"/>
      <c r="AB174" s="222"/>
    </row>
    <row r="175" spans="1:28" ht="16">
      <c r="A175" s="222"/>
      <c r="B175" s="222"/>
      <c r="C175" s="222"/>
      <c r="D175" s="222"/>
      <c r="E175" s="222"/>
      <c r="F175" s="222"/>
      <c r="G175" s="222"/>
      <c r="H175" s="222"/>
      <c r="I175" s="222"/>
      <c r="J175" s="222"/>
      <c r="K175" s="222"/>
      <c r="L175" s="223"/>
      <c r="M175" s="222"/>
      <c r="N175" s="222"/>
      <c r="O175" s="222"/>
      <c r="P175" s="222"/>
      <c r="Q175" s="222"/>
      <c r="R175" s="222"/>
      <c r="S175" s="222"/>
      <c r="T175" s="222"/>
      <c r="U175" s="222"/>
      <c r="V175" s="222"/>
      <c r="W175" s="222"/>
      <c r="X175" s="222"/>
      <c r="Y175" s="222"/>
      <c r="Z175" s="222"/>
      <c r="AA175" s="222"/>
      <c r="AB175" s="222"/>
    </row>
    <row r="176" spans="1:28" ht="16">
      <c r="A176" s="222"/>
      <c r="B176" s="222"/>
      <c r="C176" s="222"/>
      <c r="D176" s="222"/>
      <c r="E176" s="222"/>
      <c r="F176" s="222"/>
      <c r="G176" s="222"/>
      <c r="H176" s="222"/>
      <c r="I176" s="222"/>
      <c r="J176" s="222"/>
      <c r="K176" s="222"/>
      <c r="L176" s="223"/>
      <c r="M176" s="222"/>
      <c r="N176" s="222"/>
      <c r="O176" s="222"/>
      <c r="P176" s="222"/>
      <c r="Q176" s="222"/>
      <c r="R176" s="222"/>
      <c r="S176" s="222"/>
      <c r="T176" s="222"/>
      <c r="U176" s="222"/>
      <c r="V176" s="222"/>
      <c r="W176" s="222"/>
      <c r="X176" s="222"/>
      <c r="Y176" s="222"/>
      <c r="Z176" s="222"/>
      <c r="AA176" s="222"/>
      <c r="AB176" s="222"/>
    </row>
    <row r="177" spans="1:28" ht="16">
      <c r="A177" s="222"/>
      <c r="B177" s="222"/>
      <c r="C177" s="222"/>
      <c r="D177" s="222"/>
      <c r="E177" s="222"/>
      <c r="F177" s="222"/>
      <c r="G177" s="222"/>
      <c r="H177" s="222"/>
      <c r="I177" s="222"/>
      <c r="J177" s="222"/>
      <c r="K177" s="222"/>
      <c r="L177" s="223"/>
      <c r="M177" s="222"/>
      <c r="N177" s="222"/>
      <c r="O177" s="222"/>
      <c r="P177" s="222"/>
      <c r="Q177" s="222"/>
      <c r="R177" s="222"/>
      <c r="S177" s="222"/>
      <c r="T177" s="222"/>
      <c r="U177" s="222"/>
      <c r="V177" s="222"/>
      <c r="W177" s="222"/>
      <c r="X177" s="222"/>
      <c r="Y177" s="222"/>
      <c r="Z177" s="222"/>
      <c r="AA177" s="222"/>
      <c r="AB177" s="222"/>
    </row>
    <row r="178" spans="1:28" ht="16">
      <c r="A178" s="222"/>
      <c r="B178" s="222"/>
      <c r="C178" s="222"/>
      <c r="D178" s="222"/>
      <c r="E178" s="222"/>
      <c r="F178" s="222"/>
      <c r="G178" s="222"/>
      <c r="H178" s="222"/>
      <c r="I178" s="222"/>
      <c r="J178" s="222"/>
      <c r="K178" s="222"/>
      <c r="L178" s="223"/>
      <c r="M178" s="222"/>
      <c r="N178" s="222"/>
      <c r="O178" s="222"/>
      <c r="P178" s="222"/>
      <c r="Q178" s="222"/>
      <c r="R178" s="222"/>
      <c r="S178" s="222"/>
      <c r="T178" s="222"/>
      <c r="U178" s="222"/>
      <c r="V178" s="222"/>
      <c r="W178" s="222"/>
      <c r="X178" s="222"/>
      <c r="Y178" s="222"/>
      <c r="Z178" s="222"/>
      <c r="AA178" s="222"/>
      <c r="AB178" s="222"/>
    </row>
    <row r="179" spans="1:28" ht="16">
      <c r="A179" s="222"/>
      <c r="B179" s="222"/>
      <c r="C179" s="222"/>
      <c r="D179" s="222"/>
      <c r="E179" s="222"/>
      <c r="F179" s="222"/>
      <c r="G179" s="222"/>
      <c r="H179" s="222"/>
      <c r="I179" s="222"/>
      <c r="J179" s="222"/>
      <c r="K179" s="222"/>
      <c r="L179" s="223"/>
      <c r="M179" s="222"/>
      <c r="N179" s="222"/>
      <c r="O179" s="222"/>
      <c r="P179" s="222"/>
      <c r="Q179" s="222"/>
      <c r="R179" s="222"/>
      <c r="S179" s="222"/>
      <c r="T179" s="222"/>
      <c r="U179" s="222"/>
      <c r="V179" s="222"/>
      <c r="W179" s="222"/>
      <c r="X179" s="222"/>
      <c r="Y179" s="222"/>
      <c r="Z179" s="222"/>
      <c r="AA179" s="222"/>
      <c r="AB179" s="222"/>
    </row>
    <row r="180" spans="1:28" ht="16">
      <c r="A180" s="222"/>
      <c r="B180" s="222"/>
      <c r="C180" s="222"/>
      <c r="D180" s="222"/>
      <c r="E180" s="222"/>
      <c r="F180" s="222"/>
      <c r="G180" s="222"/>
      <c r="H180" s="222"/>
      <c r="I180" s="222"/>
      <c r="J180" s="222"/>
      <c r="K180" s="222"/>
      <c r="L180" s="223"/>
      <c r="M180" s="222"/>
      <c r="N180" s="222"/>
      <c r="O180" s="222"/>
      <c r="P180" s="222"/>
      <c r="Q180" s="222"/>
      <c r="R180" s="222"/>
      <c r="S180" s="222"/>
      <c r="T180" s="222"/>
      <c r="U180" s="222"/>
      <c r="V180" s="222"/>
      <c r="W180" s="222"/>
      <c r="X180" s="222"/>
      <c r="Y180" s="222"/>
      <c r="Z180" s="222"/>
      <c r="AA180" s="222"/>
      <c r="AB180" s="222"/>
    </row>
    <row r="181" spans="1:28" ht="16">
      <c r="A181" s="222"/>
      <c r="B181" s="222"/>
      <c r="C181" s="222"/>
      <c r="D181" s="222"/>
      <c r="E181" s="222"/>
      <c r="F181" s="222"/>
      <c r="G181" s="222"/>
      <c r="H181" s="222"/>
      <c r="I181" s="222"/>
      <c r="J181" s="222"/>
      <c r="K181" s="222"/>
      <c r="L181" s="223"/>
      <c r="M181" s="222"/>
      <c r="N181" s="222"/>
      <c r="O181" s="222"/>
      <c r="P181" s="222"/>
      <c r="Q181" s="222"/>
      <c r="R181" s="222"/>
      <c r="S181" s="222"/>
      <c r="T181" s="222"/>
      <c r="U181" s="222"/>
      <c r="V181" s="222"/>
      <c r="W181" s="222"/>
      <c r="X181" s="222"/>
      <c r="Y181" s="222"/>
      <c r="Z181" s="222"/>
      <c r="AA181" s="222"/>
      <c r="AB181" s="222"/>
    </row>
    <row r="182" spans="1:28" ht="16">
      <c r="A182" s="222"/>
      <c r="B182" s="222"/>
      <c r="C182" s="222"/>
      <c r="D182" s="222"/>
      <c r="E182" s="222"/>
      <c r="F182" s="222"/>
      <c r="G182" s="222"/>
      <c r="H182" s="222"/>
      <c r="I182" s="222"/>
      <c r="J182" s="222"/>
      <c r="K182" s="222"/>
      <c r="L182" s="223"/>
      <c r="M182" s="222"/>
      <c r="N182" s="222"/>
      <c r="O182" s="222"/>
      <c r="P182" s="222"/>
      <c r="Q182" s="222"/>
      <c r="R182" s="222"/>
      <c r="S182" s="222"/>
      <c r="T182" s="222"/>
      <c r="U182" s="222"/>
      <c r="V182" s="222"/>
      <c r="W182" s="222"/>
      <c r="X182" s="222"/>
      <c r="Y182" s="222"/>
      <c r="Z182" s="222"/>
      <c r="AA182" s="222"/>
      <c r="AB182" s="222"/>
    </row>
    <row r="183" spans="1:28" ht="16">
      <c r="A183" s="222"/>
      <c r="B183" s="222"/>
      <c r="C183" s="222"/>
      <c r="D183" s="222"/>
      <c r="E183" s="222"/>
      <c r="F183" s="222"/>
      <c r="G183" s="222"/>
      <c r="H183" s="222"/>
      <c r="I183" s="222"/>
      <c r="J183" s="222"/>
      <c r="K183" s="222"/>
      <c r="L183" s="223"/>
      <c r="M183" s="222"/>
      <c r="N183" s="222"/>
      <c r="O183" s="222"/>
      <c r="P183" s="222"/>
      <c r="Q183" s="222"/>
      <c r="R183" s="222"/>
      <c r="S183" s="222"/>
      <c r="T183" s="222"/>
      <c r="U183" s="222"/>
      <c r="V183" s="222"/>
      <c r="W183" s="222"/>
      <c r="X183" s="222"/>
      <c r="Y183" s="222"/>
      <c r="Z183" s="222"/>
      <c r="AA183" s="222"/>
      <c r="AB183" s="222"/>
    </row>
    <row r="184" spans="1:28" ht="16">
      <c r="A184" s="222"/>
      <c r="B184" s="222"/>
      <c r="C184" s="222"/>
      <c r="D184" s="222"/>
      <c r="E184" s="222"/>
      <c r="F184" s="222"/>
      <c r="G184" s="222"/>
      <c r="H184" s="222"/>
      <c r="I184" s="222"/>
      <c r="J184" s="222"/>
      <c r="K184" s="222"/>
      <c r="L184" s="223"/>
      <c r="M184" s="222"/>
      <c r="N184" s="222"/>
      <c r="O184" s="222"/>
      <c r="P184" s="222"/>
      <c r="Q184" s="222"/>
      <c r="R184" s="222"/>
      <c r="S184" s="222"/>
      <c r="T184" s="222"/>
      <c r="U184" s="222"/>
      <c r="V184" s="222"/>
      <c r="W184" s="222"/>
      <c r="X184" s="222"/>
      <c r="Y184" s="222"/>
      <c r="Z184" s="222"/>
      <c r="AA184" s="222"/>
      <c r="AB184" s="222"/>
    </row>
    <row r="185" spans="1:28" ht="16">
      <c r="A185" s="222"/>
      <c r="B185" s="222"/>
      <c r="C185" s="222"/>
      <c r="D185" s="222"/>
      <c r="E185" s="222"/>
      <c r="F185" s="222"/>
      <c r="G185" s="222"/>
      <c r="H185" s="222"/>
      <c r="I185" s="222"/>
      <c r="J185" s="222"/>
      <c r="K185" s="222"/>
      <c r="L185" s="223"/>
      <c r="M185" s="222"/>
      <c r="N185" s="222"/>
      <c r="O185" s="222"/>
      <c r="P185" s="222"/>
      <c r="Q185" s="222"/>
      <c r="R185" s="222"/>
      <c r="S185" s="222"/>
      <c r="T185" s="222"/>
      <c r="U185" s="222"/>
      <c r="V185" s="222"/>
      <c r="W185" s="222"/>
      <c r="X185" s="222"/>
      <c r="Y185" s="222"/>
      <c r="Z185" s="222"/>
      <c r="AA185" s="222"/>
      <c r="AB185" s="222"/>
    </row>
    <row r="186" spans="1:28" ht="16">
      <c r="A186" s="222"/>
      <c r="B186" s="222"/>
      <c r="C186" s="222"/>
      <c r="D186" s="222"/>
      <c r="E186" s="222"/>
      <c r="F186" s="222"/>
      <c r="G186" s="222"/>
      <c r="H186" s="222"/>
      <c r="I186" s="222"/>
      <c r="J186" s="222"/>
      <c r="K186" s="222"/>
      <c r="L186" s="223"/>
      <c r="M186" s="222"/>
      <c r="N186" s="222"/>
      <c r="O186" s="222"/>
      <c r="P186" s="222"/>
      <c r="Q186" s="222"/>
      <c r="R186" s="222"/>
      <c r="S186" s="222"/>
      <c r="T186" s="222"/>
      <c r="U186" s="222"/>
      <c r="V186" s="222"/>
      <c r="W186" s="222"/>
      <c r="X186" s="222"/>
      <c r="Y186" s="222"/>
      <c r="Z186" s="222"/>
      <c r="AA186" s="222"/>
      <c r="AB186" s="222"/>
    </row>
    <row r="187" spans="1:28" ht="16">
      <c r="A187" s="222"/>
      <c r="B187" s="222"/>
      <c r="C187" s="222"/>
      <c r="D187" s="222"/>
      <c r="E187" s="222"/>
      <c r="F187" s="222"/>
      <c r="G187" s="222"/>
      <c r="H187" s="222"/>
      <c r="I187" s="222"/>
      <c r="J187" s="222"/>
      <c r="K187" s="222"/>
      <c r="L187" s="223"/>
      <c r="M187" s="222"/>
      <c r="N187" s="222"/>
      <c r="O187" s="222"/>
      <c r="P187" s="222"/>
      <c r="Q187" s="222"/>
      <c r="R187" s="222"/>
      <c r="S187" s="222"/>
      <c r="T187" s="222"/>
      <c r="U187" s="222"/>
      <c r="V187" s="222"/>
      <c r="W187" s="222"/>
      <c r="X187" s="222"/>
      <c r="Y187" s="222"/>
      <c r="Z187" s="222"/>
      <c r="AA187" s="222"/>
      <c r="AB187" s="222"/>
    </row>
    <row r="188" spans="1:28" ht="16">
      <c r="A188" s="222"/>
      <c r="B188" s="222"/>
      <c r="C188" s="222"/>
      <c r="D188" s="222"/>
      <c r="E188" s="222"/>
      <c r="F188" s="222"/>
      <c r="G188" s="222"/>
      <c r="H188" s="222"/>
      <c r="I188" s="222"/>
      <c r="J188" s="222"/>
      <c r="K188" s="222"/>
      <c r="L188" s="223"/>
      <c r="M188" s="222"/>
      <c r="N188" s="222"/>
      <c r="O188" s="222"/>
      <c r="P188" s="222"/>
      <c r="Q188" s="222"/>
      <c r="R188" s="222"/>
      <c r="S188" s="222"/>
      <c r="T188" s="222"/>
      <c r="U188" s="222"/>
      <c r="V188" s="222"/>
      <c r="W188" s="222"/>
      <c r="X188" s="222"/>
      <c r="Y188" s="222"/>
      <c r="Z188" s="222"/>
      <c r="AA188" s="222"/>
      <c r="AB188" s="222"/>
    </row>
    <row r="189" spans="1:28" ht="16">
      <c r="A189" s="222"/>
      <c r="B189" s="222"/>
      <c r="C189" s="222"/>
      <c r="D189" s="222"/>
      <c r="E189" s="222"/>
      <c r="F189" s="222"/>
      <c r="G189" s="222"/>
      <c r="H189" s="222"/>
      <c r="I189" s="222"/>
      <c r="J189" s="222"/>
      <c r="K189" s="222"/>
      <c r="L189" s="223"/>
      <c r="M189" s="222"/>
      <c r="N189" s="222"/>
      <c r="O189" s="222"/>
      <c r="P189" s="222"/>
      <c r="Q189" s="222"/>
      <c r="R189" s="222"/>
      <c r="S189" s="222"/>
      <c r="T189" s="222"/>
      <c r="U189" s="222"/>
      <c r="V189" s="222"/>
      <c r="W189" s="222"/>
      <c r="X189" s="222"/>
      <c r="Y189" s="222"/>
      <c r="Z189" s="222"/>
      <c r="AA189" s="222"/>
      <c r="AB189" s="222"/>
    </row>
    <row r="190" spans="1:28" ht="16">
      <c r="A190" s="222"/>
      <c r="B190" s="222"/>
      <c r="C190" s="222"/>
      <c r="D190" s="222"/>
      <c r="E190" s="222"/>
      <c r="F190" s="222"/>
      <c r="G190" s="222"/>
      <c r="H190" s="222"/>
      <c r="I190" s="222"/>
      <c r="J190" s="222"/>
      <c r="K190" s="222"/>
      <c r="L190" s="223"/>
      <c r="M190" s="222"/>
      <c r="N190" s="222"/>
      <c r="O190" s="222"/>
      <c r="P190" s="222"/>
      <c r="Q190" s="222"/>
      <c r="R190" s="222"/>
      <c r="S190" s="222"/>
      <c r="T190" s="222"/>
      <c r="U190" s="222"/>
      <c r="V190" s="222"/>
      <c r="W190" s="222"/>
      <c r="X190" s="222"/>
      <c r="Y190" s="222"/>
      <c r="Z190" s="222"/>
      <c r="AA190" s="222"/>
      <c r="AB190" s="222"/>
    </row>
    <row r="191" spans="1:28" ht="16">
      <c r="A191" s="222"/>
      <c r="B191" s="222"/>
      <c r="C191" s="222"/>
      <c r="D191" s="222"/>
      <c r="E191" s="222"/>
      <c r="F191" s="222"/>
      <c r="G191" s="222"/>
      <c r="H191" s="222"/>
      <c r="I191" s="222"/>
      <c r="J191" s="222"/>
      <c r="K191" s="222"/>
      <c r="L191" s="223"/>
      <c r="M191" s="222"/>
      <c r="N191" s="222"/>
      <c r="O191" s="222"/>
      <c r="P191" s="222"/>
      <c r="Q191" s="222"/>
      <c r="R191" s="222"/>
      <c r="S191" s="222"/>
      <c r="T191" s="222"/>
      <c r="U191" s="222"/>
      <c r="V191" s="222"/>
      <c r="W191" s="222"/>
      <c r="X191" s="222"/>
      <c r="Y191" s="222"/>
      <c r="Z191" s="222"/>
      <c r="AA191" s="222"/>
      <c r="AB191" s="222"/>
    </row>
    <row r="192" spans="1:28" ht="16">
      <c r="A192" s="222"/>
      <c r="B192" s="222"/>
      <c r="C192" s="222"/>
      <c r="D192" s="222"/>
      <c r="E192" s="222"/>
      <c r="F192" s="222"/>
      <c r="G192" s="222"/>
      <c r="H192" s="222"/>
      <c r="I192" s="222"/>
      <c r="J192" s="222"/>
      <c r="K192" s="222"/>
      <c r="L192" s="223"/>
      <c r="M192" s="222"/>
      <c r="N192" s="222"/>
      <c r="O192" s="222"/>
      <c r="P192" s="222"/>
      <c r="Q192" s="222"/>
      <c r="R192" s="222"/>
      <c r="S192" s="222"/>
      <c r="T192" s="222"/>
      <c r="U192" s="222"/>
      <c r="V192" s="222"/>
      <c r="W192" s="222"/>
      <c r="X192" s="222"/>
      <c r="Y192" s="222"/>
      <c r="Z192" s="222"/>
      <c r="AA192" s="222"/>
      <c r="AB192" s="222"/>
    </row>
    <row r="193" spans="1:28" ht="16">
      <c r="A193" s="222"/>
      <c r="B193" s="222"/>
      <c r="C193" s="222"/>
      <c r="D193" s="222"/>
      <c r="E193" s="222"/>
      <c r="F193" s="222"/>
      <c r="G193" s="222"/>
      <c r="H193" s="222"/>
      <c r="I193" s="222"/>
      <c r="J193" s="222"/>
      <c r="K193" s="222"/>
      <c r="L193" s="223"/>
      <c r="M193" s="222"/>
      <c r="N193" s="222"/>
      <c r="O193" s="222"/>
      <c r="P193" s="222"/>
      <c r="Q193" s="222"/>
      <c r="R193" s="222"/>
      <c r="S193" s="222"/>
      <c r="T193" s="222"/>
      <c r="U193" s="222"/>
      <c r="V193" s="222"/>
      <c r="W193" s="222"/>
      <c r="X193" s="222"/>
      <c r="Y193" s="222"/>
      <c r="Z193" s="222"/>
      <c r="AA193" s="222"/>
      <c r="AB193" s="222"/>
    </row>
    <row r="194" spans="1:28" ht="16">
      <c r="A194" s="222"/>
      <c r="B194" s="222"/>
      <c r="C194" s="222"/>
      <c r="D194" s="222"/>
      <c r="E194" s="222"/>
      <c r="F194" s="222"/>
      <c r="G194" s="222"/>
      <c r="H194" s="222"/>
      <c r="I194" s="222"/>
      <c r="J194" s="222"/>
      <c r="K194" s="222"/>
      <c r="L194" s="223"/>
      <c r="M194" s="222"/>
      <c r="N194" s="222"/>
      <c r="O194" s="222"/>
      <c r="P194" s="222"/>
      <c r="Q194" s="222"/>
      <c r="R194" s="222"/>
      <c r="S194" s="222"/>
      <c r="T194" s="222"/>
      <c r="U194" s="222"/>
      <c r="V194" s="222"/>
      <c r="W194" s="222"/>
      <c r="X194" s="222"/>
      <c r="Y194" s="222"/>
      <c r="Z194" s="222"/>
      <c r="AA194" s="222"/>
      <c r="AB194" s="222"/>
    </row>
    <row r="195" spans="1:28" ht="16">
      <c r="A195" s="222"/>
      <c r="B195" s="222"/>
      <c r="C195" s="222"/>
      <c r="D195" s="222"/>
      <c r="E195" s="222"/>
      <c r="F195" s="222"/>
      <c r="G195" s="222"/>
      <c r="H195" s="222"/>
      <c r="I195" s="222"/>
      <c r="J195" s="222"/>
      <c r="K195" s="222"/>
      <c r="L195" s="223"/>
      <c r="M195" s="222"/>
      <c r="N195" s="222"/>
      <c r="O195" s="222"/>
      <c r="P195" s="222"/>
      <c r="Q195" s="222"/>
      <c r="R195" s="222"/>
      <c r="S195" s="222"/>
      <c r="T195" s="222"/>
      <c r="U195" s="222"/>
      <c r="V195" s="222"/>
      <c r="W195" s="222"/>
      <c r="X195" s="222"/>
      <c r="Y195" s="222"/>
      <c r="Z195" s="222"/>
      <c r="AA195" s="222"/>
      <c r="AB195" s="222"/>
    </row>
    <row r="196" spans="1:28" ht="16">
      <c r="A196" s="222"/>
      <c r="B196" s="222"/>
      <c r="C196" s="222"/>
      <c r="D196" s="222"/>
      <c r="E196" s="222"/>
      <c r="F196" s="222"/>
      <c r="G196" s="222"/>
      <c r="H196" s="222"/>
      <c r="I196" s="222"/>
      <c r="J196" s="222"/>
      <c r="K196" s="222"/>
      <c r="L196" s="223"/>
      <c r="M196" s="222"/>
      <c r="N196" s="222"/>
      <c r="O196" s="222"/>
      <c r="P196" s="222"/>
      <c r="Q196" s="222"/>
      <c r="R196" s="222"/>
      <c r="S196" s="222"/>
      <c r="T196" s="222"/>
      <c r="U196" s="222"/>
      <c r="V196" s="222"/>
      <c r="W196" s="222"/>
      <c r="X196" s="222"/>
      <c r="Y196" s="222"/>
      <c r="Z196" s="222"/>
      <c r="AA196" s="222"/>
      <c r="AB196" s="222"/>
    </row>
    <row r="197" spans="1:28" ht="16">
      <c r="A197" s="222"/>
      <c r="B197" s="222"/>
      <c r="C197" s="222"/>
      <c r="D197" s="222"/>
      <c r="E197" s="222"/>
      <c r="F197" s="222"/>
      <c r="G197" s="222"/>
      <c r="H197" s="222"/>
      <c r="I197" s="222"/>
      <c r="J197" s="222"/>
      <c r="K197" s="222"/>
      <c r="L197" s="223"/>
      <c r="M197" s="222"/>
      <c r="N197" s="222"/>
      <c r="O197" s="222"/>
      <c r="P197" s="222"/>
      <c r="Q197" s="222"/>
      <c r="R197" s="222"/>
      <c r="S197" s="222"/>
      <c r="T197" s="222"/>
      <c r="U197" s="222"/>
      <c r="V197" s="222"/>
      <c r="W197" s="222"/>
      <c r="X197" s="222"/>
      <c r="Y197" s="222"/>
      <c r="Z197" s="222"/>
      <c r="AA197" s="222"/>
      <c r="AB197" s="222"/>
    </row>
    <row r="198" spans="1:28" ht="16">
      <c r="A198" s="222"/>
      <c r="B198" s="222"/>
      <c r="C198" s="222"/>
      <c r="D198" s="222"/>
      <c r="E198" s="222"/>
      <c r="F198" s="222"/>
      <c r="G198" s="222"/>
      <c r="H198" s="222"/>
      <c r="I198" s="222"/>
      <c r="J198" s="222"/>
      <c r="K198" s="222"/>
      <c r="L198" s="223"/>
      <c r="M198" s="222"/>
      <c r="N198" s="222"/>
      <c r="O198" s="222"/>
      <c r="P198" s="222"/>
      <c r="Q198" s="222"/>
      <c r="R198" s="222"/>
      <c r="S198" s="222"/>
      <c r="T198" s="222"/>
      <c r="U198" s="222"/>
      <c r="V198" s="222"/>
      <c r="W198" s="222"/>
      <c r="X198" s="222"/>
      <c r="Y198" s="222"/>
      <c r="Z198" s="222"/>
      <c r="AA198" s="222"/>
      <c r="AB198" s="222"/>
    </row>
    <row r="199" spans="1:28" ht="16">
      <c r="A199" s="222"/>
      <c r="B199" s="222"/>
      <c r="C199" s="222"/>
      <c r="D199" s="222"/>
      <c r="E199" s="222"/>
      <c r="F199" s="222"/>
      <c r="G199" s="222"/>
      <c r="H199" s="222"/>
      <c r="I199" s="222"/>
      <c r="J199" s="222"/>
      <c r="K199" s="222"/>
      <c r="L199" s="223"/>
      <c r="M199" s="222"/>
      <c r="N199" s="222"/>
      <c r="O199" s="222"/>
      <c r="P199" s="222"/>
      <c r="Q199" s="222"/>
      <c r="R199" s="222"/>
      <c r="S199" s="222"/>
      <c r="T199" s="222"/>
      <c r="U199" s="222"/>
      <c r="V199" s="222"/>
      <c r="W199" s="222"/>
      <c r="X199" s="222"/>
      <c r="Y199" s="222"/>
      <c r="Z199" s="222"/>
      <c r="AA199" s="222"/>
      <c r="AB199" s="222"/>
    </row>
    <row r="200" spans="1:28" ht="16">
      <c r="A200" s="222"/>
      <c r="B200" s="222"/>
      <c r="C200" s="222"/>
      <c r="D200" s="222"/>
      <c r="E200" s="222"/>
      <c r="F200" s="222"/>
      <c r="G200" s="222"/>
      <c r="H200" s="222"/>
      <c r="I200" s="222"/>
      <c r="J200" s="222"/>
      <c r="K200" s="222"/>
      <c r="L200" s="223"/>
      <c r="M200" s="222"/>
      <c r="N200" s="222"/>
      <c r="O200" s="222"/>
      <c r="P200" s="222"/>
      <c r="Q200" s="222"/>
      <c r="R200" s="222"/>
      <c r="S200" s="222"/>
      <c r="T200" s="222"/>
      <c r="U200" s="222"/>
      <c r="V200" s="222"/>
      <c r="W200" s="222"/>
      <c r="X200" s="222"/>
      <c r="Y200" s="222"/>
      <c r="Z200" s="222"/>
      <c r="AA200" s="222"/>
      <c r="AB200" s="222"/>
    </row>
    <row r="201" spans="1:28" ht="16">
      <c r="A201" s="222"/>
      <c r="B201" s="222"/>
      <c r="C201" s="222"/>
      <c r="D201" s="222"/>
      <c r="E201" s="222"/>
      <c r="F201" s="222"/>
      <c r="G201" s="222"/>
      <c r="H201" s="222"/>
      <c r="I201" s="222"/>
      <c r="J201" s="222"/>
      <c r="K201" s="222"/>
      <c r="L201" s="223"/>
      <c r="M201" s="222"/>
      <c r="N201" s="222"/>
      <c r="O201" s="222"/>
      <c r="P201" s="222"/>
      <c r="Q201" s="222"/>
      <c r="R201" s="222"/>
      <c r="S201" s="222"/>
      <c r="T201" s="222"/>
      <c r="U201" s="222"/>
      <c r="V201" s="222"/>
      <c r="W201" s="222"/>
      <c r="X201" s="222"/>
      <c r="Y201" s="222"/>
      <c r="Z201" s="222"/>
      <c r="AA201" s="222"/>
      <c r="AB201" s="222"/>
    </row>
    <row r="202" spans="1:28" ht="16">
      <c r="A202" s="222"/>
      <c r="B202" s="222"/>
      <c r="C202" s="222"/>
      <c r="D202" s="222"/>
      <c r="E202" s="222"/>
      <c r="F202" s="222"/>
      <c r="G202" s="222"/>
      <c r="H202" s="222"/>
      <c r="I202" s="222"/>
      <c r="J202" s="222"/>
      <c r="K202" s="222"/>
      <c r="L202" s="223"/>
      <c r="M202" s="222"/>
      <c r="N202" s="222"/>
      <c r="O202" s="222"/>
      <c r="P202" s="222"/>
      <c r="Q202" s="222"/>
      <c r="R202" s="222"/>
      <c r="S202" s="222"/>
      <c r="T202" s="222"/>
      <c r="U202" s="222"/>
      <c r="V202" s="222"/>
      <c r="W202" s="222"/>
      <c r="X202" s="222"/>
      <c r="Y202" s="222"/>
      <c r="Z202" s="222"/>
      <c r="AA202" s="222"/>
      <c r="AB202" s="222"/>
    </row>
    <row r="203" spans="1:28" ht="16">
      <c r="A203" s="222"/>
      <c r="B203" s="222"/>
      <c r="C203" s="222"/>
      <c r="D203" s="222"/>
      <c r="E203" s="222"/>
      <c r="F203" s="222"/>
      <c r="G203" s="222"/>
      <c r="H203" s="222"/>
      <c r="I203" s="222"/>
      <c r="J203" s="222"/>
      <c r="K203" s="222"/>
      <c r="L203" s="223"/>
      <c r="M203" s="222"/>
      <c r="N203" s="222"/>
      <c r="O203" s="222"/>
      <c r="P203" s="222"/>
      <c r="Q203" s="222"/>
      <c r="R203" s="222"/>
      <c r="S203" s="222"/>
      <c r="T203" s="222"/>
      <c r="U203" s="222"/>
      <c r="V203" s="222"/>
      <c r="W203" s="222"/>
      <c r="X203" s="222"/>
      <c r="Y203" s="222"/>
      <c r="Z203" s="222"/>
      <c r="AA203" s="222"/>
      <c r="AB203" s="222"/>
    </row>
    <row r="204" spans="1:28" ht="16">
      <c r="A204" s="222"/>
      <c r="B204" s="222"/>
      <c r="C204" s="222"/>
      <c r="D204" s="222"/>
      <c r="E204" s="222"/>
      <c r="F204" s="222"/>
      <c r="G204" s="222"/>
      <c r="H204" s="222"/>
      <c r="I204" s="222"/>
      <c r="J204" s="222"/>
      <c r="K204" s="222"/>
      <c r="L204" s="223"/>
      <c r="M204" s="222"/>
      <c r="N204" s="222"/>
      <c r="O204" s="222"/>
      <c r="P204" s="222"/>
      <c r="Q204" s="222"/>
      <c r="R204" s="222"/>
      <c r="S204" s="222"/>
      <c r="T204" s="222"/>
      <c r="U204" s="222"/>
      <c r="V204" s="222"/>
      <c r="W204" s="222"/>
      <c r="X204" s="222"/>
      <c r="Y204" s="222"/>
      <c r="Z204" s="222"/>
      <c r="AA204" s="222"/>
      <c r="AB204" s="222"/>
    </row>
    <row r="205" spans="1:28" ht="16">
      <c r="A205" s="222"/>
      <c r="B205" s="222"/>
      <c r="C205" s="222"/>
      <c r="D205" s="222"/>
      <c r="E205" s="222"/>
      <c r="F205" s="222"/>
      <c r="G205" s="222"/>
      <c r="H205" s="222"/>
      <c r="I205" s="222"/>
      <c r="J205" s="222"/>
      <c r="K205" s="222"/>
      <c r="L205" s="223"/>
      <c r="M205" s="222"/>
      <c r="N205" s="222"/>
      <c r="O205" s="222"/>
      <c r="P205" s="222"/>
      <c r="Q205" s="222"/>
      <c r="R205" s="222"/>
      <c r="S205" s="222"/>
      <c r="T205" s="222"/>
      <c r="U205" s="222"/>
      <c r="V205" s="222"/>
      <c r="W205" s="222"/>
      <c r="X205" s="222"/>
      <c r="Y205" s="222"/>
      <c r="Z205" s="222"/>
      <c r="AA205" s="222"/>
      <c r="AB205" s="222"/>
    </row>
    <row r="206" spans="1:28" ht="16">
      <c r="A206" s="222"/>
      <c r="B206" s="222"/>
      <c r="C206" s="222"/>
      <c r="D206" s="222"/>
      <c r="E206" s="222"/>
      <c r="F206" s="222"/>
      <c r="G206" s="222"/>
      <c r="H206" s="222"/>
      <c r="I206" s="222"/>
      <c r="J206" s="222"/>
      <c r="K206" s="222"/>
      <c r="L206" s="223"/>
      <c r="M206" s="222"/>
      <c r="N206" s="222"/>
      <c r="O206" s="222"/>
      <c r="P206" s="222"/>
      <c r="Q206" s="222"/>
      <c r="R206" s="222"/>
      <c r="S206" s="222"/>
      <c r="T206" s="222"/>
      <c r="U206" s="222"/>
      <c r="V206" s="222"/>
      <c r="W206" s="222"/>
      <c r="X206" s="222"/>
      <c r="Y206" s="222"/>
      <c r="Z206" s="222"/>
      <c r="AA206" s="222"/>
      <c r="AB206" s="222"/>
    </row>
    <row r="207" spans="1:28" ht="16">
      <c r="A207" s="222"/>
      <c r="B207" s="222"/>
      <c r="C207" s="222"/>
      <c r="D207" s="222"/>
      <c r="E207" s="222"/>
      <c r="F207" s="222"/>
      <c r="G207" s="222"/>
      <c r="H207" s="222"/>
      <c r="I207" s="222"/>
      <c r="J207" s="222"/>
      <c r="K207" s="222"/>
      <c r="L207" s="223"/>
      <c r="M207" s="222"/>
      <c r="N207" s="222"/>
      <c r="O207" s="222"/>
      <c r="P207" s="222"/>
      <c r="Q207" s="222"/>
      <c r="R207" s="222"/>
      <c r="S207" s="222"/>
      <c r="T207" s="222"/>
      <c r="U207" s="222"/>
      <c r="V207" s="222"/>
      <c r="W207" s="222"/>
      <c r="X207" s="222"/>
      <c r="Y207" s="222"/>
      <c r="Z207" s="222"/>
      <c r="AA207" s="222"/>
      <c r="AB207" s="222"/>
    </row>
    <row r="208" spans="1:28" ht="16">
      <c r="A208" s="222"/>
      <c r="B208" s="222"/>
      <c r="C208" s="222"/>
      <c r="D208" s="222"/>
      <c r="E208" s="222"/>
      <c r="F208" s="222"/>
      <c r="G208" s="222"/>
      <c r="H208" s="222"/>
      <c r="I208" s="222"/>
      <c r="J208" s="222"/>
      <c r="K208" s="222"/>
      <c r="L208" s="223"/>
      <c r="M208" s="222"/>
      <c r="N208" s="222"/>
      <c r="O208" s="222"/>
      <c r="P208" s="222"/>
      <c r="Q208" s="222"/>
      <c r="R208" s="222"/>
      <c r="S208" s="222"/>
      <c r="T208" s="222"/>
      <c r="U208" s="222"/>
      <c r="V208" s="222"/>
      <c r="W208" s="222"/>
      <c r="X208" s="222"/>
      <c r="Y208" s="222"/>
      <c r="Z208" s="222"/>
      <c r="AA208" s="222"/>
      <c r="AB208" s="222"/>
    </row>
    <row r="209" spans="1:28" ht="16">
      <c r="A209" s="222"/>
      <c r="B209" s="222"/>
      <c r="C209" s="222"/>
      <c r="D209" s="222"/>
      <c r="E209" s="222"/>
      <c r="F209" s="222"/>
      <c r="G209" s="222"/>
      <c r="H209" s="222"/>
      <c r="I209" s="222"/>
      <c r="J209" s="222"/>
      <c r="K209" s="222"/>
      <c r="L209" s="223"/>
      <c r="M209" s="222"/>
      <c r="N209" s="222"/>
      <c r="O209" s="222"/>
      <c r="P209" s="222"/>
      <c r="Q209" s="222"/>
      <c r="R209" s="222"/>
      <c r="S209" s="222"/>
      <c r="T209" s="222"/>
      <c r="U209" s="222"/>
      <c r="V209" s="222"/>
      <c r="W209" s="222"/>
      <c r="X209" s="222"/>
      <c r="Y209" s="222"/>
      <c r="Z209" s="222"/>
      <c r="AA209" s="222"/>
      <c r="AB209" s="222"/>
    </row>
    <row r="210" spans="1:28" ht="16">
      <c r="A210" s="222"/>
      <c r="B210" s="222"/>
      <c r="C210" s="222"/>
      <c r="D210" s="222"/>
      <c r="E210" s="222"/>
      <c r="F210" s="222"/>
      <c r="G210" s="222"/>
      <c r="H210" s="222"/>
      <c r="I210" s="222"/>
      <c r="J210" s="222"/>
      <c r="K210" s="222"/>
      <c r="L210" s="223"/>
      <c r="M210" s="222"/>
      <c r="N210" s="222"/>
      <c r="O210" s="222"/>
      <c r="P210" s="222"/>
      <c r="Q210" s="222"/>
      <c r="R210" s="222"/>
      <c r="S210" s="222"/>
      <c r="T210" s="222"/>
      <c r="U210" s="222"/>
      <c r="V210" s="222"/>
      <c r="W210" s="222"/>
      <c r="X210" s="222"/>
      <c r="Y210" s="222"/>
      <c r="Z210" s="222"/>
      <c r="AA210" s="222"/>
      <c r="AB210" s="222"/>
    </row>
    <row r="211" spans="1:28" ht="16">
      <c r="A211" s="222"/>
      <c r="B211" s="222"/>
      <c r="C211" s="222"/>
      <c r="D211" s="222"/>
      <c r="E211" s="222"/>
      <c r="F211" s="222"/>
      <c r="G211" s="222"/>
      <c r="H211" s="222"/>
      <c r="I211" s="222"/>
      <c r="J211" s="222"/>
      <c r="K211" s="222"/>
      <c r="L211" s="223"/>
      <c r="M211" s="222"/>
      <c r="N211" s="222"/>
      <c r="O211" s="222"/>
      <c r="P211" s="222"/>
      <c r="Q211" s="222"/>
      <c r="R211" s="222"/>
      <c r="S211" s="222"/>
      <c r="T211" s="222"/>
      <c r="U211" s="222"/>
      <c r="V211" s="222"/>
      <c r="W211" s="222"/>
      <c r="X211" s="222"/>
      <c r="Y211" s="222"/>
      <c r="Z211" s="222"/>
      <c r="AA211" s="222"/>
      <c r="AB211" s="222"/>
    </row>
    <row r="212" spans="1:28" ht="16">
      <c r="A212" s="222"/>
      <c r="B212" s="222"/>
      <c r="C212" s="222"/>
      <c r="D212" s="222"/>
      <c r="E212" s="222"/>
      <c r="F212" s="222"/>
      <c r="G212" s="222"/>
      <c r="H212" s="222"/>
      <c r="I212" s="222"/>
      <c r="J212" s="222"/>
      <c r="K212" s="222"/>
      <c r="L212" s="223"/>
      <c r="M212" s="222"/>
      <c r="N212" s="222"/>
      <c r="O212" s="222"/>
      <c r="P212" s="222"/>
      <c r="Q212" s="222"/>
      <c r="R212" s="222"/>
      <c r="S212" s="222"/>
      <c r="T212" s="222"/>
      <c r="U212" s="222"/>
      <c r="V212" s="222"/>
      <c r="W212" s="222"/>
      <c r="X212" s="222"/>
      <c r="Y212" s="222"/>
      <c r="Z212" s="222"/>
      <c r="AA212" s="222"/>
      <c r="AB212" s="222"/>
    </row>
    <row r="213" spans="1:28" ht="16">
      <c r="A213" s="222"/>
      <c r="B213" s="222"/>
      <c r="C213" s="222"/>
      <c r="D213" s="222"/>
      <c r="E213" s="222"/>
      <c r="F213" s="222"/>
      <c r="G213" s="222"/>
      <c r="H213" s="222"/>
      <c r="I213" s="222"/>
      <c r="J213" s="222"/>
      <c r="K213" s="222"/>
      <c r="L213" s="223"/>
      <c r="M213" s="222"/>
      <c r="N213" s="222"/>
      <c r="O213" s="222"/>
      <c r="P213" s="222"/>
      <c r="Q213" s="222"/>
      <c r="R213" s="222"/>
      <c r="S213" s="222"/>
      <c r="T213" s="222"/>
      <c r="U213" s="222"/>
      <c r="V213" s="222"/>
      <c r="W213" s="222"/>
      <c r="X213" s="222"/>
      <c r="Y213" s="222"/>
      <c r="Z213" s="222"/>
      <c r="AA213" s="222"/>
      <c r="AB213" s="222"/>
    </row>
    <row r="214" spans="1:28" ht="16">
      <c r="A214" s="222"/>
      <c r="B214" s="222"/>
      <c r="C214" s="222"/>
      <c r="D214" s="222"/>
      <c r="E214" s="222"/>
      <c r="F214" s="222"/>
      <c r="G214" s="222"/>
      <c r="H214" s="222"/>
      <c r="I214" s="222"/>
      <c r="J214" s="222"/>
      <c r="K214" s="222"/>
      <c r="L214" s="223"/>
      <c r="M214" s="222"/>
      <c r="N214" s="222"/>
      <c r="O214" s="222"/>
      <c r="P214" s="222"/>
      <c r="Q214" s="222"/>
      <c r="R214" s="222"/>
      <c r="S214" s="222"/>
      <c r="T214" s="222"/>
      <c r="U214" s="222"/>
      <c r="V214" s="222"/>
      <c r="W214" s="222"/>
      <c r="X214" s="222"/>
      <c r="Y214" s="222"/>
      <c r="Z214" s="222"/>
      <c r="AA214" s="222"/>
      <c r="AB214" s="222"/>
    </row>
    <row r="215" spans="1:28" ht="16">
      <c r="A215" s="222"/>
      <c r="B215" s="222"/>
      <c r="C215" s="222"/>
      <c r="D215" s="222"/>
      <c r="E215" s="222"/>
      <c r="F215" s="222"/>
      <c r="G215" s="222"/>
      <c r="H215" s="222"/>
      <c r="I215" s="222"/>
      <c r="J215" s="222"/>
      <c r="K215" s="222"/>
      <c r="L215" s="223"/>
      <c r="M215" s="222"/>
      <c r="N215" s="222"/>
      <c r="O215" s="222"/>
      <c r="P215" s="222"/>
      <c r="Q215" s="222"/>
      <c r="R215" s="222"/>
      <c r="S215" s="222"/>
      <c r="T215" s="222"/>
      <c r="U215" s="222"/>
      <c r="V215" s="222"/>
      <c r="W215" s="222"/>
      <c r="X215" s="222"/>
      <c r="Y215" s="222"/>
      <c r="Z215" s="222"/>
      <c r="AA215" s="222"/>
      <c r="AB215" s="222"/>
    </row>
    <row r="216" spans="1:28" ht="16">
      <c r="A216" s="222"/>
      <c r="B216" s="222"/>
      <c r="C216" s="222"/>
      <c r="D216" s="222"/>
      <c r="E216" s="222"/>
      <c r="F216" s="222"/>
      <c r="G216" s="222"/>
      <c r="H216" s="222"/>
      <c r="I216" s="222"/>
      <c r="J216" s="222"/>
      <c r="K216" s="222"/>
      <c r="L216" s="223"/>
      <c r="M216" s="222"/>
      <c r="N216" s="222"/>
      <c r="O216" s="222"/>
      <c r="P216" s="222"/>
      <c r="Q216" s="222"/>
      <c r="R216" s="222"/>
      <c r="S216" s="222"/>
      <c r="T216" s="222"/>
      <c r="U216" s="222"/>
      <c r="V216" s="222"/>
      <c r="W216" s="222"/>
      <c r="X216" s="222"/>
      <c r="Y216" s="222"/>
      <c r="Z216" s="222"/>
      <c r="AA216" s="222"/>
      <c r="AB216" s="222"/>
    </row>
    <row r="217" spans="1:28" ht="16">
      <c r="A217" s="222"/>
      <c r="B217" s="222"/>
      <c r="C217" s="222"/>
      <c r="D217" s="222"/>
      <c r="E217" s="222"/>
      <c r="F217" s="222"/>
      <c r="G217" s="222"/>
      <c r="H217" s="222"/>
      <c r="I217" s="222"/>
      <c r="J217" s="222"/>
      <c r="K217" s="222"/>
      <c r="L217" s="223"/>
      <c r="M217" s="222"/>
      <c r="N217" s="222"/>
      <c r="O217" s="222"/>
      <c r="P217" s="222"/>
      <c r="Q217" s="222"/>
      <c r="R217" s="222"/>
      <c r="S217" s="222"/>
      <c r="T217" s="222"/>
      <c r="U217" s="222"/>
      <c r="V217" s="222"/>
      <c r="W217" s="222"/>
      <c r="X217" s="222"/>
      <c r="Y217" s="222"/>
      <c r="Z217" s="222"/>
      <c r="AA217" s="222"/>
      <c r="AB217" s="222"/>
    </row>
    <row r="218" spans="1:28" ht="16">
      <c r="A218" s="222"/>
      <c r="B218" s="222"/>
      <c r="C218" s="222"/>
      <c r="D218" s="222"/>
      <c r="E218" s="222"/>
      <c r="F218" s="222"/>
      <c r="G218" s="222"/>
      <c r="H218" s="222"/>
      <c r="I218" s="222"/>
      <c r="J218" s="222"/>
      <c r="K218" s="222"/>
      <c r="L218" s="223"/>
      <c r="M218" s="222"/>
      <c r="N218" s="222"/>
      <c r="O218" s="222"/>
      <c r="P218" s="222"/>
      <c r="Q218" s="222"/>
      <c r="R218" s="222"/>
      <c r="S218" s="222"/>
      <c r="T218" s="222"/>
      <c r="U218" s="222"/>
      <c r="V218" s="222"/>
      <c r="W218" s="222"/>
      <c r="X218" s="222"/>
      <c r="Y218" s="222"/>
      <c r="Z218" s="222"/>
      <c r="AA218" s="222"/>
      <c r="AB218" s="222"/>
    </row>
    <row r="219" spans="1:28" ht="16">
      <c r="A219" s="222"/>
      <c r="B219" s="222"/>
      <c r="C219" s="222"/>
      <c r="D219" s="222"/>
      <c r="E219" s="222"/>
      <c r="F219" s="222"/>
      <c r="G219" s="222"/>
      <c r="H219" s="222"/>
      <c r="I219" s="222"/>
      <c r="J219" s="222"/>
      <c r="K219" s="222"/>
      <c r="L219" s="223"/>
      <c r="M219" s="222"/>
      <c r="N219" s="222"/>
      <c r="O219" s="222"/>
      <c r="P219" s="222"/>
      <c r="Q219" s="222"/>
      <c r="R219" s="222"/>
      <c r="S219" s="222"/>
      <c r="T219" s="222"/>
      <c r="U219" s="222"/>
      <c r="V219" s="222"/>
      <c r="W219" s="222"/>
      <c r="X219" s="222"/>
      <c r="Y219" s="222"/>
      <c r="Z219" s="222"/>
      <c r="AA219" s="222"/>
      <c r="AB219" s="222"/>
    </row>
    <row r="220" spans="1:28" ht="16">
      <c r="A220" s="222"/>
      <c r="B220" s="222"/>
      <c r="C220" s="222"/>
      <c r="D220" s="222"/>
      <c r="E220" s="222"/>
      <c r="F220" s="222"/>
      <c r="G220" s="222"/>
      <c r="H220" s="222"/>
      <c r="I220" s="222"/>
      <c r="J220" s="222"/>
      <c r="K220" s="222"/>
      <c r="L220" s="223"/>
      <c r="M220" s="222"/>
      <c r="N220" s="222"/>
      <c r="O220" s="222"/>
      <c r="P220" s="222"/>
      <c r="Q220" s="222"/>
      <c r="R220" s="222"/>
      <c r="S220" s="222"/>
      <c r="T220" s="222"/>
      <c r="U220" s="222"/>
      <c r="V220" s="222"/>
      <c r="W220" s="222"/>
      <c r="X220" s="222"/>
      <c r="Y220" s="222"/>
      <c r="Z220" s="222"/>
      <c r="AA220" s="222"/>
      <c r="AB220" s="222"/>
    </row>
    <row r="221" spans="1:28" ht="16">
      <c r="A221" s="222"/>
      <c r="B221" s="222"/>
      <c r="C221" s="222"/>
      <c r="D221" s="222"/>
      <c r="E221" s="222"/>
      <c r="F221" s="222"/>
      <c r="G221" s="222"/>
      <c r="H221" s="222"/>
      <c r="I221" s="222"/>
      <c r="J221" s="222"/>
      <c r="K221" s="222"/>
      <c r="L221" s="223"/>
      <c r="M221" s="222"/>
      <c r="N221" s="222"/>
      <c r="O221" s="222"/>
      <c r="P221" s="222"/>
      <c r="Q221" s="222"/>
      <c r="R221" s="222"/>
      <c r="S221" s="222"/>
      <c r="T221" s="222"/>
      <c r="U221" s="222"/>
      <c r="V221" s="222"/>
      <c r="W221" s="222"/>
      <c r="X221" s="222"/>
      <c r="Y221" s="222"/>
      <c r="Z221" s="222"/>
      <c r="AA221" s="222"/>
      <c r="AB221" s="222"/>
    </row>
    <row r="222" spans="1:28" ht="16">
      <c r="A222" s="222"/>
      <c r="B222" s="222"/>
      <c r="C222" s="222"/>
      <c r="D222" s="222"/>
      <c r="E222" s="222"/>
      <c r="F222" s="222"/>
      <c r="G222" s="222"/>
      <c r="H222" s="222"/>
      <c r="I222" s="222"/>
      <c r="J222" s="222"/>
      <c r="K222" s="222"/>
      <c r="L222" s="223"/>
      <c r="M222" s="222"/>
      <c r="N222" s="222"/>
      <c r="O222" s="222"/>
      <c r="P222" s="222"/>
      <c r="Q222" s="222"/>
      <c r="R222" s="222"/>
      <c r="S222" s="222"/>
      <c r="T222" s="222"/>
      <c r="U222" s="222"/>
      <c r="V222" s="222"/>
      <c r="W222" s="222"/>
      <c r="X222" s="222"/>
      <c r="Y222" s="222"/>
      <c r="Z222" s="222"/>
      <c r="AA222" s="222"/>
      <c r="AB222" s="222"/>
    </row>
    <row r="223" spans="1:28" ht="16">
      <c r="A223" s="222"/>
      <c r="B223" s="222"/>
      <c r="C223" s="222"/>
      <c r="D223" s="222"/>
      <c r="E223" s="222"/>
      <c r="F223" s="222"/>
      <c r="G223" s="222"/>
      <c r="H223" s="222"/>
      <c r="I223" s="222"/>
      <c r="J223" s="222"/>
      <c r="K223" s="222"/>
      <c r="L223" s="223"/>
      <c r="M223" s="222"/>
      <c r="N223" s="222"/>
      <c r="O223" s="222"/>
      <c r="P223" s="222"/>
      <c r="Q223" s="222"/>
      <c r="R223" s="222"/>
      <c r="S223" s="222"/>
      <c r="T223" s="222"/>
      <c r="U223" s="222"/>
      <c r="V223" s="222"/>
      <c r="W223" s="222"/>
      <c r="X223" s="222"/>
      <c r="Y223" s="222"/>
      <c r="Z223" s="222"/>
      <c r="AA223" s="222"/>
      <c r="AB223" s="222"/>
    </row>
    <row r="224" spans="1:28" ht="16">
      <c r="A224" s="222"/>
      <c r="B224" s="222"/>
      <c r="C224" s="222"/>
      <c r="D224" s="222"/>
      <c r="E224" s="222"/>
      <c r="F224" s="222"/>
      <c r="G224" s="222"/>
      <c r="H224" s="222"/>
      <c r="I224" s="222"/>
      <c r="J224" s="222"/>
      <c r="K224" s="222"/>
      <c r="L224" s="223"/>
      <c r="M224" s="222"/>
      <c r="N224" s="222"/>
      <c r="O224" s="222"/>
      <c r="P224" s="222"/>
      <c r="Q224" s="222"/>
      <c r="R224" s="222"/>
      <c r="S224" s="222"/>
      <c r="T224" s="222"/>
      <c r="U224" s="222"/>
      <c r="V224" s="222"/>
      <c r="W224" s="222"/>
      <c r="X224" s="222"/>
      <c r="Y224" s="222"/>
      <c r="Z224" s="222"/>
      <c r="AA224" s="222"/>
      <c r="AB224" s="222"/>
    </row>
    <row r="225" spans="1:28" ht="16">
      <c r="A225" s="222"/>
      <c r="B225" s="222"/>
      <c r="C225" s="222"/>
      <c r="D225" s="222"/>
      <c r="E225" s="222"/>
      <c r="F225" s="222"/>
      <c r="G225" s="222"/>
      <c r="H225" s="222"/>
      <c r="I225" s="222"/>
      <c r="J225" s="222"/>
      <c r="K225" s="222"/>
      <c r="L225" s="223"/>
      <c r="M225" s="222"/>
      <c r="N225" s="222"/>
      <c r="O225" s="222"/>
      <c r="P225" s="222"/>
      <c r="Q225" s="222"/>
      <c r="R225" s="222"/>
      <c r="S225" s="222"/>
      <c r="T225" s="222"/>
      <c r="U225" s="222"/>
      <c r="V225" s="222"/>
      <c r="W225" s="222"/>
      <c r="X225" s="222"/>
      <c r="Y225" s="222"/>
      <c r="Z225" s="222"/>
      <c r="AA225" s="222"/>
      <c r="AB225" s="222"/>
    </row>
    <row r="226" spans="1:28" ht="16">
      <c r="A226" s="222"/>
      <c r="B226" s="222"/>
      <c r="C226" s="222"/>
      <c r="D226" s="222"/>
      <c r="E226" s="222"/>
      <c r="F226" s="222"/>
      <c r="G226" s="222"/>
      <c r="H226" s="222"/>
      <c r="I226" s="222"/>
      <c r="J226" s="222"/>
      <c r="K226" s="222"/>
      <c r="L226" s="223"/>
      <c r="M226" s="222"/>
      <c r="N226" s="222"/>
      <c r="O226" s="222"/>
      <c r="P226" s="222"/>
      <c r="Q226" s="222"/>
      <c r="R226" s="222"/>
      <c r="S226" s="222"/>
      <c r="T226" s="222"/>
      <c r="U226" s="222"/>
      <c r="V226" s="222"/>
      <c r="W226" s="222"/>
      <c r="X226" s="222"/>
      <c r="Y226" s="222"/>
      <c r="Z226" s="222"/>
      <c r="AA226" s="222"/>
      <c r="AB226" s="222"/>
    </row>
    <row r="227" spans="1:28" ht="16">
      <c r="A227" s="222"/>
      <c r="B227" s="222"/>
      <c r="C227" s="222"/>
      <c r="D227" s="222"/>
      <c r="E227" s="222"/>
      <c r="F227" s="222"/>
      <c r="G227" s="222"/>
      <c r="H227" s="222"/>
      <c r="I227" s="222"/>
      <c r="J227" s="222"/>
      <c r="K227" s="222"/>
      <c r="L227" s="223"/>
      <c r="M227" s="222"/>
      <c r="N227" s="222"/>
      <c r="O227" s="222"/>
      <c r="P227" s="222"/>
      <c r="Q227" s="222"/>
      <c r="R227" s="222"/>
      <c r="S227" s="222"/>
      <c r="T227" s="222"/>
      <c r="U227" s="222"/>
      <c r="V227" s="222"/>
      <c r="W227" s="222"/>
      <c r="X227" s="222"/>
      <c r="Y227" s="222"/>
      <c r="Z227" s="222"/>
      <c r="AA227" s="222"/>
      <c r="AB227" s="222"/>
    </row>
    <row r="228" spans="1:28" ht="16">
      <c r="A228" s="222"/>
      <c r="B228" s="222"/>
      <c r="C228" s="222"/>
      <c r="D228" s="222"/>
      <c r="E228" s="222"/>
      <c r="F228" s="222"/>
      <c r="G228" s="222"/>
      <c r="H228" s="222"/>
      <c r="I228" s="222"/>
      <c r="J228" s="222"/>
      <c r="K228" s="222"/>
      <c r="L228" s="223"/>
      <c r="M228" s="222"/>
      <c r="N228" s="222"/>
      <c r="O228" s="222"/>
      <c r="P228" s="222"/>
      <c r="Q228" s="222"/>
      <c r="R228" s="222"/>
      <c r="S228" s="222"/>
      <c r="T228" s="222"/>
      <c r="U228" s="222"/>
      <c r="V228" s="222"/>
      <c r="W228" s="222"/>
      <c r="X228" s="222"/>
      <c r="Y228" s="222"/>
      <c r="Z228" s="222"/>
      <c r="AA228" s="222"/>
      <c r="AB228" s="222"/>
    </row>
    <row r="229" spans="1:28" ht="16">
      <c r="A229" s="222"/>
      <c r="B229" s="222"/>
      <c r="C229" s="222"/>
      <c r="D229" s="222"/>
      <c r="E229" s="222"/>
      <c r="F229" s="222"/>
      <c r="G229" s="222"/>
      <c r="H229" s="222"/>
      <c r="I229" s="222"/>
      <c r="J229" s="222"/>
      <c r="K229" s="222"/>
      <c r="L229" s="223"/>
      <c r="M229" s="222"/>
      <c r="N229" s="222"/>
      <c r="O229" s="222"/>
      <c r="P229" s="222"/>
      <c r="Q229" s="222"/>
      <c r="R229" s="222"/>
      <c r="S229" s="222"/>
      <c r="T229" s="222"/>
      <c r="U229" s="222"/>
      <c r="V229" s="222"/>
      <c r="W229" s="222"/>
      <c r="X229" s="222"/>
      <c r="Y229" s="222"/>
      <c r="Z229" s="222"/>
      <c r="AA229" s="222"/>
      <c r="AB229" s="222"/>
    </row>
    <row r="230" spans="1:28" ht="16">
      <c r="A230" s="222"/>
      <c r="B230" s="222"/>
      <c r="C230" s="222"/>
      <c r="D230" s="222"/>
      <c r="E230" s="222"/>
      <c r="F230" s="222"/>
      <c r="G230" s="222"/>
      <c r="H230" s="222"/>
      <c r="I230" s="222"/>
      <c r="J230" s="222"/>
      <c r="K230" s="222"/>
      <c r="L230" s="223"/>
      <c r="M230" s="222"/>
      <c r="N230" s="222"/>
      <c r="O230" s="222"/>
      <c r="P230" s="222"/>
      <c r="Q230" s="222"/>
      <c r="R230" s="222"/>
      <c r="S230" s="222"/>
      <c r="T230" s="222"/>
      <c r="U230" s="222"/>
      <c r="V230" s="222"/>
      <c r="W230" s="222"/>
      <c r="X230" s="222"/>
      <c r="Y230" s="222"/>
      <c r="Z230" s="222"/>
      <c r="AA230" s="222"/>
      <c r="AB230" s="222"/>
    </row>
    <row r="231" spans="1:28" ht="16">
      <c r="A231" s="222"/>
      <c r="B231" s="222"/>
      <c r="C231" s="222"/>
      <c r="D231" s="222"/>
      <c r="E231" s="222"/>
      <c r="F231" s="222"/>
      <c r="G231" s="222"/>
      <c r="H231" s="222"/>
      <c r="I231" s="222"/>
      <c r="J231" s="222"/>
      <c r="K231" s="222"/>
      <c r="L231" s="223"/>
      <c r="M231" s="222"/>
      <c r="N231" s="222"/>
      <c r="O231" s="222"/>
      <c r="P231" s="222"/>
      <c r="Q231" s="222"/>
      <c r="R231" s="222"/>
      <c r="S231" s="222"/>
      <c r="T231" s="222"/>
      <c r="U231" s="222"/>
      <c r="V231" s="222"/>
      <c r="W231" s="222"/>
      <c r="X231" s="222"/>
      <c r="Y231" s="222"/>
      <c r="Z231" s="222"/>
      <c r="AA231" s="222"/>
      <c r="AB231" s="222"/>
    </row>
    <row r="232" spans="1:28" ht="16">
      <c r="A232" s="222"/>
      <c r="B232" s="222"/>
      <c r="C232" s="222"/>
      <c r="D232" s="222"/>
      <c r="E232" s="222"/>
      <c r="F232" s="222"/>
      <c r="G232" s="222"/>
      <c r="H232" s="222"/>
      <c r="I232" s="222"/>
      <c r="J232" s="222"/>
      <c r="K232" s="222"/>
      <c r="L232" s="223"/>
      <c r="M232" s="222"/>
      <c r="N232" s="222"/>
      <c r="O232" s="222"/>
      <c r="P232" s="222"/>
      <c r="Q232" s="222"/>
      <c r="R232" s="222"/>
      <c r="S232" s="222"/>
      <c r="T232" s="222"/>
      <c r="U232" s="222"/>
      <c r="V232" s="222"/>
      <c r="W232" s="222"/>
      <c r="X232" s="222"/>
      <c r="Y232" s="222"/>
      <c r="Z232" s="222"/>
      <c r="AA232" s="222"/>
      <c r="AB232" s="222"/>
    </row>
    <row r="233" spans="1:28" ht="16">
      <c r="A233" s="222"/>
      <c r="B233" s="222"/>
      <c r="C233" s="222"/>
      <c r="D233" s="222"/>
      <c r="E233" s="222"/>
      <c r="F233" s="222"/>
      <c r="G233" s="222"/>
      <c r="H233" s="222"/>
      <c r="I233" s="222"/>
      <c r="J233" s="222"/>
      <c r="K233" s="222"/>
      <c r="L233" s="223"/>
      <c r="M233" s="222"/>
      <c r="N233" s="222"/>
      <c r="O233" s="222"/>
      <c r="P233" s="222"/>
      <c r="Q233" s="222"/>
      <c r="R233" s="222"/>
      <c r="S233" s="222"/>
      <c r="T233" s="222"/>
      <c r="U233" s="222"/>
      <c r="V233" s="222"/>
      <c r="W233" s="222"/>
      <c r="X233" s="222"/>
      <c r="Y233" s="222"/>
      <c r="Z233" s="222"/>
      <c r="AA233" s="222"/>
      <c r="AB233" s="222"/>
    </row>
    <row r="234" spans="1:28" ht="16">
      <c r="A234" s="222"/>
      <c r="B234" s="222"/>
      <c r="C234" s="222"/>
      <c r="D234" s="222"/>
      <c r="E234" s="222"/>
      <c r="F234" s="222"/>
      <c r="G234" s="222"/>
      <c r="H234" s="222"/>
      <c r="I234" s="222"/>
      <c r="J234" s="222"/>
      <c r="K234" s="222"/>
      <c r="L234" s="223"/>
      <c r="M234" s="222"/>
      <c r="N234" s="222"/>
      <c r="O234" s="222"/>
      <c r="P234" s="222"/>
      <c r="Q234" s="222"/>
      <c r="R234" s="222"/>
      <c r="S234" s="222"/>
      <c r="T234" s="222"/>
      <c r="U234" s="222"/>
      <c r="V234" s="222"/>
      <c r="W234" s="222"/>
      <c r="X234" s="222"/>
      <c r="Y234" s="222"/>
      <c r="Z234" s="222"/>
      <c r="AA234" s="222"/>
      <c r="AB234" s="222"/>
    </row>
    <row r="235" spans="1:28" ht="16">
      <c r="A235" s="222"/>
      <c r="B235" s="222"/>
      <c r="C235" s="222"/>
      <c r="D235" s="222"/>
      <c r="E235" s="222"/>
      <c r="F235" s="222"/>
      <c r="G235" s="222"/>
      <c r="H235" s="222"/>
      <c r="I235" s="222"/>
      <c r="J235" s="222"/>
      <c r="K235" s="222"/>
      <c r="L235" s="223"/>
      <c r="M235" s="222"/>
      <c r="N235" s="222"/>
      <c r="O235" s="222"/>
      <c r="P235" s="222"/>
      <c r="Q235" s="222"/>
      <c r="R235" s="222"/>
      <c r="S235" s="222"/>
      <c r="T235" s="222"/>
      <c r="U235" s="222"/>
      <c r="V235" s="222"/>
      <c r="W235" s="222"/>
      <c r="X235" s="222"/>
      <c r="Y235" s="222"/>
      <c r="Z235" s="222"/>
      <c r="AA235" s="222"/>
      <c r="AB235" s="222"/>
    </row>
    <row r="236" spans="1:28" ht="16">
      <c r="A236" s="222"/>
      <c r="B236" s="222"/>
      <c r="C236" s="222"/>
      <c r="D236" s="222"/>
      <c r="E236" s="222"/>
      <c r="F236" s="222"/>
      <c r="G236" s="222"/>
      <c r="H236" s="222"/>
      <c r="I236" s="222"/>
      <c r="J236" s="222"/>
      <c r="K236" s="222"/>
      <c r="L236" s="223"/>
      <c r="M236" s="222"/>
      <c r="N236" s="222"/>
      <c r="O236" s="222"/>
      <c r="P236" s="222"/>
      <c r="Q236" s="222"/>
      <c r="R236" s="222"/>
      <c r="S236" s="222"/>
      <c r="T236" s="222"/>
      <c r="U236" s="222"/>
      <c r="V236" s="222"/>
      <c r="W236" s="222"/>
      <c r="X236" s="222"/>
      <c r="Y236" s="222"/>
      <c r="Z236" s="222"/>
      <c r="AA236" s="222"/>
      <c r="AB236" s="222"/>
    </row>
    <row r="237" spans="1:28" ht="16">
      <c r="A237" s="222"/>
      <c r="B237" s="222"/>
      <c r="C237" s="222"/>
      <c r="D237" s="222"/>
      <c r="E237" s="222"/>
      <c r="F237" s="222"/>
      <c r="G237" s="222"/>
      <c r="H237" s="222"/>
      <c r="I237" s="222"/>
      <c r="J237" s="222"/>
      <c r="K237" s="222"/>
      <c r="L237" s="223"/>
      <c r="M237" s="222"/>
      <c r="N237" s="222"/>
      <c r="O237" s="222"/>
      <c r="P237" s="222"/>
      <c r="Q237" s="222"/>
      <c r="R237" s="222"/>
      <c r="S237" s="222"/>
      <c r="T237" s="222"/>
      <c r="U237" s="222"/>
      <c r="V237" s="222"/>
      <c r="W237" s="222"/>
      <c r="X237" s="222"/>
      <c r="Y237" s="222"/>
      <c r="Z237" s="222"/>
      <c r="AA237" s="222"/>
      <c r="AB237" s="222"/>
    </row>
    <row r="238" spans="1:28" ht="16">
      <c r="A238" s="222"/>
      <c r="B238" s="222"/>
      <c r="C238" s="222"/>
      <c r="D238" s="222"/>
      <c r="E238" s="222"/>
      <c r="F238" s="222"/>
      <c r="G238" s="222"/>
      <c r="H238" s="222"/>
      <c r="I238" s="222"/>
      <c r="J238" s="222"/>
      <c r="K238" s="222"/>
      <c r="L238" s="223"/>
      <c r="M238" s="222"/>
      <c r="N238" s="222"/>
      <c r="O238" s="222"/>
      <c r="P238" s="222"/>
      <c r="Q238" s="222"/>
      <c r="R238" s="222"/>
      <c r="S238" s="222"/>
      <c r="T238" s="222"/>
      <c r="U238" s="222"/>
      <c r="V238" s="222"/>
      <c r="W238" s="222"/>
      <c r="X238" s="222"/>
      <c r="Y238" s="222"/>
      <c r="Z238" s="222"/>
      <c r="AA238" s="222"/>
      <c r="AB238" s="222"/>
    </row>
    <row r="239" spans="1:28" ht="16">
      <c r="A239" s="222"/>
      <c r="B239" s="222"/>
      <c r="C239" s="222"/>
      <c r="D239" s="222"/>
      <c r="E239" s="222"/>
      <c r="F239" s="222"/>
      <c r="G239" s="222"/>
      <c r="H239" s="222"/>
      <c r="I239" s="222"/>
      <c r="J239" s="222"/>
      <c r="K239" s="222"/>
      <c r="L239" s="223"/>
      <c r="M239" s="222"/>
      <c r="N239" s="222"/>
      <c r="O239" s="222"/>
      <c r="P239" s="222"/>
      <c r="Q239" s="222"/>
      <c r="R239" s="222"/>
      <c r="S239" s="222"/>
      <c r="T239" s="222"/>
      <c r="U239" s="222"/>
      <c r="V239" s="222"/>
      <c r="W239" s="222"/>
      <c r="X239" s="222"/>
      <c r="Y239" s="222"/>
      <c r="Z239" s="222"/>
      <c r="AA239" s="222"/>
      <c r="AB239" s="222"/>
    </row>
    <row r="240" spans="1:28" ht="16">
      <c r="A240" s="222"/>
      <c r="B240" s="222"/>
      <c r="C240" s="222"/>
      <c r="D240" s="222"/>
      <c r="E240" s="222"/>
      <c r="F240" s="222"/>
      <c r="G240" s="222"/>
      <c r="H240" s="222"/>
      <c r="I240" s="222"/>
      <c r="J240" s="222"/>
      <c r="K240" s="222"/>
      <c r="L240" s="223"/>
      <c r="M240" s="222"/>
      <c r="N240" s="222"/>
      <c r="O240" s="222"/>
      <c r="P240" s="222"/>
      <c r="Q240" s="222"/>
      <c r="R240" s="222"/>
      <c r="S240" s="222"/>
      <c r="T240" s="222"/>
      <c r="U240" s="222"/>
      <c r="V240" s="222"/>
      <c r="W240" s="222"/>
      <c r="X240" s="222"/>
      <c r="Y240" s="222"/>
      <c r="Z240" s="222"/>
      <c r="AA240" s="222"/>
      <c r="AB240" s="222"/>
    </row>
    <row r="241" spans="1:28" ht="16">
      <c r="A241" s="222"/>
      <c r="B241" s="222"/>
      <c r="C241" s="222"/>
      <c r="D241" s="222"/>
      <c r="E241" s="222"/>
      <c r="F241" s="222"/>
      <c r="G241" s="222"/>
      <c r="H241" s="222"/>
      <c r="I241" s="222"/>
      <c r="J241" s="222"/>
      <c r="K241" s="222"/>
      <c r="L241" s="223"/>
      <c r="M241" s="222"/>
      <c r="N241" s="222"/>
      <c r="O241" s="222"/>
      <c r="P241" s="222"/>
      <c r="Q241" s="222"/>
      <c r="R241" s="222"/>
      <c r="S241" s="222"/>
      <c r="T241" s="222"/>
      <c r="U241" s="222"/>
      <c r="V241" s="222"/>
      <c r="W241" s="222"/>
      <c r="X241" s="222"/>
      <c r="Y241" s="222"/>
      <c r="Z241" s="222"/>
      <c r="AA241" s="222"/>
      <c r="AB241" s="222"/>
    </row>
    <row r="242" spans="1:28" ht="16">
      <c r="A242" s="222"/>
      <c r="B242" s="222"/>
      <c r="C242" s="222"/>
      <c r="D242" s="222"/>
      <c r="E242" s="222"/>
      <c r="F242" s="222"/>
      <c r="G242" s="222"/>
      <c r="H242" s="222"/>
      <c r="I242" s="222"/>
      <c r="J242" s="222"/>
      <c r="K242" s="222"/>
      <c r="L242" s="223"/>
      <c r="M242" s="222"/>
      <c r="N242" s="222"/>
      <c r="O242" s="222"/>
      <c r="P242" s="222"/>
      <c r="Q242" s="222"/>
      <c r="R242" s="222"/>
      <c r="S242" s="222"/>
      <c r="T242" s="222"/>
      <c r="U242" s="222"/>
      <c r="V242" s="222"/>
      <c r="W242" s="222"/>
      <c r="X242" s="222"/>
      <c r="Y242" s="222"/>
      <c r="Z242" s="222"/>
      <c r="AA242" s="222"/>
      <c r="AB242" s="222"/>
    </row>
    <row r="243" spans="1:28" ht="16">
      <c r="A243" s="222"/>
      <c r="B243" s="222"/>
      <c r="C243" s="222"/>
      <c r="D243" s="222"/>
      <c r="E243" s="222"/>
      <c r="F243" s="222"/>
      <c r="G243" s="222"/>
      <c r="H243" s="222"/>
      <c r="I243" s="222"/>
      <c r="J243" s="222"/>
      <c r="K243" s="222"/>
      <c r="L243" s="223"/>
      <c r="M243" s="222"/>
      <c r="N243" s="222"/>
      <c r="O243" s="222"/>
      <c r="P243" s="222"/>
      <c r="Q243" s="222"/>
      <c r="R243" s="222"/>
      <c r="S243" s="222"/>
      <c r="T243" s="222"/>
      <c r="U243" s="222"/>
      <c r="V243" s="222"/>
      <c r="W243" s="222"/>
      <c r="X243" s="222"/>
      <c r="Y243" s="222"/>
      <c r="Z243" s="222"/>
      <c r="AA243" s="222"/>
      <c r="AB243" s="222"/>
    </row>
    <row r="244" spans="1:28" ht="16">
      <c r="A244" s="222"/>
      <c r="B244" s="222"/>
      <c r="C244" s="222"/>
      <c r="D244" s="222"/>
      <c r="E244" s="222"/>
      <c r="F244" s="222"/>
      <c r="G244" s="222"/>
      <c r="H244" s="222"/>
      <c r="I244" s="222"/>
      <c r="J244" s="222"/>
      <c r="K244" s="222"/>
      <c r="L244" s="223"/>
      <c r="M244" s="222"/>
      <c r="N244" s="222"/>
      <c r="O244" s="222"/>
      <c r="P244" s="222"/>
      <c r="Q244" s="222"/>
      <c r="R244" s="222"/>
      <c r="S244" s="222"/>
      <c r="T244" s="222"/>
      <c r="U244" s="222"/>
      <c r="V244" s="222"/>
      <c r="W244" s="222"/>
      <c r="X244" s="222"/>
      <c r="Y244" s="222"/>
      <c r="Z244" s="222"/>
      <c r="AA244" s="222"/>
      <c r="AB244" s="222"/>
    </row>
    <row r="245" spans="1:28" ht="16">
      <c r="A245" s="222"/>
      <c r="B245" s="222"/>
      <c r="C245" s="222"/>
      <c r="D245" s="222"/>
      <c r="E245" s="222"/>
      <c r="F245" s="222"/>
      <c r="G245" s="222"/>
      <c r="H245" s="222"/>
      <c r="I245" s="222"/>
      <c r="J245" s="222"/>
      <c r="K245" s="222"/>
      <c r="L245" s="223"/>
      <c r="M245" s="222"/>
      <c r="N245" s="222"/>
      <c r="O245" s="222"/>
      <c r="P245" s="222"/>
      <c r="Q245" s="222"/>
      <c r="R245" s="222"/>
      <c r="S245" s="222"/>
      <c r="T245" s="222"/>
      <c r="U245" s="222"/>
      <c r="V245" s="222"/>
      <c r="W245" s="222"/>
      <c r="X245" s="222"/>
      <c r="Y245" s="222"/>
      <c r="Z245" s="222"/>
      <c r="AA245" s="222"/>
      <c r="AB245" s="222"/>
    </row>
    <row r="246" spans="1:28" ht="16">
      <c r="A246" s="222"/>
      <c r="B246" s="222"/>
      <c r="C246" s="222"/>
      <c r="D246" s="222"/>
      <c r="E246" s="222"/>
      <c r="F246" s="222"/>
      <c r="G246" s="222"/>
      <c r="H246" s="222"/>
      <c r="I246" s="222"/>
      <c r="J246" s="222"/>
      <c r="K246" s="222"/>
      <c r="L246" s="223"/>
      <c r="M246" s="222"/>
      <c r="N246" s="222"/>
      <c r="O246" s="222"/>
      <c r="P246" s="222"/>
      <c r="Q246" s="222"/>
      <c r="R246" s="222"/>
      <c r="S246" s="222"/>
      <c r="T246" s="222"/>
      <c r="U246" s="222"/>
      <c r="V246" s="222"/>
      <c r="W246" s="222"/>
      <c r="X246" s="222"/>
      <c r="Y246" s="222"/>
      <c r="Z246" s="222"/>
      <c r="AA246" s="222"/>
      <c r="AB246" s="222"/>
    </row>
    <row r="247" spans="1:28" ht="16">
      <c r="A247" s="222"/>
      <c r="B247" s="222"/>
      <c r="C247" s="222"/>
      <c r="D247" s="222"/>
      <c r="E247" s="222"/>
      <c r="F247" s="222"/>
      <c r="G247" s="222"/>
      <c r="H247" s="222"/>
      <c r="I247" s="222"/>
      <c r="J247" s="222"/>
      <c r="K247" s="222"/>
      <c r="L247" s="223"/>
      <c r="M247" s="222"/>
      <c r="N247" s="222"/>
      <c r="O247" s="222"/>
      <c r="P247" s="222"/>
      <c r="Q247" s="222"/>
      <c r="R247" s="222"/>
      <c r="S247" s="222"/>
      <c r="T247" s="222"/>
      <c r="U247" s="222"/>
      <c r="V247" s="222"/>
      <c r="W247" s="222"/>
      <c r="X247" s="222"/>
      <c r="Y247" s="222"/>
      <c r="Z247" s="222"/>
      <c r="AA247" s="222"/>
      <c r="AB247" s="222"/>
    </row>
    <row r="248" spans="1:28" ht="16">
      <c r="A248" s="222"/>
      <c r="B248" s="222"/>
      <c r="C248" s="222"/>
      <c r="D248" s="222"/>
      <c r="E248" s="222"/>
      <c r="F248" s="222"/>
      <c r="G248" s="222"/>
      <c r="H248" s="222"/>
      <c r="I248" s="222"/>
      <c r="J248" s="222"/>
      <c r="K248" s="222"/>
      <c r="L248" s="223"/>
      <c r="M248" s="222"/>
      <c r="N248" s="222"/>
      <c r="O248" s="222"/>
      <c r="P248" s="222"/>
      <c r="Q248" s="222"/>
      <c r="R248" s="222"/>
      <c r="S248" s="222"/>
      <c r="T248" s="222"/>
      <c r="U248" s="222"/>
      <c r="V248" s="222"/>
      <c r="W248" s="222"/>
      <c r="X248" s="222"/>
      <c r="Y248" s="222"/>
      <c r="Z248" s="222"/>
      <c r="AA248" s="222"/>
      <c r="AB248" s="222"/>
    </row>
    <row r="249" spans="1:28" ht="16">
      <c r="A249" s="222"/>
      <c r="B249" s="222"/>
      <c r="C249" s="222"/>
      <c r="D249" s="222"/>
      <c r="E249" s="222"/>
      <c r="F249" s="222"/>
      <c r="G249" s="222"/>
      <c r="H249" s="222"/>
      <c r="I249" s="222"/>
      <c r="J249" s="222"/>
      <c r="K249" s="222"/>
      <c r="L249" s="223"/>
      <c r="M249" s="222"/>
      <c r="N249" s="222"/>
      <c r="O249" s="222"/>
      <c r="P249" s="222"/>
      <c r="Q249" s="222"/>
      <c r="R249" s="222"/>
      <c r="S249" s="222"/>
      <c r="T249" s="222"/>
      <c r="U249" s="222"/>
      <c r="V249" s="222"/>
      <c r="W249" s="222"/>
      <c r="X249" s="222"/>
      <c r="Y249" s="222"/>
      <c r="Z249" s="222"/>
      <c r="AA249" s="222"/>
      <c r="AB249" s="222"/>
    </row>
    <row r="250" spans="1:28" ht="16">
      <c r="A250" s="222"/>
      <c r="B250" s="222"/>
      <c r="C250" s="222"/>
      <c r="D250" s="222"/>
      <c r="E250" s="222"/>
      <c r="F250" s="222"/>
      <c r="G250" s="222"/>
      <c r="H250" s="222"/>
      <c r="I250" s="222"/>
      <c r="J250" s="222"/>
      <c r="K250" s="222"/>
      <c r="L250" s="223"/>
      <c r="M250" s="222"/>
      <c r="N250" s="222"/>
      <c r="O250" s="222"/>
      <c r="P250" s="222"/>
      <c r="Q250" s="222"/>
      <c r="R250" s="222"/>
      <c r="S250" s="222"/>
      <c r="T250" s="222"/>
      <c r="U250" s="222"/>
      <c r="V250" s="222"/>
      <c r="W250" s="222"/>
      <c r="X250" s="222"/>
      <c r="Y250" s="222"/>
      <c r="Z250" s="222"/>
      <c r="AA250" s="222"/>
      <c r="AB250" s="222"/>
    </row>
    <row r="251" spans="1:28" ht="16">
      <c r="A251" s="222"/>
      <c r="B251" s="222"/>
      <c r="C251" s="222"/>
      <c r="D251" s="222"/>
      <c r="E251" s="222"/>
      <c r="F251" s="222"/>
      <c r="G251" s="222"/>
      <c r="H251" s="222"/>
      <c r="I251" s="222"/>
      <c r="J251" s="222"/>
      <c r="K251" s="222"/>
      <c r="L251" s="223"/>
      <c r="M251" s="222"/>
      <c r="N251" s="222"/>
      <c r="O251" s="222"/>
      <c r="P251" s="222"/>
      <c r="Q251" s="222"/>
      <c r="R251" s="222"/>
      <c r="S251" s="222"/>
      <c r="T251" s="222"/>
      <c r="U251" s="222"/>
      <c r="V251" s="222"/>
      <c r="W251" s="222"/>
      <c r="X251" s="222"/>
      <c r="Y251" s="222"/>
      <c r="Z251" s="222"/>
      <c r="AA251" s="222"/>
      <c r="AB251" s="222"/>
    </row>
    <row r="252" spans="1:28" ht="16">
      <c r="A252" s="222"/>
      <c r="B252" s="222"/>
      <c r="C252" s="222"/>
      <c r="D252" s="222"/>
      <c r="E252" s="222"/>
      <c r="F252" s="222"/>
      <c r="G252" s="222"/>
      <c r="H252" s="222"/>
      <c r="I252" s="222"/>
      <c r="J252" s="222"/>
      <c r="K252" s="222"/>
      <c r="L252" s="223"/>
      <c r="M252" s="222"/>
      <c r="N252" s="222"/>
      <c r="O252" s="222"/>
      <c r="P252" s="222"/>
      <c r="Q252" s="222"/>
      <c r="R252" s="222"/>
      <c r="S252" s="222"/>
      <c r="T252" s="222"/>
      <c r="U252" s="222"/>
      <c r="V252" s="222"/>
      <c r="W252" s="222"/>
      <c r="X252" s="222"/>
      <c r="Y252" s="222"/>
      <c r="Z252" s="222"/>
      <c r="AA252" s="222"/>
      <c r="AB252" s="222"/>
    </row>
    <row r="253" spans="1:28" ht="16">
      <c r="A253" s="222"/>
      <c r="B253" s="222"/>
      <c r="C253" s="222"/>
      <c r="D253" s="222"/>
      <c r="E253" s="222"/>
      <c r="F253" s="222"/>
      <c r="G253" s="222"/>
      <c r="H253" s="222"/>
      <c r="I253" s="222"/>
      <c r="J253" s="222"/>
      <c r="K253" s="222"/>
      <c r="L253" s="223"/>
      <c r="M253" s="222"/>
      <c r="N253" s="222"/>
      <c r="O253" s="222"/>
      <c r="P253" s="222"/>
      <c r="Q253" s="222"/>
      <c r="R253" s="222"/>
      <c r="S253" s="222"/>
      <c r="T253" s="222"/>
      <c r="U253" s="222"/>
      <c r="V253" s="222"/>
      <c r="W253" s="222"/>
      <c r="X253" s="222"/>
      <c r="Y253" s="222"/>
      <c r="Z253" s="222"/>
      <c r="AA253" s="222"/>
      <c r="AB253" s="222"/>
    </row>
    <row r="254" spans="1:28" ht="16">
      <c r="A254" s="222"/>
      <c r="B254" s="222"/>
      <c r="C254" s="222"/>
      <c r="D254" s="222"/>
      <c r="E254" s="222"/>
      <c r="F254" s="222"/>
      <c r="G254" s="222"/>
      <c r="H254" s="222"/>
      <c r="I254" s="222"/>
      <c r="J254" s="222"/>
      <c r="K254" s="222"/>
      <c r="L254" s="223"/>
      <c r="M254" s="222"/>
      <c r="N254" s="222"/>
      <c r="O254" s="222"/>
      <c r="P254" s="222"/>
      <c r="Q254" s="222"/>
      <c r="R254" s="222"/>
      <c r="S254" s="222"/>
      <c r="T254" s="222"/>
      <c r="U254" s="222"/>
      <c r="V254" s="222"/>
      <c r="W254" s="222"/>
      <c r="X254" s="222"/>
      <c r="Y254" s="222"/>
      <c r="Z254" s="222"/>
      <c r="AA254" s="222"/>
      <c r="AB254" s="222"/>
    </row>
    <row r="255" spans="1:28" ht="16">
      <c r="A255" s="222"/>
      <c r="B255" s="222"/>
      <c r="C255" s="222"/>
      <c r="D255" s="222"/>
      <c r="E255" s="222"/>
      <c r="F255" s="222"/>
      <c r="G255" s="222"/>
      <c r="H255" s="222"/>
      <c r="I255" s="222"/>
      <c r="J255" s="222"/>
      <c r="K255" s="222"/>
      <c r="L255" s="223"/>
      <c r="M255" s="222"/>
      <c r="N255" s="222"/>
      <c r="O255" s="222"/>
      <c r="P255" s="222"/>
      <c r="Q255" s="222"/>
      <c r="R255" s="222"/>
      <c r="S255" s="222"/>
      <c r="T255" s="222"/>
      <c r="U255" s="222"/>
      <c r="V255" s="222"/>
      <c r="W255" s="222"/>
      <c r="X255" s="222"/>
      <c r="Y255" s="222"/>
      <c r="Z255" s="222"/>
      <c r="AA255" s="222"/>
      <c r="AB255" s="222"/>
    </row>
    <row r="256" spans="1:28" ht="16">
      <c r="A256" s="222"/>
      <c r="B256" s="222"/>
      <c r="C256" s="222"/>
      <c r="D256" s="222"/>
      <c r="E256" s="222"/>
      <c r="F256" s="222"/>
      <c r="G256" s="222"/>
      <c r="H256" s="222"/>
      <c r="I256" s="222"/>
      <c r="J256" s="222"/>
      <c r="K256" s="222"/>
      <c r="L256" s="223"/>
      <c r="M256" s="222"/>
      <c r="N256" s="222"/>
      <c r="O256" s="222"/>
      <c r="P256" s="222"/>
      <c r="Q256" s="222"/>
      <c r="R256" s="222"/>
      <c r="S256" s="222"/>
      <c r="T256" s="222"/>
      <c r="U256" s="222"/>
      <c r="V256" s="222"/>
      <c r="W256" s="222"/>
      <c r="X256" s="222"/>
      <c r="Y256" s="222"/>
      <c r="Z256" s="222"/>
      <c r="AA256" s="222"/>
      <c r="AB256" s="222"/>
    </row>
    <row r="257" spans="1:28" ht="16">
      <c r="A257" s="222"/>
      <c r="B257" s="222"/>
      <c r="C257" s="222"/>
      <c r="D257" s="222"/>
      <c r="E257" s="222"/>
      <c r="F257" s="222"/>
      <c r="G257" s="222"/>
      <c r="H257" s="222"/>
      <c r="I257" s="222"/>
      <c r="J257" s="222"/>
      <c r="K257" s="222"/>
      <c r="L257" s="223"/>
      <c r="M257" s="222"/>
      <c r="N257" s="222"/>
      <c r="O257" s="222"/>
      <c r="P257" s="222"/>
      <c r="Q257" s="222"/>
      <c r="R257" s="222"/>
      <c r="S257" s="222"/>
      <c r="T257" s="222"/>
      <c r="U257" s="222"/>
      <c r="V257" s="222"/>
      <c r="W257" s="222"/>
      <c r="X257" s="222"/>
      <c r="Y257" s="222"/>
      <c r="Z257" s="222"/>
      <c r="AA257" s="222"/>
      <c r="AB257" s="222"/>
    </row>
    <row r="258" spans="1:28" ht="16">
      <c r="A258" s="222"/>
      <c r="B258" s="222"/>
      <c r="C258" s="222"/>
      <c r="D258" s="222"/>
      <c r="E258" s="222"/>
      <c r="F258" s="222"/>
      <c r="G258" s="222"/>
      <c r="H258" s="222"/>
      <c r="I258" s="222"/>
      <c r="J258" s="222"/>
      <c r="K258" s="222"/>
      <c r="L258" s="223"/>
      <c r="M258" s="222"/>
      <c r="N258" s="222"/>
      <c r="O258" s="222"/>
      <c r="P258" s="222"/>
      <c r="Q258" s="222"/>
      <c r="R258" s="222"/>
      <c r="S258" s="222"/>
      <c r="T258" s="222"/>
      <c r="U258" s="222"/>
      <c r="V258" s="222"/>
      <c r="W258" s="222"/>
      <c r="X258" s="222"/>
      <c r="Y258" s="222"/>
      <c r="Z258" s="222"/>
      <c r="AA258" s="222"/>
      <c r="AB258" s="222"/>
    </row>
    <row r="259" spans="1:28" ht="16">
      <c r="A259" s="222"/>
      <c r="B259" s="222"/>
      <c r="C259" s="222"/>
      <c r="D259" s="222"/>
      <c r="E259" s="222"/>
      <c r="F259" s="222"/>
      <c r="G259" s="222"/>
      <c r="H259" s="222"/>
      <c r="I259" s="222"/>
      <c r="J259" s="222"/>
      <c r="K259" s="222"/>
      <c r="L259" s="223"/>
      <c r="M259" s="222"/>
      <c r="N259" s="222"/>
      <c r="O259" s="222"/>
      <c r="P259" s="222"/>
      <c r="Q259" s="222"/>
      <c r="R259" s="222"/>
      <c r="S259" s="222"/>
      <c r="T259" s="222"/>
      <c r="U259" s="222"/>
      <c r="V259" s="222"/>
      <c r="W259" s="222"/>
      <c r="X259" s="222"/>
      <c r="Y259" s="222"/>
      <c r="Z259" s="222"/>
      <c r="AA259" s="222"/>
      <c r="AB259" s="222"/>
    </row>
    <row r="260" spans="1:28" ht="16">
      <c r="A260" s="222"/>
      <c r="B260" s="222"/>
      <c r="C260" s="222"/>
      <c r="D260" s="222"/>
      <c r="E260" s="222"/>
      <c r="F260" s="222"/>
      <c r="G260" s="222"/>
      <c r="H260" s="222"/>
      <c r="I260" s="222"/>
      <c r="J260" s="222"/>
      <c r="K260" s="222"/>
      <c r="L260" s="223"/>
      <c r="M260" s="222"/>
      <c r="N260" s="222"/>
      <c r="O260" s="222"/>
      <c r="P260" s="222"/>
      <c r="Q260" s="222"/>
      <c r="R260" s="222"/>
      <c r="S260" s="222"/>
      <c r="T260" s="222"/>
      <c r="U260" s="222"/>
      <c r="V260" s="222"/>
      <c r="W260" s="222"/>
      <c r="X260" s="222"/>
      <c r="Y260" s="222"/>
      <c r="Z260" s="222"/>
      <c r="AA260" s="222"/>
      <c r="AB260" s="222"/>
    </row>
    <row r="261" spans="1:28" ht="16">
      <c r="A261" s="222"/>
      <c r="B261" s="222"/>
      <c r="C261" s="222"/>
      <c r="D261" s="222"/>
      <c r="E261" s="222"/>
      <c r="F261" s="222"/>
      <c r="G261" s="222"/>
      <c r="H261" s="222"/>
      <c r="I261" s="222"/>
      <c r="J261" s="222"/>
      <c r="K261" s="222"/>
      <c r="L261" s="223"/>
      <c r="M261" s="222"/>
      <c r="N261" s="222"/>
      <c r="O261" s="222"/>
      <c r="P261" s="222"/>
      <c r="Q261" s="222"/>
      <c r="R261" s="222"/>
      <c r="S261" s="222"/>
      <c r="T261" s="222"/>
      <c r="U261" s="222"/>
      <c r="V261" s="222"/>
      <c r="W261" s="222"/>
      <c r="X261" s="222"/>
      <c r="Y261" s="222"/>
      <c r="Z261" s="222"/>
      <c r="AA261" s="222"/>
      <c r="AB261" s="222"/>
    </row>
    <row r="262" spans="1:28" ht="16">
      <c r="A262" s="222"/>
      <c r="B262" s="222"/>
      <c r="C262" s="222"/>
      <c r="D262" s="222"/>
      <c r="E262" s="222"/>
      <c r="F262" s="222"/>
      <c r="G262" s="222"/>
      <c r="H262" s="222"/>
      <c r="I262" s="222"/>
      <c r="J262" s="222"/>
      <c r="K262" s="222"/>
      <c r="L262" s="223"/>
      <c r="M262" s="222"/>
      <c r="N262" s="222"/>
      <c r="O262" s="222"/>
      <c r="P262" s="222"/>
      <c r="Q262" s="222"/>
      <c r="R262" s="222"/>
      <c r="S262" s="222"/>
      <c r="T262" s="222"/>
      <c r="U262" s="222"/>
      <c r="V262" s="222"/>
      <c r="W262" s="222"/>
      <c r="X262" s="222"/>
      <c r="Y262" s="222"/>
      <c r="Z262" s="222"/>
      <c r="AA262" s="222"/>
      <c r="AB262" s="222"/>
    </row>
    <row r="263" spans="1:28" ht="16">
      <c r="A263" s="222"/>
      <c r="B263" s="222"/>
      <c r="C263" s="222"/>
      <c r="D263" s="222"/>
      <c r="E263" s="222"/>
      <c r="F263" s="222"/>
      <c r="G263" s="222"/>
      <c r="H263" s="222"/>
      <c r="I263" s="222"/>
      <c r="J263" s="222"/>
      <c r="K263" s="222"/>
      <c r="L263" s="223"/>
      <c r="M263" s="222"/>
      <c r="N263" s="222"/>
      <c r="O263" s="222"/>
      <c r="P263" s="222"/>
      <c r="Q263" s="222"/>
      <c r="R263" s="222"/>
      <c r="S263" s="222"/>
      <c r="T263" s="222"/>
      <c r="U263" s="222"/>
      <c r="V263" s="222"/>
      <c r="W263" s="222"/>
      <c r="X263" s="222"/>
      <c r="Y263" s="222"/>
      <c r="Z263" s="222"/>
      <c r="AA263" s="222"/>
      <c r="AB263" s="222"/>
    </row>
    <row r="264" spans="1:28" ht="16">
      <c r="A264" s="222"/>
      <c r="B264" s="222"/>
      <c r="C264" s="222"/>
      <c r="D264" s="222"/>
      <c r="E264" s="222"/>
      <c r="F264" s="222"/>
      <c r="G264" s="222"/>
      <c r="H264" s="222"/>
      <c r="I264" s="222"/>
      <c r="J264" s="222"/>
      <c r="K264" s="222"/>
      <c r="L264" s="223"/>
      <c r="M264" s="222"/>
      <c r="N264" s="222"/>
      <c r="O264" s="222"/>
      <c r="P264" s="222"/>
      <c r="Q264" s="222"/>
      <c r="R264" s="222"/>
      <c r="S264" s="222"/>
      <c r="T264" s="222"/>
      <c r="U264" s="222"/>
      <c r="V264" s="222"/>
      <c r="W264" s="222"/>
      <c r="X264" s="222"/>
      <c r="Y264" s="222"/>
      <c r="Z264" s="222"/>
      <c r="AA264" s="222"/>
      <c r="AB264" s="222"/>
    </row>
    <row r="265" spans="1:28" ht="16">
      <c r="A265" s="222"/>
      <c r="B265" s="222"/>
      <c r="C265" s="222"/>
      <c r="D265" s="222"/>
      <c r="E265" s="222"/>
      <c r="F265" s="222"/>
      <c r="G265" s="222"/>
      <c r="H265" s="222"/>
      <c r="I265" s="222"/>
      <c r="J265" s="222"/>
      <c r="K265" s="222"/>
      <c r="L265" s="223"/>
      <c r="M265" s="222"/>
      <c r="N265" s="222"/>
      <c r="O265" s="222"/>
      <c r="P265" s="222"/>
      <c r="Q265" s="222"/>
      <c r="R265" s="222"/>
      <c r="S265" s="222"/>
      <c r="T265" s="222"/>
      <c r="U265" s="222"/>
      <c r="V265" s="222"/>
      <c r="W265" s="222"/>
      <c r="X265" s="222"/>
      <c r="Y265" s="222"/>
      <c r="Z265" s="222"/>
      <c r="AA265" s="222"/>
      <c r="AB265" s="222"/>
    </row>
    <row r="266" spans="1:28" ht="16">
      <c r="A266" s="222"/>
      <c r="B266" s="222"/>
      <c r="C266" s="222"/>
      <c r="D266" s="222"/>
      <c r="E266" s="222"/>
      <c r="F266" s="222"/>
      <c r="G266" s="222"/>
      <c r="H266" s="222"/>
      <c r="I266" s="222"/>
      <c r="J266" s="222"/>
      <c r="K266" s="222"/>
      <c r="L266" s="223"/>
      <c r="M266" s="222"/>
      <c r="N266" s="222"/>
      <c r="O266" s="222"/>
      <c r="P266" s="222"/>
      <c r="Q266" s="222"/>
      <c r="R266" s="222"/>
      <c r="S266" s="222"/>
      <c r="T266" s="222"/>
      <c r="U266" s="222"/>
      <c r="V266" s="222"/>
      <c r="W266" s="222"/>
      <c r="X266" s="222"/>
      <c r="Y266" s="222"/>
      <c r="Z266" s="222"/>
      <c r="AA266" s="222"/>
      <c r="AB266" s="222"/>
    </row>
    <row r="267" spans="1:28" ht="16">
      <c r="A267" s="222"/>
      <c r="B267" s="222"/>
      <c r="C267" s="222"/>
      <c r="D267" s="222"/>
      <c r="E267" s="222"/>
      <c r="F267" s="222"/>
      <c r="G267" s="222"/>
      <c r="H267" s="222"/>
      <c r="I267" s="222"/>
      <c r="J267" s="222"/>
      <c r="K267" s="222"/>
      <c r="L267" s="223"/>
      <c r="M267" s="222"/>
      <c r="N267" s="222"/>
      <c r="O267" s="222"/>
      <c r="P267" s="222"/>
      <c r="Q267" s="222"/>
      <c r="R267" s="222"/>
      <c r="S267" s="222"/>
      <c r="T267" s="222"/>
      <c r="U267" s="222"/>
      <c r="V267" s="222"/>
      <c r="W267" s="222"/>
      <c r="X267" s="222"/>
      <c r="Y267" s="222"/>
      <c r="Z267" s="222"/>
      <c r="AA267" s="222"/>
      <c r="AB267" s="222"/>
    </row>
    <row r="268" spans="1:28" ht="16">
      <c r="A268" s="222"/>
      <c r="B268" s="222"/>
      <c r="C268" s="222"/>
      <c r="D268" s="222"/>
      <c r="E268" s="222"/>
      <c r="F268" s="222"/>
      <c r="G268" s="222"/>
      <c r="H268" s="222"/>
      <c r="I268" s="222"/>
      <c r="J268" s="222"/>
      <c r="K268" s="222"/>
      <c r="L268" s="223"/>
      <c r="M268" s="222"/>
      <c r="N268" s="222"/>
      <c r="O268" s="222"/>
      <c r="P268" s="222"/>
      <c r="Q268" s="222"/>
      <c r="R268" s="222"/>
      <c r="S268" s="222"/>
      <c r="T268" s="222"/>
      <c r="U268" s="222"/>
      <c r="V268" s="222"/>
      <c r="W268" s="222"/>
      <c r="X268" s="222"/>
      <c r="Y268" s="222"/>
      <c r="Z268" s="222"/>
      <c r="AA268" s="222"/>
      <c r="AB268" s="222"/>
    </row>
    <row r="269" spans="1:28" ht="16">
      <c r="A269" s="222"/>
      <c r="B269" s="222"/>
      <c r="C269" s="222"/>
      <c r="D269" s="222"/>
      <c r="E269" s="222"/>
      <c r="F269" s="222"/>
      <c r="G269" s="222"/>
      <c r="H269" s="222"/>
      <c r="I269" s="222"/>
      <c r="J269" s="222"/>
      <c r="K269" s="222"/>
      <c r="L269" s="223"/>
      <c r="M269" s="222"/>
      <c r="N269" s="222"/>
      <c r="O269" s="222"/>
      <c r="P269" s="222"/>
      <c r="Q269" s="222"/>
      <c r="R269" s="222"/>
      <c r="S269" s="222"/>
      <c r="T269" s="222"/>
      <c r="U269" s="222"/>
      <c r="V269" s="222"/>
      <c r="W269" s="222"/>
      <c r="X269" s="222"/>
      <c r="Y269" s="222"/>
      <c r="Z269" s="222"/>
      <c r="AA269" s="222"/>
      <c r="AB269" s="222"/>
    </row>
    <row r="270" spans="1:28" ht="16">
      <c r="A270" s="222"/>
      <c r="B270" s="222"/>
      <c r="C270" s="222"/>
      <c r="D270" s="222"/>
      <c r="E270" s="222"/>
      <c r="F270" s="222"/>
      <c r="G270" s="222"/>
      <c r="H270" s="222"/>
      <c r="I270" s="222"/>
      <c r="J270" s="222"/>
      <c r="K270" s="222"/>
      <c r="L270" s="223"/>
      <c r="M270" s="222"/>
      <c r="N270" s="222"/>
      <c r="O270" s="222"/>
      <c r="P270" s="222"/>
      <c r="Q270" s="222"/>
      <c r="R270" s="222"/>
      <c r="S270" s="222"/>
      <c r="T270" s="222"/>
      <c r="U270" s="222"/>
      <c r="V270" s="222"/>
      <c r="W270" s="222"/>
      <c r="X270" s="222"/>
      <c r="Y270" s="222"/>
      <c r="Z270" s="222"/>
      <c r="AA270" s="222"/>
      <c r="AB270" s="222"/>
    </row>
    <row r="271" spans="1:28" ht="16">
      <c r="A271" s="222"/>
      <c r="B271" s="222"/>
      <c r="C271" s="222"/>
      <c r="D271" s="222"/>
      <c r="E271" s="222"/>
      <c r="F271" s="222"/>
      <c r="G271" s="222"/>
      <c r="H271" s="222"/>
      <c r="I271" s="222"/>
      <c r="J271" s="222"/>
      <c r="K271" s="222"/>
      <c r="L271" s="223"/>
      <c r="M271" s="222"/>
      <c r="N271" s="222"/>
      <c r="O271" s="222"/>
      <c r="P271" s="222"/>
      <c r="Q271" s="222"/>
      <c r="R271" s="222"/>
      <c r="S271" s="222"/>
      <c r="T271" s="222"/>
      <c r="U271" s="222"/>
      <c r="V271" s="222"/>
      <c r="W271" s="222"/>
      <c r="X271" s="222"/>
      <c r="Y271" s="222"/>
      <c r="Z271" s="222"/>
      <c r="AA271" s="222"/>
      <c r="AB271" s="222"/>
    </row>
    <row r="272" spans="1:28" ht="16">
      <c r="A272" s="222"/>
      <c r="B272" s="222"/>
      <c r="C272" s="222"/>
      <c r="D272" s="222"/>
      <c r="E272" s="222"/>
      <c r="F272" s="222"/>
      <c r="G272" s="222"/>
      <c r="H272" s="222"/>
      <c r="I272" s="222"/>
      <c r="J272" s="222"/>
      <c r="K272" s="222"/>
      <c r="L272" s="223"/>
      <c r="M272" s="222"/>
      <c r="N272" s="222"/>
      <c r="O272" s="222"/>
      <c r="P272" s="222"/>
      <c r="Q272" s="222"/>
      <c r="R272" s="222"/>
      <c r="S272" s="222"/>
      <c r="T272" s="222"/>
      <c r="U272" s="222"/>
      <c r="V272" s="222"/>
      <c r="W272" s="222"/>
      <c r="X272" s="222"/>
      <c r="Y272" s="222"/>
      <c r="Z272" s="222"/>
      <c r="AA272" s="222"/>
      <c r="AB272" s="222"/>
    </row>
    <row r="273" spans="1:28" ht="16">
      <c r="A273" s="222"/>
      <c r="B273" s="222"/>
      <c r="C273" s="222"/>
      <c r="D273" s="222"/>
      <c r="E273" s="222"/>
      <c r="F273" s="222"/>
      <c r="G273" s="222"/>
      <c r="H273" s="222"/>
      <c r="I273" s="222"/>
      <c r="J273" s="222"/>
      <c r="K273" s="222"/>
      <c r="L273" s="223"/>
      <c r="M273" s="222"/>
      <c r="N273" s="222"/>
      <c r="O273" s="222"/>
      <c r="P273" s="222"/>
      <c r="Q273" s="222"/>
      <c r="R273" s="222"/>
      <c r="S273" s="222"/>
      <c r="T273" s="222"/>
      <c r="U273" s="222"/>
      <c r="V273" s="222"/>
      <c r="W273" s="222"/>
      <c r="X273" s="222"/>
      <c r="Y273" s="222"/>
      <c r="Z273" s="222"/>
      <c r="AA273" s="222"/>
      <c r="AB273" s="222"/>
    </row>
    <row r="274" spans="1:28" ht="16">
      <c r="A274" s="222"/>
      <c r="B274" s="222"/>
      <c r="C274" s="222"/>
      <c r="D274" s="222"/>
      <c r="E274" s="222"/>
      <c r="F274" s="222"/>
      <c r="G274" s="222"/>
      <c r="H274" s="222"/>
      <c r="I274" s="222"/>
      <c r="J274" s="222"/>
      <c r="K274" s="222"/>
      <c r="L274" s="223"/>
      <c r="M274" s="222"/>
      <c r="N274" s="222"/>
      <c r="O274" s="222"/>
      <c r="P274" s="222"/>
      <c r="Q274" s="222"/>
      <c r="R274" s="222"/>
      <c r="S274" s="222"/>
      <c r="T274" s="222"/>
      <c r="U274" s="222"/>
      <c r="V274" s="222"/>
      <c r="W274" s="222"/>
      <c r="X274" s="222"/>
      <c r="Y274" s="222"/>
      <c r="Z274" s="222"/>
      <c r="AA274" s="222"/>
      <c r="AB274" s="222"/>
    </row>
    <row r="275" spans="1:28" ht="16">
      <c r="A275" s="222"/>
      <c r="B275" s="222"/>
      <c r="C275" s="222"/>
      <c r="D275" s="222"/>
      <c r="E275" s="222"/>
      <c r="F275" s="222"/>
      <c r="G275" s="222"/>
      <c r="H275" s="222"/>
      <c r="I275" s="222"/>
      <c r="J275" s="222"/>
      <c r="K275" s="222"/>
      <c r="L275" s="223"/>
      <c r="M275" s="222"/>
      <c r="N275" s="222"/>
      <c r="O275" s="222"/>
      <c r="P275" s="222"/>
      <c r="Q275" s="222"/>
      <c r="R275" s="222"/>
      <c r="S275" s="222"/>
      <c r="T275" s="222"/>
      <c r="U275" s="222"/>
      <c r="V275" s="222"/>
      <c r="W275" s="222"/>
      <c r="X275" s="222"/>
      <c r="Y275" s="222"/>
      <c r="Z275" s="222"/>
      <c r="AA275" s="222"/>
      <c r="AB275" s="222"/>
    </row>
    <row r="276" spans="1:28" ht="16">
      <c r="A276" s="222"/>
      <c r="B276" s="222"/>
      <c r="C276" s="222"/>
      <c r="D276" s="222"/>
      <c r="E276" s="222"/>
      <c r="F276" s="222"/>
      <c r="G276" s="222"/>
      <c r="H276" s="222"/>
      <c r="I276" s="222"/>
      <c r="J276" s="222"/>
      <c r="K276" s="222"/>
      <c r="L276" s="223"/>
      <c r="M276" s="222"/>
      <c r="N276" s="222"/>
      <c r="O276" s="222"/>
      <c r="P276" s="222"/>
      <c r="Q276" s="222"/>
      <c r="R276" s="222"/>
      <c r="S276" s="222"/>
      <c r="T276" s="222"/>
      <c r="U276" s="222"/>
      <c r="V276" s="222"/>
      <c r="W276" s="222"/>
      <c r="X276" s="222"/>
      <c r="Y276" s="222"/>
      <c r="Z276" s="222"/>
      <c r="AA276" s="222"/>
      <c r="AB276" s="222"/>
    </row>
    <row r="277" spans="1:28" ht="16">
      <c r="A277" s="222"/>
      <c r="B277" s="222"/>
      <c r="C277" s="222"/>
      <c r="D277" s="222"/>
      <c r="E277" s="222"/>
      <c r="F277" s="222"/>
      <c r="G277" s="222"/>
      <c r="H277" s="222"/>
      <c r="I277" s="222"/>
      <c r="J277" s="222"/>
      <c r="K277" s="222"/>
      <c r="L277" s="223"/>
      <c r="M277" s="222"/>
      <c r="N277" s="222"/>
      <c r="O277" s="222"/>
      <c r="P277" s="222"/>
      <c r="Q277" s="222"/>
      <c r="R277" s="222"/>
      <c r="S277" s="222"/>
      <c r="T277" s="222"/>
      <c r="U277" s="222"/>
      <c r="V277" s="222"/>
      <c r="W277" s="222"/>
      <c r="X277" s="222"/>
      <c r="Y277" s="222"/>
      <c r="Z277" s="222"/>
      <c r="AA277" s="222"/>
      <c r="AB277" s="222"/>
    </row>
    <row r="278" spans="1:28" ht="16">
      <c r="A278" s="222"/>
      <c r="B278" s="222"/>
      <c r="C278" s="222"/>
      <c r="D278" s="222"/>
      <c r="E278" s="222"/>
      <c r="F278" s="222"/>
      <c r="G278" s="222"/>
      <c r="H278" s="222"/>
      <c r="I278" s="222"/>
      <c r="J278" s="222"/>
      <c r="K278" s="222"/>
      <c r="L278" s="223"/>
      <c r="M278" s="222"/>
      <c r="N278" s="222"/>
      <c r="O278" s="222"/>
      <c r="P278" s="222"/>
      <c r="Q278" s="222"/>
      <c r="R278" s="222"/>
      <c r="S278" s="222"/>
      <c r="T278" s="222"/>
      <c r="U278" s="222"/>
      <c r="V278" s="222"/>
      <c r="W278" s="222"/>
      <c r="X278" s="222"/>
      <c r="Y278" s="222"/>
      <c r="Z278" s="222"/>
      <c r="AA278" s="222"/>
      <c r="AB278" s="222"/>
    </row>
    <row r="279" spans="1:28" ht="16">
      <c r="A279" s="222"/>
      <c r="B279" s="222"/>
      <c r="C279" s="222"/>
      <c r="D279" s="222"/>
      <c r="E279" s="222"/>
      <c r="F279" s="222"/>
      <c r="G279" s="222"/>
      <c r="H279" s="222"/>
      <c r="I279" s="222"/>
      <c r="J279" s="222"/>
      <c r="K279" s="222"/>
      <c r="L279" s="223"/>
      <c r="M279" s="222"/>
      <c r="N279" s="222"/>
      <c r="O279" s="222"/>
      <c r="P279" s="222"/>
      <c r="Q279" s="222"/>
      <c r="R279" s="222"/>
      <c r="S279" s="222"/>
      <c r="T279" s="222"/>
      <c r="U279" s="222"/>
      <c r="V279" s="222"/>
      <c r="W279" s="222"/>
      <c r="X279" s="222"/>
      <c r="Y279" s="222"/>
      <c r="Z279" s="222"/>
      <c r="AA279" s="222"/>
      <c r="AB279" s="222"/>
    </row>
    <row r="280" spans="1:28" ht="16">
      <c r="A280" s="222"/>
      <c r="B280" s="222"/>
      <c r="C280" s="222"/>
      <c r="D280" s="222"/>
      <c r="E280" s="222"/>
      <c r="F280" s="222"/>
      <c r="G280" s="222"/>
      <c r="H280" s="222"/>
      <c r="I280" s="222"/>
      <c r="J280" s="222"/>
      <c r="K280" s="222"/>
      <c r="L280" s="223"/>
      <c r="M280" s="222"/>
      <c r="N280" s="222"/>
      <c r="O280" s="222"/>
      <c r="P280" s="222"/>
      <c r="Q280" s="222"/>
      <c r="R280" s="222"/>
      <c r="S280" s="222"/>
      <c r="T280" s="222"/>
      <c r="U280" s="222"/>
      <c r="V280" s="222"/>
      <c r="W280" s="222"/>
      <c r="X280" s="222"/>
      <c r="Y280" s="222"/>
      <c r="Z280" s="222"/>
      <c r="AA280" s="222"/>
      <c r="AB280" s="222"/>
    </row>
    <row r="281" spans="1:28" ht="16">
      <c r="A281" s="222"/>
      <c r="B281" s="222"/>
      <c r="C281" s="222"/>
      <c r="D281" s="222"/>
      <c r="E281" s="222"/>
      <c r="F281" s="222"/>
      <c r="G281" s="222"/>
      <c r="H281" s="222"/>
      <c r="I281" s="222"/>
      <c r="J281" s="222"/>
      <c r="K281" s="222"/>
      <c r="L281" s="223"/>
      <c r="M281" s="222"/>
      <c r="N281" s="222"/>
      <c r="O281" s="222"/>
      <c r="P281" s="222"/>
      <c r="Q281" s="222"/>
      <c r="R281" s="222"/>
      <c r="S281" s="222"/>
      <c r="T281" s="222"/>
      <c r="U281" s="222"/>
      <c r="V281" s="222"/>
      <c r="W281" s="222"/>
      <c r="X281" s="222"/>
      <c r="Y281" s="222"/>
      <c r="Z281" s="222"/>
      <c r="AA281" s="222"/>
      <c r="AB281" s="222"/>
    </row>
    <row r="282" spans="1:28" ht="16">
      <c r="A282" s="222"/>
      <c r="B282" s="222"/>
      <c r="C282" s="222"/>
      <c r="D282" s="222"/>
      <c r="E282" s="222"/>
      <c r="F282" s="222"/>
      <c r="G282" s="222"/>
      <c r="H282" s="222"/>
      <c r="I282" s="222"/>
      <c r="J282" s="222"/>
      <c r="K282" s="222"/>
      <c r="L282" s="223"/>
      <c r="M282" s="222"/>
      <c r="N282" s="222"/>
      <c r="O282" s="222"/>
      <c r="P282" s="222"/>
      <c r="Q282" s="222"/>
      <c r="R282" s="222"/>
      <c r="S282" s="222"/>
      <c r="T282" s="222"/>
      <c r="U282" s="222"/>
      <c r="V282" s="222"/>
      <c r="W282" s="222"/>
      <c r="X282" s="222"/>
      <c r="Y282" s="222"/>
      <c r="Z282" s="222"/>
      <c r="AA282" s="222"/>
      <c r="AB282" s="222"/>
    </row>
    <row r="283" spans="1:28" ht="16">
      <c r="A283" s="222"/>
      <c r="B283" s="222"/>
      <c r="C283" s="222"/>
      <c r="D283" s="222"/>
      <c r="E283" s="222"/>
      <c r="F283" s="222"/>
      <c r="G283" s="222"/>
      <c r="H283" s="222"/>
      <c r="I283" s="222"/>
      <c r="J283" s="222"/>
      <c r="K283" s="222"/>
      <c r="L283" s="223"/>
      <c r="M283" s="222"/>
      <c r="N283" s="222"/>
      <c r="O283" s="222"/>
      <c r="P283" s="222"/>
      <c r="Q283" s="222"/>
      <c r="R283" s="222"/>
      <c r="S283" s="222"/>
      <c r="T283" s="222"/>
      <c r="U283" s="222"/>
      <c r="V283" s="222"/>
      <c r="W283" s="222"/>
      <c r="X283" s="222"/>
      <c r="Y283" s="222"/>
      <c r="Z283" s="222"/>
      <c r="AA283" s="222"/>
      <c r="AB283" s="222"/>
    </row>
    <row r="284" spans="1:28" ht="16">
      <c r="A284" s="222"/>
      <c r="B284" s="222"/>
      <c r="C284" s="222"/>
      <c r="D284" s="222"/>
      <c r="E284" s="222"/>
      <c r="F284" s="222"/>
      <c r="G284" s="222"/>
      <c r="H284" s="222"/>
      <c r="I284" s="222"/>
      <c r="J284" s="222"/>
      <c r="K284" s="222"/>
      <c r="L284" s="223"/>
      <c r="M284" s="222"/>
      <c r="N284" s="222"/>
      <c r="O284" s="222"/>
      <c r="P284" s="222"/>
      <c r="Q284" s="222"/>
      <c r="R284" s="222"/>
      <c r="S284" s="222"/>
      <c r="T284" s="222"/>
      <c r="U284" s="222"/>
      <c r="V284" s="222"/>
      <c r="W284" s="222"/>
      <c r="X284" s="222"/>
      <c r="Y284" s="222"/>
      <c r="Z284" s="222"/>
      <c r="AA284" s="222"/>
      <c r="AB284" s="222"/>
    </row>
    <row r="285" spans="1:28" ht="16">
      <c r="A285" s="222"/>
      <c r="B285" s="222"/>
      <c r="C285" s="222"/>
      <c r="D285" s="222"/>
      <c r="E285" s="222"/>
      <c r="F285" s="222"/>
      <c r="G285" s="222"/>
      <c r="H285" s="222"/>
      <c r="I285" s="222"/>
      <c r="J285" s="222"/>
      <c r="K285" s="222"/>
      <c r="L285" s="223"/>
      <c r="M285" s="222"/>
      <c r="N285" s="222"/>
      <c r="O285" s="222"/>
      <c r="P285" s="222"/>
      <c r="Q285" s="222"/>
      <c r="R285" s="222"/>
      <c r="S285" s="222"/>
      <c r="T285" s="222"/>
      <c r="U285" s="222"/>
      <c r="V285" s="222"/>
      <c r="W285" s="222"/>
      <c r="X285" s="222"/>
      <c r="Y285" s="222"/>
      <c r="Z285" s="222"/>
      <c r="AA285" s="222"/>
      <c r="AB285" s="222"/>
    </row>
    <row r="286" spans="1:28" ht="16">
      <c r="A286" s="222"/>
      <c r="B286" s="222"/>
      <c r="C286" s="222"/>
      <c r="D286" s="222"/>
      <c r="E286" s="222"/>
      <c r="F286" s="222"/>
      <c r="G286" s="222"/>
      <c r="H286" s="222"/>
      <c r="I286" s="222"/>
      <c r="J286" s="222"/>
      <c r="K286" s="222"/>
      <c r="L286" s="223"/>
      <c r="M286" s="222"/>
      <c r="N286" s="222"/>
      <c r="O286" s="222"/>
      <c r="P286" s="222"/>
      <c r="Q286" s="222"/>
      <c r="R286" s="222"/>
      <c r="S286" s="222"/>
      <c r="T286" s="222"/>
      <c r="U286" s="222"/>
      <c r="V286" s="222"/>
      <c r="W286" s="222"/>
      <c r="X286" s="222"/>
      <c r="Y286" s="222"/>
      <c r="Z286" s="222"/>
      <c r="AA286" s="222"/>
      <c r="AB286" s="222"/>
    </row>
    <row r="287" spans="1:28" ht="16">
      <c r="A287" s="222"/>
      <c r="B287" s="222"/>
      <c r="C287" s="222"/>
      <c r="D287" s="222"/>
      <c r="E287" s="222"/>
      <c r="F287" s="222"/>
      <c r="G287" s="222"/>
      <c r="H287" s="222"/>
      <c r="I287" s="222"/>
      <c r="J287" s="222"/>
      <c r="K287" s="222"/>
      <c r="L287" s="223"/>
      <c r="M287" s="222"/>
      <c r="N287" s="222"/>
      <c r="O287" s="222"/>
      <c r="P287" s="222"/>
      <c r="Q287" s="222"/>
      <c r="R287" s="222"/>
      <c r="S287" s="222"/>
      <c r="T287" s="222"/>
      <c r="U287" s="222"/>
      <c r="V287" s="222"/>
      <c r="W287" s="222"/>
      <c r="X287" s="222"/>
      <c r="Y287" s="222"/>
      <c r="Z287" s="222"/>
      <c r="AA287" s="222"/>
      <c r="AB287" s="222"/>
    </row>
    <row r="288" spans="1:28" ht="16">
      <c r="A288" s="222"/>
      <c r="B288" s="222"/>
      <c r="C288" s="222"/>
      <c r="D288" s="222"/>
      <c r="E288" s="222"/>
      <c r="F288" s="222"/>
      <c r="G288" s="222"/>
      <c r="H288" s="222"/>
      <c r="I288" s="222"/>
      <c r="J288" s="222"/>
      <c r="K288" s="222"/>
      <c r="L288" s="223"/>
      <c r="M288" s="222"/>
      <c r="N288" s="222"/>
      <c r="O288" s="222"/>
      <c r="P288" s="222"/>
      <c r="Q288" s="222"/>
      <c r="R288" s="222"/>
      <c r="S288" s="222"/>
      <c r="T288" s="222"/>
      <c r="U288" s="222"/>
      <c r="V288" s="222"/>
      <c r="W288" s="222"/>
      <c r="X288" s="222"/>
      <c r="Y288" s="222"/>
      <c r="Z288" s="222"/>
      <c r="AA288" s="222"/>
      <c r="AB288" s="222"/>
    </row>
    <row r="289" spans="1:28" ht="16">
      <c r="A289" s="222"/>
      <c r="B289" s="222"/>
      <c r="C289" s="222"/>
      <c r="D289" s="222"/>
      <c r="E289" s="222"/>
      <c r="F289" s="222"/>
      <c r="G289" s="222"/>
      <c r="H289" s="222"/>
      <c r="I289" s="222"/>
      <c r="J289" s="222"/>
      <c r="K289" s="222"/>
      <c r="L289" s="223"/>
      <c r="M289" s="222"/>
      <c r="N289" s="222"/>
      <c r="O289" s="222"/>
      <c r="P289" s="222"/>
      <c r="Q289" s="222"/>
      <c r="R289" s="222"/>
      <c r="S289" s="222"/>
      <c r="T289" s="222"/>
      <c r="U289" s="222"/>
      <c r="V289" s="222"/>
      <c r="W289" s="222"/>
      <c r="X289" s="222"/>
      <c r="Y289" s="222"/>
      <c r="Z289" s="222"/>
      <c r="AA289" s="222"/>
      <c r="AB289" s="222"/>
    </row>
    <row r="290" spans="1:28" ht="16">
      <c r="A290" s="222"/>
      <c r="B290" s="222"/>
      <c r="C290" s="222"/>
      <c r="D290" s="222"/>
      <c r="E290" s="222"/>
      <c r="F290" s="222"/>
      <c r="G290" s="222"/>
      <c r="H290" s="222"/>
      <c r="I290" s="222"/>
      <c r="J290" s="222"/>
      <c r="K290" s="222"/>
      <c r="L290" s="223"/>
      <c r="M290" s="222"/>
      <c r="N290" s="222"/>
      <c r="O290" s="222"/>
      <c r="P290" s="222"/>
      <c r="Q290" s="222"/>
      <c r="R290" s="222"/>
      <c r="S290" s="222"/>
      <c r="T290" s="222"/>
      <c r="U290" s="222"/>
      <c r="V290" s="222"/>
      <c r="W290" s="222"/>
      <c r="X290" s="222"/>
      <c r="Y290" s="222"/>
      <c r="Z290" s="222"/>
      <c r="AA290" s="222"/>
      <c r="AB290" s="222"/>
    </row>
    <row r="291" spans="1:28" ht="16">
      <c r="A291" s="222"/>
      <c r="B291" s="222"/>
      <c r="C291" s="222"/>
      <c r="D291" s="222"/>
      <c r="E291" s="222"/>
      <c r="F291" s="222"/>
      <c r="G291" s="222"/>
      <c r="H291" s="222"/>
      <c r="I291" s="222"/>
      <c r="J291" s="222"/>
      <c r="K291" s="222"/>
      <c r="L291" s="223"/>
      <c r="M291" s="222"/>
      <c r="N291" s="222"/>
      <c r="O291" s="222"/>
      <c r="P291" s="222"/>
      <c r="Q291" s="222"/>
      <c r="R291" s="222"/>
      <c r="S291" s="222"/>
      <c r="T291" s="222"/>
      <c r="U291" s="222"/>
      <c r="V291" s="222"/>
      <c r="W291" s="222"/>
      <c r="X291" s="222"/>
      <c r="Y291" s="222"/>
      <c r="Z291" s="222"/>
      <c r="AA291" s="222"/>
      <c r="AB291" s="222"/>
    </row>
    <row r="292" spans="1:28" ht="16">
      <c r="A292" s="222"/>
      <c r="B292" s="222"/>
      <c r="C292" s="222"/>
      <c r="D292" s="222"/>
      <c r="E292" s="222"/>
      <c r="F292" s="222"/>
      <c r="G292" s="222"/>
      <c r="H292" s="222"/>
      <c r="I292" s="222"/>
      <c r="J292" s="222"/>
      <c r="K292" s="222"/>
      <c r="L292" s="223"/>
      <c r="M292" s="222"/>
      <c r="N292" s="222"/>
      <c r="O292" s="222"/>
      <c r="P292" s="222"/>
      <c r="Q292" s="222"/>
      <c r="R292" s="222"/>
      <c r="S292" s="222"/>
      <c r="T292" s="222"/>
      <c r="U292" s="222"/>
      <c r="V292" s="222"/>
      <c r="W292" s="222"/>
      <c r="X292" s="222"/>
      <c r="Y292" s="222"/>
      <c r="Z292" s="222"/>
      <c r="AA292" s="222"/>
      <c r="AB292" s="222"/>
    </row>
    <row r="293" spans="1:28" ht="16">
      <c r="A293" s="222"/>
      <c r="B293" s="222"/>
      <c r="C293" s="222"/>
      <c r="D293" s="222"/>
      <c r="E293" s="222"/>
      <c r="F293" s="222"/>
      <c r="G293" s="222"/>
      <c r="H293" s="222"/>
      <c r="I293" s="222"/>
      <c r="J293" s="222"/>
      <c r="K293" s="222"/>
      <c r="L293" s="223"/>
      <c r="M293" s="222"/>
      <c r="N293" s="222"/>
      <c r="O293" s="222"/>
      <c r="P293" s="222"/>
      <c r="Q293" s="222"/>
      <c r="R293" s="222"/>
      <c r="S293" s="222"/>
      <c r="T293" s="222"/>
      <c r="U293" s="222"/>
      <c r="V293" s="222"/>
      <c r="W293" s="222"/>
      <c r="X293" s="222"/>
      <c r="Y293" s="222"/>
      <c r="Z293" s="222"/>
      <c r="AA293" s="222"/>
      <c r="AB293" s="222"/>
    </row>
    <row r="294" spans="1:28" ht="16">
      <c r="A294" s="222"/>
      <c r="B294" s="222"/>
      <c r="C294" s="222"/>
      <c r="D294" s="222"/>
      <c r="E294" s="222"/>
      <c r="F294" s="222"/>
      <c r="G294" s="222"/>
      <c r="H294" s="222"/>
      <c r="I294" s="222"/>
      <c r="J294" s="222"/>
      <c r="K294" s="222"/>
      <c r="L294" s="223"/>
      <c r="M294" s="222"/>
      <c r="N294" s="222"/>
      <c r="O294" s="222"/>
      <c r="P294" s="222"/>
      <c r="Q294" s="222"/>
      <c r="R294" s="222"/>
      <c r="S294" s="222"/>
      <c r="T294" s="222"/>
      <c r="U294" s="222"/>
      <c r="V294" s="222"/>
      <c r="W294" s="222"/>
      <c r="X294" s="222"/>
      <c r="Y294" s="222"/>
      <c r="Z294" s="222"/>
      <c r="AA294" s="222"/>
      <c r="AB294" s="222"/>
    </row>
    <row r="295" spans="1:28" ht="16">
      <c r="A295" s="222"/>
      <c r="B295" s="222"/>
      <c r="C295" s="222"/>
      <c r="D295" s="222"/>
      <c r="E295" s="222"/>
      <c r="F295" s="222"/>
      <c r="G295" s="222"/>
      <c r="H295" s="222"/>
      <c r="I295" s="222"/>
      <c r="J295" s="222"/>
      <c r="K295" s="222"/>
      <c r="L295" s="223"/>
      <c r="M295" s="222"/>
      <c r="N295" s="222"/>
      <c r="O295" s="222"/>
      <c r="P295" s="222"/>
      <c r="Q295" s="222"/>
      <c r="R295" s="222"/>
      <c r="S295" s="222"/>
      <c r="T295" s="222"/>
      <c r="U295" s="222"/>
      <c r="V295" s="222"/>
      <c r="W295" s="222"/>
      <c r="X295" s="222"/>
      <c r="Y295" s="222"/>
      <c r="Z295" s="222"/>
      <c r="AA295" s="222"/>
      <c r="AB295" s="222"/>
    </row>
    <row r="296" spans="1:28" ht="16">
      <c r="A296" s="222"/>
      <c r="B296" s="222"/>
      <c r="C296" s="222"/>
      <c r="D296" s="222"/>
      <c r="E296" s="222"/>
      <c r="F296" s="222"/>
      <c r="G296" s="222"/>
      <c r="H296" s="222"/>
      <c r="I296" s="222"/>
      <c r="J296" s="222"/>
      <c r="K296" s="222"/>
      <c r="L296" s="223"/>
      <c r="M296" s="222"/>
      <c r="N296" s="222"/>
      <c r="O296" s="222"/>
      <c r="P296" s="222"/>
      <c r="Q296" s="222"/>
      <c r="R296" s="222"/>
      <c r="S296" s="222"/>
      <c r="T296" s="222"/>
      <c r="U296" s="222"/>
      <c r="V296" s="222"/>
      <c r="W296" s="222"/>
      <c r="X296" s="222"/>
      <c r="Y296" s="222"/>
      <c r="Z296" s="222"/>
      <c r="AA296" s="222"/>
      <c r="AB296" s="222"/>
    </row>
    <row r="297" spans="1:28" ht="16">
      <c r="A297" s="222"/>
      <c r="B297" s="222"/>
      <c r="C297" s="222"/>
      <c r="D297" s="222"/>
      <c r="E297" s="222"/>
      <c r="F297" s="222"/>
      <c r="G297" s="222"/>
      <c r="H297" s="222"/>
      <c r="I297" s="222"/>
      <c r="J297" s="222"/>
      <c r="K297" s="222"/>
      <c r="L297" s="223"/>
      <c r="M297" s="222"/>
      <c r="N297" s="222"/>
      <c r="O297" s="222"/>
      <c r="P297" s="222"/>
      <c r="Q297" s="222"/>
      <c r="R297" s="222"/>
      <c r="S297" s="222"/>
      <c r="T297" s="222"/>
      <c r="U297" s="222"/>
      <c r="V297" s="222"/>
      <c r="W297" s="222"/>
      <c r="X297" s="222"/>
      <c r="Y297" s="222"/>
      <c r="Z297" s="222"/>
      <c r="AA297" s="222"/>
      <c r="AB297" s="222"/>
    </row>
    <row r="298" spans="1:28" ht="16">
      <c r="A298" s="222"/>
      <c r="B298" s="222"/>
      <c r="C298" s="222"/>
      <c r="D298" s="222"/>
      <c r="E298" s="222"/>
      <c r="F298" s="222"/>
      <c r="G298" s="222"/>
      <c r="H298" s="222"/>
      <c r="I298" s="222"/>
      <c r="J298" s="222"/>
      <c r="K298" s="222"/>
      <c r="L298" s="223"/>
      <c r="M298" s="222"/>
      <c r="N298" s="222"/>
      <c r="O298" s="222"/>
      <c r="P298" s="222"/>
      <c r="Q298" s="222"/>
      <c r="R298" s="222"/>
      <c r="S298" s="222"/>
      <c r="T298" s="222"/>
      <c r="U298" s="222"/>
      <c r="V298" s="222"/>
      <c r="W298" s="222"/>
      <c r="X298" s="222"/>
      <c r="Y298" s="222"/>
      <c r="Z298" s="222"/>
      <c r="AA298" s="222"/>
      <c r="AB298" s="222"/>
    </row>
    <row r="299" spans="1:28" ht="16">
      <c r="A299" s="222"/>
      <c r="B299" s="222"/>
      <c r="C299" s="222"/>
      <c r="D299" s="222"/>
      <c r="E299" s="222"/>
      <c r="F299" s="222"/>
      <c r="G299" s="222"/>
      <c r="H299" s="222"/>
      <c r="I299" s="222"/>
      <c r="J299" s="222"/>
      <c r="K299" s="222"/>
      <c r="L299" s="223"/>
      <c r="M299" s="222"/>
      <c r="N299" s="222"/>
      <c r="O299" s="222"/>
      <c r="P299" s="222"/>
      <c r="Q299" s="222"/>
      <c r="R299" s="222"/>
      <c r="S299" s="222"/>
      <c r="T299" s="222"/>
      <c r="U299" s="222"/>
      <c r="V299" s="222"/>
      <c r="W299" s="222"/>
      <c r="X299" s="222"/>
      <c r="Y299" s="222"/>
      <c r="Z299" s="222"/>
      <c r="AA299" s="222"/>
      <c r="AB299" s="222"/>
    </row>
    <row r="300" spans="1:28" ht="16">
      <c r="A300" s="222"/>
      <c r="B300" s="222"/>
      <c r="C300" s="222"/>
      <c r="D300" s="222"/>
      <c r="E300" s="222"/>
      <c r="F300" s="222"/>
      <c r="G300" s="222"/>
      <c r="H300" s="222"/>
      <c r="I300" s="222"/>
      <c r="J300" s="222"/>
      <c r="K300" s="222"/>
      <c r="L300" s="223"/>
      <c r="M300" s="222"/>
      <c r="N300" s="222"/>
      <c r="O300" s="222"/>
      <c r="P300" s="222"/>
      <c r="Q300" s="222"/>
      <c r="R300" s="222"/>
      <c r="S300" s="222"/>
      <c r="T300" s="222"/>
      <c r="U300" s="222"/>
      <c r="V300" s="222"/>
      <c r="W300" s="222"/>
      <c r="X300" s="222"/>
      <c r="Y300" s="222"/>
      <c r="Z300" s="222"/>
      <c r="AA300" s="222"/>
      <c r="AB300" s="222"/>
    </row>
    <row r="301" spans="1:28" ht="16">
      <c r="A301" s="222"/>
      <c r="B301" s="222"/>
      <c r="C301" s="222"/>
      <c r="D301" s="222"/>
      <c r="E301" s="222"/>
      <c r="F301" s="222"/>
      <c r="G301" s="222"/>
      <c r="H301" s="222"/>
      <c r="I301" s="222"/>
      <c r="J301" s="222"/>
      <c r="K301" s="222"/>
      <c r="L301" s="223"/>
      <c r="M301" s="222"/>
      <c r="N301" s="222"/>
      <c r="O301" s="222"/>
      <c r="P301" s="222"/>
      <c r="Q301" s="222"/>
      <c r="R301" s="222"/>
      <c r="S301" s="222"/>
      <c r="T301" s="222"/>
      <c r="U301" s="222"/>
      <c r="V301" s="222"/>
      <c r="W301" s="222"/>
      <c r="X301" s="222"/>
      <c r="Y301" s="222"/>
      <c r="Z301" s="222"/>
      <c r="AA301" s="222"/>
      <c r="AB301" s="222"/>
    </row>
    <row r="302" spans="1:28" ht="16">
      <c r="A302" s="222"/>
      <c r="B302" s="222"/>
      <c r="C302" s="222"/>
      <c r="D302" s="222"/>
      <c r="E302" s="222"/>
      <c r="F302" s="222"/>
      <c r="G302" s="222"/>
      <c r="H302" s="222"/>
      <c r="I302" s="222"/>
      <c r="J302" s="222"/>
      <c r="K302" s="222"/>
      <c r="L302" s="223"/>
      <c r="M302" s="222"/>
      <c r="N302" s="222"/>
      <c r="O302" s="222"/>
      <c r="P302" s="222"/>
      <c r="Q302" s="222"/>
      <c r="R302" s="222"/>
      <c r="S302" s="222"/>
      <c r="T302" s="222"/>
      <c r="U302" s="222"/>
      <c r="V302" s="222"/>
      <c r="W302" s="222"/>
      <c r="X302" s="222"/>
      <c r="Y302" s="222"/>
      <c r="Z302" s="222"/>
      <c r="AA302" s="222"/>
      <c r="AB302" s="222"/>
    </row>
    <row r="303" spans="1:28" ht="16">
      <c r="A303" s="222"/>
      <c r="B303" s="222"/>
      <c r="C303" s="222"/>
      <c r="D303" s="222"/>
      <c r="E303" s="222"/>
      <c r="F303" s="222"/>
      <c r="G303" s="222"/>
      <c r="H303" s="222"/>
      <c r="I303" s="222"/>
      <c r="J303" s="222"/>
      <c r="K303" s="222"/>
      <c r="L303" s="223"/>
      <c r="M303" s="222"/>
      <c r="N303" s="222"/>
      <c r="O303" s="222"/>
      <c r="P303" s="222"/>
      <c r="Q303" s="222"/>
      <c r="R303" s="222"/>
      <c r="S303" s="222"/>
      <c r="T303" s="222"/>
      <c r="U303" s="222"/>
      <c r="V303" s="222"/>
      <c r="W303" s="222"/>
      <c r="X303" s="222"/>
      <c r="Y303" s="222"/>
      <c r="Z303" s="222"/>
      <c r="AA303" s="222"/>
      <c r="AB303" s="222"/>
    </row>
    <row r="304" spans="1:28" ht="16">
      <c r="A304" s="222"/>
      <c r="B304" s="222"/>
      <c r="C304" s="222"/>
      <c r="D304" s="222"/>
      <c r="E304" s="222"/>
      <c r="F304" s="222"/>
      <c r="G304" s="222"/>
      <c r="H304" s="222"/>
      <c r="I304" s="222"/>
      <c r="J304" s="222"/>
      <c r="K304" s="222"/>
      <c r="L304" s="223"/>
      <c r="M304" s="222"/>
      <c r="N304" s="222"/>
      <c r="O304" s="222"/>
      <c r="P304" s="222"/>
      <c r="Q304" s="222"/>
      <c r="R304" s="222"/>
      <c r="S304" s="222"/>
      <c r="T304" s="222"/>
      <c r="U304" s="222"/>
      <c r="V304" s="222"/>
      <c r="W304" s="222"/>
      <c r="X304" s="222"/>
      <c r="Y304" s="222"/>
      <c r="Z304" s="222"/>
      <c r="AA304" s="222"/>
      <c r="AB304" s="222"/>
    </row>
    <row r="305" spans="1:28" ht="16">
      <c r="A305" s="222"/>
      <c r="B305" s="222"/>
      <c r="C305" s="222"/>
      <c r="D305" s="222"/>
      <c r="E305" s="222"/>
      <c r="F305" s="222"/>
      <c r="G305" s="222"/>
      <c r="H305" s="222"/>
      <c r="I305" s="222"/>
      <c r="J305" s="222"/>
      <c r="K305" s="222"/>
      <c r="L305" s="223"/>
      <c r="M305" s="222"/>
      <c r="N305" s="222"/>
      <c r="O305" s="222"/>
      <c r="P305" s="222"/>
      <c r="Q305" s="222"/>
      <c r="R305" s="222"/>
      <c r="S305" s="222"/>
      <c r="T305" s="222"/>
      <c r="U305" s="222"/>
      <c r="V305" s="222"/>
      <c r="W305" s="222"/>
      <c r="X305" s="222"/>
      <c r="Y305" s="222"/>
      <c r="Z305" s="222"/>
      <c r="AA305" s="222"/>
      <c r="AB305" s="222"/>
    </row>
    <row r="306" spans="1:28" ht="16">
      <c r="A306" s="222"/>
      <c r="B306" s="222"/>
      <c r="C306" s="222"/>
      <c r="D306" s="222"/>
      <c r="E306" s="222"/>
      <c r="F306" s="222"/>
      <c r="G306" s="222"/>
      <c r="H306" s="222"/>
      <c r="I306" s="222"/>
      <c r="J306" s="222"/>
      <c r="K306" s="222"/>
      <c r="L306" s="223"/>
      <c r="M306" s="222"/>
      <c r="N306" s="222"/>
      <c r="O306" s="222"/>
      <c r="P306" s="222"/>
      <c r="Q306" s="222"/>
      <c r="R306" s="222"/>
      <c r="S306" s="222"/>
      <c r="T306" s="222"/>
      <c r="U306" s="222"/>
      <c r="V306" s="222"/>
      <c r="W306" s="222"/>
      <c r="X306" s="222"/>
      <c r="Y306" s="222"/>
      <c r="Z306" s="222"/>
      <c r="AA306" s="222"/>
      <c r="AB306" s="222"/>
    </row>
    <row r="307" spans="1:28" ht="16">
      <c r="A307" s="222"/>
      <c r="B307" s="222"/>
      <c r="C307" s="222"/>
      <c r="D307" s="222"/>
      <c r="E307" s="222"/>
      <c r="F307" s="222"/>
      <c r="G307" s="222"/>
      <c r="H307" s="222"/>
      <c r="I307" s="222"/>
      <c r="J307" s="222"/>
      <c r="K307" s="222"/>
      <c r="L307" s="223"/>
      <c r="M307" s="222"/>
      <c r="N307" s="222"/>
      <c r="O307" s="222"/>
      <c r="P307" s="222"/>
      <c r="Q307" s="222"/>
      <c r="R307" s="222"/>
      <c r="S307" s="222"/>
      <c r="T307" s="222"/>
      <c r="U307" s="222"/>
      <c r="V307" s="222"/>
      <c r="W307" s="222"/>
      <c r="X307" s="222"/>
      <c r="Y307" s="222"/>
      <c r="Z307" s="222"/>
      <c r="AA307" s="222"/>
      <c r="AB307" s="222"/>
    </row>
    <row r="308" spans="1:28" ht="16">
      <c r="A308" s="222"/>
      <c r="B308" s="222"/>
      <c r="C308" s="222"/>
      <c r="D308" s="222"/>
      <c r="E308" s="222"/>
      <c r="F308" s="222"/>
      <c r="G308" s="222"/>
      <c r="H308" s="222"/>
      <c r="I308" s="222"/>
      <c r="J308" s="222"/>
      <c r="K308" s="222"/>
      <c r="L308" s="223"/>
      <c r="M308" s="222"/>
      <c r="N308" s="222"/>
      <c r="O308" s="222"/>
      <c r="P308" s="222"/>
      <c r="Q308" s="222"/>
      <c r="R308" s="222"/>
      <c r="S308" s="222"/>
      <c r="T308" s="222"/>
      <c r="U308" s="222"/>
      <c r="V308" s="222"/>
      <c r="W308" s="222"/>
      <c r="X308" s="222"/>
      <c r="Y308" s="222"/>
      <c r="Z308" s="222"/>
      <c r="AA308" s="222"/>
      <c r="AB308" s="222"/>
    </row>
    <row r="309" spans="1:28" ht="16">
      <c r="A309" s="222"/>
      <c r="B309" s="222"/>
      <c r="C309" s="222"/>
      <c r="D309" s="222"/>
      <c r="E309" s="222"/>
      <c r="F309" s="222"/>
      <c r="G309" s="222"/>
      <c r="H309" s="222"/>
      <c r="I309" s="222"/>
      <c r="J309" s="222"/>
      <c r="K309" s="222"/>
      <c r="L309" s="223"/>
      <c r="M309" s="222"/>
      <c r="N309" s="222"/>
      <c r="O309" s="222"/>
      <c r="P309" s="222"/>
      <c r="Q309" s="222"/>
      <c r="R309" s="222"/>
      <c r="S309" s="222"/>
      <c r="T309" s="222"/>
      <c r="U309" s="222"/>
      <c r="V309" s="222"/>
      <c r="W309" s="222"/>
      <c r="X309" s="222"/>
      <c r="Y309" s="222"/>
      <c r="Z309" s="222"/>
      <c r="AA309" s="222"/>
      <c r="AB309" s="222"/>
    </row>
    <row r="310" spans="1:28" ht="16">
      <c r="A310" s="222"/>
      <c r="B310" s="222"/>
      <c r="C310" s="222"/>
      <c r="D310" s="222"/>
      <c r="E310" s="222"/>
      <c r="F310" s="222"/>
      <c r="G310" s="222"/>
      <c r="H310" s="222"/>
      <c r="I310" s="222"/>
      <c r="J310" s="222"/>
      <c r="K310" s="222"/>
      <c r="L310" s="223"/>
      <c r="M310" s="222"/>
      <c r="N310" s="222"/>
      <c r="O310" s="222"/>
      <c r="P310" s="222"/>
      <c r="Q310" s="222"/>
      <c r="R310" s="222"/>
      <c r="S310" s="222"/>
      <c r="T310" s="222"/>
      <c r="U310" s="222"/>
      <c r="V310" s="222"/>
      <c r="W310" s="222"/>
      <c r="X310" s="222"/>
      <c r="Y310" s="222"/>
      <c r="Z310" s="222"/>
      <c r="AA310" s="222"/>
      <c r="AB310" s="222"/>
    </row>
    <row r="311" spans="1:28" ht="16">
      <c r="A311" s="222"/>
      <c r="B311" s="222"/>
      <c r="C311" s="222"/>
      <c r="D311" s="222"/>
      <c r="E311" s="222"/>
      <c r="F311" s="222"/>
      <c r="G311" s="222"/>
      <c r="H311" s="222"/>
      <c r="I311" s="222"/>
      <c r="J311" s="222"/>
      <c r="K311" s="222"/>
      <c r="L311" s="223"/>
      <c r="M311" s="222"/>
      <c r="N311" s="222"/>
      <c r="O311" s="222"/>
      <c r="P311" s="222"/>
      <c r="Q311" s="222"/>
      <c r="R311" s="222"/>
      <c r="S311" s="222"/>
      <c r="T311" s="222"/>
      <c r="U311" s="222"/>
      <c r="V311" s="222"/>
      <c r="W311" s="222"/>
      <c r="X311" s="222"/>
      <c r="Y311" s="222"/>
      <c r="Z311" s="222"/>
      <c r="AA311" s="222"/>
      <c r="AB311" s="222"/>
    </row>
    <row r="312" spans="1:28" ht="16">
      <c r="A312" s="222"/>
      <c r="B312" s="222"/>
      <c r="C312" s="222"/>
      <c r="D312" s="222"/>
      <c r="E312" s="222"/>
      <c r="F312" s="222"/>
      <c r="G312" s="222"/>
      <c r="H312" s="222"/>
      <c r="I312" s="222"/>
      <c r="J312" s="222"/>
      <c r="K312" s="222"/>
      <c r="L312" s="223"/>
      <c r="M312" s="222"/>
      <c r="N312" s="222"/>
      <c r="O312" s="222"/>
      <c r="P312" s="222"/>
      <c r="Q312" s="222"/>
      <c r="R312" s="222"/>
      <c r="S312" s="222"/>
      <c r="T312" s="222"/>
      <c r="U312" s="222"/>
      <c r="V312" s="222"/>
      <c r="W312" s="222"/>
      <c r="X312" s="222"/>
      <c r="Y312" s="222"/>
      <c r="Z312" s="222"/>
      <c r="AA312" s="222"/>
      <c r="AB312" s="222"/>
    </row>
    <row r="313" spans="1:28" ht="16">
      <c r="A313" s="222"/>
      <c r="B313" s="222"/>
      <c r="C313" s="222"/>
      <c r="D313" s="222"/>
      <c r="E313" s="222"/>
      <c r="F313" s="222"/>
      <c r="G313" s="222"/>
      <c r="H313" s="222"/>
      <c r="I313" s="222"/>
      <c r="J313" s="222"/>
      <c r="K313" s="222"/>
      <c r="L313" s="223"/>
      <c r="M313" s="222"/>
      <c r="N313" s="222"/>
      <c r="O313" s="222"/>
      <c r="P313" s="222"/>
      <c r="Q313" s="222"/>
      <c r="R313" s="222"/>
      <c r="S313" s="222"/>
      <c r="T313" s="222"/>
      <c r="U313" s="222"/>
      <c r="V313" s="222"/>
      <c r="W313" s="222"/>
      <c r="X313" s="222"/>
      <c r="Y313" s="222"/>
      <c r="Z313" s="222"/>
      <c r="AA313" s="222"/>
      <c r="AB313" s="222"/>
    </row>
    <row r="314" spans="1:28" ht="16">
      <c r="A314" s="222"/>
      <c r="B314" s="222"/>
      <c r="C314" s="222"/>
      <c r="D314" s="222"/>
      <c r="E314" s="222"/>
      <c r="F314" s="222"/>
      <c r="G314" s="222"/>
      <c r="H314" s="222"/>
      <c r="I314" s="222"/>
      <c r="J314" s="222"/>
      <c r="K314" s="222"/>
      <c r="L314" s="223"/>
      <c r="M314" s="222"/>
      <c r="N314" s="222"/>
      <c r="O314" s="222"/>
      <c r="P314" s="222"/>
      <c r="Q314" s="222"/>
      <c r="R314" s="222"/>
      <c r="S314" s="222"/>
      <c r="T314" s="222"/>
      <c r="U314" s="222"/>
      <c r="V314" s="222"/>
      <c r="W314" s="222"/>
      <c r="X314" s="222"/>
      <c r="Y314" s="222"/>
      <c r="Z314" s="222"/>
      <c r="AA314" s="222"/>
      <c r="AB314" s="222"/>
    </row>
    <row r="315" spans="1:28" ht="16">
      <c r="A315" s="222"/>
      <c r="B315" s="222"/>
      <c r="C315" s="222"/>
      <c r="D315" s="222"/>
      <c r="E315" s="222"/>
      <c r="F315" s="222"/>
      <c r="G315" s="222"/>
      <c r="H315" s="222"/>
      <c r="I315" s="222"/>
      <c r="J315" s="222"/>
      <c r="K315" s="222"/>
      <c r="L315" s="223"/>
      <c r="M315" s="222"/>
      <c r="N315" s="222"/>
      <c r="O315" s="222"/>
      <c r="P315" s="222"/>
      <c r="Q315" s="222"/>
      <c r="R315" s="222"/>
      <c r="S315" s="222"/>
      <c r="T315" s="222"/>
      <c r="U315" s="222"/>
      <c r="V315" s="222"/>
      <c r="W315" s="222"/>
      <c r="X315" s="222"/>
      <c r="Y315" s="222"/>
      <c r="Z315" s="222"/>
      <c r="AA315" s="222"/>
      <c r="AB315" s="222"/>
    </row>
    <row r="316" spans="1:28" ht="16">
      <c r="A316" s="222"/>
      <c r="B316" s="222"/>
      <c r="C316" s="222"/>
      <c r="D316" s="222"/>
      <c r="E316" s="222"/>
      <c r="F316" s="222"/>
      <c r="G316" s="222"/>
      <c r="H316" s="222"/>
      <c r="I316" s="222"/>
      <c r="J316" s="222"/>
      <c r="K316" s="222"/>
      <c r="L316" s="223"/>
      <c r="M316" s="222"/>
      <c r="N316" s="222"/>
      <c r="O316" s="222"/>
      <c r="P316" s="222"/>
      <c r="Q316" s="222"/>
      <c r="R316" s="222"/>
      <c r="S316" s="222"/>
      <c r="T316" s="222"/>
      <c r="U316" s="222"/>
      <c r="V316" s="222"/>
      <c r="W316" s="222"/>
      <c r="X316" s="222"/>
      <c r="Y316" s="222"/>
      <c r="Z316" s="222"/>
      <c r="AA316" s="222"/>
      <c r="AB316" s="222"/>
    </row>
    <row r="317" spans="1:28" ht="16">
      <c r="A317" s="222"/>
      <c r="B317" s="222"/>
      <c r="C317" s="222"/>
      <c r="D317" s="222"/>
      <c r="E317" s="222"/>
      <c r="F317" s="222"/>
      <c r="G317" s="222"/>
      <c r="H317" s="222"/>
      <c r="I317" s="222"/>
      <c r="J317" s="222"/>
      <c r="K317" s="222"/>
      <c r="L317" s="223"/>
      <c r="M317" s="222"/>
      <c r="N317" s="222"/>
      <c r="O317" s="222"/>
      <c r="P317" s="222"/>
      <c r="Q317" s="222"/>
      <c r="R317" s="222"/>
      <c r="S317" s="222"/>
      <c r="T317" s="222"/>
      <c r="U317" s="222"/>
      <c r="V317" s="222"/>
      <c r="W317" s="222"/>
      <c r="X317" s="222"/>
      <c r="Y317" s="222"/>
      <c r="Z317" s="222"/>
      <c r="AA317" s="222"/>
      <c r="AB317" s="222"/>
    </row>
    <row r="318" spans="1:28" ht="16">
      <c r="A318" s="222"/>
      <c r="B318" s="222"/>
      <c r="C318" s="222"/>
      <c r="D318" s="222"/>
      <c r="E318" s="222"/>
      <c r="F318" s="222"/>
      <c r="G318" s="222"/>
      <c r="H318" s="222"/>
      <c r="I318" s="222"/>
      <c r="J318" s="222"/>
      <c r="K318" s="222"/>
      <c r="L318" s="223"/>
      <c r="M318" s="222"/>
      <c r="N318" s="222"/>
      <c r="O318" s="222"/>
      <c r="P318" s="222"/>
      <c r="Q318" s="222"/>
      <c r="R318" s="222"/>
      <c r="S318" s="222"/>
      <c r="T318" s="222"/>
      <c r="U318" s="222"/>
      <c r="V318" s="222"/>
      <c r="W318" s="222"/>
      <c r="X318" s="222"/>
      <c r="Y318" s="222"/>
      <c r="Z318" s="222"/>
      <c r="AA318" s="222"/>
      <c r="AB318" s="222"/>
    </row>
    <row r="319" spans="1:28" ht="16">
      <c r="A319" s="222"/>
      <c r="B319" s="222"/>
      <c r="C319" s="222"/>
      <c r="D319" s="222"/>
      <c r="E319" s="222"/>
      <c r="F319" s="222"/>
      <c r="G319" s="222"/>
      <c r="H319" s="222"/>
      <c r="I319" s="222"/>
      <c r="J319" s="222"/>
      <c r="K319" s="222"/>
      <c r="L319" s="223"/>
      <c r="M319" s="222"/>
      <c r="N319" s="222"/>
      <c r="O319" s="222"/>
      <c r="P319" s="222"/>
      <c r="Q319" s="222"/>
      <c r="R319" s="222"/>
      <c r="S319" s="222"/>
      <c r="T319" s="222"/>
      <c r="U319" s="222"/>
      <c r="V319" s="222"/>
      <c r="W319" s="222"/>
      <c r="X319" s="222"/>
      <c r="Y319" s="222"/>
      <c r="Z319" s="222"/>
      <c r="AA319" s="222"/>
      <c r="AB319" s="222"/>
    </row>
    <row r="320" spans="1:28" ht="16">
      <c r="A320" s="222"/>
      <c r="B320" s="222"/>
      <c r="C320" s="222"/>
      <c r="D320" s="222"/>
      <c r="E320" s="222"/>
      <c r="F320" s="222"/>
      <c r="G320" s="222"/>
      <c r="H320" s="222"/>
      <c r="I320" s="222"/>
      <c r="J320" s="222"/>
      <c r="K320" s="222"/>
      <c r="L320" s="223"/>
      <c r="M320" s="222"/>
      <c r="N320" s="222"/>
      <c r="O320" s="222"/>
      <c r="P320" s="222"/>
      <c r="Q320" s="222"/>
      <c r="R320" s="222"/>
      <c r="S320" s="222"/>
      <c r="T320" s="222"/>
      <c r="U320" s="222"/>
      <c r="V320" s="222"/>
      <c r="W320" s="222"/>
      <c r="X320" s="222"/>
      <c r="Y320" s="222"/>
      <c r="Z320" s="222"/>
      <c r="AA320" s="222"/>
      <c r="AB320" s="222"/>
    </row>
    <row r="321" spans="1:28" ht="16">
      <c r="A321" s="222"/>
      <c r="B321" s="222"/>
      <c r="C321" s="222"/>
      <c r="D321" s="222"/>
      <c r="E321" s="222"/>
      <c r="F321" s="222"/>
      <c r="G321" s="222"/>
      <c r="H321" s="222"/>
      <c r="I321" s="222"/>
      <c r="J321" s="222"/>
      <c r="K321" s="222"/>
      <c r="L321" s="223"/>
      <c r="M321" s="222"/>
      <c r="N321" s="222"/>
      <c r="O321" s="222"/>
      <c r="P321" s="222"/>
      <c r="Q321" s="222"/>
      <c r="R321" s="222"/>
      <c r="S321" s="222"/>
      <c r="T321" s="222"/>
      <c r="U321" s="222"/>
      <c r="V321" s="222"/>
      <c r="W321" s="222"/>
      <c r="X321" s="222"/>
      <c r="Y321" s="222"/>
      <c r="Z321" s="222"/>
      <c r="AA321" s="222"/>
      <c r="AB321" s="222"/>
    </row>
    <row r="322" spans="1:28" ht="16">
      <c r="A322" s="222"/>
      <c r="B322" s="222"/>
      <c r="C322" s="222"/>
      <c r="D322" s="222"/>
      <c r="E322" s="222"/>
      <c r="F322" s="222"/>
      <c r="G322" s="222"/>
      <c r="H322" s="222"/>
      <c r="I322" s="222"/>
      <c r="J322" s="222"/>
      <c r="K322" s="222"/>
      <c r="L322" s="223"/>
      <c r="M322" s="222"/>
      <c r="N322" s="222"/>
      <c r="O322" s="222"/>
      <c r="P322" s="222"/>
      <c r="Q322" s="222"/>
      <c r="R322" s="222"/>
      <c r="S322" s="222"/>
      <c r="T322" s="222"/>
      <c r="U322" s="222"/>
      <c r="V322" s="222"/>
      <c r="W322" s="222"/>
      <c r="X322" s="222"/>
      <c r="Y322" s="222"/>
      <c r="Z322" s="222"/>
      <c r="AA322" s="222"/>
      <c r="AB322" s="222"/>
    </row>
    <row r="323" spans="1:28" ht="16">
      <c r="A323" s="222"/>
      <c r="B323" s="222"/>
      <c r="C323" s="222"/>
      <c r="D323" s="222"/>
      <c r="E323" s="222"/>
      <c r="F323" s="222"/>
      <c r="G323" s="222"/>
      <c r="H323" s="222"/>
      <c r="I323" s="222"/>
      <c r="J323" s="222"/>
      <c r="K323" s="222"/>
      <c r="L323" s="223"/>
      <c r="M323" s="222"/>
      <c r="N323" s="222"/>
      <c r="O323" s="222"/>
      <c r="P323" s="222"/>
      <c r="Q323" s="222"/>
      <c r="R323" s="222"/>
      <c r="S323" s="222"/>
      <c r="T323" s="222"/>
      <c r="U323" s="222"/>
      <c r="V323" s="222"/>
      <c r="W323" s="222"/>
      <c r="X323" s="222"/>
      <c r="Y323" s="222"/>
      <c r="Z323" s="222"/>
      <c r="AA323" s="222"/>
      <c r="AB323" s="222"/>
    </row>
    <row r="324" spans="1:28" ht="16">
      <c r="A324" s="222"/>
      <c r="B324" s="222"/>
      <c r="C324" s="222"/>
      <c r="D324" s="222"/>
      <c r="E324" s="222"/>
      <c r="F324" s="222"/>
      <c r="G324" s="222"/>
      <c r="H324" s="222"/>
      <c r="I324" s="222"/>
      <c r="J324" s="222"/>
      <c r="K324" s="222"/>
      <c r="L324" s="223"/>
      <c r="M324" s="222"/>
      <c r="N324" s="222"/>
      <c r="O324" s="222"/>
      <c r="P324" s="222"/>
      <c r="Q324" s="222"/>
      <c r="R324" s="222"/>
      <c r="S324" s="222"/>
      <c r="T324" s="222"/>
      <c r="U324" s="222"/>
      <c r="V324" s="222"/>
      <c r="W324" s="222"/>
      <c r="X324" s="222"/>
      <c r="Y324" s="222"/>
      <c r="Z324" s="222"/>
      <c r="AA324" s="222"/>
      <c r="AB324" s="222"/>
    </row>
    <row r="325" spans="1:28" ht="16">
      <c r="A325" s="222"/>
      <c r="B325" s="222"/>
      <c r="C325" s="222"/>
      <c r="D325" s="222"/>
      <c r="E325" s="222"/>
      <c r="F325" s="222"/>
      <c r="G325" s="222"/>
      <c r="H325" s="222"/>
      <c r="I325" s="222"/>
      <c r="J325" s="222"/>
      <c r="K325" s="222"/>
      <c r="L325" s="223"/>
      <c r="M325" s="222"/>
      <c r="N325" s="222"/>
      <c r="O325" s="222"/>
      <c r="P325" s="222"/>
      <c r="Q325" s="222"/>
      <c r="R325" s="222"/>
      <c r="S325" s="222"/>
      <c r="T325" s="222"/>
      <c r="U325" s="222"/>
      <c r="V325" s="222"/>
      <c r="W325" s="222"/>
      <c r="X325" s="222"/>
      <c r="Y325" s="222"/>
      <c r="Z325" s="222"/>
      <c r="AA325" s="222"/>
      <c r="AB325" s="222"/>
    </row>
    <row r="326" spans="1:28" ht="16">
      <c r="A326" s="222"/>
      <c r="B326" s="222"/>
      <c r="C326" s="222"/>
      <c r="D326" s="222"/>
      <c r="E326" s="222"/>
      <c r="F326" s="222"/>
      <c r="G326" s="222"/>
      <c r="H326" s="222"/>
      <c r="I326" s="222"/>
      <c r="J326" s="222"/>
      <c r="K326" s="222"/>
      <c r="L326" s="223"/>
      <c r="M326" s="222"/>
      <c r="N326" s="222"/>
      <c r="O326" s="222"/>
      <c r="P326" s="222"/>
      <c r="Q326" s="222"/>
      <c r="R326" s="222"/>
      <c r="S326" s="222"/>
      <c r="T326" s="222"/>
      <c r="U326" s="222"/>
      <c r="V326" s="222"/>
      <c r="W326" s="222"/>
      <c r="X326" s="222"/>
      <c r="Y326" s="222"/>
      <c r="Z326" s="222"/>
      <c r="AA326" s="222"/>
      <c r="AB326" s="222"/>
    </row>
    <row r="327" spans="1:28" ht="16">
      <c r="A327" s="222"/>
      <c r="B327" s="222"/>
      <c r="C327" s="222"/>
      <c r="D327" s="222"/>
      <c r="E327" s="222"/>
      <c r="F327" s="222"/>
      <c r="G327" s="222"/>
      <c r="H327" s="222"/>
      <c r="I327" s="222"/>
      <c r="J327" s="222"/>
      <c r="K327" s="222"/>
      <c r="L327" s="223"/>
      <c r="M327" s="222"/>
      <c r="N327" s="222"/>
      <c r="O327" s="222"/>
      <c r="P327" s="222"/>
      <c r="Q327" s="222"/>
      <c r="R327" s="222"/>
      <c r="S327" s="222"/>
      <c r="T327" s="222"/>
      <c r="U327" s="222"/>
      <c r="V327" s="222"/>
      <c r="W327" s="222"/>
      <c r="X327" s="222"/>
      <c r="Y327" s="222"/>
      <c r="Z327" s="222"/>
      <c r="AA327" s="222"/>
      <c r="AB327" s="222"/>
    </row>
    <row r="328" spans="1:28" ht="16">
      <c r="A328" s="222"/>
      <c r="B328" s="222"/>
      <c r="C328" s="222"/>
      <c r="D328" s="222"/>
      <c r="E328" s="222"/>
      <c r="F328" s="222"/>
      <c r="G328" s="222"/>
      <c r="H328" s="222"/>
      <c r="I328" s="222"/>
      <c r="J328" s="222"/>
      <c r="K328" s="222"/>
      <c r="L328" s="223"/>
      <c r="M328" s="222"/>
      <c r="N328" s="222"/>
      <c r="O328" s="222"/>
      <c r="P328" s="222"/>
      <c r="Q328" s="222"/>
      <c r="R328" s="222"/>
      <c r="S328" s="222"/>
      <c r="T328" s="222"/>
      <c r="U328" s="222"/>
      <c r="V328" s="222"/>
      <c r="W328" s="222"/>
      <c r="X328" s="222"/>
      <c r="Y328" s="222"/>
      <c r="Z328" s="222"/>
      <c r="AA328" s="222"/>
      <c r="AB328" s="222"/>
    </row>
    <row r="329" spans="1:28" ht="16">
      <c r="A329" s="222"/>
      <c r="B329" s="222"/>
      <c r="C329" s="222"/>
      <c r="D329" s="222"/>
      <c r="E329" s="222"/>
      <c r="F329" s="222"/>
      <c r="G329" s="222"/>
      <c r="H329" s="222"/>
      <c r="I329" s="222"/>
      <c r="J329" s="222"/>
      <c r="K329" s="222"/>
      <c r="L329" s="223"/>
      <c r="M329" s="222"/>
      <c r="N329" s="222"/>
      <c r="O329" s="222"/>
      <c r="P329" s="222"/>
      <c r="Q329" s="222"/>
      <c r="R329" s="222"/>
      <c r="S329" s="222"/>
      <c r="T329" s="222"/>
      <c r="U329" s="222"/>
      <c r="V329" s="222"/>
      <c r="W329" s="222"/>
      <c r="X329" s="222"/>
      <c r="Y329" s="222"/>
      <c r="Z329" s="222"/>
      <c r="AA329" s="222"/>
      <c r="AB329" s="222"/>
    </row>
    <row r="330" spans="1:28" ht="16">
      <c r="A330" s="222"/>
      <c r="B330" s="222"/>
      <c r="C330" s="222"/>
      <c r="D330" s="222"/>
      <c r="E330" s="222"/>
      <c r="F330" s="222"/>
      <c r="G330" s="222"/>
      <c r="H330" s="222"/>
      <c r="I330" s="222"/>
      <c r="J330" s="222"/>
      <c r="K330" s="222"/>
      <c r="L330" s="223"/>
      <c r="M330" s="222"/>
      <c r="N330" s="222"/>
      <c r="O330" s="222"/>
      <c r="P330" s="222"/>
      <c r="Q330" s="222"/>
      <c r="R330" s="222"/>
      <c r="S330" s="222"/>
      <c r="T330" s="222"/>
      <c r="U330" s="222"/>
      <c r="V330" s="222"/>
      <c r="W330" s="222"/>
      <c r="X330" s="222"/>
      <c r="Y330" s="222"/>
      <c r="Z330" s="222"/>
      <c r="AA330" s="222"/>
      <c r="AB330" s="222"/>
    </row>
    <row r="331" spans="1:28" ht="16">
      <c r="A331" s="222"/>
      <c r="B331" s="222"/>
      <c r="C331" s="222"/>
      <c r="D331" s="222"/>
      <c r="E331" s="222"/>
      <c r="F331" s="222"/>
      <c r="G331" s="222"/>
      <c r="H331" s="222"/>
      <c r="I331" s="222"/>
      <c r="J331" s="222"/>
      <c r="K331" s="222"/>
      <c r="L331" s="223"/>
      <c r="M331" s="222"/>
      <c r="N331" s="222"/>
      <c r="O331" s="222"/>
      <c r="P331" s="222"/>
      <c r="Q331" s="222"/>
      <c r="R331" s="222"/>
      <c r="S331" s="222"/>
      <c r="T331" s="222"/>
      <c r="U331" s="222"/>
      <c r="V331" s="222"/>
      <c r="W331" s="222"/>
      <c r="X331" s="222"/>
      <c r="Y331" s="222"/>
      <c r="Z331" s="222"/>
      <c r="AA331" s="222"/>
      <c r="AB331" s="222"/>
    </row>
    <row r="332" spans="1:28" ht="16">
      <c r="A332" s="222"/>
      <c r="B332" s="222"/>
      <c r="C332" s="222"/>
      <c r="D332" s="222"/>
      <c r="E332" s="222"/>
      <c r="F332" s="222"/>
      <c r="G332" s="222"/>
      <c r="H332" s="222"/>
      <c r="I332" s="222"/>
      <c r="J332" s="222"/>
      <c r="K332" s="222"/>
      <c r="L332" s="223"/>
      <c r="M332" s="222"/>
      <c r="N332" s="222"/>
      <c r="O332" s="222"/>
      <c r="P332" s="222"/>
      <c r="Q332" s="222"/>
      <c r="R332" s="222"/>
      <c r="S332" s="222"/>
      <c r="T332" s="222"/>
      <c r="U332" s="222"/>
      <c r="V332" s="222"/>
      <c r="W332" s="222"/>
      <c r="X332" s="222"/>
      <c r="Y332" s="222"/>
      <c r="Z332" s="222"/>
      <c r="AA332" s="222"/>
      <c r="AB332" s="222"/>
    </row>
    <row r="333" spans="1:28" ht="16">
      <c r="A333" s="222"/>
      <c r="B333" s="222"/>
      <c r="C333" s="222"/>
      <c r="D333" s="222"/>
      <c r="E333" s="222"/>
      <c r="F333" s="222"/>
      <c r="G333" s="222"/>
      <c r="H333" s="222"/>
      <c r="I333" s="222"/>
      <c r="J333" s="222"/>
      <c r="K333" s="222"/>
      <c r="L333" s="223"/>
      <c r="M333" s="222"/>
      <c r="N333" s="222"/>
      <c r="O333" s="222"/>
      <c r="P333" s="222"/>
      <c r="Q333" s="222"/>
      <c r="R333" s="222"/>
      <c r="S333" s="222"/>
      <c r="T333" s="222"/>
      <c r="U333" s="222"/>
      <c r="V333" s="222"/>
      <c r="W333" s="222"/>
      <c r="X333" s="222"/>
      <c r="Y333" s="222"/>
      <c r="Z333" s="222"/>
      <c r="AA333" s="222"/>
      <c r="AB333" s="222"/>
    </row>
    <row r="334" spans="1:28" ht="16">
      <c r="A334" s="222"/>
      <c r="B334" s="222"/>
      <c r="C334" s="222"/>
      <c r="D334" s="222"/>
      <c r="E334" s="222"/>
      <c r="F334" s="222"/>
      <c r="G334" s="222"/>
      <c r="H334" s="222"/>
      <c r="I334" s="222"/>
      <c r="J334" s="222"/>
      <c r="K334" s="222"/>
      <c r="L334" s="223"/>
      <c r="M334" s="222"/>
      <c r="N334" s="222"/>
      <c r="O334" s="222"/>
      <c r="P334" s="222"/>
      <c r="Q334" s="222"/>
      <c r="R334" s="222"/>
      <c r="S334" s="222"/>
      <c r="T334" s="222"/>
      <c r="U334" s="222"/>
      <c r="V334" s="222"/>
      <c r="W334" s="222"/>
      <c r="X334" s="222"/>
      <c r="Y334" s="222"/>
      <c r="Z334" s="222"/>
      <c r="AA334" s="222"/>
      <c r="AB334" s="222"/>
    </row>
    <row r="335" spans="1:28" ht="16">
      <c r="A335" s="222"/>
      <c r="B335" s="222"/>
      <c r="C335" s="222"/>
      <c r="D335" s="222"/>
      <c r="E335" s="222"/>
      <c r="F335" s="222"/>
      <c r="G335" s="222"/>
      <c r="H335" s="222"/>
      <c r="I335" s="222"/>
      <c r="J335" s="222"/>
      <c r="K335" s="222"/>
      <c r="L335" s="223"/>
      <c r="M335" s="222"/>
      <c r="N335" s="222"/>
      <c r="O335" s="222"/>
      <c r="P335" s="222"/>
      <c r="Q335" s="222"/>
      <c r="R335" s="222"/>
      <c r="S335" s="222"/>
      <c r="T335" s="222"/>
      <c r="U335" s="222"/>
      <c r="V335" s="222"/>
      <c r="W335" s="222"/>
      <c r="X335" s="222"/>
      <c r="Y335" s="222"/>
      <c r="Z335" s="222"/>
      <c r="AA335" s="222"/>
      <c r="AB335" s="222"/>
    </row>
    <row r="336" spans="1:28" ht="16">
      <c r="A336" s="222"/>
      <c r="B336" s="222"/>
      <c r="C336" s="222"/>
      <c r="D336" s="222"/>
      <c r="E336" s="222"/>
      <c r="F336" s="222"/>
      <c r="G336" s="222"/>
      <c r="H336" s="222"/>
      <c r="I336" s="222"/>
      <c r="J336" s="222"/>
      <c r="K336" s="222"/>
      <c r="L336" s="223"/>
      <c r="M336" s="222"/>
      <c r="N336" s="222"/>
      <c r="O336" s="222"/>
      <c r="P336" s="222"/>
      <c r="Q336" s="222"/>
      <c r="R336" s="222"/>
      <c r="S336" s="222"/>
      <c r="T336" s="222"/>
      <c r="U336" s="222"/>
      <c r="V336" s="222"/>
      <c r="W336" s="222"/>
      <c r="X336" s="222"/>
      <c r="Y336" s="222"/>
      <c r="Z336" s="222"/>
      <c r="AA336" s="222"/>
      <c r="AB336" s="222"/>
    </row>
    <row r="337" spans="1:28" ht="16">
      <c r="A337" s="222"/>
      <c r="B337" s="222"/>
      <c r="C337" s="222"/>
      <c r="D337" s="222"/>
      <c r="E337" s="222"/>
      <c r="F337" s="222"/>
      <c r="G337" s="222"/>
      <c r="H337" s="222"/>
      <c r="I337" s="222"/>
      <c r="J337" s="222"/>
      <c r="K337" s="222"/>
      <c r="L337" s="223"/>
      <c r="M337" s="222"/>
      <c r="N337" s="222"/>
      <c r="O337" s="222"/>
      <c r="P337" s="222"/>
      <c r="Q337" s="222"/>
      <c r="R337" s="222"/>
      <c r="S337" s="222"/>
      <c r="T337" s="222"/>
      <c r="U337" s="222"/>
      <c r="V337" s="222"/>
      <c r="W337" s="222"/>
      <c r="X337" s="222"/>
      <c r="Y337" s="222"/>
      <c r="Z337" s="222"/>
      <c r="AA337" s="222"/>
      <c r="AB337" s="222"/>
    </row>
    <row r="338" spans="1:28" ht="16">
      <c r="A338" s="222"/>
      <c r="B338" s="222"/>
      <c r="C338" s="222"/>
      <c r="D338" s="222"/>
      <c r="E338" s="222"/>
      <c r="F338" s="222"/>
      <c r="G338" s="222"/>
      <c r="H338" s="222"/>
      <c r="I338" s="222"/>
      <c r="J338" s="222"/>
      <c r="K338" s="222"/>
      <c r="L338" s="223"/>
      <c r="M338" s="222"/>
      <c r="N338" s="222"/>
      <c r="O338" s="222"/>
      <c r="P338" s="222"/>
      <c r="Q338" s="222"/>
      <c r="R338" s="222"/>
      <c r="S338" s="222"/>
      <c r="T338" s="222"/>
      <c r="U338" s="222"/>
      <c r="V338" s="222"/>
      <c r="W338" s="222"/>
      <c r="X338" s="222"/>
      <c r="Y338" s="222"/>
      <c r="Z338" s="222"/>
      <c r="AA338" s="222"/>
      <c r="AB338" s="222"/>
    </row>
    <row r="339" spans="1:28" ht="16">
      <c r="A339" s="222"/>
      <c r="B339" s="222"/>
      <c r="C339" s="222"/>
      <c r="D339" s="222"/>
      <c r="E339" s="222"/>
      <c r="F339" s="222"/>
      <c r="G339" s="222"/>
      <c r="H339" s="222"/>
      <c r="I339" s="222"/>
      <c r="J339" s="222"/>
      <c r="K339" s="222"/>
      <c r="L339" s="223"/>
      <c r="M339" s="222"/>
      <c r="N339" s="222"/>
      <c r="O339" s="222"/>
      <c r="P339" s="222"/>
      <c r="Q339" s="222"/>
      <c r="R339" s="222"/>
      <c r="S339" s="222"/>
      <c r="T339" s="222"/>
      <c r="U339" s="222"/>
      <c r="V339" s="222"/>
      <c r="W339" s="222"/>
      <c r="X339" s="222"/>
      <c r="Y339" s="222"/>
      <c r="Z339" s="222"/>
      <c r="AA339" s="222"/>
      <c r="AB339" s="222"/>
    </row>
    <row r="340" spans="1:28" ht="16">
      <c r="A340" s="222"/>
      <c r="B340" s="222"/>
      <c r="C340" s="222"/>
      <c r="D340" s="222"/>
      <c r="E340" s="222"/>
      <c r="F340" s="222"/>
      <c r="G340" s="222"/>
      <c r="H340" s="222"/>
      <c r="I340" s="222"/>
      <c r="J340" s="222"/>
      <c r="K340" s="222"/>
      <c r="L340" s="223"/>
      <c r="M340" s="222"/>
      <c r="N340" s="222"/>
      <c r="O340" s="222"/>
      <c r="P340" s="222"/>
      <c r="Q340" s="222"/>
      <c r="R340" s="222"/>
      <c r="S340" s="222"/>
      <c r="T340" s="222"/>
      <c r="U340" s="222"/>
      <c r="V340" s="222"/>
      <c r="W340" s="222"/>
      <c r="X340" s="222"/>
      <c r="Y340" s="222"/>
      <c r="Z340" s="222"/>
      <c r="AA340" s="222"/>
      <c r="AB340" s="222"/>
    </row>
    <row r="341" spans="1:28" ht="16">
      <c r="A341" s="222"/>
      <c r="B341" s="222"/>
      <c r="C341" s="222"/>
      <c r="D341" s="222"/>
      <c r="E341" s="222"/>
      <c r="F341" s="222"/>
      <c r="G341" s="222"/>
      <c r="H341" s="222"/>
      <c r="I341" s="222"/>
      <c r="J341" s="222"/>
      <c r="K341" s="222"/>
      <c r="L341" s="223"/>
      <c r="M341" s="222"/>
      <c r="N341" s="222"/>
      <c r="O341" s="222"/>
      <c r="P341" s="222"/>
      <c r="Q341" s="222"/>
      <c r="R341" s="222"/>
      <c r="S341" s="222"/>
      <c r="T341" s="222"/>
      <c r="U341" s="222"/>
      <c r="V341" s="222"/>
      <c r="W341" s="222"/>
      <c r="X341" s="222"/>
      <c r="Y341" s="222"/>
      <c r="Z341" s="222"/>
      <c r="AA341" s="222"/>
      <c r="AB341" s="222"/>
    </row>
    <row r="342" spans="1:28" ht="16">
      <c r="A342" s="222"/>
      <c r="B342" s="222"/>
      <c r="C342" s="222"/>
      <c r="D342" s="222"/>
      <c r="E342" s="222"/>
      <c r="F342" s="222"/>
      <c r="G342" s="222"/>
      <c r="H342" s="222"/>
      <c r="I342" s="222"/>
      <c r="J342" s="222"/>
      <c r="K342" s="222"/>
      <c r="L342" s="223"/>
      <c r="M342" s="222"/>
      <c r="N342" s="222"/>
      <c r="O342" s="222"/>
      <c r="P342" s="222"/>
      <c r="Q342" s="222"/>
      <c r="R342" s="222"/>
      <c r="S342" s="222"/>
      <c r="T342" s="222"/>
      <c r="U342" s="222"/>
      <c r="V342" s="222"/>
      <c r="W342" s="222"/>
      <c r="X342" s="222"/>
      <c r="Y342" s="222"/>
      <c r="Z342" s="222"/>
      <c r="AA342" s="222"/>
      <c r="AB342" s="222"/>
    </row>
    <row r="343" spans="1:28" ht="16">
      <c r="A343" s="222"/>
      <c r="B343" s="222"/>
      <c r="C343" s="222"/>
      <c r="D343" s="222"/>
      <c r="E343" s="222"/>
      <c r="F343" s="222"/>
      <c r="G343" s="222"/>
      <c r="H343" s="222"/>
      <c r="I343" s="222"/>
      <c r="J343" s="222"/>
      <c r="K343" s="222"/>
      <c r="L343" s="223"/>
      <c r="M343" s="222"/>
      <c r="N343" s="222"/>
      <c r="O343" s="222"/>
      <c r="P343" s="222"/>
      <c r="Q343" s="222"/>
      <c r="R343" s="222"/>
      <c r="S343" s="222"/>
      <c r="T343" s="222"/>
      <c r="U343" s="222"/>
      <c r="V343" s="222"/>
      <c r="W343" s="222"/>
      <c r="X343" s="222"/>
      <c r="Y343" s="222"/>
      <c r="Z343" s="222"/>
      <c r="AA343" s="222"/>
      <c r="AB343" s="222"/>
    </row>
    <row r="344" spans="1:28" ht="16">
      <c r="A344" s="222"/>
      <c r="B344" s="222"/>
      <c r="C344" s="222"/>
      <c r="D344" s="222"/>
      <c r="E344" s="222"/>
      <c r="F344" s="222"/>
      <c r="G344" s="222"/>
      <c r="H344" s="222"/>
      <c r="I344" s="222"/>
      <c r="J344" s="222"/>
      <c r="K344" s="222"/>
      <c r="L344" s="223"/>
      <c r="M344" s="222"/>
      <c r="N344" s="222"/>
      <c r="O344" s="222"/>
      <c r="P344" s="222"/>
      <c r="Q344" s="222"/>
      <c r="R344" s="222"/>
      <c r="S344" s="222"/>
      <c r="T344" s="222"/>
      <c r="U344" s="222"/>
      <c r="V344" s="222"/>
      <c r="W344" s="222"/>
      <c r="X344" s="222"/>
      <c r="Y344" s="222"/>
      <c r="Z344" s="222"/>
      <c r="AA344" s="222"/>
      <c r="AB344" s="222"/>
    </row>
    <row r="345" spans="1:28" ht="16">
      <c r="A345" s="222"/>
      <c r="B345" s="222"/>
      <c r="C345" s="222"/>
      <c r="D345" s="222"/>
      <c r="E345" s="222"/>
      <c r="F345" s="222"/>
      <c r="G345" s="222"/>
      <c r="H345" s="222"/>
      <c r="I345" s="222"/>
      <c r="J345" s="222"/>
      <c r="K345" s="222"/>
      <c r="L345" s="223"/>
      <c r="M345" s="222"/>
      <c r="N345" s="222"/>
      <c r="O345" s="222"/>
      <c r="P345" s="222"/>
      <c r="Q345" s="222"/>
      <c r="R345" s="222"/>
      <c r="S345" s="222"/>
      <c r="T345" s="222"/>
      <c r="U345" s="222"/>
      <c r="V345" s="222"/>
      <c r="W345" s="222"/>
      <c r="X345" s="222"/>
      <c r="Y345" s="222"/>
      <c r="Z345" s="222"/>
      <c r="AA345" s="222"/>
      <c r="AB345" s="222"/>
    </row>
    <row r="346" spans="1:28" ht="16">
      <c r="A346" s="222"/>
      <c r="B346" s="222"/>
      <c r="C346" s="222"/>
      <c r="D346" s="222"/>
      <c r="E346" s="222"/>
      <c r="F346" s="222"/>
      <c r="G346" s="222"/>
      <c r="H346" s="222"/>
      <c r="I346" s="222"/>
      <c r="J346" s="222"/>
      <c r="K346" s="222"/>
      <c r="L346" s="223"/>
      <c r="M346" s="222"/>
      <c r="N346" s="222"/>
      <c r="O346" s="222"/>
      <c r="P346" s="222"/>
      <c r="Q346" s="222"/>
      <c r="R346" s="222"/>
      <c r="S346" s="222"/>
      <c r="T346" s="222"/>
      <c r="U346" s="222"/>
      <c r="V346" s="222"/>
      <c r="W346" s="222"/>
      <c r="X346" s="222"/>
      <c r="Y346" s="222"/>
      <c r="Z346" s="222"/>
      <c r="AA346" s="222"/>
      <c r="AB346" s="222"/>
    </row>
    <row r="347" spans="1:28" ht="16">
      <c r="A347" s="222"/>
      <c r="B347" s="222"/>
      <c r="C347" s="222"/>
      <c r="D347" s="222"/>
      <c r="E347" s="222"/>
      <c r="F347" s="222"/>
      <c r="G347" s="222"/>
      <c r="H347" s="222"/>
      <c r="I347" s="222"/>
      <c r="J347" s="222"/>
      <c r="K347" s="222"/>
      <c r="L347" s="223"/>
      <c r="M347" s="222"/>
      <c r="N347" s="222"/>
      <c r="O347" s="222"/>
      <c r="P347" s="222"/>
      <c r="Q347" s="222"/>
      <c r="R347" s="222"/>
      <c r="S347" s="222"/>
      <c r="T347" s="222"/>
      <c r="U347" s="222"/>
      <c r="V347" s="222"/>
      <c r="W347" s="222"/>
      <c r="X347" s="222"/>
      <c r="Y347" s="222"/>
      <c r="Z347" s="222"/>
      <c r="AA347" s="222"/>
      <c r="AB347" s="222"/>
    </row>
    <row r="348" spans="1:28" ht="16">
      <c r="A348" s="222"/>
      <c r="B348" s="222"/>
      <c r="C348" s="222"/>
      <c r="D348" s="222"/>
      <c r="E348" s="222"/>
      <c r="F348" s="222"/>
      <c r="G348" s="222"/>
      <c r="H348" s="222"/>
      <c r="I348" s="222"/>
      <c r="J348" s="222"/>
      <c r="K348" s="222"/>
      <c r="L348" s="223"/>
      <c r="M348" s="222"/>
      <c r="N348" s="222"/>
      <c r="O348" s="222"/>
      <c r="P348" s="222"/>
      <c r="Q348" s="222"/>
      <c r="R348" s="222"/>
      <c r="S348" s="222"/>
      <c r="T348" s="222"/>
      <c r="U348" s="222"/>
      <c r="V348" s="222"/>
      <c r="W348" s="222"/>
      <c r="X348" s="222"/>
      <c r="Y348" s="222"/>
      <c r="Z348" s="222"/>
      <c r="AA348" s="222"/>
      <c r="AB348" s="222"/>
    </row>
    <row r="349" spans="1:28" ht="16">
      <c r="A349" s="222"/>
      <c r="B349" s="222"/>
      <c r="C349" s="222"/>
      <c r="D349" s="222"/>
      <c r="E349" s="222"/>
      <c r="F349" s="222"/>
      <c r="G349" s="222"/>
      <c r="H349" s="222"/>
      <c r="I349" s="222"/>
      <c r="J349" s="222"/>
      <c r="K349" s="222"/>
      <c r="L349" s="223"/>
      <c r="M349" s="222"/>
      <c r="N349" s="222"/>
      <c r="O349" s="222"/>
      <c r="P349" s="222"/>
      <c r="Q349" s="222"/>
      <c r="R349" s="222"/>
      <c r="S349" s="222"/>
      <c r="T349" s="222"/>
      <c r="U349" s="222"/>
      <c r="V349" s="222"/>
      <c r="W349" s="222"/>
      <c r="X349" s="222"/>
      <c r="Y349" s="222"/>
      <c r="Z349" s="222"/>
      <c r="AA349" s="222"/>
      <c r="AB349" s="222"/>
    </row>
    <row r="350" spans="1:28" ht="16">
      <c r="A350" s="222"/>
      <c r="B350" s="222"/>
      <c r="C350" s="222"/>
      <c r="D350" s="222"/>
      <c r="E350" s="222"/>
      <c r="F350" s="222"/>
      <c r="G350" s="222"/>
      <c r="H350" s="222"/>
      <c r="I350" s="222"/>
      <c r="J350" s="222"/>
      <c r="K350" s="222"/>
      <c r="L350" s="223"/>
      <c r="M350" s="222"/>
      <c r="N350" s="222"/>
      <c r="O350" s="222"/>
      <c r="P350" s="222"/>
      <c r="Q350" s="222"/>
      <c r="R350" s="222"/>
      <c r="S350" s="222"/>
      <c r="T350" s="222"/>
      <c r="U350" s="222"/>
      <c r="V350" s="222"/>
      <c r="W350" s="222"/>
      <c r="X350" s="222"/>
      <c r="Y350" s="222"/>
      <c r="Z350" s="222"/>
      <c r="AA350" s="222"/>
      <c r="AB350" s="222"/>
    </row>
    <row r="351" spans="1:28" ht="16">
      <c r="A351" s="222"/>
      <c r="B351" s="222"/>
      <c r="C351" s="222"/>
      <c r="D351" s="222"/>
      <c r="E351" s="222"/>
      <c r="F351" s="222"/>
      <c r="G351" s="222"/>
      <c r="H351" s="222"/>
      <c r="I351" s="222"/>
      <c r="J351" s="222"/>
      <c r="K351" s="222"/>
      <c r="L351" s="223"/>
      <c r="M351" s="222"/>
      <c r="N351" s="222"/>
      <c r="O351" s="222"/>
      <c r="P351" s="222"/>
      <c r="Q351" s="222"/>
      <c r="R351" s="222"/>
      <c r="S351" s="222"/>
      <c r="T351" s="222"/>
      <c r="U351" s="222"/>
      <c r="V351" s="222"/>
      <c r="W351" s="222"/>
      <c r="X351" s="222"/>
      <c r="Y351" s="222"/>
      <c r="Z351" s="222"/>
      <c r="AA351" s="222"/>
      <c r="AB351" s="222"/>
    </row>
    <row r="352" spans="1:28" ht="16">
      <c r="A352" s="222"/>
      <c r="B352" s="222"/>
      <c r="C352" s="222"/>
      <c r="D352" s="222"/>
      <c r="E352" s="222"/>
      <c r="F352" s="222"/>
      <c r="G352" s="222"/>
      <c r="H352" s="222"/>
      <c r="I352" s="222"/>
      <c r="J352" s="222"/>
      <c r="K352" s="222"/>
      <c r="L352" s="223"/>
      <c r="M352" s="222"/>
      <c r="N352" s="222"/>
      <c r="O352" s="222"/>
      <c r="P352" s="222"/>
      <c r="Q352" s="222"/>
      <c r="R352" s="222"/>
      <c r="S352" s="222"/>
      <c r="T352" s="222"/>
      <c r="U352" s="222"/>
      <c r="V352" s="222"/>
      <c r="W352" s="222"/>
      <c r="X352" s="222"/>
      <c r="Y352" s="222"/>
      <c r="Z352" s="222"/>
      <c r="AA352" s="222"/>
      <c r="AB352" s="222"/>
    </row>
    <row r="353" spans="1:28" ht="16">
      <c r="A353" s="222"/>
      <c r="B353" s="222"/>
      <c r="C353" s="222"/>
      <c r="D353" s="222"/>
      <c r="E353" s="222"/>
      <c r="F353" s="222"/>
      <c r="G353" s="222"/>
      <c r="H353" s="222"/>
      <c r="I353" s="222"/>
      <c r="J353" s="222"/>
      <c r="K353" s="222"/>
      <c r="L353" s="223"/>
      <c r="M353" s="222"/>
      <c r="N353" s="222"/>
      <c r="O353" s="222"/>
      <c r="P353" s="222"/>
      <c r="Q353" s="222"/>
      <c r="R353" s="222"/>
      <c r="S353" s="222"/>
      <c r="T353" s="222"/>
      <c r="U353" s="222"/>
      <c r="V353" s="222"/>
      <c r="W353" s="222"/>
      <c r="X353" s="222"/>
      <c r="Y353" s="222"/>
      <c r="Z353" s="222"/>
      <c r="AA353" s="222"/>
      <c r="AB353" s="222"/>
    </row>
    <row r="354" spans="1:28" ht="16">
      <c r="A354" s="222"/>
      <c r="B354" s="222"/>
      <c r="C354" s="222"/>
      <c r="D354" s="222"/>
      <c r="E354" s="222"/>
      <c r="F354" s="222"/>
      <c r="G354" s="222"/>
      <c r="H354" s="222"/>
      <c r="I354" s="222"/>
      <c r="J354" s="222"/>
      <c r="K354" s="222"/>
      <c r="L354" s="223"/>
      <c r="M354" s="222"/>
      <c r="N354" s="222"/>
      <c r="O354" s="222"/>
      <c r="P354" s="222"/>
      <c r="Q354" s="222"/>
      <c r="R354" s="222"/>
      <c r="S354" s="222"/>
      <c r="T354" s="222"/>
      <c r="U354" s="222"/>
      <c r="V354" s="222"/>
      <c r="W354" s="222"/>
      <c r="X354" s="222"/>
      <c r="Y354" s="222"/>
      <c r="Z354" s="222"/>
      <c r="AA354" s="222"/>
      <c r="AB354" s="222"/>
    </row>
    <row r="355" spans="1:28" ht="16">
      <c r="A355" s="222"/>
      <c r="B355" s="222"/>
      <c r="C355" s="222"/>
      <c r="D355" s="222"/>
      <c r="E355" s="222"/>
      <c r="F355" s="222"/>
      <c r="G355" s="222"/>
      <c r="H355" s="222"/>
      <c r="I355" s="222"/>
      <c r="J355" s="222"/>
      <c r="K355" s="222"/>
      <c r="L355" s="223"/>
      <c r="M355" s="222"/>
      <c r="N355" s="222"/>
      <c r="O355" s="222"/>
      <c r="P355" s="222"/>
      <c r="Q355" s="222"/>
      <c r="R355" s="222"/>
      <c r="S355" s="222"/>
      <c r="T355" s="222"/>
      <c r="U355" s="222"/>
      <c r="V355" s="222"/>
      <c r="W355" s="222"/>
      <c r="X355" s="222"/>
      <c r="Y355" s="222"/>
      <c r="Z355" s="222"/>
      <c r="AA355" s="222"/>
      <c r="AB355" s="222"/>
    </row>
    <row r="356" spans="1:28" ht="16">
      <c r="A356" s="222"/>
      <c r="B356" s="222"/>
      <c r="C356" s="222"/>
      <c r="D356" s="222"/>
      <c r="E356" s="222"/>
      <c r="F356" s="222"/>
      <c r="G356" s="222"/>
      <c r="H356" s="222"/>
      <c r="I356" s="222"/>
      <c r="J356" s="222"/>
      <c r="K356" s="222"/>
      <c r="L356" s="223"/>
      <c r="M356" s="222"/>
      <c r="N356" s="222"/>
      <c r="O356" s="222"/>
      <c r="P356" s="222"/>
      <c r="Q356" s="222"/>
      <c r="R356" s="222"/>
      <c r="S356" s="222"/>
      <c r="T356" s="222"/>
      <c r="U356" s="222"/>
      <c r="V356" s="222"/>
      <c r="W356" s="222"/>
      <c r="X356" s="222"/>
      <c r="Y356" s="222"/>
      <c r="Z356" s="222"/>
      <c r="AA356" s="222"/>
      <c r="AB356" s="222"/>
    </row>
    <row r="357" spans="1:28" ht="16">
      <c r="A357" s="222"/>
      <c r="B357" s="222"/>
      <c r="C357" s="222"/>
      <c r="D357" s="222"/>
      <c r="E357" s="222"/>
      <c r="F357" s="222"/>
      <c r="G357" s="222"/>
      <c r="H357" s="222"/>
      <c r="I357" s="222"/>
      <c r="J357" s="222"/>
      <c r="K357" s="222"/>
      <c r="L357" s="223"/>
      <c r="M357" s="222"/>
      <c r="N357" s="222"/>
      <c r="O357" s="222"/>
      <c r="P357" s="222"/>
      <c r="Q357" s="222"/>
      <c r="R357" s="222"/>
      <c r="S357" s="222"/>
      <c r="T357" s="222"/>
      <c r="U357" s="222"/>
      <c r="V357" s="222"/>
      <c r="W357" s="222"/>
      <c r="X357" s="222"/>
      <c r="Y357" s="222"/>
      <c r="Z357" s="222"/>
      <c r="AA357" s="222"/>
      <c r="AB357" s="222"/>
    </row>
    <row r="358" spans="1:28" ht="16">
      <c r="A358" s="222"/>
      <c r="B358" s="222"/>
      <c r="C358" s="222"/>
      <c r="D358" s="222"/>
      <c r="E358" s="222"/>
      <c r="F358" s="222"/>
      <c r="G358" s="222"/>
      <c r="H358" s="222"/>
      <c r="I358" s="222"/>
      <c r="J358" s="222"/>
      <c r="K358" s="222"/>
      <c r="L358" s="223"/>
      <c r="M358" s="222"/>
      <c r="N358" s="222"/>
      <c r="O358" s="222"/>
      <c r="P358" s="222"/>
      <c r="Q358" s="222"/>
      <c r="R358" s="222"/>
      <c r="S358" s="222"/>
      <c r="T358" s="222"/>
      <c r="U358" s="222"/>
      <c r="V358" s="222"/>
      <c r="W358" s="222"/>
      <c r="X358" s="222"/>
      <c r="Y358" s="222"/>
      <c r="Z358" s="222"/>
      <c r="AA358" s="222"/>
      <c r="AB358" s="222"/>
    </row>
    <row r="359" spans="1:28" ht="16">
      <c r="A359" s="222"/>
      <c r="B359" s="222"/>
      <c r="C359" s="222"/>
      <c r="D359" s="222"/>
      <c r="E359" s="222"/>
      <c r="F359" s="222"/>
      <c r="G359" s="222"/>
      <c r="H359" s="222"/>
      <c r="I359" s="222"/>
      <c r="J359" s="222"/>
      <c r="K359" s="222"/>
      <c r="L359" s="223"/>
      <c r="M359" s="222"/>
      <c r="N359" s="222"/>
      <c r="O359" s="222"/>
      <c r="P359" s="222"/>
      <c r="Q359" s="222"/>
      <c r="R359" s="222"/>
      <c r="S359" s="222"/>
      <c r="T359" s="222"/>
      <c r="U359" s="222"/>
      <c r="V359" s="222"/>
      <c r="W359" s="222"/>
      <c r="X359" s="222"/>
      <c r="Y359" s="222"/>
      <c r="Z359" s="222"/>
      <c r="AA359" s="222"/>
      <c r="AB359" s="222"/>
    </row>
    <row r="360" spans="1:28" ht="16">
      <c r="A360" s="222"/>
      <c r="B360" s="222"/>
      <c r="C360" s="222"/>
      <c r="D360" s="222"/>
      <c r="E360" s="222"/>
      <c r="F360" s="222"/>
      <c r="G360" s="222"/>
      <c r="H360" s="222"/>
      <c r="I360" s="222"/>
      <c r="J360" s="222"/>
      <c r="K360" s="222"/>
      <c r="L360" s="223"/>
      <c r="M360" s="222"/>
      <c r="N360" s="222"/>
      <c r="O360" s="222"/>
      <c r="P360" s="222"/>
      <c r="Q360" s="222"/>
      <c r="R360" s="222"/>
      <c r="S360" s="222"/>
      <c r="T360" s="222"/>
      <c r="U360" s="222"/>
      <c r="V360" s="222"/>
      <c r="W360" s="222"/>
      <c r="X360" s="222"/>
      <c r="Y360" s="222"/>
      <c r="Z360" s="222"/>
      <c r="AA360" s="222"/>
      <c r="AB360" s="222"/>
    </row>
    <row r="361" spans="1:28" ht="16">
      <c r="A361" s="222"/>
      <c r="B361" s="222"/>
      <c r="C361" s="222"/>
      <c r="D361" s="222"/>
      <c r="E361" s="222"/>
      <c r="F361" s="222"/>
      <c r="G361" s="222"/>
      <c r="H361" s="222"/>
      <c r="I361" s="222"/>
      <c r="J361" s="222"/>
      <c r="K361" s="222"/>
      <c r="L361" s="223"/>
      <c r="M361" s="222"/>
      <c r="N361" s="222"/>
      <c r="O361" s="222"/>
      <c r="P361" s="222"/>
      <c r="Q361" s="222"/>
      <c r="R361" s="222"/>
      <c r="S361" s="222"/>
      <c r="T361" s="222"/>
      <c r="U361" s="222"/>
      <c r="V361" s="222"/>
      <c r="W361" s="222"/>
      <c r="X361" s="222"/>
      <c r="Y361" s="222"/>
      <c r="Z361" s="222"/>
      <c r="AA361" s="222"/>
      <c r="AB361" s="222"/>
    </row>
    <row r="362" spans="1:28" ht="16">
      <c r="A362" s="222"/>
      <c r="B362" s="222"/>
      <c r="C362" s="222"/>
      <c r="D362" s="222"/>
      <c r="E362" s="222"/>
      <c r="F362" s="222"/>
      <c r="G362" s="222"/>
      <c r="H362" s="222"/>
      <c r="I362" s="222"/>
      <c r="J362" s="222"/>
      <c r="K362" s="222"/>
      <c r="L362" s="223"/>
      <c r="M362" s="222"/>
      <c r="N362" s="222"/>
      <c r="O362" s="222"/>
      <c r="P362" s="222"/>
      <c r="Q362" s="222"/>
      <c r="R362" s="222"/>
      <c r="S362" s="222"/>
      <c r="T362" s="222"/>
      <c r="U362" s="222"/>
      <c r="V362" s="222"/>
      <c r="W362" s="222"/>
      <c r="X362" s="222"/>
      <c r="Y362" s="222"/>
      <c r="Z362" s="222"/>
      <c r="AA362" s="222"/>
      <c r="AB362" s="222"/>
    </row>
    <row r="363" spans="1:28" ht="16">
      <c r="A363" s="222"/>
      <c r="B363" s="222"/>
      <c r="C363" s="222"/>
      <c r="D363" s="222"/>
      <c r="E363" s="222"/>
      <c r="F363" s="222"/>
      <c r="G363" s="222"/>
      <c r="H363" s="222"/>
      <c r="I363" s="222"/>
      <c r="J363" s="222"/>
      <c r="K363" s="222"/>
      <c r="L363" s="223"/>
      <c r="M363" s="222"/>
      <c r="N363" s="222"/>
      <c r="O363" s="222"/>
      <c r="P363" s="222"/>
      <c r="Q363" s="222"/>
      <c r="R363" s="222"/>
      <c r="S363" s="222"/>
      <c r="T363" s="222"/>
      <c r="U363" s="222"/>
      <c r="V363" s="222"/>
      <c r="W363" s="222"/>
      <c r="X363" s="222"/>
      <c r="Y363" s="222"/>
      <c r="Z363" s="222"/>
      <c r="AA363" s="222"/>
      <c r="AB363" s="222"/>
    </row>
    <row r="364" spans="1:28" ht="16">
      <c r="A364" s="222"/>
      <c r="B364" s="222"/>
      <c r="C364" s="222"/>
      <c r="D364" s="222"/>
      <c r="E364" s="222"/>
      <c r="F364" s="222"/>
      <c r="G364" s="222"/>
      <c r="H364" s="222"/>
      <c r="I364" s="222"/>
      <c r="J364" s="222"/>
      <c r="K364" s="222"/>
      <c r="L364" s="223"/>
      <c r="M364" s="222"/>
      <c r="N364" s="222"/>
      <c r="O364" s="222"/>
      <c r="P364" s="222"/>
      <c r="Q364" s="222"/>
      <c r="R364" s="222"/>
      <c r="S364" s="222"/>
      <c r="T364" s="222"/>
      <c r="U364" s="222"/>
      <c r="V364" s="222"/>
      <c r="W364" s="222"/>
      <c r="X364" s="222"/>
      <c r="Y364" s="222"/>
      <c r="Z364" s="222"/>
      <c r="AA364" s="222"/>
      <c r="AB364" s="222"/>
    </row>
    <row r="365" spans="1:28" ht="16">
      <c r="A365" s="222"/>
      <c r="B365" s="222"/>
      <c r="C365" s="222"/>
      <c r="D365" s="222"/>
      <c r="E365" s="222"/>
      <c r="F365" s="222"/>
      <c r="G365" s="222"/>
      <c r="H365" s="222"/>
      <c r="I365" s="222"/>
      <c r="J365" s="222"/>
      <c r="K365" s="222"/>
      <c r="L365" s="223"/>
      <c r="M365" s="222"/>
      <c r="N365" s="222"/>
      <c r="O365" s="222"/>
      <c r="P365" s="222"/>
      <c r="Q365" s="222"/>
      <c r="R365" s="222"/>
      <c r="S365" s="222"/>
      <c r="T365" s="222"/>
      <c r="U365" s="222"/>
      <c r="V365" s="222"/>
      <c r="W365" s="222"/>
      <c r="X365" s="222"/>
      <c r="Y365" s="222"/>
      <c r="Z365" s="222"/>
      <c r="AA365" s="222"/>
      <c r="AB365" s="222"/>
    </row>
    <row r="366" spans="1:28" ht="16">
      <c r="A366" s="222"/>
      <c r="B366" s="222"/>
      <c r="C366" s="222"/>
      <c r="D366" s="222"/>
      <c r="E366" s="222"/>
      <c r="F366" s="222"/>
      <c r="G366" s="222"/>
      <c r="H366" s="222"/>
      <c r="I366" s="222"/>
      <c r="J366" s="222"/>
      <c r="K366" s="222"/>
      <c r="L366" s="223"/>
      <c r="M366" s="222"/>
      <c r="N366" s="222"/>
      <c r="O366" s="222"/>
      <c r="P366" s="222"/>
      <c r="Q366" s="222"/>
      <c r="R366" s="222"/>
      <c r="S366" s="222"/>
      <c r="T366" s="222"/>
      <c r="U366" s="222"/>
      <c r="V366" s="222"/>
      <c r="W366" s="222"/>
      <c r="X366" s="222"/>
      <c r="Y366" s="222"/>
      <c r="Z366" s="222"/>
      <c r="AA366" s="222"/>
      <c r="AB366" s="222"/>
    </row>
    <row r="367" spans="1:28" ht="16">
      <c r="A367" s="222"/>
      <c r="B367" s="222"/>
      <c r="C367" s="222"/>
      <c r="D367" s="222"/>
      <c r="E367" s="222"/>
      <c r="F367" s="222"/>
      <c r="G367" s="222"/>
      <c r="H367" s="222"/>
      <c r="I367" s="222"/>
      <c r="J367" s="222"/>
      <c r="K367" s="222"/>
      <c r="L367" s="223"/>
      <c r="M367" s="222"/>
      <c r="N367" s="222"/>
      <c r="O367" s="222"/>
      <c r="P367" s="222"/>
      <c r="Q367" s="222"/>
      <c r="R367" s="222"/>
      <c r="S367" s="222"/>
      <c r="T367" s="222"/>
      <c r="U367" s="222"/>
      <c r="V367" s="222"/>
      <c r="W367" s="222"/>
      <c r="X367" s="222"/>
      <c r="Y367" s="222"/>
      <c r="Z367" s="222"/>
      <c r="AA367" s="222"/>
      <c r="AB367" s="222"/>
    </row>
    <row r="368" spans="1:28" ht="16">
      <c r="A368" s="222"/>
      <c r="B368" s="222"/>
      <c r="C368" s="222"/>
      <c r="D368" s="222"/>
      <c r="E368" s="222"/>
      <c r="F368" s="222"/>
      <c r="G368" s="222"/>
      <c r="H368" s="222"/>
      <c r="I368" s="222"/>
      <c r="J368" s="222"/>
      <c r="K368" s="222"/>
      <c r="L368" s="223"/>
      <c r="M368" s="222"/>
      <c r="N368" s="222"/>
      <c r="O368" s="222"/>
      <c r="P368" s="222"/>
      <c r="Q368" s="222"/>
      <c r="R368" s="222"/>
      <c r="S368" s="222"/>
      <c r="T368" s="222"/>
      <c r="U368" s="222"/>
      <c r="V368" s="222"/>
      <c r="W368" s="222"/>
      <c r="X368" s="222"/>
      <c r="Y368" s="222"/>
      <c r="Z368" s="222"/>
      <c r="AA368" s="222"/>
      <c r="AB368" s="222"/>
    </row>
    <row r="369" spans="1:28" ht="16">
      <c r="A369" s="222"/>
      <c r="B369" s="222"/>
      <c r="C369" s="222"/>
      <c r="D369" s="222"/>
      <c r="E369" s="222"/>
      <c r="F369" s="222"/>
      <c r="G369" s="222"/>
      <c r="H369" s="222"/>
      <c r="I369" s="222"/>
      <c r="J369" s="222"/>
      <c r="K369" s="222"/>
      <c r="L369" s="223"/>
      <c r="M369" s="222"/>
      <c r="N369" s="222"/>
      <c r="O369" s="222"/>
      <c r="P369" s="222"/>
      <c r="Q369" s="222"/>
      <c r="R369" s="222"/>
      <c r="S369" s="222"/>
      <c r="T369" s="222"/>
      <c r="U369" s="222"/>
      <c r="V369" s="222"/>
      <c r="W369" s="222"/>
      <c r="X369" s="222"/>
      <c r="Y369" s="222"/>
      <c r="Z369" s="222"/>
      <c r="AA369" s="222"/>
      <c r="AB369" s="222"/>
    </row>
    <row r="370" spans="1:28" ht="16">
      <c r="A370" s="222"/>
      <c r="B370" s="222"/>
      <c r="C370" s="222"/>
      <c r="D370" s="222"/>
      <c r="E370" s="222"/>
      <c r="F370" s="222"/>
      <c r="G370" s="222"/>
      <c r="H370" s="222"/>
      <c r="I370" s="222"/>
      <c r="J370" s="222"/>
      <c r="K370" s="222"/>
      <c r="L370" s="223"/>
      <c r="M370" s="222"/>
      <c r="N370" s="222"/>
      <c r="O370" s="222"/>
      <c r="P370" s="222"/>
      <c r="Q370" s="222"/>
      <c r="R370" s="222"/>
      <c r="S370" s="222"/>
      <c r="T370" s="222"/>
      <c r="U370" s="222"/>
      <c r="V370" s="222"/>
      <c r="W370" s="222"/>
      <c r="X370" s="222"/>
      <c r="Y370" s="222"/>
      <c r="Z370" s="222"/>
      <c r="AA370" s="222"/>
      <c r="AB370" s="222"/>
    </row>
    <row r="371" spans="1:28" ht="16">
      <c r="A371" s="222"/>
      <c r="B371" s="222"/>
      <c r="C371" s="222"/>
      <c r="D371" s="222"/>
      <c r="E371" s="222"/>
      <c r="F371" s="222"/>
      <c r="G371" s="222"/>
      <c r="H371" s="222"/>
      <c r="I371" s="222"/>
      <c r="J371" s="222"/>
      <c r="K371" s="222"/>
      <c r="L371" s="223"/>
      <c r="M371" s="222"/>
      <c r="N371" s="222"/>
      <c r="O371" s="222"/>
      <c r="P371" s="222"/>
      <c r="Q371" s="222"/>
      <c r="R371" s="222"/>
      <c r="S371" s="222"/>
      <c r="T371" s="222"/>
      <c r="U371" s="222"/>
      <c r="V371" s="222"/>
      <c r="W371" s="222"/>
      <c r="X371" s="222"/>
      <c r="Y371" s="222"/>
      <c r="Z371" s="222"/>
      <c r="AA371" s="222"/>
      <c r="AB371" s="222"/>
    </row>
    <row r="372" spans="1:28" ht="16">
      <c r="A372" s="222"/>
      <c r="B372" s="222"/>
      <c r="C372" s="222"/>
      <c r="D372" s="222"/>
      <c r="E372" s="222"/>
      <c r="F372" s="222"/>
      <c r="G372" s="222"/>
      <c r="H372" s="222"/>
      <c r="I372" s="222"/>
      <c r="J372" s="222"/>
      <c r="K372" s="222"/>
      <c r="L372" s="223"/>
      <c r="M372" s="222"/>
      <c r="N372" s="222"/>
      <c r="O372" s="222"/>
      <c r="P372" s="222"/>
      <c r="Q372" s="222"/>
      <c r="R372" s="222"/>
      <c r="S372" s="222"/>
      <c r="T372" s="222"/>
      <c r="U372" s="222"/>
      <c r="V372" s="222"/>
      <c r="W372" s="222"/>
      <c r="X372" s="222"/>
      <c r="Y372" s="222"/>
      <c r="Z372" s="222"/>
      <c r="AA372" s="222"/>
      <c r="AB372" s="222"/>
    </row>
    <row r="373" spans="1:28" ht="16">
      <c r="A373" s="222"/>
      <c r="B373" s="222"/>
      <c r="C373" s="222"/>
      <c r="D373" s="222"/>
      <c r="E373" s="222"/>
      <c r="F373" s="222"/>
      <c r="G373" s="222"/>
      <c r="H373" s="222"/>
      <c r="I373" s="222"/>
      <c r="J373" s="222"/>
      <c r="K373" s="222"/>
      <c r="L373" s="223"/>
      <c r="M373" s="222"/>
      <c r="N373" s="222"/>
      <c r="O373" s="222"/>
      <c r="P373" s="222"/>
      <c r="Q373" s="222"/>
      <c r="R373" s="222"/>
      <c r="S373" s="222"/>
      <c r="T373" s="222"/>
      <c r="U373" s="222"/>
      <c r="V373" s="222"/>
      <c r="W373" s="222"/>
      <c r="X373" s="222"/>
      <c r="Y373" s="222"/>
      <c r="Z373" s="222"/>
      <c r="AA373" s="222"/>
      <c r="AB373" s="222"/>
    </row>
    <row r="374" spans="1:28" ht="16">
      <c r="A374" s="222"/>
      <c r="B374" s="222"/>
      <c r="C374" s="222"/>
      <c r="D374" s="222"/>
      <c r="E374" s="222"/>
      <c r="F374" s="222"/>
      <c r="G374" s="222"/>
      <c r="H374" s="222"/>
      <c r="I374" s="222"/>
      <c r="J374" s="222"/>
      <c r="K374" s="222"/>
      <c r="L374" s="223"/>
      <c r="M374" s="222"/>
      <c r="N374" s="222"/>
      <c r="O374" s="222"/>
      <c r="P374" s="222"/>
      <c r="Q374" s="222"/>
      <c r="R374" s="222"/>
      <c r="S374" s="222"/>
      <c r="T374" s="222"/>
      <c r="U374" s="222"/>
      <c r="V374" s="222"/>
      <c r="W374" s="222"/>
      <c r="X374" s="222"/>
      <c r="Y374" s="222"/>
      <c r="Z374" s="222"/>
      <c r="AA374" s="222"/>
      <c r="AB374" s="222"/>
    </row>
    <row r="375" spans="1:28" ht="16">
      <c r="A375" s="222"/>
      <c r="B375" s="222"/>
      <c r="C375" s="222"/>
      <c r="D375" s="222"/>
      <c r="E375" s="222"/>
      <c r="F375" s="222"/>
      <c r="G375" s="222"/>
      <c r="H375" s="222"/>
      <c r="I375" s="222"/>
      <c r="J375" s="222"/>
      <c r="K375" s="222"/>
      <c r="L375" s="223"/>
      <c r="M375" s="222"/>
      <c r="N375" s="222"/>
      <c r="O375" s="222"/>
      <c r="P375" s="222"/>
      <c r="Q375" s="222"/>
      <c r="R375" s="222"/>
      <c r="S375" s="222"/>
      <c r="T375" s="222"/>
      <c r="U375" s="222"/>
      <c r="V375" s="222"/>
      <c r="W375" s="222"/>
      <c r="X375" s="222"/>
      <c r="Y375" s="222"/>
      <c r="Z375" s="222"/>
      <c r="AA375" s="222"/>
      <c r="AB375" s="222"/>
    </row>
    <row r="376" spans="1:28" ht="16">
      <c r="A376" s="222"/>
      <c r="B376" s="222"/>
      <c r="C376" s="222"/>
      <c r="D376" s="222"/>
      <c r="E376" s="222"/>
      <c r="F376" s="222"/>
      <c r="G376" s="222"/>
      <c r="H376" s="222"/>
      <c r="I376" s="222"/>
      <c r="J376" s="222"/>
      <c r="K376" s="222"/>
      <c r="L376" s="223"/>
      <c r="M376" s="222"/>
      <c r="N376" s="222"/>
      <c r="O376" s="222"/>
      <c r="P376" s="222"/>
      <c r="Q376" s="222"/>
      <c r="R376" s="222"/>
      <c r="S376" s="222"/>
      <c r="T376" s="222"/>
      <c r="U376" s="222"/>
      <c r="V376" s="222"/>
      <c r="W376" s="222"/>
      <c r="X376" s="222"/>
      <c r="Y376" s="222"/>
      <c r="Z376" s="222"/>
      <c r="AA376" s="222"/>
      <c r="AB376" s="222"/>
    </row>
    <row r="377" spans="1:28" ht="16">
      <c r="A377" s="222"/>
      <c r="B377" s="222"/>
      <c r="C377" s="222"/>
      <c r="D377" s="222"/>
      <c r="E377" s="222"/>
      <c r="F377" s="222"/>
      <c r="G377" s="222"/>
      <c r="H377" s="222"/>
      <c r="I377" s="222"/>
      <c r="J377" s="222"/>
      <c r="K377" s="222"/>
      <c r="L377" s="223"/>
      <c r="M377" s="222"/>
      <c r="N377" s="222"/>
      <c r="O377" s="222"/>
      <c r="P377" s="222"/>
      <c r="Q377" s="222"/>
      <c r="R377" s="222"/>
      <c r="S377" s="222"/>
      <c r="T377" s="222"/>
      <c r="U377" s="222"/>
      <c r="V377" s="222"/>
      <c r="W377" s="222"/>
      <c r="X377" s="222"/>
      <c r="Y377" s="222"/>
      <c r="Z377" s="222"/>
      <c r="AA377" s="222"/>
      <c r="AB377" s="222"/>
    </row>
    <row r="378" spans="1:28" ht="16">
      <c r="A378" s="222"/>
      <c r="B378" s="222"/>
      <c r="C378" s="222"/>
      <c r="D378" s="222"/>
      <c r="E378" s="222"/>
      <c r="F378" s="222"/>
      <c r="G378" s="222"/>
      <c r="H378" s="222"/>
      <c r="I378" s="222"/>
      <c r="J378" s="222"/>
      <c r="K378" s="222"/>
      <c r="L378" s="223"/>
      <c r="M378" s="222"/>
      <c r="N378" s="222"/>
      <c r="O378" s="222"/>
      <c r="P378" s="222"/>
      <c r="Q378" s="222"/>
      <c r="R378" s="222"/>
      <c r="S378" s="222"/>
      <c r="T378" s="222"/>
      <c r="U378" s="222"/>
      <c r="V378" s="222"/>
      <c r="W378" s="222"/>
      <c r="X378" s="222"/>
      <c r="Y378" s="222"/>
      <c r="Z378" s="222"/>
      <c r="AA378" s="222"/>
      <c r="AB378" s="222"/>
    </row>
    <row r="379" spans="1:28" ht="16">
      <c r="A379" s="222"/>
      <c r="B379" s="222"/>
      <c r="C379" s="222"/>
      <c r="D379" s="222"/>
      <c r="E379" s="222"/>
      <c r="F379" s="222"/>
      <c r="G379" s="222"/>
      <c r="H379" s="222"/>
      <c r="I379" s="222"/>
      <c r="J379" s="222"/>
      <c r="K379" s="222"/>
      <c r="L379" s="223"/>
      <c r="M379" s="222"/>
      <c r="N379" s="222"/>
      <c r="O379" s="222"/>
      <c r="P379" s="222"/>
      <c r="Q379" s="222"/>
      <c r="R379" s="222"/>
      <c r="S379" s="222"/>
      <c r="T379" s="222"/>
      <c r="U379" s="222"/>
      <c r="V379" s="222"/>
      <c r="W379" s="222"/>
      <c r="X379" s="222"/>
      <c r="Y379" s="222"/>
      <c r="Z379" s="222"/>
      <c r="AA379" s="222"/>
      <c r="AB379" s="222"/>
    </row>
    <row r="380" spans="1:28" ht="16">
      <c r="A380" s="222"/>
      <c r="B380" s="222"/>
      <c r="C380" s="222"/>
      <c r="D380" s="222"/>
      <c r="E380" s="222"/>
      <c r="F380" s="222"/>
      <c r="G380" s="222"/>
      <c r="H380" s="222"/>
      <c r="I380" s="222"/>
      <c r="J380" s="222"/>
      <c r="K380" s="222"/>
      <c r="L380" s="223"/>
      <c r="M380" s="222"/>
      <c r="N380" s="222"/>
      <c r="O380" s="222"/>
      <c r="P380" s="222"/>
      <c r="Q380" s="222"/>
      <c r="R380" s="222"/>
      <c r="S380" s="222"/>
      <c r="T380" s="222"/>
      <c r="U380" s="222"/>
      <c r="V380" s="222"/>
      <c r="W380" s="222"/>
      <c r="X380" s="222"/>
      <c r="Y380" s="222"/>
      <c r="Z380" s="222"/>
      <c r="AA380" s="222"/>
      <c r="AB380" s="222"/>
    </row>
    <row r="381" spans="1:28" ht="16">
      <c r="A381" s="222"/>
      <c r="B381" s="222"/>
      <c r="C381" s="222"/>
      <c r="D381" s="222"/>
      <c r="E381" s="222"/>
      <c r="F381" s="222"/>
      <c r="G381" s="222"/>
      <c r="H381" s="222"/>
      <c r="I381" s="222"/>
      <c r="J381" s="222"/>
      <c r="K381" s="222"/>
      <c r="L381" s="223"/>
      <c r="M381" s="222"/>
      <c r="N381" s="222"/>
      <c r="O381" s="222"/>
      <c r="P381" s="222"/>
      <c r="Q381" s="222"/>
      <c r="R381" s="222"/>
      <c r="S381" s="222"/>
      <c r="T381" s="222"/>
      <c r="U381" s="222"/>
      <c r="V381" s="222"/>
      <c r="W381" s="222"/>
      <c r="X381" s="222"/>
      <c r="Y381" s="222"/>
      <c r="Z381" s="222"/>
      <c r="AA381" s="222"/>
      <c r="AB381" s="222"/>
    </row>
    <row r="382" spans="1:28" ht="16">
      <c r="A382" s="222"/>
      <c r="B382" s="222"/>
      <c r="C382" s="222"/>
      <c r="D382" s="222"/>
      <c r="E382" s="222"/>
      <c r="F382" s="222"/>
      <c r="G382" s="222"/>
      <c r="H382" s="222"/>
      <c r="I382" s="222"/>
      <c r="J382" s="222"/>
      <c r="K382" s="222"/>
      <c r="L382" s="223"/>
      <c r="M382" s="222"/>
      <c r="N382" s="222"/>
      <c r="O382" s="222"/>
      <c r="P382" s="222"/>
      <c r="Q382" s="222"/>
      <c r="R382" s="222"/>
      <c r="S382" s="222"/>
      <c r="T382" s="222"/>
      <c r="U382" s="222"/>
      <c r="V382" s="222"/>
      <c r="W382" s="222"/>
      <c r="X382" s="222"/>
      <c r="Y382" s="222"/>
      <c r="Z382" s="222"/>
      <c r="AA382" s="222"/>
      <c r="AB382" s="222"/>
    </row>
    <row r="383" spans="1:28" ht="16">
      <c r="A383" s="222"/>
      <c r="B383" s="222"/>
      <c r="C383" s="222"/>
      <c r="D383" s="222"/>
      <c r="E383" s="222"/>
      <c r="F383" s="222"/>
      <c r="G383" s="222"/>
      <c r="H383" s="222"/>
      <c r="I383" s="222"/>
      <c r="J383" s="222"/>
      <c r="K383" s="222"/>
      <c r="L383" s="223"/>
      <c r="M383" s="222"/>
      <c r="N383" s="222"/>
      <c r="O383" s="222"/>
      <c r="P383" s="222"/>
      <c r="Q383" s="222"/>
      <c r="R383" s="222"/>
      <c r="S383" s="222"/>
      <c r="T383" s="222"/>
      <c r="U383" s="222"/>
      <c r="V383" s="222"/>
      <c r="W383" s="222"/>
      <c r="X383" s="222"/>
      <c r="Y383" s="222"/>
      <c r="Z383" s="222"/>
      <c r="AA383" s="222"/>
      <c r="AB383" s="222"/>
    </row>
    <row r="384" spans="1:28" ht="16">
      <c r="A384" s="222"/>
      <c r="B384" s="222"/>
      <c r="C384" s="222"/>
      <c r="D384" s="222"/>
      <c r="E384" s="222"/>
      <c r="F384" s="222"/>
      <c r="G384" s="222"/>
      <c r="H384" s="222"/>
      <c r="I384" s="222"/>
      <c r="J384" s="222"/>
      <c r="K384" s="222"/>
      <c r="L384" s="223"/>
      <c r="M384" s="222"/>
      <c r="N384" s="222"/>
      <c r="O384" s="222"/>
      <c r="P384" s="222"/>
      <c r="Q384" s="222"/>
      <c r="R384" s="222"/>
      <c r="S384" s="222"/>
      <c r="T384" s="222"/>
      <c r="U384" s="222"/>
      <c r="V384" s="222"/>
      <c r="W384" s="222"/>
      <c r="X384" s="222"/>
      <c r="Y384" s="222"/>
      <c r="Z384" s="222"/>
      <c r="AA384" s="222"/>
      <c r="AB384" s="222"/>
    </row>
    <row r="385" spans="1:28" ht="16">
      <c r="A385" s="222"/>
      <c r="B385" s="222"/>
      <c r="C385" s="222"/>
      <c r="D385" s="222"/>
      <c r="E385" s="222"/>
      <c r="F385" s="222"/>
      <c r="G385" s="222"/>
      <c r="H385" s="222"/>
      <c r="I385" s="222"/>
      <c r="J385" s="222"/>
      <c r="K385" s="222"/>
      <c r="L385" s="223"/>
      <c r="M385" s="222"/>
      <c r="N385" s="222"/>
      <c r="O385" s="222"/>
      <c r="P385" s="222"/>
      <c r="Q385" s="222"/>
      <c r="R385" s="222"/>
      <c r="S385" s="222"/>
      <c r="T385" s="222"/>
      <c r="U385" s="222"/>
      <c r="V385" s="222"/>
      <c r="W385" s="222"/>
      <c r="X385" s="222"/>
      <c r="Y385" s="222"/>
      <c r="Z385" s="222"/>
      <c r="AA385" s="222"/>
      <c r="AB385" s="222"/>
    </row>
    <row r="386" spans="1:28" ht="16">
      <c r="A386" s="222"/>
      <c r="B386" s="222"/>
      <c r="C386" s="222"/>
      <c r="D386" s="222"/>
      <c r="E386" s="222"/>
      <c r="F386" s="222"/>
      <c r="G386" s="222"/>
      <c r="H386" s="222"/>
      <c r="I386" s="222"/>
      <c r="J386" s="222"/>
      <c r="K386" s="222"/>
      <c r="L386" s="223"/>
      <c r="M386" s="222"/>
      <c r="N386" s="222"/>
      <c r="O386" s="222"/>
      <c r="P386" s="222"/>
      <c r="Q386" s="222"/>
      <c r="R386" s="222"/>
      <c r="S386" s="222"/>
      <c r="T386" s="222"/>
      <c r="U386" s="222"/>
      <c r="V386" s="222"/>
      <c r="W386" s="222"/>
      <c r="X386" s="222"/>
      <c r="Y386" s="222"/>
      <c r="Z386" s="222"/>
      <c r="AA386" s="222"/>
      <c r="AB386" s="222"/>
    </row>
    <row r="387" spans="1:28" ht="16">
      <c r="A387" s="222"/>
      <c r="B387" s="222"/>
      <c r="C387" s="222"/>
      <c r="D387" s="222"/>
      <c r="E387" s="222"/>
      <c r="F387" s="222"/>
      <c r="G387" s="222"/>
      <c r="H387" s="222"/>
      <c r="I387" s="222"/>
      <c r="J387" s="222"/>
      <c r="K387" s="222"/>
      <c r="L387" s="223"/>
      <c r="M387" s="222"/>
      <c r="N387" s="222"/>
      <c r="O387" s="222"/>
      <c r="P387" s="222"/>
      <c r="Q387" s="222"/>
      <c r="R387" s="222"/>
      <c r="S387" s="222"/>
      <c r="T387" s="222"/>
      <c r="U387" s="222"/>
      <c r="V387" s="222"/>
      <c r="W387" s="222"/>
      <c r="X387" s="222"/>
      <c r="Y387" s="222"/>
      <c r="Z387" s="222"/>
      <c r="AA387" s="222"/>
      <c r="AB387" s="222"/>
    </row>
    <row r="388" spans="1:28" ht="16">
      <c r="A388" s="222"/>
      <c r="B388" s="222"/>
      <c r="C388" s="222"/>
      <c r="D388" s="222"/>
      <c r="E388" s="222"/>
      <c r="F388" s="222"/>
      <c r="G388" s="222"/>
      <c r="H388" s="222"/>
      <c r="I388" s="222"/>
      <c r="J388" s="222"/>
      <c r="K388" s="222"/>
      <c r="L388" s="223"/>
      <c r="M388" s="222"/>
      <c r="N388" s="222"/>
      <c r="O388" s="222"/>
      <c r="P388" s="222"/>
      <c r="Q388" s="222"/>
      <c r="R388" s="222"/>
      <c r="S388" s="222"/>
      <c r="T388" s="222"/>
      <c r="U388" s="222"/>
      <c r="V388" s="222"/>
      <c r="W388" s="222"/>
      <c r="X388" s="222"/>
      <c r="Y388" s="222"/>
      <c r="Z388" s="222"/>
      <c r="AA388" s="222"/>
      <c r="AB388" s="222"/>
    </row>
    <row r="389" spans="1:28" ht="16">
      <c r="A389" s="222"/>
      <c r="B389" s="222"/>
      <c r="C389" s="222"/>
      <c r="D389" s="222"/>
      <c r="E389" s="222"/>
      <c r="F389" s="222"/>
      <c r="G389" s="222"/>
      <c r="H389" s="222"/>
      <c r="I389" s="222"/>
      <c r="J389" s="222"/>
      <c r="K389" s="222"/>
      <c r="L389" s="223"/>
      <c r="M389" s="222"/>
      <c r="N389" s="222"/>
      <c r="O389" s="222"/>
      <c r="P389" s="222"/>
      <c r="Q389" s="222"/>
      <c r="R389" s="222"/>
      <c r="S389" s="222"/>
      <c r="T389" s="222"/>
      <c r="U389" s="222"/>
      <c r="V389" s="222"/>
      <c r="W389" s="222"/>
      <c r="X389" s="222"/>
      <c r="Y389" s="222"/>
      <c r="Z389" s="222"/>
      <c r="AA389" s="222"/>
      <c r="AB389" s="222"/>
    </row>
    <row r="390" spans="1:28" ht="16">
      <c r="A390" s="222"/>
      <c r="B390" s="222"/>
      <c r="C390" s="222"/>
      <c r="D390" s="222"/>
      <c r="E390" s="222"/>
      <c r="F390" s="222"/>
      <c r="G390" s="222"/>
      <c r="H390" s="222"/>
      <c r="I390" s="222"/>
      <c r="J390" s="222"/>
      <c r="K390" s="222"/>
      <c r="L390" s="223"/>
      <c r="M390" s="222"/>
      <c r="N390" s="222"/>
      <c r="O390" s="222"/>
      <c r="P390" s="222"/>
      <c r="Q390" s="222"/>
      <c r="R390" s="222"/>
      <c r="S390" s="222"/>
      <c r="T390" s="222"/>
      <c r="U390" s="222"/>
      <c r="V390" s="222"/>
      <c r="W390" s="222"/>
      <c r="X390" s="222"/>
      <c r="Y390" s="222"/>
      <c r="Z390" s="222"/>
      <c r="AA390" s="222"/>
      <c r="AB390" s="222"/>
    </row>
    <row r="391" spans="1:28" ht="16">
      <c r="A391" s="222"/>
      <c r="B391" s="222"/>
      <c r="C391" s="222"/>
      <c r="D391" s="222"/>
      <c r="E391" s="222"/>
      <c r="F391" s="222"/>
      <c r="G391" s="222"/>
      <c r="H391" s="222"/>
      <c r="I391" s="222"/>
      <c r="J391" s="222"/>
      <c r="K391" s="222"/>
      <c r="L391" s="223"/>
      <c r="M391" s="222"/>
      <c r="N391" s="222"/>
      <c r="O391" s="222"/>
      <c r="P391" s="222"/>
      <c r="Q391" s="222"/>
      <c r="R391" s="222"/>
      <c r="S391" s="222"/>
      <c r="T391" s="222"/>
      <c r="U391" s="222"/>
      <c r="V391" s="222"/>
      <c r="W391" s="222"/>
      <c r="X391" s="222"/>
      <c r="Y391" s="222"/>
      <c r="Z391" s="222"/>
      <c r="AA391" s="222"/>
      <c r="AB391" s="222"/>
    </row>
    <row r="392" spans="1:28" ht="16">
      <c r="A392" s="222"/>
      <c r="B392" s="222"/>
      <c r="C392" s="222"/>
      <c r="D392" s="222"/>
      <c r="E392" s="222"/>
      <c r="F392" s="222"/>
      <c r="G392" s="222"/>
      <c r="H392" s="222"/>
      <c r="I392" s="222"/>
      <c r="J392" s="222"/>
      <c r="K392" s="222"/>
      <c r="L392" s="223"/>
      <c r="M392" s="222"/>
      <c r="N392" s="222"/>
      <c r="O392" s="222"/>
      <c r="P392" s="222"/>
      <c r="Q392" s="222"/>
      <c r="R392" s="222"/>
      <c r="S392" s="222"/>
      <c r="T392" s="222"/>
      <c r="U392" s="222"/>
      <c r="V392" s="222"/>
      <c r="W392" s="222"/>
      <c r="X392" s="222"/>
      <c r="Y392" s="222"/>
      <c r="Z392" s="222"/>
      <c r="AA392" s="222"/>
      <c r="AB392" s="222"/>
    </row>
    <row r="393" spans="1:28" ht="16">
      <c r="A393" s="222"/>
      <c r="B393" s="222"/>
      <c r="C393" s="222"/>
      <c r="D393" s="222"/>
      <c r="E393" s="222"/>
      <c r="F393" s="222"/>
      <c r="G393" s="222"/>
      <c r="H393" s="222"/>
      <c r="I393" s="222"/>
      <c r="J393" s="222"/>
      <c r="K393" s="222"/>
      <c r="L393" s="223"/>
      <c r="M393" s="222"/>
      <c r="N393" s="222"/>
      <c r="O393" s="222"/>
      <c r="P393" s="222"/>
      <c r="Q393" s="222"/>
      <c r="R393" s="222"/>
      <c r="S393" s="222"/>
      <c r="T393" s="222"/>
      <c r="U393" s="222"/>
      <c r="V393" s="222"/>
      <c r="W393" s="222"/>
      <c r="X393" s="222"/>
      <c r="Y393" s="222"/>
      <c r="Z393" s="222"/>
      <c r="AA393" s="222"/>
      <c r="AB393" s="222"/>
    </row>
    <row r="394" spans="1:28" ht="16">
      <c r="A394" s="222"/>
      <c r="B394" s="222"/>
      <c r="C394" s="222"/>
      <c r="D394" s="222"/>
      <c r="E394" s="222"/>
      <c r="F394" s="222"/>
      <c r="G394" s="222"/>
      <c r="H394" s="222"/>
      <c r="I394" s="222"/>
      <c r="J394" s="222"/>
      <c r="K394" s="222"/>
      <c r="L394" s="223"/>
      <c r="M394" s="222"/>
      <c r="N394" s="222"/>
      <c r="O394" s="222"/>
      <c r="P394" s="222"/>
      <c r="Q394" s="222"/>
      <c r="R394" s="222"/>
      <c r="S394" s="222"/>
      <c r="T394" s="222"/>
      <c r="U394" s="222"/>
      <c r="V394" s="222"/>
      <c r="W394" s="222"/>
      <c r="X394" s="222"/>
      <c r="Y394" s="222"/>
      <c r="Z394" s="222"/>
      <c r="AA394" s="222"/>
      <c r="AB394" s="222"/>
    </row>
    <row r="395" spans="1:28" ht="16">
      <c r="A395" s="222"/>
      <c r="B395" s="222"/>
      <c r="C395" s="222"/>
      <c r="D395" s="222"/>
      <c r="E395" s="222"/>
      <c r="F395" s="222"/>
      <c r="G395" s="222"/>
      <c r="H395" s="222"/>
      <c r="I395" s="222"/>
      <c r="J395" s="222"/>
      <c r="K395" s="222"/>
      <c r="L395" s="223"/>
      <c r="M395" s="222"/>
      <c r="N395" s="222"/>
      <c r="O395" s="222"/>
      <c r="P395" s="222"/>
      <c r="Q395" s="222"/>
      <c r="R395" s="222"/>
      <c r="S395" s="222"/>
      <c r="T395" s="222"/>
      <c r="U395" s="222"/>
      <c r="V395" s="222"/>
      <c r="W395" s="222"/>
      <c r="X395" s="222"/>
      <c r="Y395" s="222"/>
      <c r="Z395" s="222"/>
      <c r="AA395" s="222"/>
      <c r="AB395" s="222"/>
    </row>
    <row r="396" spans="1:28" ht="16">
      <c r="A396" s="222"/>
      <c r="B396" s="222"/>
      <c r="C396" s="222"/>
      <c r="D396" s="222"/>
      <c r="E396" s="222"/>
      <c r="F396" s="222"/>
      <c r="G396" s="222"/>
      <c r="H396" s="222"/>
      <c r="I396" s="222"/>
      <c r="J396" s="222"/>
      <c r="K396" s="222"/>
      <c r="L396" s="223"/>
      <c r="M396" s="222"/>
      <c r="N396" s="222"/>
      <c r="O396" s="222"/>
      <c r="P396" s="222"/>
      <c r="Q396" s="222"/>
      <c r="R396" s="222"/>
      <c r="S396" s="222"/>
      <c r="T396" s="222"/>
      <c r="U396" s="222"/>
      <c r="V396" s="222"/>
      <c r="W396" s="222"/>
      <c r="X396" s="222"/>
      <c r="Y396" s="222"/>
      <c r="Z396" s="222"/>
      <c r="AA396" s="222"/>
      <c r="AB396" s="222"/>
    </row>
    <row r="397" spans="1:28" ht="16">
      <c r="A397" s="222"/>
      <c r="B397" s="222"/>
      <c r="C397" s="222"/>
      <c r="D397" s="222"/>
      <c r="E397" s="222"/>
      <c r="F397" s="222"/>
      <c r="G397" s="222"/>
      <c r="H397" s="222"/>
      <c r="I397" s="222"/>
      <c r="J397" s="222"/>
      <c r="K397" s="222"/>
      <c r="L397" s="223"/>
      <c r="M397" s="222"/>
      <c r="N397" s="222"/>
      <c r="O397" s="222"/>
      <c r="P397" s="222"/>
      <c r="Q397" s="222"/>
      <c r="R397" s="222"/>
      <c r="S397" s="222"/>
      <c r="T397" s="222"/>
      <c r="U397" s="222"/>
      <c r="V397" s="222"/>
      <c r="W397" s="222"/>
      <c r="X397" s="222"/>
      <c r="Y397" s="222"/>
      <c r="Z397" s="222"/>
      <c r="AA397" s="222"/>
      <c r="AB397" s="222"/>
    </row>
    <row r="398" spans="1:28" ht="16">
      <c r="A398" s="222"/>
      <c r="B398" s="222"/>
      <c r="C398" s="222"/>
      <c r="D398" s="222"/>
      <c r="E398" s="222"/>
      <c r="F398" s="222"/>
      <c r="G398" s="222"/>
      <c r="H398" s="222"/>
      <c r="I398" s="222"/>
      <c r="J398" s="222"/>
      <c r="K398" s="222"/>
      <c r="L398" s="223"/>
      <c r="M398" s="222"/>
      <c r="N398" s="222"/>
      <c r="O398" s="222"/>
      <c r="P398" s="222"/>
      <c r="Q398" s="222"/>
      <c r="R398" s="222"/>
      <c r="S398" s="222"/>
      <c r="T398" s="222"/>
      <c r="U398" s="222"/>
      <c r="V398" s="222"/>
      <c r="W398" s="222"/>
      <c r="X398" s="222"/>
      <c r="Y398" s="222"/>
      <c r="Z398" s="222"/>
      <c r="AA398" s="222"/>
      <c r="AB398" s="222"/>
    </row>
    <row r="399" spans="1:28" ht="16">
      <c r="A399" s="222"/>
      <c r="B399" s="222"/>
      <c r="C399" s="222"/>
      <c r="D399" s="222"/>
      <c r="E399" s="222"/>
      <c r="F399" s="222"/>
      <c r="G399" s="222"/>
      <c r="H399" s="222"/>
      <c r="I399" s="222"/>
      <c r="J399" s="222"/>
      <c r="K399" s="222"/>
      <c r="L399" s="223"/>
      <c r="M399" s="222"/>
      <c r="N399" s="222"/>
      <c r="O399" s="222"/>
      <c r="P399" s="222"/>
      <c r="Q399" s="222"/>
      <c r="R399" s="222"/>
      <c r="S399" s="222"/>
      <c r="T399" s="222"/>
      <c r="U399" s="222"/>
      <c r="V399" s="222"/>
      <c r="W399" s="222"/>
      <c r="X399" s="222"/>
      <c r="Y399" s="222"/>
      <c r="Z399" s="222"/>
      <c r="AA399" s="222"/>
      <c r="AB399" s="222"/>
    </row>
    <row r="400" spans="1:28" ht="16">
      <c r="A400" s="222"/>
      <c r="B400" s="222"/>
      <c r="C400" s="222"/>
      <c r="D400" s="222"/>
      <c r="E400" s="222"/>
      <c r="F400" s="222"/>
      <c r="G400" s="222"/>
      <c r="H400" s="222"/>
      <c r="I400" s="222"/>
      <c r="J400" s="222"/>
      <c r="K400" s="222"/>
      <c r="L400" s="223"/>
      <c r="M400" s="222"/>
      <c r="N400" s="222"/>
      <c r="O400" s="222"/>
      <c r="P400" s="222"/>
      <c r="Q400" s="222"/>
      <c r="R400" s="222"/>
      <c r="S400" s="222"/>
      <c r="T400" s="222"/>
      <c r="U400" s="222"/>
      <c r="V400" s="222"/>
      <c r="W400" s="222"/>
      <c r="X400" s="222"/>
      <c r="Y400" s="222"/>
      <c r="Z400" s="222"/>
      <c r="AA400" s="222"/>
      <c r="AB400" s="222"/>
    </row>
    <row r="401" spans="1:28" ht="16">
      <c r="A401" s="222"/>
      <c r="B401" s="222"/>
      <c r="C401" s="222"/>
      <c r="D401" s="222"/>
      <c r="E401" s="222"/>
      <c r="F401" s="222"/>
      <c r="G401" s="222"/>
      <c r="H401" s="222"/>
      <c r="I401" s="222"/>
      <c r="J401" s="222"/>
      <c r="K401" s="222"/>
      <c r="L401" s="223"/>
      <c r="M401" s="222"/>
      <c r="N401" s="222"/>
      <c r="O401" s="222"/>
      <c r="P401" s="222"/>
      <c r="Q401" s="222"/>
      <c r="R401" s="222"/>
      <c r="S401" s="222"/>
      <c r="T401" s="222"/>
      <c r="U401" s="222"/>
      <c r="V401" s="222"/>
      <c r="W401" s="222"/>
      <c r="X401" s="222"/>
      <c r="Y401" s="222"/>
      <c r="Z401" s="222"/>
      <c r="AA401" s="222"/>
      <c r="AB401" s="222"/>
    </row>
    <row r="402" spans="1:28" ht="16">
      <c r="A402" s="222"/>
      <c r="B402" s="222"/>
      <c r="C402" s="222"/>
      <c r="D402" s="222"/>
      <c r="E402" s="222"/>
      <c r="F402" s="222"/>
      <c r="G402" s="222"/>
      <c r="H402" s="222"/>
      <c r="I402" s="222"/>
      <c r="J402" s="222"/>
      <c r="K402" s="222"/>
      <c r="L402" s="223"/>
      <c r="M402" s="222"/>
      <c r="N402" s="222"/>
      <c r="O402" s="222"/>
      <c r="P402" s="222"/>
      <c r="Q402" s="222"/>
      <c r="R402" s="222"/>
      <c r="S402" s="222"/>
      <c r="T402" s="222"/>
      <c r="U402" s="222"/>
      <c r="V402" s="222"/>
      <c r="W402" s="222"/>
      <c r="X402" s="222"/>
      <c r="Y402" s="222"/>
      <c r="Z402" s="222"/>
      <c r="AA402" s="222"/>
      <c r="AB402" s="222"/>
    </row>
    <row r="403" spans="1:28" ht="16">
      <c r="A403" s="222"/>
      <c r="B403" s="222"/>
      <c r="C403" s="222"/>
      <c r="D403" s="222"/>
      <c r="E403" s="222"/>
      <c r="F403" s="222"/>
      <c r="G403" s="222"/>
      <c r="H403" s="222"/>
      <c r="I403" s="222"/>
      <c r="J403" s="222"/>
      <c r="K403" s="222"/>
      <c r="L403" s="223"/>
      <c r="M403" s="222"/>
      <c r="N403" s="222"/>
      <c r="O403" s="222"/>
      <c r="P403" s="222"/>
      <c r="Q403" s="222"/>
      <c r="R403" s="222"/>
      <c r="S403" s="222"/>
      <c r="T403" s="222"/>
      <c r="U403" s="222"/>
      <c r="V403" s="222"/>
      <c r="W403" s="222"/>
      <c r="X403" s="222"/>
      <c r="Y403" s="222"/>
      <c r="Z403" s="222"/>
      <c r="AA403" s="222"/>
      <c r="AB403" s="222"/>
    </row>
    <row r="404" spans="1:28" ht="16">
      <c r="A404" s="222"/>
      <c r="B404" s="222"/>
      <c r="C404" s="222"/>
      <c r="D404" s="222"/>
      <c r="E404" s="222"/>
      <c r="F404" s="222"/>
      <c r="G404" s="222"/>
      <c r="H404" s="222"/>
      <c r="I404" s="222"/>
      <c r="J404" s="222"/>
      <c r="K404" s="222"/>
      <c r="L404" s="223"/>
      <c r="M404" s="222"/>
      <c r="N404" s="222"/>
      <c r="O404" s="222"/>
      <c r="P404" s="222"/>
      <c r="Q404" s="222"/>
      <c r="R404" s="222"/>
      <c r="S404" s="222"/>
      <c r="T404" s="222"/>
      <c r="U404" s="222"/>
      <c r="V404" s="222"/>
      <c r="W404" s="222"/>
      <c r="X404" s="222"/>
      <c r="Y404" s="222"/>
      <c r="Z404" s="222"/>
      <c r="AA404" s="222"/>
      <c r="AB404" s="222"/>
    </row>
    <row r="405" spans="1:28" ht="16">
      <c r="A405" s="222"/>
      <c r="B405" s="222"/>
      <c r="C405" s="222"/>
      <c r="D405" s="222"/>
      <c r="E405" s="222"/>
      <c r="F405" s="222"/>
      <c r="G405" s="222"/>
      <c r="H405" s="222"/>
      <c r="I405" s="222"/>
      <c r="J405" s="222"/>
      <c r="K405" s="222"/>
      <c r="L405" s="223"/>
      <c r="M405" s="222"/>
      <c r="N405" s="222"/>
      <c r="O405" s="222"/>
      <c r="P405" s="222"/>
      <c r="Q405" s="222"/>
      <c r="R405" s="222"/>
      <c r="S405" s="222"/>
      <c r="T405" s="222"/>
      <c r="U405" s="222"/>
      <c r="V405" s="222"/>
      <c r="W405" s="222"/>
      <c r="X405" s="222"/>
      <c r="Y405" s="222"/>
      <c r="Z405" s="222"/>
      <c r="AA405" s="222"/>
      <c r="AB405" s="222"/>
    </row>
    <row r="406" spans="1:28" ht="16">
      <c r="A406" s="222"/>
      <c r="B406" s="222"/>
      <c r="C406" s="222"/>
      <c r="D406" s="222"/>
      <c r="E406" s="222"/>
      <c r="F406" s="222"/>
      <c r="G406" s="222"/>
      <c r="H406" s="222"/>
      <c r="I406" s="222"/>
      <c r="J406" s="222"/>
      <c r="K406" s="222"/>
      <c r="L406" s="223"/>
      <c r="M406" s="222"/>
      <c r="N406" s="222"/>
      <c r="O406" s="222"/>
      <c r="P406" s="222"/>
      <c r="Q406" s="222"/>
      <c r="R406" s="222"/>
      <c r="S406" s="222"/>
      <c r="T406" s="222"/>
      <c r="U406" s="222"/>
      <c r="V406" s="222"/>
      <c r="W406" s="222"/>
      <c r="X406" s="222"/>
      <c r="Y406" s="222"/>
      <c r="Z406" s="222"/>
      <c r="AA406" s="222"/>
      <c r="AB406" s="222"/>
    </row>
    <row r="407" spans="1:28" ht="16">
      <c r="A407" s="222"/>
      <c r="B407" s="222"/>
      <c r="C407" s="222"/>
      <c r="D407" s="222"/>
      <c r="E407" s="222"/>
      <c r="F407" s="222"/>
      <c r="G407" s="222"/>
      <c r="H407" s="222"/>
      <c r="I407" s="222"/>
      <c r="J407" s="222"/>
      <c r="K407" s="222"/>
      <c r="L407" s="223"/>
      <c r="M407" s="222"/>
      <c r="N407" s="222"/>
      <c r="O407" s="222"/>
      <c r="P407" s="222"/>
      <c r="Q407" s="222"/>
      <c r="R407" s="222"/>
      <c r="S407" s="222"/>
      <c r="T407" s="222"/>
      <c r="U407" s="222"/>
      <c r="V407" s="222"/>
      <c r="W407" s="222"/>
      <c r="X407" s="222"/>
      <c r="Y407" s="222"/>
      <c r="Z407" s="222"/>
      <c r="AA407" s="222"/>
      <c r="AB407" s="222"/>
    </row>
    <row r="408" spans="1:28" ht="16">
      <c r="A408" s="222"/>
      <c r="B408" s="222"/>
      <c r="C408" s="222"/>
      <c r="D408" s="222"/>
      <c r="E408" s="222"/>
      <c r="F408" s="222"/>
      <c r="G408" s="222"/>
      <c r="H408" s="222"/>
      <c r="I408" s="222"/>
      <c r="J408" s="222"/>
      <c r="K408" s="222"/>
      <c r="L408" s="223"/>
      <c r="M408" s="222"/>
      <c r="N408" s="222"/>
      <c r="O408" s="222"/>
      <c r="P408" s="222"/>
      <c r="Q408" s="222"/>
      <c r="R408" s="222"/>
      <c r="S408" s="222"/>
      <c r="T408" s="222"/>
      <c r="U408" s="222"/>
      <c r="V408" s="222"/>
      <c r="W408" s="222"/>
      <c r="X408" s="222"/>
      <c r="Y408" s="222"/>
      <c r="Z408" s="222"/>
      <c r="AA408" s="222"/>
      <c r="AB408" s="222"/>
    </row>
    <row r="409" spans="1:28" ht="16">
      <c r="A409" s="222"/>
      <c r="B409" s="222"/>
      <c r="C409" s="222"/>
      <c r="D409" s="222"/>
      <c r="E409" s="222"/>
      <c r="F409" s="222"/>
      <c r="G409" s="222"/>
      <c r="H409" s="222"/>
      <c r="I409" s="222"/>
      <c r="J409" s="222"/>
      <c r="K409" s="222"/>
      <c r="L409" s="223"/>
      <c r="M409" s="222"/>
      <c r="N409" s="222"/>
      <c r="O409" s="222"/>
      <c r="P409" s="222"/>
      <c r="Q409" s="222"/>
      <c r="R409" s="222"/>
      <c r="S409" s="222"/>
      <c r="T409" s="222"/>
      <c r="U409" s="222"/>
      <c r="V409" s="222"/>
      <c r="W409" s="222"/>
      <c r="X409" s="222"/>
      <c r="Y409" s="222"/>
      <c r="Z409" s="222"/>
      <c r="AA409" s="222"/>
      <c r="AB409" s="222"/>
    </row>
    <row r="410" spans="1:28" ht="16">
      <c r="A410" s="222"/>
      <c r="B410" s="222"/>
      <c r="C410" s="222"/>
      <c r="D410" s="222"/>
      <c r="E410" s="222"/>
      <c r="F410" s="222"/>
      <c r="G410" s="222"/>
      <c r="H410" s="222"/>
      <c r="I410" s="222"/>
      <c r="J410" s="222"/>
      <c r="K410" s="222"/>
      <c r="L410" s="223"/>
      <c r="M410" s="222"/>
      <c r="N410" s="222"/>
      <c r="O410" s="222"/>
      <c r="P410" s="222"/>
      <c r="Q410" s="222"/>
      <c r="R410" s="222"/>
      <c r="S410" s="222"/>
      <c r="T410" s="222"/>
      <c r="U410" s="222"/>
      <c r="V410" s="222"/>
      <c r="W410" s="222"/>
      <c r="X410" s="222"/>
      <c r="Y410" s="222"/>
      <c r="Z410" s="222"/>
      <c r="AA410" s="222"/>
      <c r="AB410" s="222"/>
    </row>
    <row r="411" spans="1:28" ht="16">
      <c r="A411" s="222"/>
      <c r="B411" s="222"/>
      <c r="C411" s="222"/>
      <c r="D411" s="222"/>
      <c r="E411" s="222"/>
      <c r="F411" s="222"/>
      <c r="G411" s="222"/>
      <c r="H411" s="222"/>
      <c r="I411" s="222"/>
      <c r="J411" s="222"/>
      <c r="K411" s="222"/>
      <c r="L411" s="223"/>
      <c r="M411" s="222"/>
      <c r="N411" s="222"/>
      <c r="O411" s="222"/>
      <c r="P411" s="222"/>
      <c r="Q411" s="222"/>
      <c r="R411" s="222"/>
      <c r="S411" s="222"/>
      <c r="T411" s="222"/>
      <c r="U411" s="222"/>
      <c r="V411" s="222"/>
      <c r="W411" s="222"/>
      <c r="X411" s="222"/>
      <c r="Y411" s="222"/>
      <c r="Z411" s="222"/>
      <c r="AA411" s="222"/>
      <c r="AB411" s="222"/>
    </row>
    <row r="412" spans="1:28" ht="16">
      <c r="A412" s="222"/>
      <c r="B412" s="222"/>
      <c r="C412" s="222"/>
      <c r="D412" s="222"/>
      <c r="E412" s="222"/>
      <c r="F412" s="222"/>
      <c r="G412" s="222"/>
      <c r="H412" s="222"/>
      <c r="I412" s="222"/>
      <c r="J412" s="222"/>
      <c r="K412" s="222"/>
      <c r="L412" s="223"/>
      <c r="M412" s="222"/>
      <c r="N412" s="222"/>
      <c r="O412" s="222"/>
      <c r="P412" s="222"/>
      <c r="Q412" s="222"/>
      <c r="R412" s="222"/>
      <c r="S412" s="222"/>
      <c r="T412" s="222"/>
      <c r="U412" s="222"/>
      <c r="V412" s="222"/>
      <c r="W412" s="222"/>
      <c r="X412" s="222"/>
      <c r="Y412" s="222"/>
      <c r="Z412" s="222"/>
      <c r="AA412" s="222"/>
      <c r="AB412" s="222"/>
    </row>
    <row r="413" spans="1:28" ht="16">
      <c r="A413" s="222"/>
      <c r="B413" s="222"/>
      <c r="C413" s="222"/>
      <c r="D413" s="222"/>
      <c r="E413" s="222"/>
      <c r="F413" s="222"/>
      <c r="G413" s="222"/>
      <c r="H413" s="222"/>
      <c r="I413" s="222"/>
      <c r="J413" s="222"/>
      <c r="K413" s="222"/>
      <c r="L413" s="223"/>
      <c r="M413" s="222"/>
      <c r="N413" s="222"/>
      <c r="O413" s="222"/>
      <c r="P413" s="222"/>
      <c r="Q413" s="222"/>
      <c r="R413" s="222"/>
      <c r="S413" s="222"/>
      <c r="T413" s="222"/>
      <c r="U413" s="222"/>
      <c r="V413" s="222"/>
      <c r="W413" s="222"/>
      <c r="X413" s="222"/>
      <c r="Y413" s="222"/>
      <c r="Z413" s="222"/>
      <c r="AA413" s="222"/>
      <c r="AB413" s="222"/>
    </row>
    <row r="414" spans="1:28" ht="16">
      <c r="A414" s="222"/>
      <c r="B414" s="222"/>
      <c r="C414" s="222"/>
      <c r="D414" s="222"/>
      <c r="E414" s="222"/>
      <c r="F414" s="222"/>
      <c r="G414" s="222"/>
      <c r="H414" s="222"/>
      <c r="I414" s="222"/>
      <c r="J414" s="222"/>
      <c r="K414" s="222"/>
      <c r="L414" s="223"/>
      <c r="M414" s="222"/>
      <c r="N414" s="222"/>
      <c r="O414" s="222"/>
      <c r="P414" s="222"/>
      <c r="Q414" s="222"/>
      <c r="R414" s="222"/>
      <c r="S414" s="222"/>
      <c r="T414" s="222"/>
      <c r="U414" s="222"/>
      <c r="V414" s="222"/>
      <c r="W414" s="222"/>
      <c r="X414" s="222"/>
      <c r="Y414" s="222"/>
      <c r="Z414" s="222"/>
      <c r="AA414" s="222"/>
      <c r="AB414" s="222"/>
    </row>
    <row r="415" spans="1:28" ht="16">
      <c r="A415" s="222"/>
      <c r="B415" s="222"/>
      <c r="C415" s="222"/>
      <c r="D415" s="222"/>
      <c r="E415" s="222"/>
      <c r="F415" s="222"/>
      <c r="G415" s="222"/>
      <c r="H415" s="222"/>
      <c r="I415" s="222"/>
      <c r="J415" s="222"/>
      <c r="K415" s="222"/>
      <c r="L415" s="223"/>
      <c r="M415" s="222"/>
      <c r="N415" s="222"/>
      <c r="O415" s="222"/>
      <c r="P415" s="222"/>
      <c r="Q415" s="222"/>
      <c r="R415" s="222"/>
      <c r="S415" s="222"/>
      <c r="T415" s="222"/>
      <c r="U415" s="222"/>
      <c r="V415" s="222"/>
      <c r="W415" s="222"/>
      <c r="X415" s="222"/>
      <c r="Y415" s="222"/>
      <c r="Z415" s="222"/>
      <c r="AA415" s="222"/>
      <c r="AB415" s="222"/>
    </row>
    <row r="416" spans="1:28" ht="16">
      <c r="A416" s="222"/>
      <c r="B416" s="222"/>
      <c r="C416" s="222"/>
      <c r="D416" s="222"/>
      <c r="E416" s="222"/>
      <c r="F416" s="222"/>
      <c r="G416" s="222"/>
      <c r="H416" s="222"/>
      <c r="I416" s="222"/>
      <c r="J416" s="222"/>
      <c r="K416" s="222"/>
      <c r="L416" s="223"/>
      <c r="M416" s="222"/>
      <c r="N416" s="222"/>
      <c r="O416" s="222"/>
      <c r="P416" s="222"/>
      <c r="Q416" s="222"/>
      <c r="R416" s="222"/>
      <c r="S416" s="222"/>
      <c r="T416" s="222"/>
      <c r="U416" s="222"/>
      <c r="V416" s="222"/>
      <c r="W416" s="222"/>
      <c r="X416" s="222"/>
      <c r="Y416" s="222"/>
      <c r="Z416" s="222"/>
      <c r="AA416" s="222"/>
      <c r="AB416" s="222"/>
    </row>
    <row r="417" spans="1:28" ht="16">
      <c r="A417" s="222"/>
      <c r="B417" s="222"/>
      <c r="C417" s="222"/>
      <c r="D417" s="222"/>
      <c r="E417" s="222"/>
      <c r="F417" s="222"/>
      <c r="G417" s="222"/>
      <c r="H417" s="222"/>
      <c r="I417" s="222"/>
      <c r="J417" s="222"/>
      <c r="K417" s="222"/>
      <c r="L417" s="223"/>
      <c r="M417" s="222"/>
      <c r="N417" s="222"/>
      <c r="O417" s="222"/>
      <c r="P417" s="222"/>
      <c r="Q417" s="222"/>
      <c r="R417" s="222"/>
      <c r="S417" s="222"/>
      <c r="T417" s="222"/>
      <c r="U417" s="222"/>
      <c r="V417" s="222"/>
      <c r="W417" s="222"/>
      <c r="X417" s="222"/>
      <c r="Y417" s="222"/>
      <c r="Z417" s="222"/>
      <c r="AA417" s="222"/>
      <c r="AB417" s="222"/>
    </row>
    <row r="418" spans="1:28" ht="16">
      <c r="A418" s="222"/>
      <c r="B418" s="222"/>
      <c r="C418" s="222"/>
      <c r="D418" s="222"/>
      <c r="E418" s="222"/>
      <c r="F418" s="222"/>
      <c r="G418" s="222"/>
      <c r="H418" s="222"/>
      <c r="I418" s="222"/>
      <c r="J418" s="222"/>
      <c r="K418" s="222"/>
      <c r="L418" s="223"/>
      <c r="M418" s="222"/>
      <c r="N418" s="222"/>
      <c r="O418" s="222"/>
      <c r="P418" s="222"/>
      <c r="Q418" s="222"/>
      <c r="R418" s="222"/>
      <c r="S418" s="222"/>
      <c r="T418" s="222"/>
      <c r="U418" s="222"/>
      <c r="V418" s="222"/>
      <c r="W418" s="222"/>
      <c r="X418" s="222"/>
      <c r="Y418" s="222"/>
      <c r="Z418" s="222"/>
      <c r="AA418" s="222"/>
      <c r="AB418" s="222"/>
    </row>
    <row r="419" spans="1:28" ht="16">
      <c r="A419" s="222"/>
      <c r="B419" s="222"/>
      <c r="C419" s="222"/>
      <c r="D419" s="222"/>
      <c r="E419" s="222"/>
      <c r="F419" s="222"/>
      <c r="G419" s="222"/>
      <c r="H419" s="222"/>
      <c r="I419" s="222"/>
      <c r="J419" s="222"/>
      <c r="K419" s="222"/>
      <c r="L419" s="223"/>
      <c r="M419" s="222"/>
      <c r="N419" s="222"/>
      <c r="O419" s="222"/>
      <c r="P419" s="222"/>
      <c r="Q419" s="222"/>
      <c r="R419" s="222"/>
      <c r="S419" s="222"/>
      <c r="T419" s="222"/>
      <c r="U419" s="222"/>
      <c r="V419" s="222"/>
      <c r="W419" s="222"/>
      <c r="X419" s="222"/>
      <c r="Y419" s="222"/>
      <c r="Z419" s="222"/>
      <c r="AA419" s="222"/>
      <c r="AB419" s="222"/>
    </row>
    <row r="420" spans="1:28" ht="16">
      <c r="A420" s="222"/>
      <c r="B420" s="222"/>
      <c r="C420" s="222"/>
      <c r="D420" s="222"/>
      <c r="E420" s="222"/>
      <c r="F420" s="222"/>
      <c r="G420" s="222"/>
      <c r="H420" s="222"/>
      <c r="I420" s="222"/>
      <c r="J420" s="222"/>
      <c r="K420" s="222"/>
      <c r="L420" s="223"/>
      <c r="M420" s="222"/>
      <c r="N420" s="222"/>
      <c r="O420" s="222"/>
      <c r="P420" s="222"/>
      <c r="Q420" s="222"/>
      <c r="R420" s="222"/>
      <c r="S420" s="222"/>
      <c r="T420" s="222"/>
      <c r="U420" s="222"/>
      <c r="V420" s="222"/>
      <c r="W420" s="222"/>
      <c r="X420" s="222"/>
      <c r="Y420" s="222"/>
      <c r="Z420" s="222"/>
      <c r="AA420" s="222"/>
      <c r="AB420" s="222"/>
    </row>
    <row r="421" spans="1:28" ht="16">
      <c r="A421" s="222"/>
      <c r="B421" s="222"/>
      <c r="C421" s="222"/>
      <c r="D421" s="222"/>
      <c r="E421" s="222"/>
      <c r="F421" s="222"/>
      <c r="G421" s="222"/>
      <c r="H421" s="222"/>
      <c r="I421" s="222"/>
      <c r="J421" s="222"/>
      <c r="K421" s="222"/>
      <c r="L421" s="223"/>
      <c r="M421" s="222"/>
      <c r="N421" s="222"/>
      <c r="O421" s="222"/>
      <c r="P421" s="222"/>
      <c r="Q421" s="222"/>
      <c r="R421" s="222"/>
      <c r="S421" s="222"/>
      <c r="T421" s="222"/>
      <c r="U421" s="222"/>
      <c r="V421" s="222"/>
      <c r="W421" s="222"/>
      <c r="X421" s="222"/>
      <c r="Y421" s="222"/>
      <c r="Z421" s="222"/>
      <c r="AA421" s="222"/>
      <c r="AB421" s="222"/>
    </row>
    <row r="422" spans="1:28" ht="16">
      <c r="A422" s="222"/>
      <c r="B422" s="222"/>
      <c r="C422" s="222"/>
      <c r="D422" s="222"/>
      <c r="E422" s="222"/>
      <c r="F422" s="222"/>
      <c r="G422" s="222"/>
      <c r="H422" s="222"/>
      <c r="I422" s="222"/>
      <c r="J422" s="222"/>
      <c r="K422" s="222"/>
      <c r="L422" s="223"/>
      <c r="M422" s="222"/>
      <c r="N422" s="222"/>
      <c r="O422" s="222"/>
      <c r="P422" s="222"/>
      <c r="Q422" s="222"/>
      <c r="R422" s="222"/>
      <c r="S422" s="222"/>
      <c r="T422" s="222"/>
      <c r="U422" s="222"/>
      <c r="V422" s="222"/>
      <c r="W422" s="222"/>
      <c r="X422" s="222"/>
      <c r="Y422" s="222"/>
      <c r="Z422" s="222"/>
      <c r="AA422" s="222"/>
      <c r="AB422" s="222"/>
    </row>
    <row r="423" spans="1:28" ht="16">
      <c r="A423" s="222"/>
      <c r="B423" s="222"/>
      <c r="C423" s="222"/>
      <c r="D423" s="222"/>
      <c r="E423" s="222"/>
      <c r="F423" s="222"/>
      <c r="G423" s="222"/>
      <c r="H423" s="222"/>
      <c r="I423" s="222"/>
      <c r="J423" s="222"/>
      <c r="K423" s="222"/>
      <c r="L423" s="223"/>
      <c r="M423" s="222"/>
      <c r="N423" s="222"/>
      <c r="O423" s="222"/>
      <c r="P423" s="222"/>
      <c r="Q423" s="222"/>
      <c r="R423" s="222"/>
      <c r="S423" s="222"/>
      <c r="T423" s="222"/>
      <c r="U423" s="222"/>
      <c r="V423" s="222"/>
      <c r="W423" s="222"/>
      <c r="X423" s="222"/>
      <c r="Y423" s="222"/>
      <c r="Z423" s="222"/>
      <c r="AA423" s="222"/>
      <c r="AB423" s="222"/>
    </row>
    <row r="424" spans="1:28" ht="16">
      <c r="A424" s="222"/>
      <c r="B424" s="222"/>
      <c r="C424" s="222"/>
      <c r="D424" s="222"/>
      <c r="E424" s="222"/>
      <c r="F424" s="222"/>
      <c r="G424" s="222"/>
      <c r="H424" s="222"/>
      <c r="I424" s="222"/>
      <c r="J424" s="222"/>
      <c r="K424" s="222"/>
      <c r="L424" s="223"/>
      <c r="M424" s="222"/>
      <c r="N424" s="222"/>
      <c r="O424" s="222"/>
      <c r="P424" s="222"/>
      <c r="Q424" s="222"/>
      <c r="R424" s="222"/>
      <c r="S424" s="222"/>
      <c r="T424" s="222"/>
      <c r="U424" s="222"/>
      <c r="V424" s="222"/>
      <c r="W424" s="222"/>
      <c r="X424" s="222"/>
      <c r="Y424" s="222"/>
      <c r="Z424" s="222"/>
      <c r="AA424" s="222"/>
      <c r="AB424" s="222"/>
    </row>
    <row r="425" spans="1:28" ht="16">
      <c r="A425" s="222"/>
      <c r="B425" s="222"/>
      <c r="C425" s="222"/>
      <c r="D425" s="222"/>
      <c r="E425" s="222"/>
      <c r="F425" s="222"/>
      <c r="G425" s="222"/>
      <c r="H425" s="222"/>
      <c r="I425" s="222"/>
      <c r="J425" s="222"/>
      <c r="K425" s="222"/>
      <c r="L425" s="223"/>
      <c r="M425" s="222"/>
      <c r="N425" s="222"/>
      <c r="O425" s="222"/>
      <c r="P425" s="222"/>
      <c r="Q425" s="222"/>
      <c r="R425" s="222"/>
      <c r="S425" s="222"/>
      <c r="T425" s="222"/>
      <c r="U425" s="222"/>
      <c r="V425" s="222"/>
      <c r="W425" s="222"/>
      <c r="X425" s="222"/>
      <c r="Y425" s="222"/>
      <c r="Z425" s="222"/>
      <c r="AA425" s="222"/>
      <c r="AB425" s="222"/>
    </row>
    <row r="426" spans="1:28" ht="16">
      <c r="A426" s="222"/>
      <c r="B426" s="222"/>
      <c r="C426" s="222"/>
      <c r="D426" s="222"/>
      <c r="E426" s="222"/>
      <c r="F426" s="222"/>
      <c r="G426" s="222"/>
      <c r="H426" s="222"/>
      <c r="I426" s="222"/>
      <c r="J426" s="222"/>
      <c r="K426" s="222"/>
      <c r="L426" s="223"/>
      <c r="M426" s="222"/>
      <c r="N426" s="222"/>
      <c r="O426" s="222"/>
      <c r="P426" s="222"/>
      <c r="Q426" s="222"/>
      <c r="R426" s="222"/>
      <c r="S426" s="222"/>
      <c r="T426" s="222"/>
      <c r="U426" s="222"/>
      <c r="V426" s="222"/>
      <c r="W426" s="222"/>
      <c r="X426" s="222"/>
      <c r="Y426" s="222"/>
      <c r="Z426" s="222"/>
      <c r="AA426" s="222"/>
      <c r="AB426" s="222"/>
    </row>
    <row r="427" spans="1:28" ht="16">
      <c r="A427" s="222"/>
      <c r="B427" s="222"/>
      <c r="C427" s="222"/>
      <c r="D427" s="222"/>
      <c r="E427" s="222"/>
      <c r="F427" s="222"/>
      <c r="G427" s="222"/>
      <c r="H427" s="222"/>
      <c r="I427" s="222"/>
      <c r="J427" s="222"/>
      <c r="K427" s="222"/>
      <c r="L427" s="223"/>
      <c r="M427" s="222"/>
      <c r="N427" s="222"/>
      <c r="O427" s="222"/>
      <c r="P427" s="222"/>
      <c r="Q427" s="222"/>
      <c r="R427" s="222"/>
      <c r="S427" s="222"/>
      <c r="T427" s="222"/>
      <c r="U427" s="222"/>
      <c r="V427" s="222"/>
      <c r="W427" s="222"/>
      <c r="X427" s="222"/>
      <c r="Y427" s="222"/>
      <c r="Z427" s="222"/>
      <c r="AA427" s="222"/>
      <c r="AB427" s="222"/>
    </row>
    <row r="428" spans="1:28" ht="16">
      <c r="A428" s="222"/>
      <c r="B428" s="222"/>
      <c r="C428" s="222"/>
      <c r="D428" s="222"/>
      <c r="E428" s="222"/>
      <c r="F428" s="222"/>
      <c r="G428" s="222"/>
      <c r="H428" s="222"/>
      <c r="I428" s="222"/>
      <c r="J428" s="222"/>
      <c r="K428" s="222"/>
      <c r="L428" s="223"/>
      <c r="M428" s="222"/>
      <c r="N428" s="222"/>
      <c r="O428" s="222"/>
      <c r="P428" s="222"/>
      <c r="Q428" s="222"/>
      <c r="R428" s="222"/>
      <c r="S428" s="222"/>
      <c r="T428" s="222"/>
      <c r="U428" s="222"/>
      <c r="V428" s="222"/>
      <c r="W428" s="222"/>
      <c r="X428" s="222"/>
      <c r="Y428" s="222"/>
      <c r="Z428" s="222"/>
      <c r="AA428" s="222"/>
      <c r="AB428" s="222"/>
    </row>
    <row r="429" spans="1:28" ht="16">
      <c r="A429" s="222"/>
      <c r="B429" s="222"/>
      <c r="C429" s="222"/>
      <c r="D429" s="222"/>
      <c r="E429" s="222"/>
      <c r="F429" s="222"/>
      <c r="G429" s="222"/>
      <c r="H429" s="222"/>
      <c r="I429" s="222"/>
      <c r="J429" s="222"/>
      <c r="K429" s="222"/>
      <c r="L429" s="223"/>
      <c r="M429" s="222"/>
      <c r="N429" s="222"/>
      <c r="O429" s="222"/>
      <c r="P429" s="222"/>
      <c r="Q429" s="222"/>
      <c r="R429" s="222"/>
      <c r="S429" s="222"/>
      <c r="T429" s="222"/>
      <c r="U429" s="222"/>
      <c r="V429" s="222"/>
      <c r="W429" s="222"/>
      <c r="X429" s="222"/>
      <c r="Y429" s="222"/>
      <c r="Z429" s="222"/>
      <c r="AA429" s="222"/>
      <c r="AB429" s="222"/>
    </row>
    <row r="430" spans="1:28" ht="16">
      <c r="A430" s="222"/>
      <c r="B430" s="222"/>
      <c r="C430" s="222"/>
      <c r="D430" s="222"/>
      <c r="E430" s="222"/>
      <c r="F430" s="222"/>
      <c r="G430" s="222"/>
      <c r="H430" s="222"/>
      <c r="I430" s="222"/>
      <c r="J430" s="222"/>
      <c r="K430" s="222"/>
      <c r="L430" s="223"/>
      <c r="M430" s="222"/>
      <c r="N430" s="222"/>
      <c r="O430" s="222"/>
      <c r="P430" s="222"/>
      <c r="Q430" s="222"/>
      <c r="R430" s="222"/>
      <c r="S430" s="222"/>
      <c r="T430" s="222"/>
      <c r="U430" s="222"/>
      <c r="V430" s="222"/>
      <c r="W430" s="222"/>
      <c r="X430" s="222"/>
      <c r="Y430" s="222"/>
      <c r="Z430" s="222"/>
      <c r="AA430" s="222"/>
      <c r="AB430" s="222"/>
    </row>
    <row r="431" spans="1:28" ht="16">
      <c r="A431" s="222"/>
      <c r="B431" s="222"/>
      <c r="C431" s="222"/>
      <c r="D431" s="222"/>
      <c r="E431" s="222"/>
      <c r="F431" s="222"/>
      <c r="G431" s="222"/>
      <c r="H431" s="222"/>
      <c r="I431" s="222"/>
      <c r="J431" s="222"/>
      <c r="K431" s="222"/>
      <c r="L431" s="223"/>
      <c r="M431" s="222"/>
      <c r="N431" s="222"/>
      <c r="O431" s="222"/>
      <c r="P431" s="222"/>
      <c r="Q431" s="222"/>
      <c r="R431" s="222"/>
      <c r="S431" s="222"/>
      <c r="T431" s="222"/>
      <c r="U431" s="222"/>
      <c r="V431" s="222"/>
      <c r="W431" s="222"/>
      <c r="X431" s="222"/>
      <c r="Y431" s="222"/>
      <c r="Z431" s="222"/>
      <c r="AA431" s="222"/>
      <c r="AB431" s="222"/>
    </row>
    <row r="432" spans="1:28" ht="16">
      <c r="A432" s="222"/>
      <c r="B432" s="222"/>
      <c r="C432" s="222"/>
      <c r="D432" s="222"/>
      <c r="E432" s="222"/>
      <c r="F432" s="222"/>
      <c r="G432" s="222"/>
      <c r="H432" s="222"/>
      <c r="I432" s="222"/>
      <c r="J432" s="222"/>
      <c r="K432" s="222"/>
      <c r="L432" s="223"/>
      <c r="M432" s="222"/>
      <c r="N432" s="222"/>
      <c r="O432" s="222"/>
      <c r="P432" s="222"/>
      <c r="Q432" s="222"/>
      <c r="R432" s="222"/>
      <c r="S432" s="222"/>
      <c r="T432" s="222"/>
      <c r="U432" s="222"/>
      <c r="V432" s="222"/>
      <c r="W432" s="222"/>
      <c r="X432" s="222"/>
      <c r="Y432" s="222"/>
      <c r="Z432" s="222"/>
      <c r="AA432" s="222"/>
      <c r="AB432" s="222"/>
    </row>
    <row r="433" spans="1:28" ht="16">
      <c r="A433" s="222"/>
      <c r="B433" s="222"/>
      <c r="C433" s="222"/>
      <c r="D433" s="222"/>
      <c r="E433" s="222"/>
      <c r="F433" s="222"/>
      <c r="G433" s="222"/>
      <c r="H433" s="222"/>
      <c r="I433" s="222"/>
      <c r="J433" s="222"/>
      <c r="K433" s="222"/>
      <c r="L433" s="223"/>
      <c r="M433" s="222"/>
      <c r="N433" s="222"/>
      <c r="O433" s="222"/>
      <c r="P433" s="222"/>
      <c r="Q433" s="222"/>
      <c r="R433" s="222"/>
      <c r="S433" s="222"/>
      <c r="T433" s="222"/>
      <c r="U433" s="222"/>
      <c r="V433" s="222"/>
      <c r="W433" s="222"/>
      <c r="X433" s="222"/>
      <c r="Y433" s="222"/>
      <c r="Z433" s="222"/>
      <c r="AA433" s="222"/>
      <c r="AB433" s="222"/>
    </row>
    <row r="434" spans="1:28" ht="16">
      <c r="A434" s="222"/>
      <c r="B434" s="222"/>
      <c r="C434" s="222"/>
      <c r="D434" s="222"/>
      <c r="E434" s="222"/>
      <c r="F434" s="222"/>
      <c r="G434" s="222"/>
      <c r="H434" s="222"/>
      <c r="I434" s="222"/>
      <c r="J434" s="222"/>
      <c r="K434" s="222"/>
      <c r="L434" s="223"/>
      <c r="M434" s="222"/>
      <c r="N434" s="222"/>
      <c r="O434" s="222"/>
      <c r="P434" s="222"/>
      <c r="Q434" s="222"/>
      <c r="R434" s="222"/>
      <c r="S434" s="222"/>
      <c r="T434" s="222"/>
      <c r="U434" s="222"/>
      <c r="V434" s="222"/>
      <c r="W434" s="222"/>
      <c r="X434" s="222"/>
      <c r="Y434" s="222"/>
      <c r="Z434" s="222"/>
      <c r="AA434" s="222"/>
      <c r="AB434" s="222"/>
    </row>
    <row r="435" spans="1:28" ht="16">
      <c r="A435" s="222"/>
      <c r="B435" s="222"/>
      <c r="C435" s="222"/>
      <c r="D435" s="222"/>
      <c r="E435" s="222"/>
      <c r="F435" s="222"/>
      <c r="G435" s="222"/>
      <c r="H435" s="222"/>
      <c r="I435" s="222"/>
      <c r="J435" s="222"/>
      <c r="K435" s="222"/>
      <c r="L435" s="223"/>
      <c r="M435" s="222"/>
      <c r="N435" s="222"/>
      <c r="O435" s="222"/>
      <c r="P435" s="222"/>
      <c r="Q435" s="222"/>
      <c r="R435" s="222"/>
      <c r="S435" s="222"/>
      <c r="T435" s="222"/>
      <c r="U435" s="222"/>
      <c r="V435" s="222"/>
      <c r="W435" s="222"/>
      <c r="X435" s="222"/>
      <c r="Y435" s="222"/>
      <c r="Z435" s="222"/>
      <c r="AA435" s="222"/>
      <c r="AB435" s="222"/>
    </row>
    <row r="436" spans="1:28" ht="16">
      <c r="A436" s="222"/>
      <c r="B436" s="222"/>
      <c r="C436" s="222"/>
      <c r="D436" s="222"/>
      <c r="E436" s="222"/>
      <c r="F436" s="222"/>
      <c r="G436" s="222"/>
      <c r="H436" s="222"/>
      <c r="I436" s="222"/>
      <c r="J436" s="222"/>
      <c r="K436" s="222"/>
      <c r="L436" s="223"/>
      <c r="M436" s="222"/>
      <c r="N436" s="222"/>
      <c r="O436" s="222"/>
      <c r="P436" s="222"/>
      <c r="Q436" s="222"/>
      <c r="R436" s="222"/>
      <c r="S436" s="222"/>
      <c r="T436" s="222"/>
      <c r="U436" s="222"/>
      <c r="V436" s="222"/>
      <c r="W436" s="222"/>
      <c r="X436" s="222"/>
      <c r="Y436" s="222"/>
      <c r="Z436" s="222"/>
      <c r="AA436" s="222"/>
      <c r="AB436" s="222"/>
    </row>
    <row r="437" spans="1:28" ht="16">
      <c r="A437" s="222"/>
      <c r="B437" s="222"/>
      <c r="C437" s="222"/>
      <c r="D437" s="222"/>
      <c r="E437" s="222"/>
      <c r="F437" s="222"/>
      <c r="G437" s="222"/>
      <c r="H437" s="222"/>
      <c r="I437" s="222"/>
      <c r="J437" s="222"/>
      <c r="K437" s="222"/>
      <c r="L437" s="223"/>
      <c r="M437" s="222"/>
      <c r="N437" s="222"/>
      <c r="O437" s="222"/>
      <c r="P437" s="222"/>
      <c r="Q437" s="222"/>
      <c r="R437" s="222"/>
      <c r="S437" s="222"/>
      <c r="T437" s="222"/>
      <c r="U437" s="222"/>
      <c r="V437" s="222"/>
      <c r="W437" s="222"/>
      <c r="X437" s="222"/>
      <c r="Y437" s="222"/>
      <c r="Z437" s="222"/>
      <c r="AA437" s="222"/>
      <c r="AB437" s="222"/>
    </row>
    <row r="438" spans="1:28" ht="16">
      <c r="A438" s="222"/>
      <c r="B438" s="222"/>
      <c r="C438" s="222"/>
      <c r="D438" s="222"/>
      <c r="E438" s="222"/>
      <c r="F438" s="222"/>
      <c r="G438" s="222"/>
      <c r="H438" s="222"/>
      <c r="I438" s="222"/>
      <c r="J438" s="222"/>
      <c r="K438" s="222"/>
      <c r="L438" s="223"/>
      <c r="M438" s="222"/>
      <c r="N438" s="222"/>
      <c r="O438" s="222"/>
      <c r="P438" s="222"/>
      <c r="Q438" s="222"/>
      <c r="R438" s="222"/>
      <c r="S438" s="222"/>
      <c r="T438" s="222"/>
      <c r="U438" s="222"/>
      <c r="V438" s="222"/>
      <c r="W438" s="222"/>
      <c r="X438" s="222"/>
      <c r="Y438" s="222"/>
      <c r="Z438" s="222"/>
      <c r="AA438" s="222"/>
      <c r="AB438" s="222"/>
    </row>
    <row r="439" spans="1:28" ht="16">
      <c r="A439" s="222"/>
      <c r="B439" s="222"/>
      <c r="C439" s="222"/>
      <c r="D439" s="222"/>
      <c r="E439" s="222"/>
      <c r="F439" s="222"/>
      <c r="G439" s="222"/>
      <c r="H439" s="222"/>
      <c r="I439" s="222"/>
      <c r="J439" s="222"/>
      <c r="K439" s="222"/>
      <c r="L439" s="223"/>
      <c r="M439" s="222"/>
      <c r="N439" s="222"/>
      <c r="O439" s="222"/>
      <c r="P439" s="222"/>
      <c r="Q439" s="222"/>
      <c r="R439" s="222"/>
      <c r="S439" s="222"/>
      <c r="T439" s="222"/>
      <c r="U439" s="222"/>
      <c r="V439" s="222"/>
      <c r="W439" s="222"/>
      <c r="X439" s="222"/>
      <c r="Y439" s="222"/>
      <c r="Z439" s="222"/>
      <c r="AA439" s="222"/>
      <c r="AB439" s="222"/>
    </row>
    <row r="440" spans="1:28" ht="16">
      <c r="A440" s="222"/>
      <c r="B440" s="222"/>
      <c r="C440" s="222"/>
      <c r="D440" s="222"/>
      <c r="E440" s="222"/>
      <c r="F440" s="222"/>
      <c r="G440" s="222"/>
      <c r="H440" s="222"/>
      <c r="I440" s="222"/>
      <c r="J440" s="222"/>
      <c r="K440" s="222"/>
      <c r="L440" s="223"/>
      <c r="M440" s="222"/>
      <c r="N440" s="222"/>
      <c r="O440" s="222"/>
      <c r="P440" s="222"/>
      <c r="Q440" s="222"/>
      <c r="R440" s="222"/>
      <c r="S440" s="222"/>
      <c r="T440" s="222"/>
      <c r="U440" s="222"/>
      <c r="V440" s="222"/>
      <c r="W440" s="222"/>
      <c r="X440" s="222"/>
      <c r="Y440" s="222"/>
      <c r="Z440" s="222"/>
      <c r="AA440" s="222"/>
      <c r="AB440" s="222"/>
    </row>
    <row r="441" spans="1:28" ht="16">
      <c r="A441" s="222"/>
      <c r="B441" s="222"/>
      <c r="C441" s="222"/>
      <c r="D441" s="222"/>
      <c r="E441" s="222"/>
      <c r="F441" s="222"/>
      <c r="G441" s="222"/>
      <c r="H441" s="222"/>
      <c r="I441" s="222"/>
      <c r="J441" s="222"/>
      <c r="K441" s="222"/>
      <c r="L441" s="223"/>
      <c r="M441" s="222"/>
      <c r="N441" s="222"/>
      <c r="O441" s="222"/>
      <c r="P441" s="222"/>
      <c r="Q441" s="222"/>
      <c r="R441" s="222"/>
      <c r="S441" s="222"/>
      <c r="T441" s="222"/>
      <c r="U441" s="222"/>
      <c r="V441" s="222"/>
      <c r="W441" s="222"/>
      <c r="X441" s="222"/>
      <c r="Y441" s="222"/>
      <c r="Z441" s="222"/>
      <c r="AA441" s="222"/>
      <c r="AB441" s="222"/>
    </row>
    <row r="442" spans="1:28" ht="16">
      <c r="A442" s="222"/>
      <c r="B442" s="222"/>
      <c r="C442" s="222"/>
      <c r="D442" s="222"/>
      <c r="E442" s="222"/>
      <c r="F442" s="222"/>
      <c r="G442" s="222"/>
      <c r="H442" s="222"/>
      <c r="I442" s="222"/>
      <c r="J442" s="222"/>
      <c r="K442" s="222"/>
      <c r="L442" s="223"/>
      <c r="M442" s="222"/>
      <c r="N442" s="222"/>
      <c r="O442" s="222"/>
      <c r="P442" s="222"/>
      <c r="Q442" s="222"/>
      <c r="R442" s="222"/>
      <c r="S442" s="222"/>
      <c r="T442" s="222"/>
      <c r="U442" s="222"/>
      <c r="V442" s="222"/>
      <c r="W442" s="222"/>
      <c r="X442" s="222"/>
      <c r="Y442" s="222"/>
      <c r="Z442" s="222"/>
      <c r="AA442" s="222"/>
      <c r="AB442" s="222"/>
    </row>
    <row r="443" spans="1:28" ht="16">
      <c r="A443" s="222"/>
      <c r="B443" s="222"/>
      <c r="C443" s="222"/>
      <c r="D443" s="222"/>
      <c r="E443" s="222"/>
      <c r="F443" s="222"/>
      <c r="G443" s="222"/>
      <c r="H443" s="222"/>
      <c r="I443" s="222"/>
      <c r="J443" s="222"/>
      <c r="K443" s="222"/>
      <c r="L443" s="223"/>
      <c r="M443" s="222"/>
      <c r="N443" s="222"/>
      <c r="O443" s="222"/>
      <c r="P443" s="222"/>
      <c r="Q443" s="222"/>
      <c r="R443" s="222"/>
      <c r="S443" s="222"/>
      <c r="T443" s="222"/>
      <c r="U443" s="222"/>
      <c r="V443" s="222"/>
      <c r="W443" s="222"/>
      <c r="X443" s="222"/>
      <c r="Y443" s="222"/>
      <c r="Z443" s="222"/>
      <c r="AA443" s="222"/>
      <c r="AB443" s="222"/>
    </row>
    <row r="444" spans="1:28" ht="16">
      <c r="A444" s="222"/>
      <c r="B444" s="222"/>
      <c r="C444" s="222"/>
      <c r="D444" s="222"/>
      <c r="E444" s="222"/>
      <c r="F444" s="222"/>
      <c r="G444" s="222"/>
      <c r="H444" s="222"/>
      <c r="I444" s="222"/>
      <c r="J444" s="222"/>
      <c r="K444" s="222"/>
      <c r="L444" s="223"/>
      <c r="M444" s="222"/>
      <c r="N444" s="222"/>
      <c r="O444" s="222"/>
      <c r="P444" s="222"/>
      <c r="Q444" s="222"/>
      <c r="R444" s="222"/>
      <c r="S444" s="222"/>
      <c r="T444" s="222"/>
      <c r="U444" s="222"/>
      <c r="V444" s="222"/>
      <c r="W444" s="222"/>
      <c r="X444" s="222"/>
      <c r="Y444" s="222"/>
      <c r="Z444" s="222"/>
      <c r="AA444" s="222"/>
      <c r="AB444" s="222"/>
    </row>
    <row r="445" spans="1:28" ht="16">
      <c r="A445" s="222"/>
      <c r="B445" s="222"/>
      <c r="C445" s="222"/>
      <c r="D445" s="222"/>
      <c r="E445" s="222"/>
      <c r="F445" s="222"/>
      <c r="G445" s="222"/>
      <c r="H445" s="222"/>
      <c r="I445" s="222"/>
      <c r="J445" s="222"/>
      <c r="K445" s="222"/>
      <c r="L445" s="223"/>
      <c r="M445" s="222"/>
      <c r="N445" s="222"/>
      <c r="O445" s="222"/>
      <c r="P445" s="222"/>
      <c r="Q445" s="222"/>
      <c r="R445" s="222"/>
      <c r="S445" s="222"/>
      <c r="T445" s="222"/>
      <c r="U445" s="222"/>
      <c r="V445" s="222"/>
      <c r="W445" s="222"/>
      <c r="X445" s="222"/>
      <c r="Y445" s="222"/>
      <c r="Z445" s="222"/>
      <c r="AA445" s="222"/>
      <c r="AB445" s="222"/>
    </row>
    <row r="446" spans="1:28" ht="16">
      <c r="A446" s="222"/>
      <c r="B446" s="222"/>
      <c r="C446" s="222"/>
      <c r="D446" s="222"/>
      <c r="E446" s="222"/>
      <c r="F446" s="222"/>
      <c r="G446" s="222"/>
      <c r="H446" s="222"/>
      <c r="I446" s="222"/>
      <c r="J446" s="222"/>
      <c r="K446" s="222"/>
      <c r="L446" s="223"/>
      <c r="M446" s="222"/>
      <c r="N446" s="222"/>
      <c r="O446" s="222"/>
      <c r="P446" s="222"/>
      <c r="Q446" s="222"/>
      <c r="R446" s="222"/>
      <c r="S446" s="222"/>
      <c r="T446" s="222"/>
      <c r="U446" s="222"/>
      <c r="V446" s="222"/>
      <c r="W446" s="222"/>
      <c r="X446" s="222"/>
      <c r="Y446" s="222"/>
      <c r="Z446" s="222"/>
      <c r="AA446" s="222"/>
      <c r="AB446" s="222"/>
    </row>
    <row r="447" spans="1:28" ht="16">
      <c r="A447" s="222"/>
      <c r="B447" s="222"/>
      <c r="C447" s="222"/>
      <c r="D447" s="222"/>
      <c r="E447" s="222"/>
      <c r="F447" s="222"/>
      <c r="G447" s="222"/>
      <c r="H447" s="222"/>
      <c r="I447" s="222"/>
      <c r="J447" s="222"/>
      <c r="K447" s="222"/>
      <c r="L447" s="223"/>
      <c r="M447" s="222"/>
      <c r="N447" s="222"/>
      <c r="O447" s="222"/>
      <c r="P447" s="222"/>
      <c r="Q447" s="222"/>
      <c r="R447" s="222"/>
      <c r="S447" s="222"/>
      <c r="T447" s="222"/>
      <c r="U447" s="222"/>
      <c r="V447" s="222"/>
      <c r="W447" s="222"/>
      <c r="X447" s="222"/>
      <c r="Y447" s="222"/>
      <c r="Z447" s="222"/>
      <c r="AA447" s="222"/>
      <c r="AB447" s="222"/>
    </row>
    <row r="448" spans="1:28" ht="16">
      <c r="A448" s="222"/>
      <c r="B448" s="222"/>
      <c r="C448" s="222"/>
      <c r="D448" s="222"/>
      <c r="E448" s="222"/>
      <c r="F448" s="222"/>
      <c r="G448" s="222"/>
      <c r="H448" s="222"/>
      <c r="I448" s="222"/>
      <c r="J448" s="222"/>
      <c r="K448" s="222"/>
      <c r="L448" s="223"/>
      <c r="M448" s="222"/>
      <c r="N448" s="222"/>
      <c r="O448" s="222"/>
      <c r="P448" s="222"/>
      <c r="Q448" s="222"/>
      <c r="R448" s="222"/>
      <c r="S448" s="222"/>
      <c r="T448" s="222"/>
      <c r="U448" s="222"/>
      <c r="V448" s="222"/>
      <c r="W448" s="222"/>
      <c r="X448" s="222"/>
      <c r="Y448" s="222"/>
      <c r="Z448" s="222"/>
      <c r="AA448" s="222"/>
      <c r="AB448" s="222"/>
    </row>
    <row r="449" spans="1:28" ht="16">
      <c r="A449" s="222"/>
      <c r="B449" s="222"/>
      <c r="C449" s="222"/>
      <c r="D449" s="222"/>
      <c r="E449" s="222"/>
      <c r="F449" s="222"/>
      <c r="G449" s="222"/>
      <c r="H449" s="222"/>
      <c r="I449" s="222"/>
      <c r="J449" s="222"/>
      <c r="K449" s="222"/>
      <c r="L449" s="223"/>
      <c r="M449" s="222"/>
      <c r="N449" s="222"/>
      <c r="O449" s="222"/>
      <c r="P449" s="222"/>
      <c r="Q449" s="222"/>
      <c r="R449" s="222"/>
      <c r="S449" s="222"/>
      <c r="T449" s="222"/>
      <c r="U449" s="222"/>
      <c r="V449" s="222"/>
      <c r="W449" s="222"/>
      <c r="X449" s="222"/>
      <c r="Y449" s="222"/>
      <c r="Z449" s="222"/>
      <c r="AA449" s="222"/>
      <c r="AB449" s="222"/>
    </row>
    <row r="450" spans="1:28" ht="16">
      <c r="A450" s="222"/>
      <c r="B450" s="222"/>
      <c r="C450" s="222"/>
      <c r="D450" s="222"/>
      <c r="E450" s="222"/>
      <c r="F450" s="222"/>
      <c r="G450" s="222"/>
      <c r="H450" s="222"/>
      <c r="I450" s="222"/>
      <c r="J450" s="222"/>
      <c r="K450" s="222"/>
      <c r="L450" s="223"/>
      <c r="M450" s="222"/>
      <c r="N450" s="222"/>
      <c r="O450" s="222"/>
      <c r="P450" s="222"/>
      <c r="Q450" s="222"/>
      <c r="R450" s="222"/>
      <c r="S450" s="222"/>
      <c r="T450" s="222"/>
      <c r="U450" s="222"/>
      <c r="V450" s="222"/>
      <c r="W450" s="222"/>
      <c r="X450" s="222"/>
      <c r="Y450" s="222"/>
      <c r="Z450" s="222"/>
      <c r="AA450" s="222"/>
      <c r="AB450" s="222"/>
    </row>
    <row r="451" spans="1:28" ht="16">
      <c r="A451" s="222"/>
      <c r="B451" s="222"/>
      <c r="C451" s="222"/>
      <c r="D451" s="222"/>
      <c r="E451" s="222"/>
      <c r="F451" s="222"/>
      <c r="G451" s="222"/>
      <c r="H451" s="222"/>
      <c r="I451" s="222"/>
      <c r="J451" s="222"/>
      <c r="K451" s="222"/>
      <c r="L451" s="223"/>
      <c r="M451" s="222"/>
      <c r="N451" s="222"/>
      <c r="O451" s="222"/>
      <c r="P451" s="222"/>
      <c r="Q451" s="222"/>
      <c r="R451" s="222"/>
      <c r="S451" s="222"/>
      <c r="T451" s="222"/>
      <c r="U451" s="222"/>
      <c r="V451" s="222"/>
      <c r="W451" s="222"/>
      <c r="X451" s="222"/>
      <c r="Y451" s="222"/>
      <c r="Z451" s="222"/>
      <c r="AA451" s="222"/>
      <c r="AB451" s="222"/>
    </row>
    <row r="452" spans="1:28" ht="16">
      <c r="A452" s="222"/>
      <c r="B452" s="222"/>
      <c r="C452" s="222"/>
      <c r="D452" s="222"/>
      <c r="E452" s="222"/>
      <c r="F452" s="222"/>
      <c r="G452" s="222"/>
      <c r="H452" s="222"/>
      <c r="I452" s="222"/>
      <c r="J452" s="222"/>
      <c r="K452" s="222"/>
      <c r="L452" s="223"/>
      <c r="M452" s="222"/>
      <c r="N452" s="222"/>
      <c r="O452" s="222"/>
      <c r="P452" s="222"/>
      <c r="Q452" s="222"/>
      <c r="R452" s="222"/>
      <c r="S452" s="222"/>
      <c r="T452" s="222"/>
      <c r="U452" s="222"/>
      <c r="V452" s="222"/>
      <c r="W452" s="222"/>
      <c r="X452" s="222"/>
      <c r="Y452" s="222"/>
      <c r="Z452" s="222"/>
      <c r="AA452" s="222"/>
      <c r="AB452" s="222"/>
    </row>
    <row r="453" spans="1:28" ht="16">
      <c r="A453" s="222"/>
      <c r="B453" s="222"/>
      <c r="C453" s="222"/>
      <c r="D453" s="222"/>
      <c r="E453" s="222"/>
      <c r="F453" s="222"/>
      <c r="G453" s="222"/>
      <c r="H453" s="222"/>
      <c r="I453" s="222"/>
      <c r="J453" s="222"/>
      <c r="K453" s="222"/>
      <c r="L453" s="223"/>
      <c r="M453" s="222"/>
      <c r="N453" s="222"/>
      <c r="O453" s="222"/>
      <c r="P453" s="222"/>
      <c r="Q453" s="222"/>
      <c r="R453" s="222"/>
      <c r="S453" s="222"/>
      <c r="T453" s="222"/>
      <c r="U453" s="222"/>
      <c r="V453" s="222"/>
      <c r="W453" s="222"/>
      <c r="X453" s="222"/>
      <c r="Y453" s="222"/>
      <c r="Z453" s="222"/>
      <c r="AA453" s="222"/>
      <c r="AB453" s="222"/>
    </row>
    <row r="454" spans="1:28" ht="16">
      <c r="A454" s="222"/>
      <c r="B454" s="222"/>
      <c r="C454" s="222"/>
      <c r="D454" s="222"/>
      <c r="E454" s="222"/>
      <c r="F454" s="222"/>
      <c r="G454" s="222"/>
      <c r="H454" s="222"/>
      <c r="I454" s="222"/>
      <c r="J454" s="222"/>
      <c r="K454" s="222"/>
      <c r="L454" s="223"/>
      <c r="M454" s="222"/>
      <c r="N454" s="222"/>
      <c r="O454" s="222"/>
      <c r="P454" s="222"/>
      <c r="Q454" s="222"/>
      <c r="R454" s="222"/>
      <c r="S454" s="222"/>
      <c r="T454" s="222"/>
      <c r="U454" s="222"/>
      <c r="V454" s="222"/>
      <c r="W454" s="222"/>
      <c r="X454" s="222"/>
      <c r="Y454" s="222"/>
      <c r="Z454" s="222"/>
      <c r="AA454" s="222"/>
      <c r="AB454" s="222"/>
    </row>
    <row r="455" spans="1:28" ht="16">
      <c r="A455" s="222"/>
      <c r="B455" s="222"/>
      <c r="C455" s="222"/>
      <c r="D455" s="222"/>
      <c r="E455" s="222"/>
      <c r="F455" s="222"/>
      <c r="G455" s="222"/>
      <c r="H455" s="222"/>
      <c r="I455" s="222"/>
      <c r="J455" s="222"/>
      <c r="K455" s="222"/>
      <c r="L455" s="223"/>
      <c r="M455" s="222"/>
      <c r="N455" s="222"/>
      <c r="O455" s="222"/>
      <c r="P455" s="222"/>
      <c r="Q455" s="222"/>
      <c r="R455" s="222"/>
      <c r="S455" s="222"/>
      <c r="T455" s="222"/>
      <c r="U455" s="222"/>
      <c r="V455" s="222"/>
      <c r="W455" s="222"/>
      <c r="X455" s="222"/>
      <c r="Y455" s="222"/>
      <c r="Z455" s="222"/>
      <c r="AA455" s="222"/>
      <c r="AB455" s="222"/>
    </row>
    <row r="456" spans="1:28" ht="16">
      <c r="A456" s="222"/>
      <c r="B456" s="222"/>
      <c r="C456" s="222"/>
      <c r="D456" s="222"/>
      <c r="E456" s="222"/>
      <c r="F456" s="222"/>
      <c r="G456" s="222"/>
      <c r="H456" s="222"/>
      <c r="I456" s="222"/>
      <c r="J456" s="222"/>
      <c r="K456" s="222"/>
      <c r="L456" s="223"/>
      <c r="M456" s="222"/>
      <c r="N456" s="222"/>
      <c r="O456" s="222"/>
      <c r="P456" s="222"/>
      <c r="Q456" s="222"/>
      <c r="R456" s="222"/>
      <c r="S456" s="222"/>
      <c r="T456" s="222"/>
      <c r="U456" s="222"/>
      <c r="V456" s="222"/>
      <c r="W456" s="222"/>
      <c r="X456" s="222"/>
      <c r="Y456" s="222"/>
      <c r="Z456" s="222"/>
      <c r="AA456" s="222"/>
      <c r="AB456" s="222"/>
    </row>
    <row r="457" spans="1:28" ht="16">
      <c r="A457" s="222"/>
      <c r="B457" s="222"/>
      <c r="C457" s="222"/>
      <c r="D457" s="222"/>
      <c r="E457" s="222"/>
      <c r="F457" s="222"/>
      <c r="G457" s="222"/>
      <c r="H457" s="222"/>
      <c r="I457" s="222"/>
      <c r="J457" s="222"/>
      <c r="K457" s="222"/>
      <c r="L457" s="223"/>
      <c r="M457" s="222"/>
      <c r="N457" s="222"/>
      <c r="O457" s="222"/>
      <c r="P457" s="222"/>
      <c r="Q457" s="222"/>
      <c r="R457" s="222"/>
      <c r="S457" s="222"/>
      <c r="T457" s="222"/>
      <c r="U457" s="222"/>
      <c r="V457" s="222"/>
      <c r="W457" s="222"/>
      <c r="X457" s="222"/>
      <c r="Y457" s="222"/>
      <c r="Z457" s="222"/>
      <c r="AA457" s="222"/>
      <c r="AB457" s="222"/>
    </row>
    <row r="458" spans="1:28" ht="16">
      <c r="A458" s="222"/>
      <c r="B458" s="222"/>
      <c r="C458" s="222"/>
      <c r="D458" s="222"/>
      <c r="E458" s="222"/>
      <c r="F458" s="222"/>
      <c r="G458" s="222"/>
      <c r="H458" s="222"/>
      <c r="I458" s="222"/>
      <c r="J458" s="222"/>
      <c r="K458" s="222"/>
      <c r="L458" s="223"/>
      <c r="M458" s="222"/>
      <c r="N458" s="222"/>
      <c r="O458" s="222"/>
      <c r="P458" s="222"/>
      <c r="Q458" s="222"/>
      <c r="R458" s="222"/>
      <c r="S458" s="222"/>
      <c r="T458" s="222"/>
      <c r="U458" s="222"/>
      <c r="V458" s="222"/>
      <c r="W458" s="222"/>
      <c r="X458" s="222"/>
      <c r="Y458" s="222"/>
      <c r="Z458" s="222"/>
      <c r="AA458" s="222"/>
      <c r="AB458" s="222"/>
    </row>
    <row r="459" spans="1:28" ht="16">
      <c r="A459" s="222"/>
      <c r="B459" s="222"/>
      <c r="C459" s="222"/>
      <c r="D459" s="222"/>
      <c r="E459" s="222"/>
      <c r="F459" s="222"/>
      <c r="G459" s="222"/>
      <c r="H459" s="222"/>
      <c r="I459" s="222"/>
      <c r="J459" s="222"/>
      <c r="K459" s="222"/>
      <c r="L459" s="223"/>
      <c r="M459" s="222"/>
      <c r="N459" s="222"/>
      <c r="O459" s="222"/>
      <c r="P459" s="222"/>
      <c r="Q459" s="222"/>
      <c r="R459" s="222"/>
      <c r="S459" s="222"/>
      <c r="T459" s="222"/>
      <c r="U459" s="222"/>
      <c r="V459" s="222"/>
      <c r="W459" s="222"/>
      <c r="X459" s="222"/>
      <c r="Y459" s="222"/>
      <c r="Z459" s="222"/>
      <c r="AA459" s="222"/>
      <c r="AB459" s="222"/>
    </row>
    <row r="460" spans="1:28" ht="16">
      <c r="A460" s="222"/>
      <c r="B460" s="222"/>
      <c r="C460" s="222"/>
      <c r="D460" s="222"/>
      <c r="E460" s="222"/>
      <c r="F460" s="222"/>
      <c r="G460" s="222"/>
      <c r="H460" s="222"/>
      <c r="I460" s="222"/>
      <c r="J460" s="222"/>
      <c r="K460" s="222"/>
      <c r="L460" s="223"/>
      <c r="M460" s="222"/>
      <c r="N460" s="222"/>
      <c r="O460" s="222"/>
      <c r="P460" s="222"/>
      <c r="Q460" s="222"/>
      <c r="R460" s="222"/>
      <c r="S460" s="222"/>
      <c r="T460" s="222"/>
      <c r="U460" s="222"/>
      <c r="V460" s="222"/>
      <c r="W460" s="222"/>
      <c r="X460" s="222"/>
      <c r="Y460" s="222"/>
      <c r="Z460" s="222"/>
      <c r="AA460" s="222"/>
      <c r="AB460" s="222"/>
    </row>
    <row r="461" spans="1:28" ht="16">
      <c r="A461" s="222"/>
      <c r="B461" s="222"/>
      <c r="C461" s="222"/>
      <c r="D461" s="222"/>
      <c r="E461" s="222"/>
      <c r="F461" s="222"/>
      <c r="G461" s="222"/>
      <c r="H461" s="222"/>
      <c r="I461" s="222"/>
      <c r="J461" s="222"/>
      <c r="K461" s="222"/>
      <c r="L461" s="223"/>
      <c r="M461" s="222"/>
      <c r="N461" s="222"/>
      <c r="O461" s="222"/>
      <c r="P461" s="222"/>
      <c r="Q461" s="222"/>
      <c r="R461" s="222"/>
      <c r="S461" s="222"/>
      <c r="T461" s="222"/>
      <c r="U461" s="222"/>
      <c r="V461" s="222"/>
      <c r="W461" s="222"/>
      <c r="X461" s="222"/>
      <c r="Y461" s="222"/>
      <c r="Z461" s="222"/>
      <c r="AA461" s="222"/>
      <c r="AB461" s="222"/>
    </row>
    <row r="462" spans="1:28" ht="16">
      <c r="A462" s="222"/>
      <c r="B462" s="222"/>
      <c r="C462" s="222"/>
      <c r="D462" s="222"/>
      <c r="E462" s="222"/>
      <c r="F462" s="222"/>
      <c r="G462" s="222"/>
      <c r="H462" s="222"/>
      <c r="I462" s="222"/>
      <c r="J462" s="222"/>
      <c r="K462" s="222"/>
      <c r="L462" s="223"/>
      <c r="M462" s="222"/>
      <c r="N462" s="222"/>
      <c r="O462" s="222"/>
      <c r="P462" s="222"/>
      <c r="Q462" s="222"/>
      <c r="R462" s="222"/>
      <c r="S462" s="222"/>
      <c r="T462" s="222"/>
      <c r="U462" s="222"/>
      <c r="V462" s="222"/>
      <c r="W462" s="222"/>
      <c r="X462" s="222"/>
      <c r="Y462" s="222"/>
      <c r="Z462" s="222"/>
      <c r="AA462" s="222"/>
      <c r="AB462" s="222"/>
    </row>
    <row r="463" spans="1:28" ht="16">
      <c r="A463" s="222"/>
      <c r="B463" s="222"/>
      <c r="C463" s="222"/>
      <c r="D463" s="222"/>
      <c r="E463" s="222"/>
      <c r="F463" s="222"/>
      <c r="G463" s="222"/>
      <c r="H463" s="222"/>
      <c r="I463" s="222"/>
      <c r="J463" s="222"/>
      <c r="K463" s="222"/>
      <c r="L463" s="223"/>
      <c r="M463" s="222"/>
      <c r="N463" s="222"/>
      <c r="O463" s="222"/>
      <c r="P463" s="222"/>
      <c r="Q463" s="222"/>
      <c r="R463" s="222"/>
      <c r="S463" s="222"/>
      <c r="T463" s="222"/>
      <c r="U463" s="222"/>
      <c r="V463" s="222"/>
      <c r="W463" s="222"/>
      <c r="X463" s="222"/>
      <c r="Y463" s="222"/>
      <c r="Z463" s="222"/>
      <c r="AA463" s="222"/>
      <c r="AB463" s="222"/>
    </row>
    <row r="464" spans="1:28" ht="16">
      <c r="A464" s="222"/>
      <c r="B464" s="222"/>
      <c r="C464" s="222"/>
      <c r="D464" s="222"/>
      <c r="E464" s="222"/>
      <c r="F464" s="222"/>
      <c r="G464" s="222"/>
      <c r="H464" s="222"/>
      <c r="I464" s="222"/>
      <c r="J464" s="222"/>
      <c r="K464" s="222"/>
      <c r="L464" s="223"/>
      <c r="M464" s="222"/>
      <c r="N464" s="222"/>
      <c r="O464" s="222"/>
      <c r="P464" s="222"/>
      <c r="Q464" s="222"/>
      <c r="R464" s="222"/>
      <c r="S464" s="222"/>
      <c r="T464" s="222"/>
      <c r="U464" s="222"/>
      <c r="V464" s="222"/>
      <c r="W464" s="222"/>
      <c r="X464" s="222"/>
      <c r="Y464" s="222"/>
      <c r="Z464" s="222"/>
      <c r="AA464" s="222"/>
      <c r="AB464" s="222"/>
    </row>
    <row r="465" spans="1:28" ht="16">
      <c r="A465" s="222"/>
      <c r="B465" s="222"/>
      <c r="C465" s="222"/>
      <c r="D465" s="222"/>
      <c r="E465" s="222"/>
      <c r="F465" s="222"/>
      <c r="G465" s="222"/>
      <c r="H465" s="222"/>
      <c r="I465" s="222"/>
      <c r="J465" s="222"/>
      <c r="K465" s="222"/>
      <c r="L465" s="223"/>
      <c r="M465" s="222"/>
      <c r="N465" s="222"/>
      <c r="O465" s="222"/>
      <c r="P465" s="222"/>
      <c r="Q465" s="222"/>
      <c r="R465" s="222"/>
      <c r="S465" s="222"/>
      <c r="T465" s="222"/>
      <c r="U465" s="222"/>
      <c r="V465" s="222"/>
      <c r="W465" s="222"/>
      <c r="X465" s="222"/>
      <c r="Y465" s="222"/>
      <c r="Z465" s="222"/>
      <c r="AA465" s="222"/>
      <c r="AB465" s="222"/>
    </row>
    <row r="466" spans="1:28" ht="16">
      <c r="A466" s="222"/>
      <c r="B466" s="222"/>
      <c r="C466" s="222"/>
      <c r="D466" s="222"/>
      <c r="E466" s="222"/>
      <c r="F466" s="222"/>
      <c r="G466" s="222"/>
      <c r="H466" s="222"/>
      <c r="I466" s="222"/>
      <c r="J466" s="222"/>
      <c r="K466" s="222"/>
      <c r="L466" s="223"/>
      <c r="M466" s="222"/>
      <c r="N466" s="222"/>
      <c r="O466" s="222"/>
      <c r="P466" s="222"/>
      <c r="Q466" s="222"/>
      <c r="R466" s="222"/>
      <c r="S466" s="222"/>
      <c r="T466" s="222"/>
      <c r="U466" s="222"/>
      <c r="V466" s="222"/>
      <c r="W466" s="222"/>
      <c r="X466" s="222"/>
      <c r="Y466" s="222"/>
      <c r="Z466" s="222"/>
      <c r="AA466" s="222"/>
      <c r="AB466" s="222"/>
    </row>
    <row r="467" spans="1:28" ht="16">
      <c r="A467" s="222"/>
      <c r="B467" s="222"/>
      <c r="C467" s="222"/>
      <c r="D467" s="222"/>
      <c r="E467" s="222"/>
      <c r="F467" s="222"/>
      <c r="G467" s="222"/>
      <c r="H467" s="222"/>
      <c r="I467" s="222"/>
      <c r="J467" s="222"/>
      <c r="K467" s="222"/>
      <c r="L467" s="223"/>
      <c r="M467" s="222"/>
      <c r="N467" s="222"/>
      <c r="O467" s="222"/>
      <c r="P467" s="222"/>
      <c r="Q467" s="222"/>
      <c r="R467" s="222"/>
      <c r="S467" s="222"/>
      <c r="T467" s="222"/>
      <c r="U467" s="222"/>
      <c r="V467" s="222"/>
      <c r="W467" s="222"/>
      <c r="X467" s="222"/>
      <c r="Y467" s="222"/>
      <c r="Z467" s="222"/>
      <c r="AA467" s="222"/>
      <c r="AB467" s="222"/>
    </row>
    <row r="468" spans="1:28" ht="16">
      <c r="A468" s="222"/>
      <c r="B468" s="222"/>
      <c r="C468" s="222"/>
      <c r="D468" s="222"/>
      <c r="E468" s="222"/>
      <c r="F468" s="222"/>
      <c r="G468" s="222"/>
      <c r="H468" s="222"/>
      <c r="I468" s="222"/>
      <c r="J468" s="222"/>
      <c r="K468" s="222"/>
      <c r="L468" s="223"/>
      <c r="M468" s="222"/>
      <c r="N468" s="222"/>
      <c r="O468" s="222"/>
      <c r="P468" s="222"/>
      <c r="Q468" s="222"/>
      <c r="R468" s="222"/>
      <c r="S468" s="222"/>
      <c r="T468" s="222"/>
      <c r="U468" s="222"/>
      <c r="V468" s="222"/>
      <c r="W468" s="222"/>
      <c r="X468" s="222"/>
      <c r="Y468" s="222"/>
      <c r="Z468" s="222"/>
      <c r="AA468" s="222"/>
      <c r="AB468" s="222"/>
    </row>
    <row r="469" spans="1:28" ht="16">
      <c r="A469" s="222"/>
      <c r="B469" s="222"/>
      <c r="C469" s="222"/>
      <c r="D469" s="222"/>
      <c r="E469" s="222"/>
      <c r="F469" s="222"/>
      <c r="G469" s="222"/>
      <c r="H469" s="222"/>
      <c r="I469" s="222"/>
      <c r="J469" s="222"/>
      <c r="K469" s="222"/>
      <c r="L469" s="223"/>
      <c r="M469" s="222"/>
      <c r="N469" s="222"/>
      <c r="O469" s="222"/>
      <c r="P469" s="222"/>
      <c r="Q469" s="222"/>
      <c r="R469" s="222"/>
      <c r="S469" s="222"/>
      <c r="T469" s="222"/>
      <c r="U469" s="222"/>
      <c r="V469" s="222"/>
      <c r="W469" s="222"/>
      <c r="X469" s="222"/>
      <c r="Y469" s="222"/>
      <c r="Z469" s="222"/>
      <c r="AA469" s="222"/>
      <c r="AB469" s="222"/>
    </row>
    <row r="470" spans="1:28" ht="16">
      <c r="A470" s="222"/>
      <c r="B470" s="222"/>
      <c r="C470" s="222"/>
      <c r="D470" s="222"/>
      <c r="E470" s="222"/>
      <c r="F470" s="222"/>
      <c r="G470" s="222"/>
      <c r="H470" s="222"/>
      <c r="I470" s="222"/>
      <c r="J470" s="222"/>
      <c r="K470" s="222"/>
      <c r="L470" s="223"/>
      <c r="M470" s="222"/>
      <c r="N470" s="222"/>
      <c r="O470" s="222"/>
      <c r="P470" s="222"/>
      <c r="Q470" s="222"/>
      <c r="R470" s="222"/>
      <c r="S470" s="222"/>
      <c r="T470" s="222"/>
      <c r="U470" s="222"/>
      <c r="V470" s="222"/>
      <c r="W470" s="222"/>
      <c r="X470" s="222"/>
      <c r="Y470" s="222"/>
      <c r="Z470" s="222"/>
      <c r="AA470" s="222"/>
      <c r="AB470" s="222"/>
    </row>
    <row r="471" spans="1:28" ht="16">
      <c r="A471" s="222"/>
      <c r="B471" s="222"/>
      <c r="C471" s="222"/>
      <c r="D471" s="222"/>
      <c r="E471" s="222"/>
      <c r="F471" s="222"/>
      <c r="G471" s="222"/>
      <c r="H471" s="222"/>
      <c r="I471" s="222"/>
      <c r="J471" s="222"/>
      <c r="K471" s="222"/>
      <c r="L471" s="223"/>
      <c r="M471" s="222"/>
      <c r="N471" s="222"/>
      <c r="O471" s="222"/>
      <c r="P471" s="222"/>
      <c r="Q471" s="222"/>
      <c r="R471" s="222"/>
      <c r="S471" s="222"/>
      <c r="T471" s="222"/>
      <c r="U471" s="222"/>
      <c r="V471" s="222"/>
      <c r="W471" s="222"/>
      <c r="X471" s="222"/>
      <c r="Y471" s="222"/>
      <c r="Z471" s="222"/>
      <c r="AA471" s="222"/>
      <c r="AB471" s="222"/>
    </row>
    <row r="472" spans="1:28" ht="16">
      <c r="A472" s="222"/>
      <c r="B472" s="222"/>
      <c r="C472" s="222"/>
      <c r="D472" s="222"/>
      <c r="E472" s="222"/>
      <c r="F472" s="222"/>
      <c r="G472" s="222"/>
      <c r="H472" s="222"/>
      <c r="I472" s="222"/>
      <c r="J472" s="222"/>
      <c r="K472" s="222"/>
      <c r="L472" s="223"/>
      <c r="M472" s="222"/>
      <c r="N472" s="222"/>
      <c r="O472" s="222"/>
      <c r="P472" s="222"/>
      <c r="Q472" s="222"/>
      <c r="R472" s="222"/>
      <c r="S472" s="222"/>
      <c r="T472" s="222"/>
      <c r="U472" s="222"/>
      <c r="V472" s="222"/>
      <c r="W472" s="222"/>
      <c r="X472" s="222"/>
      <c r="Y472" s="222"/>
      <c r="Z472" s="222"/>
      <c r="AA472" s="222"/>
      <c r="AB472" s="222"/>
    </row>
    <row r="473" spans="1:28" ht="16">
      <c r="A473" s="222"/>
      <c r="B473" s="222"/>
      <c r="C473" s="222"/>
      <c r="D473" s="222"/>
      <c r="E473" s="222"/>
      <c r="F473" s="222"/>
      <c r="G473" s="222"/>
      <c r="H473" s="222"/>
      <c r="I473" s="222"/>
      <c r="J473" s="222"/>
      <c r="K473" s="222"/>
      <c r="L473" s="223"/>
      <c r="M473" s="222"/>
      <c r="N473" s="222"/>
      <c r="O473" s="222"/>
      <c r="P473" s="222"/>
      <c r="Q473" s="222"/>
      <c r="R473" s="222"/>
      <c r="S473" s="222"/>
      <c r="T473" s="222"/>
      <c r="U473" s="222"/>
      <c r="V473" s="222"/>
      <c r="W473" s="222"/>
      <c r="X473" s="222"/>
      <c r="Y473" s="222"/>
      <c r="Z473" s="222"/>
      <c r="AA473" s="222"/>
      <c r="AB473" s="222"/>
    </row>
    <row r="474" spans="1:28" ht="16">
      <c r="A474" s="222"/>
      <c r="B474" s="222"/>
      <c r="C474" s="222"/>
      <c r="D474" s="222"/>
      <c r="E474" s="222"/>
      <c r="F474" s="222"/>
      <c r="G474" s="222"/>
      <c r="H474" s="222"/>
      <c r="I474" s="222"/>
      <c r="J474" s="222"/>
      <c r="K474" s="222"/>
      <c r="L474" s="223"/>
      <c r="M474" s="222"/>
      <c r="N474" s="222"/>
      <c r="O474" s="222"/>
      <c r="P474" s="222"/>
      <c r="Q474" s="222"/>
      <c r="R474" s="222"/>
      <c r="S474" s="222"/>
      <c r="T474" s="222"/>
      <c r="U474" s="222"/>
      <c r="V474" s="222"/>
      <c r="W474" s="222"/>
      <c r="X474" s="222"/>
      <c r="Y474" s="222"/>
      <c r="Z474" s="222"/>
      <c r="AA474" s="222"/>
      <c r="AB474" s="222"/>
    </row>
    <row r="475" spans="1:28" ht="16">
      <c r="A475" s="222"/>
      <c r="B475" s="222"/>
      <c r="C475" s="222"/>
      <c r="D475" s="222"/>
      <c r="E475" s="222"/>
      <c r="F475" s="222"/>
      <c r="G475" s="222"/>
      <c r="H475" s="222"/>
      <c r="I475" s="222"/>
      <c r="J475" s="222"/>
      <c r="K475" s="222"/>
      <c r="L475" s="223"/>
      <c r="M475" s="222"/>
      <c r="N475" s="222"/>
      <c r="O475" s="222"/>
      <c r="P475" s="222"/>
      <c r="Q475" s="222"/>
      <c r="R475" s="222"/>
      <c r="S475" s="222"/>
      <c r="T475" s="222"/>
      <c r="U475" s="222"/>
      <c r="V475" s="222"/>
      <c r="W475" s="222"/>
      <c r="X475" s="222"/>
      <c r="Y475" s="222"/>
      <c r="Z475" s="222"/>
      <c r="AA475" s="222"/>
      <c r="AB475" s="222"/>
    </row>
    <row r="476" spans="1:28" ht="16">
      <c r="A476" s="222"/>
      <c r="B476" s="222"/>
      <c r="C476" s="222"/>
      <c r="D476" s="222"/>
      <c r="E476" s="222"/>
      <c r="F476" s="222"/>
      <c r="G476" s="222"/>
      <c r="H476" s="222"/>
      <c r="I476" s="222"/>
      <c r="J476" s="222"/>
      <c r="K476" s="222"/>
      <c r="L476" s="223"/>
      <c r="M476" s="222"/>
      <c r="N476" s="222"/>
      <c r="O476" s="222"/>
      <c r="P476" s="222"/>
      <c r="Q476" s="222"/>
      <c r="R476" s="222"/>
      <c r="S476" s="222"/>
      <c r="T476" s="222"/>
      <c r="U476" s="222"/>
      <c r="V476" s="222"/>
      <c r="W476" s="222"/>
      <c r="X476" s="222"/>
      <c r="Y476" s="222"/>
      <c r="Z476" s="222"/>
      <c r="AA476" s="222"/>
      <c r="AB476" s="222"/>
    </row>
    <row r="477" spans="1:28" ht="16">
      <c r="A477" s="222"/>
      <c r="B477" s="222"/>
      <c r="C477" s="222"/>
      <c r="D477" s="222"/>
      <c r="E477" s="222"/>
      <c r="F477" s="222"/>
      <c r="G477" s="222"/>
      <c r="H477" s="222"/>
      <c r="I477" s="222"/>
      <c r="J477" s="222"/>
      <c r="K477" s="222"/>
      <c r="L477" s="223"/>
      <c r="M477" s="222"/>
      <c r="N477" s="222"/>
      <c r="O477" s="222"/>
      <c r="P477" s="222"/>
      <c r="Q477" s="222"/>
      <c r="R477" s="222"/>
      <c r="S477" s="222"/>
      <c r="T477" s="222"/>
      <c r="U477" s="222"/>
      <c r="V477" s="222"/>
      <c r="W477" s="222"/>
      <c r="X477" s="222"/>
      <c r="Y477" s="222"/>
      <c r="Z477" s="222"/>
      <c r="AA477" s="222"/>
      <c r="AB477" s="222"/>
    </row>
    <row r="478" spans="1:28" ht="16">
      <c r="A478" s="222"/>
      <c r="B478" s="222"/>
      <c r="C478" s="222"/>
      <c r="D478" s="222"/>
      <c r="E478" s="222"/>
      <c r="F478" s="222"/>
      <c r="G478" s="222"/>
      <c r="H478" s="222"/>
      <c r="I478" s="222"/>
      <c r="J478" s="222"/>
      <c r="K478" s="222"/>
      <c r="L478" s="223"/>
      <c r="M478" s="222"/>
      <c r="N478" s="222"/>
      <c r="O478" s="222"/>
      <c r="P478" s="222"/>
      <c r="Q478" s="222"/>
      <c r="R478" s="222"/>
      <c r="S478" s="222"/>
      <c r="T478" s="222"/>
      <c r="U478" s="222"/>
      <c r="V478" s="222"/>
      <c r="W478" s="222"/>
      <c r="X478" s="222"/>
      <c r="Y478" s="222"/>
      <c r="Z478" s="222"/>
      <c r="AA478" s="222"/>
      <c r="AB478" s="222"/>
    </row>
    <row r="479" spans="1:28" ht="16">
      <c r="A479" s="222"/>
      <c r="B479" s="222"/>
      <c r="C479" s="222"/>
      <c r="D479" s="222"/>
      <c r="E479" s="222"/>
      <c r="F479" s="222"/>
      <c r="G479" s="222"/>
      <c r="H479" s="222"/>
      <c r="I479" s="222"/>
      <c r="J479" s="222"/>
      <c r="K479" s="222"/>
      <c r="L479" s="223"/>
      <c r="M479" s="222"/>
      <c r="N479" s="222"/>
      <c r="O479" s="222"/>
      <c r="P479" s="222"/>
      <c r="Q479" s="222"/>
      <c r="R479" s="222"/>
      <c r="S479" s="222"/>
      <c r="T479" s="222"/>
      <c r="U479" s="222"/>
      <c r="V479" s="222"/>
      <c r="W479" s="222"/>
      <c r="X479" s="222"/>
      <c r="Y479" s="222"/>
      <c r="Z479" s="222"/>
      <c r="AA479" s="222"/>
      <c r="AB479" s="222"/>
    </row>
    <row r="480" spans="1:28" ht="16">
      <c r="A480" s="222"/>
      <c r="B480" s="222"/>
      <c r="C480" s="222"/>
      <c r="D480" s="222"/>
      <c r="E480" s="222"/>
      <c r="F480" s="222"/>
      <c r="G480" s="222"/>
      <c r="H480" s="222"/>
      <c r="I480" s="222"/>
      <c r="J480" s="222"/>
      <c r="K480" s="222"/>
      <c r="L480" s="223"/>
      <c r="M480" s="222"/>
      <c r="N480" s="222"/>
      <c r="O480" s="222"/>
      <c r="P480" s="222"/>
      <c r="Q480" s="222"/>
      <c r="R480" s="222"/>
      <c r="S480" s="222"/>
      <c r="T480" s="222"/>
      <c r="U480" s="222"/>
      <c r="V480" s="222"/>
      <c r="W480" s="222"/>
      <c r="X480" s="222"/>
      <c r="Y480" s="222"/>
      <c r="Z480" s="222"/>
      <c r="AA480" s="222"/>
      <c r="AB480" s="222"/>
    </row>
    <row r="481" spans="1:28" ht="16">
      <c r="A481" s="222"/>
      <c r="B481" s="222"/>
      <c r="C481" s="222"/>
      <c r="D481" s="222"/>
      <c r="E481" s="222"/>
      <c r="F481" s="222"/>
      <c r="G481" s="222"/>
      <c r="H481" s="222"/>
      <c r="I481" s="222"/>
      <c r="J481" s="222"/>
      <c r="K481" s="222"/>
      <c r="L481" s="223"/>
      <c r="M481" s="222"/>
      <c r="N481" s="222"/>
      <c r="O481" s="222"/>
      <c r="P481" s="222"/>
      <c r="Q481" s="222"/>
      <c r="R481" s="222"/>
      <c r="S481" s="222"/>
      <c r="T481" s="222"/>
      <c r="U481" s="222"/>
      <c r="V481" s="222"/>
      <c r="W481" s="222"/>
      <c r="X481" s="222"/>
      <c r="Y481" s="222"/>
      <c r="Z481" s="222"/>
      <c r="AA481" s="222"/>
      <c r="AB481" s="222"/>
    </row>
    <row r="482" spans="1:28" ht="16">
      <c r="A482" s="222"/>
      <c r="B482" s="222"/>
      <c r="C482" s="222"/>
      <c r="D482" s="222"/>
      <c r="E482" s="222"/>
      <c r="F482" s="222"/>
      <c r="G482" s="222"/>
      <c r="H482" s="222"/>
      <c r="I482" s="222"/>
      <c r="J482" s="222"/>
      <c r="K482" s="222"/>
      <c r="L482" s="223"/>
      <c r="M482" s="222"/>
      <c r="N482" s="222"/>
      <c r="O482" s="222"/>
      <c r="P482" s="222"/>
      <c r="Q482" s="222"/>
      <c r="R482" s="222"/>
      <c r="S482" s="222"/>
      <c r="T482" s="222"/>
      <c r="U482" s="222"/>
      <c r="V482" s="222"/>
      <c r="W482" s="222"/>
      <c r="X482" s="222"/>
      <c r="Y482" s="222"/>
      <c r="Z482" s="222"/>
      <c r="AA482" s="222"/>
      <c r="AB482" s="222"/>
    </row>
    <row r="483" spans="1:28" ht="16">
      <c r="A483" s="222"/>
      <c r="B483" s="222"/>
      <c r="C483" s="222"/>
      <c r="D483" s="222"/>
      <c r="E483" s="222"/>
      <c r="F483" s="222"/>
      <c r="G483" s="222"/>
      <c r="H483" s="222"/>
      <c r="I483" s="222"/>
      <c r="J483" s="222"/>
      <c r="K483" s="222"/>
      <c r="L483" s="223"/>
      <c r="M483" s="222"/>
      <c r="N483" s="222"/>
      <c r="O483" s="222"/>
      <c r="P483" s="222"/>
      <c r="Q483" s="222"/>
      <c r="R483" s="222"/>
      <c r="S483" s="222"/>
      <c r="T483" s="222"/>
      <c r="U483" s="222"/>
      <c r="V483" s="222"/>
      <c r="W483" s="222"/>
      <c r="X483" s="222"/>
      <c r="Y483" s="222"/>
      <c r="Z483" s="222"/>
      <c r="AA483" s="222"/>
      <c r="AB483" s="222"/>
    </row>
    <row r="484" spans="1:28" ht="16">
      <c r="A484" s="222"/>
      <c r="B484" s="222"/>
      <c r="C484" s="222"/>
      <c r="D484" s="222"/>
      <c r="E484" s="222"/>
      <c r="F484" s="222"/>
      <c r="G484" s="222"/>
      <c r="H484" s="222"/>
      <c r="I484" s="222"/>
      <c r="J484" s="222"/>
      <c r="K484" s="222"/>
      <c r="L484" s="223"/>
      <c r="M484" s="222"/>
      <c r="N484" s="222"/>
      <c r="O484" s="222"/>
      <c r="P484" s="222"/>
      <c r="Q484" s="222"/>
      <c r="R484" s="222"/>
      <c r="S484" s="222"/>
      <c r="T484" s="222"/>
      <c r="U484" s="222"/>
      <c r="V484" s="222"/>
      <c r="W484" s="222"/>
      <c r="X484" s="222"/>
      <c r="Y484" s="222"/>
      <c r="Z484" s="222"/>
      <c r="AA484" s="222"/>
      <c r="AB484" s="222"/>
    </row>
    <row r="485" spans="1:28" ht="16">
      <c r="A485" s="222"/>
      <c r="B485" s="222"/>
      <c r="C485" s="222"/>
      <c r="D485" s="222"/>
      <c r="E485" s="222"/>
      <c r="F485" s="222"/>
      <c r="G485" s="222"/>
      <c r="H485" s="222"/>
      <c r="I485" s="222"/>
      <c r="J485" s="222"/>
      <c r="K485" s="222"/>
      <c r="L485" s="223"/>
      <c r="M485" s="222"/>
      <c r="N485" s="222"/>
      <c r="O485" s="222"/>
      <c r="P485" s="222"/>
      <c r="Q485" s="222"/>
      <c r="R485" s="222"/>
      <c r="S485" s="222"/>
      <c r="T485" s="222"/>
      <c r="U485" s="222"/>
      <c r="V485" s="222"/>
      <c r="W485" s="222"/>
      <c r="X485" s="222"/>
      <c r="Y485" s="222"/>
      <c r="Z485" s="222"/>
      <c r="AA485" s="222"/>
      <c r="AB485" s="222"/>
    </row>
    <row r="486" spans="1:28" ht="16">
      <c r="A486" s="222"/>
      <c r="B486" s="222"/>
      <c r="C486" s="222"/>
      <c r="D486" s="222"/>
      <c r="E486" s="222"/>
      <c r="F486" s="222"/>
      <c r="G486" s="222"/>
      <c r="H486" s="222"/>
      <c r="I486" s="222"/>
      <c r="J486" s="222"/>
      <c r="K486" s="222"/>
      <c r="L486" s="223"/>
      <c r="M486" s="222"/>
      <c r="N486" s="222"/>
      <c r="O486" s="222"/>
      <c r="P486" s="222"/>
      <c r="Q486" s="222"/>
      <c r="R486" s="222"/>
      <c r="S486" s="222"/>
      <c r="T486" s="222"/>
      <c r="U486" s="222"/>
      <c r="V486" s="222"/>
      <c r="W486" s="222"/>
      <c r="X486" s="222"/>
      <c r="Y486" s="222"/>
      <c r="Z486" s="222"/>
      <c r="AA486" s="222"/>
      <c r="AB486" s="222"/>
    </row>
    <row r="487" spans="1:28" ht="16">
      <c r="A487" s="222"/>
      <c r="B487" s="222"/>
      <c r="C487" s="222"/>
      <c r="D487" s="222"/>
      <c r="E487" s="222"/>
      <c r="F487" s="222"/>
      <c r="G487" s="222"/>
      <c r="H487" s="222"/>
      <c r="I487" s="222"/>
      <c r="J487" s="222"/>
      <c r="K487" s="222"/>
      <c r="L487" s="223"/>
      <c r="M487" s="222"/>
      <c r="N487" s="222"/>
      <c r="O487" s="222"/>
      <c r="P487" s="222"/>
      <c r="Q487" s="222"/>
      <c r="R487" s="222"/>
      <c r="S487" s="222"/>
      <c r="T487" s="222"/>
      <c r="U487" s="222"/>
      <c r="V487" s="222"/>
      <c r="W487" s="222"/>
      <c r="X487" s="222"/>
      <c r="Y487" s="222"/>
      <c r="Z487" s="222"/>
      <c r="AA487" s="222"/>
      <c r="AB487" s="222"/>
    </row>
    <row r="488" spans="1:28" ht="16">
      <c r="A488" s="222"/>
      <c r="B488" s="222"/>
      <c r="C488" s="222"/>
      <c r="D488" s="222"/>
      <c r="E488" s="222"/>
      <c r="F488" s="222"/>
      <c r="G488" s="222"/>
      <c r="H488" s="222"/>
      <c r="I488" s="222"/>
      <c r="J488" s="222"/>
      <c r="K488" s="222"/>
      <c r="L488" s="223"/>
      <c r="M488" s="222"/>
      <c r="N488" s="222"/>
      <c r="O488" s="222"/>
      <c r="P488" s="222"/>
      <c r="Q488" s="222"/>
      <c r="R488" s="222"/>
      <c r="S488" s="222"/>
      <c r="T488" s="222"/>
      <c r="U488" s="222"/>
      <c r="V488" s="222"/>
      <c r="W488" s="222"/>
      <c r="X488" s="222"/>
      <c r="Y488" s="222"/>
      <c r="Z488" s="222"/>
      <c r="AA488" s="222"/>
      <c r="AB488" s="222"/>
    </row>
    <row r="489" spans="1:28" ht="16">
      <c r="A489" s="222"/>
      <c r="B489" s="222"/>
      <c r="C489" s="222"/>
      <c r="D489" s="222"/>
      <c r="E489" s="222"/>
      <c r="F489" s="222"/>
      <c r="G489" s="222"/>
      <c r="H489" s="222"/>
      <c r="I489" s="222"/>
      <c r="J489" s="222"/>
      <c r="K489" s="222"/>
      <c r="L489" s="223"/>
      <c r="M489" s="222"/>
      <c r="N489" s="222"/>
      <c r="O489" s="222"/>
      <c r="P489" s="222"/>
      <c r="Q489" s="222"/>
      <c r="R489" s="222"/>
      <c r="S489" s="222"/>
      <c r="T489" s="222"/>
      <c r="U489" s="222"/>
      <c r="V489" s="222"/>
      <c r="W489" s="222"/>
      <c r="X489" s="222"/>
      <c r="Y489" s="222"/>
      <c r="Z489" s="222"/>
      <c r="AA489" s="222"/>
      <c r="AB489" s="222"/>
    </row>
    <row r="490" spans="1:28" ht="16">
      <c r="A490" s="222"/>
      <c r="B490" s="222"/>
      <c r="C490" s="222"/>
      <c r="D490" s="222"/>
      <c r="E490" s="222"/>
      <c r="F490" s="222"/>
      <c r="G490" s="222"/>
      <c r="H490" s="222"/>
      <c r="I490" s="222"/>
      <c r="J490" s="222"/>
      <c r="K490" s="222"/>
      <c r="L490" s="223"/>
      <c r="M490" s="222"/>
      <c r="N490" s="222"/>
      <c r="O490" s="222"/>
      <c r="P490" s="222"/>
      <c r="Q490" s="222"/>
      <c r="R490" s="222"/>
      <c r="S490" s="222"/>
      <c r="T490" s="222"/>
      <c r="U490" s="222"/>
      <c r="V490" s="222"/>
      <c r="W490" s="222"/>
      <c r="X490" s="222"/>
      <c r="Y490" s="222"/>
      <c r="Z490" s="222"/>
      <c r="AA490" s="222"/>
      <c r="AB490" s="222"/>
    </row>
    <row r="491" spans="1:28" ht="16">
      <c r="A491" s="222"/>
      <c r="B491" s="222"/>
      <c r="C491" s="222"/>
      <c r="D491" s="222"/>
      <c r="E491" s="222"/>
      <c r="F491" s="222"/>
      <c r="G491" s="222"/>
      <c r="H491" s="222"/>
      <c r="I491" s="222"/>
      <c r="J491" s="222"/>
      <c r="K491" s="222"/>
      <c r="L491" s="223"/>
      <c r="M491" s="222"/>
      <c r="N491" s="222"/>
      <c r="O491" s="222"/>
      <c r="P491" s="222"/>
      <c r="Q491" s="222"/>
      <c r="R491" s="222"/>
      <c r="S491" s="222"/>
      <c r="T491" s="222"/>
      <c r="U491" s="222"/>
      <c r="V491" s="222"/>
      <c r="W491" s="222"/>
      <c r="X491" s="222"/>
      <c r="Y491" s="222"/>
      <c r="Z491" s="222"/>
      <c r="AA491" s="222"/>
      <c r="AB491" s="222"/>
    </row>
    <row r="492" spans="1:28" ht="16">
      <c r="A492" s="222"/>
      <c r="B492" s="222"/>
      <c r="C492" s="222"/>
      <c r="D492" s="222"/>
      <c r="E492" s="222"/>
      <c r="F492" s="222"/>
      <c r="G492" s="222"/>
      <c r="H492" s="222"/>
      <c r="I492" s="222"/>
      <c r="J492" s="222"/>
      <c r="K492" s="222"/>
      <c r="L492" s="223"/>
      <c r="M492" s="222"/>
      <c r="N492" s="222"/>
      <c r="O492" s="222"/>
      <c r="P492" s="222"/>
      <c r="Q492" s="222"/>
      <c r="R492" s="222"/>
      <c r="S492" s="222"/>
      <c r="T492" s="222"/>
      <c r="U492" s="222"/>
      <c r="V492" s="222"/>
      <c r="W492" s="222"/>
      <c r="X492" s="222"/>
      <c r="Y492" s="222"/>
      <c r="Z492" s="222"/>
      <c r="AA492" s="222"/>
      <c r="AB492" s="222"/>
    </row>
    <row r="493" spans="1:28" ht="16">
      <c r="A493" s="222"/>
      <c r="B493" s="222"/>
      <c r="C493" s="222"/>
      <c r="D493" s="222"/>
      <c r="E493" s="222"/>
      <c r="F493" s="222"/>
      <c r="G493" s="222"/>
      <c r="H493" s="222"/>
      <c r="I493" s="222"/>
      <c r="J493" s="222"/>
      <c r="K493" s="222"/>
      <c r="L493" s="223"/>
      <c r="M493" s="222"/>
      <c r="N493" s="222"/>
      <c r="O493" s="222"/>
      <c r="P493" s="222"/>
      <c r="Q493" s="222"/>
      <c r="R493" s="222"/>
      <c r="S493" s="222"/>
      <c r="T493" s="222"/>
      <c r="U493" s="222"/>
      <c r="V493" s="222"/>
      <c r="W493" s="222"/>
      <c r="X493" s="222"/>
      <c r="Y493" s="222"/>
      <c r="Z493" s="222"/>
      <c r="AA493" s="222"/>
      <c r="AB493" s="222"/>
    </row>
    <row r="494" spans="1:28" ht="16">
      <c r="A494" s="222"/>
      <c r="B494" s="222"/>
      <c r="C494" s="222"/>
      <c r="D494" s="222"/>
      <c r="E494" s="222"/>
      <c r="F494" s="222"/>
      <c r="G494" s="222"/>
      <c r="H494" s="222"/>
      <c r="I494" s="222"/>
      <c r="J494" s="222"/>
      <c r="K494" s="222"/>
      <c r="L494" s="223"/>
      <c r="M494" s="222"/>
      <c r="N494" s="222"/>
      <c r="O494" s="222"/>
      <c r="P494" s="222"/>
      <c r="Q494" s="222"/>
      <c r="R494" s="222"/>
      <c r="S494" s="222"/>
      <c r="T494" s="222"/>
      <c r="U494" s="222"/>
      <c r="V494" s="222"/>
      <c r="W494" s="222"/>
      <c r="X494" s="222"/>
      <c r="Y494" s="222"/>
      <c r="Z494" s="222"/>
      <c r="AA494" s="222"/>
      <c r="AB494" s="222"/>
    </row>
    <row r="495" spans="1:28" ht="16">
      <c r="A495" s="222"/>
      <c r="B495" s="222"/>
      <c r="C495" s="222"/>
      <c r="D495" s="222"/>
      <c r="E495" s="222"/>
      <c r="F495" s="222"/>
      <c r="G495" s="222"/>
      <c r="H495" s="222"/>
      <c r="I495" s="222"/>
      <c r="J495" s="222"/>
      <c r="K495" s="222"/>
      <c r="L495" s="223"/>
      <c r="M495" s="222"/>
      <c r="N495" s="222"/>
      <c r="O495" s="222"/>
      <c r="P495" s="222"/>
      <c r="Q495" s="222"/>
      <c r="R495" s="222"/>
      <c r="S495" s="222"/>
      <c r="T495" s="222"/>
      <c r="U495" s="222"/>
      <c r="V495" s="222"/>
      <c r="W495" s="222"/>
      <c r="X495" s="222"/>
      <c r="Y495" s="222"/>
      <c r="Z495" s="222"/>
      <c r="AA495" s="222"/>
      <c r="AB495" s="222"/>
    </row>
    <row r="496" spans="1:28" ht="16">
      <c r="A496" s="222"/>
      <c r="B496" s="222"/>
      <c r="C496" s="222"/>
      <c r="D496" s="222"/>
      <c r="E496" s="222"/>
      <c r="F496" s="222"/>
      <c r="G496" s="222"/>
      <c r="H496" s="222"/>
      <c r="I496" s="222"/>
      <c r="J496" s="222"/>
      <c r="K496" s="222"/>
      <c r="L496" s="223"/>
      <c r="M496" s="222"/>
      <c r="N496" s="222"/>
      <c r="O496" s="222"/>
      <c r="P496" s="222"/>
      <c r="Q496" s="222"/>
      <c r="R496" s="222"/>
      <c r="S496" s="222"/>
      <c r="T496" s="222"/>
      <c r="U496" s="222"/>
      <c r="V496" s="222"/>
      <c r="W496" s="222"/>
      <c r="X496" s="222"/>
      <c r="Y496" s="222"/>
      <c r="Z496" s="222"/>
      <c r="AA496" s="222"/>
      <c r="AB496" s="222"/>
    </row>
    <row r="497" spans="1:28" ht="16">
      <c r="A497" s="222"/>
      <c r="B497" s="222"/>
      <c r="C497" s="222"/>
      <c r="D497" s="222"/>
      <c r="E497" s="222"/>
      <c r="F497" s="222"/>
      <c r="G497" s="222"/>
      <c r="H497" s="222"/>
      <c r="I497" s="222"/>
      <c r="J497" s="222"/>
      <c r="K497" s="222"/>
      <c r="L497" s="223"/>
      <c r="M497" s="222"/>
      <c r="N497" s="222"/>
      <c r="O497" s="222"/>
      <c r="P497" s="222"/>
      <c r="Q497" s="222"/>
      <c r="R497" s="222"/>
      <c r="S497" s="222"/>
      <c r="T497" s="222"/>
      <c r="U497" s="222"/>
      <c r="V497" s="222"/>
      <c r="W497" s="222"/>
      <c r="X497" s="222"/>
      <c r="Y497" s="222"/>
      <c r="Z497" s="222"/>
      <c r="AA497" s="222"/>
      <c r="AB497" s="222"/>
    </row>
    <row r="498" spans="1:28" ht="16">
      <c r="A498" s="222"/>
      <c r="B498" s="222"/>
      <c r="C498" s="222"/>
      <c r="D498" s="222"/>
      <c r="E498" s="222"/>
      <c r="F498" s="222"/>
      <c r="G498" s="222"/>
      <c r="H498" s="222"/>
      <c r="I498" s="222"/>
      <c r="J498" s="222"/>
      <c r="K498" s="222"/>
      <c r="L498" s="223"/>
      <c r="M498" s="222"/>
      <c r="N498" s="222"/>
      <c r="O498" s="222"/>
      <c r="P498" s="222"/>
      <c r="Q498" s="222"/>
      <c r="R498" s="222"/>
      <c r="S498" s="222"/>
      <c r="T498" s="222"/>
      <c r="U498" s="222"/>
      <c r="V498" s="222"/>
      <c r="W498" s="222"/>
      <c r="X498" s="222"/>
      <c r="Y498" s="222"/>
      <c r="Z498" s="222"/>
      <c r="AA498" s="222"/>
      <c r="AB498" s="222"/>
    </row>
    <row r="499" spans="1:28" ht="16">
      <c r="A499" s="222"/>
      <c r="B499" s="222"/>
      <c r="C499" s="222"/>
      <c r="D499" s="222"/>
      <c r="E499" s="222"/>
      <c r="F499" s="222"/>
      <c r="G499" s="222"/>
      <c r="H499" s="222"/>
      <c r="I499" s="222"/>
      <c r="J499" s="222"/>
      <c r="K499" s="222"/>
      <c r="L499" s="223"/>
      <c r="M499" s="222"/>
      <c r="N499" s="222"/>
      <c r="O499" s="222"/>
      <c r="P499" s="222"/>
      <c r="Q499" s="222"/>
      <c r="R499" s="222"/>
      <c r="S499" s="222"/>
      <c r="T499" s="222"/>
      <c r="U499" s="222"/>
      <c r="V499" s="222"/>
      <c r="W499" s="222"/>
      <c r="X499" s="222"/>
      <c r="Y499" s="222"/>
      <c r="Z499" s="222"/>
      <c r="AA499" s="222"/>
      <c r="AB499" s="222"/>
    </row>
    <row r="500" spans="1:28" ht="16">
      <c r="A500" s="222"/>
      <c r="B500" s="222"/>
      <c r="C500" s="222"/>
      <c r="D500" s="222"/>
      <c r="E500" s="222"/>
      <c r="F500" s="222"/>
      <c r="G500" s="222"/>
      <c r="H500" s="222"/>
      <c r="I500" s="222"/>
      <c r="J500" s="222"/>
      <c r="K500" s="222"/>
      <c r="L500" s="223"/>
      <c r="M500" s="222"/>
      <c r="N500" s="222"/>
      <c r="O500" s="222"/>
      <c r="P500" s="222"/>
      <c r="Q500" s="222"/>
      <c r="R500" s="222"/>
      <c r="S500" s="222"/>
      <c r="T500" s="222"/>
      <c r="U500" s="222"/>
      <c r="V500" s="222"/>
      <c r="W500" s="222"/>
      <c r="X500" s="222"/>
      <c r="Y500" s="222"/>
      <c r="Z500" s="222"/>
      <c r="AA500" s="222"/>
      <c r="AB500" s="222"/>
    </row>
    <row r="501" spans="1:28" ht="16">
      <c r="A501" s="222"/>
      <c r="B501" s="222"/>
      <c r="C501" s="222"/>
      <c r="D501" s="222"/>
      <c r="E501" s="222"/>
      <c r="F501" s="222"/>
      <c r="G501" s="222"/>
      <c r="H501" s="222"/>
      <c r="I501" s="222"/>
      <c r="J501" s="222"/>
      <c r="K501" s="222"/>
      <c r="L501" s="223"/>
      <c r="M501" s="222"/>
      <c r="N501" s="222"/>
      <c r="O501" s="222"/>
      <c r="P501" s="222"/>
      <c r="Q501" s="222"/>
      <c r="R501" s="222"/>
      <c r="S501" s="222"/>
      <c r="T501" s="222"/>
      <c r="U501" s="222"/>
      <c r="V501" s="222"/>
      <c r="W501" s="222"/>
      <c r="X501" s="222"/>
      <c r="Y501" s="222"/>
      <c r="Z501" s="222"/>
      <c r="AA501" s="222"/>
      <c r="AB501" s="222"/>
    </row>
    <row r="502" spans="1:28" ht="16">
      <c r="A502" s="222"/>
      <c r="B502" s="222"/>
      <c r="C502" s="222"/>
      <c r="D502" s="222"/>
      <c r="E502" s="222"/>
      <c r="F502" s="222"/>
      <c r="G502" s="222"/>
      <c r="H502" s="222"/>
      <c r="I502" s="222"/>
      <c r="J502" s="222"/>
      <c r="K502" s="222"/>
      <c r="L502" s="223"/>
      <c r="M502" s="222"/>
      <c r="N502" s="222"/>
      <c r="O502" s="222"/>
      <c r="P502" s="222"/>
      <c r="Q502" s="222"/>
      <c r="R502" s="222"/>
      <c r="S502" s="222"/>
      <c r="T502" s="222"/>
      <c r="U502" s="222"/>
      <c r="V502" s="222"/>
      <c r="W502" s="222"/>
      <c r="X502" s="222"/>
      <c r="Y502" s="222"/>
      <c r="Z502" s="222"/>
      <c r="AA502" s="222"/>
      <c r="AB502" s="222"/>
    </row>
    <row r="503" spans="1:28" ht="16">
      <c r="A503" s="222"/>
      <c r="B503" s="222"/>
      <c r="C503" s="222"/>
      <c r="D503" s="222"/>
      <c r="E503" s="222"/>
      <c r="F503" s="222"/>
      <c r="G503" s="222"/>
      <c r="H503" s="222"/>
      <c r="I503" s="222"/>
      <c r="J503" s="222"/>
      <c r="K503" s="222"/>
      <c r="L503" s="223"/>
      <c r="M503" s="222"/>
      <c r="N503" s="222"/>
      <c r="O503" s="222"/>
      <c r="P503" s="222"/>
      <c r="Q503" s="222"/>
      <c r="R503" s="222"/>
      <c r="S503" s="222"/>
      <c r="T503" s="222"/>
      <c r="U503" s="222"/>
      <c r="V503" s="222"/>
      <c r="W503" s="222"/>
      <c r="X503" s="222"/>
      <c r="Y503" s="222"/>
      <c r="Z503" s="222"/>
      <c r="AA503" s="222"/>
      <c r="AB503" s="222"/>
    </row>
    <row r="504" spans="1:28" ht="16">
      <c r="A504" s="222"/>
      <c r="B504" s="222"/>
      <c r="C504" s="222"/>
      <c r="D504" s="222"/>
      <c r="E504" s="222"/>
      <c r="F504" s="222"/>
      <c r="G504" s="222"/>
      <c r="H504" s="222"/>
      <c r="I504" s="222"/>
      <c r="J504" s="222"/>
      <c r="K504" s="222"/>
      <c r="L504" s="223"/>
      <c r="M504" s="222"/>
      <c r="N504" s="222"/>
      <c r="O504" s="222"/>
      <c r="P504" s="222"/>
      <c r="Q504" s="222"/>
      <c r="R504" s="222"/>
      <c r="S504" s="222"/>
      <c r="T504" s="222"/>
      <c r="U504" s="222"/>
      <c r="V504" s="222"/>
      <c r="W504" s="222"/>
      <c r="X504" s="222"/>
      <c r="Y504" s="222"/>
      <c r="Z504" s="222"/>
      <c r="AA504" s="222"/>
      <c r="AB504" s="222"/>
    </row>
    <row r="505" spans="1:28" ht="16">
      <c r="A505" s="222"/>
      <c r="B505" s="222"/>
      <c r="C505" s="222"/>
      <c r="D505" s="222"/>
      <c r="E505" s="222"/>
      <c r="F505" s="222"/>
      <c r="G505" s="222"/>
      <c r="H505" s="222"/>
      <c r="I505" s="222"/>
      <c r="J505" s="222"/>
      <c r="K505" s="222"/>
      <c r="L505" s="223"/>
      <c r="M505" s="222"/>
      <c r="N505" s="222"/>
      <c r="O505" s="222"/>
      <c r="P505" s="222"/>
      <c r="Q505" s="222"/>
      <c r="R505" s="222"/>
      <c r="S505" s="222"/>
      <c r="T505" s="222"/>
      <c r="U505" s="222"/>
      <c r="V505" s="222"/>
      <c r="W505" s="222"/>
      <c r="X505" s="222"/>
      <c r="Y505" s="222"/>
      <c r="Z505" s="222"/>
      <c r="AA505" s="222"/>
      <c r="AB505" s="222"/>
    </row>
    <row r="506" spans="1:28" ht="16">
      <c r="A506" s="222"/>
      <c r="B506" s="222"/>
      <c r="C506" s="222"/>
      <c r="D506" s="222"/>
      <c r="E506" s="222"/>
      <c r="F506" s="222"/>
      <c r="G506" s="222"/>
      <c r="H506" s="222"/>
      <c r="I506" s="222"/>
      <c r="J506" s="222"/>
      <c r="K506" s="222"/>
      <c r="L506" s="223"/>
      <c r="M506" s="222"/>
      <c r="N506" s="222"/>
      <c r="O506" s="222"/>
      <c r="P506" s="222"/>
      <c r="Q506" s="222"/>
      <c r="R506" s="222"/>
      <c r="S506" s="222"/>
      <c r="T506" s="222"/>
      <c r="U506" s="222"/>
      <c r="V506" s="222"/>
      <c r="W506" s="222"/>
      <c r="X506" s="222"/>
      <c r="Y506" s="222"/>
      <c r="Z506" s="222"/>
      <c r="AA506" s="222"/>
      <c r="AB506" s="222"/>
    </row>
    <row r="507" spans="1:28" ht="16">
      <c r="A507" s="222"/>
      <c r="B507" s="222"/>
      <c r="C507" s="222"/>
      <c r="D507" s="222"/>
      <c r="E507" s="222"/>
      <c r="F507" s="222"/>
      <c r="G507" s="222"/>
      <c r="H507" s="222"/>
      <c r="I507" s="222"/>
      <c r="J507" s="222"/>
      <c r="K507" s="222"/>
      <c r="L507" s="223"/>
      <c r="M507" s="222"/>
      <c r="N507" s="222"/>
      <c r="O507" s="222"/>
      <c r="P507" s="222"/>
      <c r="Q507" s="222"/>
      <c r="R507" s="222"/>
      <c r="S507" s="222"/>
      <c r="T507" s="222"/>
      <c r="U507" s="222"/>
      <c r="V507" s="222"/>
      <c r="W507" s="222"/>
      <c r="X507" s="222"/>
      <c r="Y507" s="222"/>
      <c r="Z507" s="222"/>
      <c r="AA507" s="222"/>
      <c r="AB507" s="222"/>
    </row>
    <row r="508" spans="1:28" ht="16">
      <c r="A508" s="222"/>
      <c r="B508" s="222"/>
      <c r="C508" s="222"/>
      <c r="D508" s="222"/>
      <c r="E508" s="222"/>
      <c r="F508" s="222"/>
      <c r="G508" s="222"/>
      <c r="H508" s="222"/>
      <c r="I508" s="222"/>
      <c r="J508" s="222"/>
      <c r="K508" s="222"/>
      <c r="L508" s="223"/>
      <c r="M508" s="222"/>
      <c r="N508" s="222"/>
      <c r="O508" s="222"/>
      <c r="P508" s="222"/>
      <c r="Q508" s="222"/>
      <c r="R508" s="222"/>
      <c r="S508" s="222"/>
      <c r="T508" s="222"/>
      <c r="U508" s="222"/>
      <c r="V508" s="222"/>
      <c r="W508" s="222"/>
      <c r="X508" s="222"/>
      <c r="Y508" s="222"/>
      <c r="Z508" s="222"/>
      <c r="AA508" s="222"/>
      <c r="AB508" s="222"/>
    </row>
    <row r="509" spans="1:28" ht="16">
      <c r="A509" s="222"/>
      <c r="B509" s="222"/>
      <c r="C509" s="222"/>
      <c r="D509" s="222"/>
      <c r="E509" s="222"/>
      <c r="F509" s="222"/>
      <c r="G509" s="222"/>
      <c r="H509" s="222"/>
      <c r="I509" s="222"/>
      <c r="J509" s="222"/>
      <c r="K509" s="222"/>
      <c r="L509" s="223"/>
      <c r="M509" s="222"/>
      <c r="N509" s="222"/>
      <c r="O509" s="222"/>
      <c r="P509" s="222"/>
      <c r="Q509" s="222"/>
      <c r="R509" s="222"/>
      <c r="S509" s="222"/>
      <c r="T509" s="222"/>
      <c r="U509" s="222"/>
      <c r="V509" s="222"/>
      <c r="W509" s="222"/>
      <c r="X509" s="222"/>
      <c r="Y509" s="222"/>
      <c r="Z509" s="222"/>
      <c r="AA509" s="222"/>
      <c r="AB509" s="222"/>
    </row>
    <row r="510" spans="1:28" ht="16">
      <c r="A510" s="222"/>
      <c r="B510" s="222"/>
      <c r="C510" s="222"/>
      <c r="D510" s="222"/>
      <c r="E510" s="222"/>
      <c r="F510" s="222"/>
      <c r="G510" s="222"/>
      <c r="H510" s="222"/>
      <c r="I510" s="222"/>
      <c r="J510" s="222"/>
      <c r="K510" s="222"/>
      <c r="L510" s="223"/>
      <c r="M510" s="222"/>
      <c r="N510" s="222"/>
      <c r="O510" s="222"/>
      <c r="P510" s="222"/>
      <c r="Q510" s="222"/>
      <c r="R510" s="222"/>
      <c r="S510" s="222"/>
      <c r="T510" s="222"/>
      <c r="U510" s="222"/>
      <c r="V510" s="222"/>
      <c r="W510" s="222"/>
      <c r="X510" s="222"/>
      <c r="Y510" s="222"/>
      <c r="Z510" s="222"/>
      <c r="AA510" s="222"/>
      <c r="AB510" s="222"/>
    </row>
    <row r="511" spans="1:28" ht="16">
      <c r="A511" s="222"/>
      <c r="B511" s="222"/>
      <c r="C511" s="222"/>
      <c r="D511" s="222"/>
      <c r="E511" s="222"/>
      <c r="F511" s="222"/>
      <c r="G511" s="222"/>
      <c r="H511" s="222"/>
      <c r="I511" s="222"/>
      <c r="J511" s="222"/>
      <c r="K511" s="222"/>
      <c r="L511" s="223"/>
      <c r="M511" s="222"/>
      <c r="N511" s="222"/>
      <c r="O511" s="222"/>
      <c r="P511" s="222"/>
      <c r="Q511" s="222"/>
      <c r="R511" s="222"/>
      <c r="S511" s="222"/>
      <c r="T511" s="222"/>
      <c r="U511" s="222"/>
      <c r="V511" s="222"/>
      <c r="W511" s="222"/>
      <c r="X511" s="222"/>
      <c r="Y511" s="222"/>
      <c r="Z511" s="222"/>
      <c r="AA511" s="222"/>
      <c r="AB511" s="222"/>
    </row>
    <row r="512" spans="1:28" ht="16">
      <c r="A512" s="222"/>
      <c r="B512" s="222"/>
      <c r="C512" s="222"/>
      <c r="D512" s="222"/>
      <c r="E512" s="222"/>
      <c r="F512" s="222"/>
      <c r="G512" s="222"/>
      <c r="H512" s="222"/>
      <c r="I512" s="222"/>
      <c r="J512" s="222"/>
      <c r="K512" s="222"/>
      <c r="L512" s="223"/>
      <c r="M512" s="222"/>
      <c r="N512" s="222"/>
      <c r="O512" s="222"/>
      <c r="P512" s="222"/>
      <c r="Q512" s="222"/>
      <c r="R512" s="222"/>
      <c r="S512" s="222"/>
      <c r="T512" s="222"/>
      <c r="U512" s="222"/>
      <c r="V512" s="222"/>
      <c r="W512" s="222"/>
      <c r="X512" s="222"/>
      <c r="Y512" s="222"/>
      <c r="Z512" s="222"/>
      <c r="AA512" s="222"/>
      <c r="AB512" s="222"/>
    </row>
    <row r="513" spans="1:28" ht="16">
      <c r="A513" s="222"/>
      <c r="B513" s="222"/>
      <c r="C513" s="222"/>
      <c r="D513" s="222"/>
      <c r="E513" s="222"/>
      <c r="F513" s="222"/>
      <c r="G513" s="222"/>
      <c r="H513" s="222"/>
      <c r="I513" s="222"/>
      <c r="J513" s="222"/>
      <c r="K513" s="222"/>
      <c r="L513" s="223"/>
      <c r="M513" s="222"/>
      <c r="N513" s="222"/>
      <c r="O513" s="222"/>
      <c r="P513" s="222"/>
      <c r="Q513" s="222"/>
      <c r="R513" s="222"/>
      <c r="S513" s="222"/>
      <c r="T513" s="222"/>
      <c r="U513" s="222"/>
      <c r="V513" s="222"/>
      <c r="W513" s="222"/>
      <c r="X513" s="222"/>
      <c r="Y513" s="222"/>
      <c r="Z513" s="222"/>
      <c r="AA513" s="222"/>
      <c r="AB513" s="222"/>
    </row>
    <row r="514" spans="1:28" ht="16">
      <c r="A514" s="222"/>
      <c r="B514" s="222"/>
      <c r="C514" s="222"/>
      <c r="D514" s="222"/>
      <c r="E514" s="222"/>
      <c r="F514" s="222"/>
      <c r="G514" s="222"/>
      <c r="H514" s="222"/>
      <c r="I514" s="222"/>
      <c r="J514" s="222"/>
      <c r="K514" s="222"/>
      <c r="L514" s="223"/>
      <c r="M514" s="222"/>
      <c r="N514" s="222"/>
      <c r="O514" s="222"/>
      <c r="P514" s="222"/>
      <c r="Q514" s="222"/>
      <c r="R514" s="222"/>
      <c r="S514" s="222"/>
      <c r="T514" s="222"/>
      <c r="U514" s="222"/>
      <c r="V514" s="222"/>
      <c r="W514" s="222"/>
      <c r="X514" s="222"/>
      <c r="Y514" s="222"/>
      <c r="Z514" s="222"/>
      <c r="AA514" s="222"/>
      <c r="AB514" s="222"/>
    </row>
    <row r="515" spans="1:28" ht="16">
      <c r="A515" s="222"/>
      <c r="B515" s="222"/>
      <c r="C515" s="222"/>
      <c r="D515" s="222"/>
      <c r="E515" s="222"/>
      <c r="F515" s="222"/>
      <c r="G515" s="222"/>
      <c r="H515" s="222"/>
      <c r="I515" s="222"/>
      <c r="J515" s="222"/>
      <c r="K515" s="222"/>
      <c r="L515" s="223"/>
      <c r="M515" s="222"/>
      <c r="N515" s="222"/>
      <c r="O515" s="222"/>
      <c r="P515" s="222"/>
      <c r="Q515" s="222"/>
      <c r="R515" s="222"/>
      <c r="S515" s="222"/>
      <c r="T515" s="222"/>
      <c r="U515" s="222"/>
      <c r="V515" s="222"/>
      <c r="W515" s="222"/>
      <c r="X515" s="222"/>
      <c r="Y515" s="222"/>
      <c r="Z515" s="222"/>
      <c r="AA515" s="222"/>
      <c r="AB515" s="222"/>
    </row>
    <row r="516" spans="1:28" ht="16">
      <c r="A516" s="222"/>
      <c r="B516" s="222"/>
      <c r="C516" s="222"/>
      <c r="D516" s="222"/>
      <c r="E516" s="222"/>
      <c r="F516" s="222"/>
      <c r="G516" s="222"/>
      <c r="H516" s="222"/>
      <c r="I516" s="222"/>
      <c r="J516" s="222"/>
      <c r="K516" s="222"/>
      <c r="L516" s="223"/>
      <c r="M516" s="222"/>
      <c r="N516" s="222"/>
      <c r="O516" s="222"/>
      <c r="P516" s="222"/>
      <c r="Q516" s="222"/>
      <c r="R516" s="222"/>
      <c r="S516" s="222"/>
      <c r="T516" s="222"/>
      <c r="U516" s="222"/>
      <c r="V516" s="222"/>
      <c r="W516" s="222"/>
      <c r="X516" s="222"/>
      <c r="Y516" s="222"/>
      <c r="Z516" s="222"/>
      <c r="AA516" s="222"/>
      <c r="AB516" s="222"/>
    </row>
    <row r="517" spans="1:28" ht="16">
      <c r="A517" s="222"/>
      <c r="B517" s="222"/>
      <c r="C517" s="222"/>
      <c r="D517" s="222"/>
      <c r="E517" s="222"/>
      <c r="F517" s="222"/>
      <c r="G517" s="222"/>
      <c r="H517" s="222"/>
      <c r="I517" s="222"/>
      <c r="J517" s="222"/>
      <c r="K517" s="222"/>
      <c r="L517" s="223"/>
      <c r="M517" s="222"/>
      <c r="N517" s="222"/>
      <c r="O517" s="222"/>
      <c r="P517" s="222"/>
      <c r="Q517" s="222"/>
      <c r="R517" s="222"/>
      <c r="S517" s="222"/>
      <c r="T517" s="222"/>
      <c r="U517" s="222"/>
      <c r="V517" s="222"/>
      <c r="W517" s="222"/>
      <c r="X517" s="222"/>
      <c r="Y517" s="222"/>
      <c r="Z517" s="222"/>
      <c r="AA517" s="222"/>
      <c r="AB517" s="222"/>
    </row>
    <row r="518" spans="1:28" ht="16">
      <c r="A518" s="222"/>
      <c r="B518" s="222"/>
      <c r="C518" s="222"/>
      <c r="D518" s="222"/>
      <c r="E518" s="222"/>
      <c r="F518" s="222"/>
      <c r="G518" s="222"/>
      <c r="H518" s="222"/>
      <c r="I518" s="222"/>
      <c r="J518" s="222"/>
      <c r="K518" s="222"/>
      <c r="L518" s="223"/>
      <c r="M518" s="222"/>
      <c r="N518" s="222"/>
      <c r="O518" s="222"/>
      <c r="P518" s="222"/>
      <c r="Q518" s="222"/>
      <c r="R518" s="222"/>
      <c r="S518" s="222"/>
      <c r="T518" s="222"/>
      <c r="U518" s="222"/>
      <c r="V518" s="222"/>
      <c r="W518" s="222"/>
      <c r="X518" s="222"/>
      <c r="Y518" s="222"/>
      <c r="Z518" s="222"/>
      <c r="AA518" s="222"/>
      <c r="AB518" s="222"/>
    </row>
    <row r="519" spans="1:28" ht="16">
      <c r="A519" s="222"/>
      <c r="B519" s="222"/>
      <c r="C519" s="222"/>
      <c r="D519" s="222"/>
      <c r="E519" s="222"/>
      <c r="F519" s="222"/>
      <c r="G519" s="222"/>
      <c r="H519" s="222"/>
      <c r="I519" s="222"/>
      <c r="J519" s="222"/>
      <c r="K519" s="222"/>
      <c r="L519" s="223"/>
      <c r="M519" s="222"/>
      <c r="N519" s="222"/>
      <c r="O519" s="222"/>
      <c r="P519" s="222"/>
      <c r="Q519" s="222"/>
      <c r="R519" s="222"/>
      <c r="S519" s="222"/>
      <c r="T519" s="222"/>
      <c r="U519" s="222"/>
      <c r="V519" s="222"/>
      <c r="W519" s="222"/>
      <c r="X519" s="222"/>
      <c r="Y519" s="222"/>
      <c r="Z519" s="222"/>
      <c r="AA519" s="222"/>
      <c r="AB519" s="222"/>
    </row>
    <row r="520" spans="1:28" ht="16">
      <c r="A520" s="222"/>
      <c r="B520" s="222"/>
      <c r="C520" s="222"/>
      <c r="D520" s="222"/>
      <c r="E520" s="222"/>
      <c r="F520" s="222"/>
      <c r="G520" s="222"/>
      <c r="H520" s="222"/>
      <c r="I520" s="222"/>
      <c r="J520" s="222"/>
      <c r="K520" s="222"/>
      <c r="L520" s="223"/>
      <c r="M520" s="222"/>
      <c r="N520" s="222"/>
      <c r="O520" s="222"/>
      <c r="P520" s="222"/>
      <c r="Q520" s="222"/>
      <c r="R520" s="222"/>
      <c r="S520" s="222"/>
      <c r="T520" s="222"/>
      <c r="U520" s="222"/>
      <c r="V520" s="222"/>
      <c r="W520" s="222"/>
      <c r="X520" s="222"/>
      <c r="Y520" s="222"/>
      <c r="Z520" s="222"/>
      <c r="AA520" s="222"/>
      <c r="AB520" s="222"/>
    </row>
    <row r="521" spans="1:28" ht="16">
      <c r="A521" s="222"/>
      <c r="B521" s="222"/>
      <c r="C521" s="222"/>
      <c r="D521" s="222"/>
      <c r="E521" s="222"/>
      <c r="F521" s="222"/>
      <c r="G521" s="222"/>
      <c r="H521" s="222"/>
      <c r="I521" s="222"/>
      <c r="J521" s="222"/>
      <c r="K521" s="222"/>
      <c r="L521" s="223"/>
      <c r="M521" s="222"/>
      <c r="N521" s="222"/>
      <c r="O521" s="222"/>
      <c r="P521" s="222"/>
      <c r="Q521" s="222"/>
      <c r="R521" s="222"/>
      <c r="S521" s="222"/>
      <c r="T521" s="222"/>
      <c r="U521" s="222"/>
      <c r="V521" s="222"/>
      <c r="W521" s="222"/>
      <c r="X521" s="222"/>
      <c r="Y521" s="222"/>
      <c r="Z521" s="222"/>
      <c r="AA521" s="222"/>
      <c r="AB521" s="222"/>
    </row>
    <row r="522" spans="1:28" ht="16">
      <c r="A522" s="222"/>
      <c r="B522" s="222"/>
      <c r="C522" s="222"/>
      <c r="D522" s="222"/>
      <c r="E522" s="222"/>
      <c r="F522" s="222"/>
      <c r="G522" s="222"/>
      <c r="H522" s="222"/>
      <c r="I522" s="222"/>
      <c r="J522" s="222"/>
      <c r="K522" s="222"/>
      <c r="L522" s="223"/>
      <c r="M522" s="222"/>
      <c r="N522" s="222"/>
      <c r="O522" s="222"/>
      <c r="P522" s="222"/>
      <c r="Q522" s="222"/>
      <c r="R522" s="222"/>
      <c r="S522" s="222"/>
      <c r="T522" s="222"/>
      <c r="U522" s="222"/>
      <c r="V522" s="222"/>
      <c r="W522" s="222"/>
      <c r="X522" s="222"/>
      <c r="Y522" s="222"/>
      <c r="Z522" s="222"/>
      <c r="AA522" s="222"/>
      <c r="AB522" s="222"/>
    </row>
    <row r="523" spans="1:28" ht="16">
      <c r="A523" s="222"/>
      <c r="B523" s="222"/>
      <c r="C523" s="222"/>
      <c r="D523" s="222"/>
      <c r="E523" s="222"/>
      <c r="F523" s="222"/>
      <c r="G523" s="222"/>
      <c r="H523" s="222"/>
      <c r="I523" s="222"/>
      <c r="J523" s="222"/>
      <c r="K523" s="222"/>
      <c r="L523" s="223"/>
      <c r="M523" s="222"/>
      <c r="N523" s="222"/>
      <c r="O523" s="222"/>
      <c r="P523" s="222"/>
      <c r="Q523" s="222"/>
      <c r="R523" s="222"/>
      <c r="S523" s="222"/>
      <c r="T523" s="222"/>
      <c r="U523" s="222"/>
      <c r="V523" s="222"/>
      <c r="W523" s="222"/>
      <c r="X523" s="222"/>
      <c r="Y523" s="222"/>
      <c r="Z523" s="222"/>
      <c r="AA523" s="222"/>
      <c r="AB523" s="222"/>
    </row>
    <row r="524" spans="1:28" ht="16">
      <c r="A524" s="222"/>
      <c r="B524" s="222"/>
      <c r="C524" s="222"/>
      <c r="D524" s="222"/>
      <c r="E524" s="222"/>
      <c r="F524" s="222"/>
      <c r="G524" s="222"/>
      <c r="H524" s="222"/>
      <c r="I524" s="222"/>
      <c r="J524" s="222"/>
      <c r="K524" s="222"/>
      <c r="L524" s="223"/>
      <c r="M524" s="222"/>
      <c r="N524" s="222"/>
      <c r="O524" s="222"/>
      <c r="P524" s="222"/>
      <c r="Q524" s="222"/>
      <c r="R524" s="222"/>
      <c r="S524" s="222"/>
      <c r="T524" s="222"/>
      <c r="U524" s="222"/>
      <c r="V524" s="222"/>
      <c r="W524" s="222"/>
      <c r="X524" s="222"/>
      <c r="Y524" s="222"/>
      <c r="Z524" s="222"/>
      <c r="AA524" s="222"/>
      <c r="AB524" s="222"/>
    </row>
    <row r="525" spans="1:28" ht="16">
      <c r="A525" s="222"/>
      <c r="B525" s="222"/>
      <c r="C525" s="222"/>
      <c r="D525" s="222"/>
      <c r="E525" s="222"/>
      <c r="F525" s="222"/>
      <c r="G525" s="222"/>
      <c r="H525" s="222"/>
      <c r="I525" s="222"/>
      <c r="J525" s="222"/>
      <c r="K525" s="222"/>
      <c r="L525" s="223"/>
      <c r="M525" s="222"/>
      <c r="N525" s="222"/>
      <c r="O525" s="222"/>
      <c r="P525" s="222"/>
      <c r="Q525" s="222"/>
      <c r="R525" s="222"/>
      <c r="S525" s="222"/>
      <c r="T525" s="222"/>
      <c r="U525" s="222"/>
      <c r="V525" s="222"/>
      <c r="W525" s="222"/>
      <c r="X525" s="222"/>
      <c r="Y525" s="222"/>
      <c r="Z525" s="222"/>
      <c r="AA525" s="222"/>
      <c r="AB525" s="222"/>
    </row>
    <row r="526" spans="1:28" ht="16">
      <c r="A526" s="222"/>
      <c r="B526" s="222"/>
      <c r="C526" s="222"/>
      <c r="D526" s="222"/>
      <c r="E526" s="222"/>
      <c r="F526" s="222"/>
      <c r="G526" s="222"/>
      <c r="H526" s="222"/>
      <c r="I526" s="222"/>
      <c r="J526" s="222"/>
      <c r="K526" s="222"/>
      <c r="L526" s="223"/>
      <c r="M526" s="222"/>
      <c r="N526" s="222"/>
      <c r="O526" s="222"/>
      <c r="P526" s="222"/>
      <c r="Q526" s="222"/>
      <c r="R526" s="222"/>
      <c r="S526" s="222"/>
      <c r="T526" s="222"/>
      <c r="U526" s="222"/>
      <c r="V526" s="222"/>
      <c r="W526" s="222"/>
      <c r="X526" s="222"/>
      <c r="Y526" s="222"/>
      <c r="Z526" s="222"/>
      <c r="AA526" s="222"/>
      <c r="AB526" s="222"/>
    </row>
    <row r="527" spans="1:28" ht="16">
      <c r="A527" s="222"/>
      <c r="B527" s="222"/>
      <c r="C527" s="222"/>
      <c r="D527" s="222"/>
      <c r="E527" s="222"/>
      <c r="F527" s="222"/>
      <c r="G527" s="222"/>
      <c r="H527" s="222"/>
      <c r="I527" s="222"/>
      <c r="J527" s="222"/>
      <c r="K527" s="222"/>
      <c r="L527" s="223"/>
      <c r="M527" s="222"/>
      <c r="N527" s="222"/>
      <c r="O527" s="222"/>
      <c r="P527" s="222"/>
      <c r="Q527" s="222"/>
      <c r="R527" s="222"/>
      <c r="S527" s="222"/>
      <c r="T527" s="222"/>
      <c r="U527" s="222"/>
      <c r="V527" s="222"/>
      <c r="W527" s="222"/>
      <c r="X527" s="222"/>
      <c r="Y527" s="222"/>
      <c r="Z527" s="222"/>
      <c r="AA527" s="222"/>
      <c r="AB527" s="222"/>
    </row>
    <row r="528" spans="1:28" ht="16">
      <c r="A528" s="222"/>
      <c r="B528" s="222"/>
      <c r="C528" s="222"/>
      <c r="D528" s="222"/>
      <c r="E528" s="222"/>
      <c r="F528" s="222"/>
      <c r="G528" s="222"/>
      <c r="H528" s="222"/>
      <c r="I528" s="222"/>
      <c r="J528" s="222"/>
      <c r="K528" s="222"/>
      <c r="L528" s="223"/>
      <c r="M528" s="222"/>
      <c r="N528" s="222"/>
      <c r="O528" s="222"/>
      <c r="P528" s="222"/>
      <c r="Q528" s="222"/>
      <c r="R528" s="222"/>
      <c r="S528" s="222"/>
      <c r="T528" s="222"/>
      <c r="U528" s="222"/>
      <c r="V528" s="222"/>
      <c r="W528" s="222"/>
      <c r="X528" s="222"/>
      <c r="Y528" s="222"/>
      <c r="Z528" s="222"/>
      <c r="AA528" s="222"/>
      <c r="AB528" s="222"/>
    </row>
    <row r="529" spans="1:28" ht="16">
      <c r="A529" s="222"/>
      <c r="B529" s="222"/>
      <c r="C529" s="222"/>
      <c r="D529" s="222"/>
      <c r="E529" s="222"/>
      <c r="F529" s="222"/>
      <c r="G529" s="222"/>
      <c r="H529" s="222"/>
      <c r="I529" s="222"/>
      <c r="J529" s="222"/>
      <c r="K529" s="222"/>
      <c r="L529" s="223"/>
      <c r="M529" s="222"/>
      <c r="N529" s="222"/>
      <c r="O529" s="222"/>
      <c r="P529" s="222"/>
      <c r="Q529" s="222"/>
      <c r="R529" s="222"/>
      <c r="S529" s="222"/>
      <c r="T529" s="222"/>
      <c r="U529" s="222"/>
      <c r="V529" s="222"/>
      <c r="W529" s="222"/>
      <c r="X529" s="222"/>
      <c r="Y529" s="222"/>
      <c r="Z529" s="222"/>
      <c r="AA529" s="222"/>
      <c r="AB529" s="222"/>
    </row>
    <row r="530" spans="1:28" ht="16">
      <c r="A530" s="222"/>
      <c r="B530" s="222"/>
      <c r="C530" s="222"/>
      <c r="D530" s="222"/>
      <c r="E530" s="222"/>
      <c r="F530" s="222"/>
      <c r="G530" s="222"/>
      <c r="H530" s="222"/>
      <c r="I530" s="222"/>
      <c r="J530" s="222"/>
      <c r="K530" s="222"/>
      <c r="L530" s="223"/>
      <c r="M530" s="222"/>
      <c r="N530" s="222"/>
      <c r="O530" s="222"/>
      <c r="P530" s="222"/>
      <c r="Q530" s="222"/>
      <c r="R530" s="222"/>
      <c r="S530" s="222"/>
      <c r="T530" s="222"/>
      <c r="U530" s="222"/>
      <c r="V530" s="222"/>
      <c r="W530" s="222"/>
      <c r="X530" s="222"/>
      <c r="Y530" s="222"/>
      <c r="Z530" s="222"/>
      <c r="AA530" s="222"/>
      <c r="AB530" s="222"/>
    </row>
    <row r="531" spans="1:28" ht="16">
      <c r="A531" s="222"/>
      <c r="B531" s="222"/>
      <c r="C531" s="222"/>
      <c r="D531" s="222"/>
      <c r="E531" s="222"/>
      <c r="F531" s="222"/>
      <c r="G531" s="222"/>
      <c r="H531" s="222"/>
      <c r="I531" s="222"/>
      <c r="J531" s="222"/>
      <c r="K531" s="222"/>
      <c r="L531" s="223"/>
      <c r="M531" s="222"/>
      <c r="N531" s="222"/>
      <c r="O531" s="222"/>
      <c r="P531" s="222"/>
      <c r="Q531" s="222"/>
      <c r="R531" s="222"/>
      <c r="S531" s="222"/>
      <c r="T531" s="222"/>
      <c r="U531" s="222"/>
      <c r="V531" s="222"/>
      <c r="W531" s="222"/>
      <c r="X531" s="222"/>
      <c r="Y531" s="222"/>
      <c r="Z531" s="222"/>
      <c r="AA531" s="222"/>
      <c r="AB531" s="222"/>
    </row>
    <row r="532" spans="1:28" ht="16">
      <c r="A532" s="222"/>
      <c r="B532" s="222"/>
      <c r="C532" s="222"/>
      <c r="D532" s="222"/>
      <c r="E532" s="222"/>
      <c r="F532" s="222"/>
      <c r="G532" s="222"/>
      <c r="H532" s="222"/>
      <c r="I532" s="222"/>
      <c r="J532" s="222"/>
      <c r="K532" s="222"/>
      <c r="L532" s="223"/>
      <c r="M532" s="222"/>
      <c r="N532" s="222"/>
      <c r="O532" s="222"/>
      <c r="P532" s="222"/>
      <c r="Q532" s="222"/>
      <c r="R532" s="222"/>
      <c r="S532" s="222"/>
      <c r="T532" s="222"/>
      <c r="U532" s="222"/>
      <c r="V532" s="222"/>
      <c r="W532" s="222"/>
      <c r="X532" s="222"/>
      <c r="Y532" s="222"/>
      <c r="Z532" s="222"/>
      <c r="AA532" s="222"/>
      <c r="AB532" s="222"/>
    </row>
    <row r="533" spans="1:28" ht="16">
      <c r="A533" s="222"/>
      <c r="B533" s="222"/>
      <c r="C533" s="222"/>
      <c r="D533" s="222"/>
      <c r="E533" s="222"/>
      <c r="F533" s="222"/>
      <c r="G533" s="222"/>
      <c r="H533" s="222"/>
      <c r="I533" s="222"/>
      <c r="J533" s="222"/>
      <c r="K533" s="222"/>
      <c r="L533" s="223"/>
      <c r="M533" s="222"/>
      <c r="N533" s="222"/>
      <c r="O533" s="222"/>
      <c r="P533" s="222"/>
      <c r="Q533" s="222"/>
      <c r="R533" s="222"/>
      <c r="S533" s="222"/>
      <c r="T533" s="222"/>
      <c r="U533" s="222"/>
      <c r="V533" s="222"/>
      <c r="W533" s="222"/>
      <c r="X533" s="222"/>
      <c r="Y533" s="222"/>
      <c r="Z533" s="222"/>
      <c r="AA533" s="222"/>
      <c r="AB533" s="222"/>
    </row>
    <row r="534" spans="1:28" ht="16">
      <c r="A534" s="222"/>
      <c r="B534" s="222"/>
      <c r="C534" s="222"/>
      <c r="D534" s="222"/>
      <c r="E534" s="222"/>
      <c r="F534" s="222"/>
      <c r="G534" s="222"/>
      <c r="H534" s="222"/>
      <c r="I534" s="222"/>
      <c r="J534" s="222"/>
      <c r="K534" s="222"/>
      <c r="L534" s="223"/>
      <c r="M534" s="222"/>
      <c r="N534" s="222"/>
      <c r="O534" s="222"/>
      <c r="P534" s="222"/>
      <c r="Q534" s="222"/>
      <c r="R534" s="222"/>
      <c r="S534" s="222"/>
      <c r="T534" s="222"/>
      <c r="U534" s="222"/>
      <c r="V534" s="222"/>
      <c r="W534" s="222"/>
      <c r="X534" s="222"/>
      <c r="Y534" s="222"/>
      <c r="Z534" s="222"/>
      <c r="AA534" s="222"/>
      <c r="AB534" s="222"/>
    </row>
    <row r="535" spans="1:28" ht="16">
      <c r="A535" s="222"/>
      <c r="B535" s="222"/>
      <c r="C535" s="222"/>
      <c r="D535" s="222"/>
      <c r="E535" s="222"/>
      <c r="F535" s="222"/>
      <c r="G535" s="222"/>
      <c r="H535" s="222"/>
      <c r="I535" s="222"/>
      <c r="J535" s="222"/>
      <c r="K535" s="222"/>
      <c r="L535" s="223"/>
      <c r="M535" s="222"/>
      <c r="N535" s="222"/>
      <c r="O535" s="222"/>
      <c r="P535" s="222"/>
      <c r="Q535" s="222"/>
      <c r="R535" s="222"/>
      <c r="S535" s="222"/>
      <c r="T535" s="222"/>
      <c r="U535" s="222"/>
      <c r="V535" s="222"/>
      <c r="W535" s="222"/>
      <c r="X535" s="222"/>
      <c r="Y535" s="222"/>
      <c r="Z535" s="222"/>
      <c r="AA535" s="222"/>
      <c r="AB535" s="222"/>
    </row>
    <row r="536" spans="1:28" ht="16">
      <c r="A536" s="222"/>
      <c r="B536" s="222"/>
      <c r="C536" s="222"/>
      <c r="D536" s="222"/>
      <c r="E536" s="222"/>
      <c r="F536" s="222"/>
      <c r="G536" s="222"/>
      <c r="H536" s="222"/>
      <c r="I536" s="222"/>
      <c r="J536" s="222"/>
      <c r="K536" s="222"/>
      <c r="L536" s="223"/>
      <c r="M536" s="222"/>
      <c r="N536" s="222"/>
      <c r="O536" s="222"/>
      <c r="P536" s="222"/>
      <c r="Q536" s="222"/>
      <c r="R536" s="222"/>
      <c r="S536" s="222"/>
      <c r="T536" s="222"/>
      <c r="U536" s="222"/>
      <c r="V536" s="222"/>
      <c r="W536" s="222"/>
      <c r="X536" s="222"/>
      <c r="Y536" s="222"/>
      <c r="Z536" s="222"/>
      <c r="AA536" s="222"/>
      <c r="AB536" s="222"/>
    </row>
    <row r="537" spans="1:28" ht="16">
      <c r="A537" s="222"/>
      <c r="B537" s="222"/>
      <c r="C537" s="222"/>
      <c r="D537" s="222"/>
      <c r="E537" s="222"/>
      <c r="F537" s="222"/>
      <c r="G537" s="222"/>
      <c r="H537" s="222"/>
      <c r="I537" s="222"/>
      <c r="J537" s="222"/>
      <c r="K537" s="222"/>
      <c r="L537" s="223"/>
      <c r="M537" s="222"/>
      <c r="N537" s="222"/>
      <c r="O537" s="222"/>
      <c r="P537" s="222"/>
      <c r="Q537" s="222"/>
      <c r="R537" s="222"/>
      <c r="S537" s="222"/>
      <c r="T537" s="222"/>
      <c r="U537" s="222"/>
      <c r="V537" s="222"/>
      <c r="W537" s="222"/>
      <c r="X537" s="222"/>
      <c r="Y537" s="222"/>
      <c r="Z537" s="222"/>
      <c r="AA537" s="222"/>
      <c r="AB537" s="222"/>
    </row>
    <row r="538" spans="1:28" ht="16">
      <c r="A538" s="222"/>
      <c r="B538" s="222"/>
      <c r="C538" s="222"/>
      <c r="D538" s="222"/>
      <c r="E538" s="222"/>
      <c r="F538" s="222"/>
      <c r="G538" s="222"/>
      <c r="H538" s="222"/>
      <c r="I538" s="222"/>
      <c r="J538" s="222"/>
      <c r="K538" s="222"/>
      <c r="L538" s="223"/>
      <c r="M538" s="222"/>
      <c r="N538" s="222"/>
      <c r="O538" s="222"/>
      <c r="P538" s="222"/>
      <c r="Q538" s="222"/>
      <c r="R538" s="222"/>
      <c r="S538" s="222"/>
      <c r="T538" s="222"/>
      <c r="U538" s="222"/>
      <c r="V538" s="222"/>
      <c r="W538" s="222"/>
      <c r="X538" s="222"/>
      <c r="Y538" s="222"/>
      <c r="Z538" s="222"/>
      <c r="AA538" s="222"/>
      <c r="AB538" s="222"/>
    </row>
    <row r="539" spans="1:28" ht="16">
      <c r="A539" s="222"/>
      <c r="B539" s="222"/>
      <c r="C539" s="222"/>
      <c r="D539" s="222"/>
      <c r="E539" s="222"/>
      <c r="F539" s="222"/>
      <c r="G539" s="222"/>
      <c r="H539" s="222"/>
      <c r="I539" s="222"/>
      <c r="J539" s="222"/>
      <c r="K539" s="222"/>
      <c r="L539" s="223"/>
      <c r="M539" s="222"/>
      <c r="N539" s="222"/>
      <c r="O539" s="222"/>
      <c r="P539" s="222"/>
      <c r="Q539" s="222"/>
      <c r="R539" s="222"/>
      <c r="S539" s="222"/>
      <c r="T539" s="222"/>
      <c r="U539" s="222"/>
      <c r="V539" s="222"/>
      <c r="W539" s="222"/>
      <c r="X539" s="222"/>
      <c r="Y539" s="222"/>
      <c r="Z539" s="222"/>
      <c r="AA539" s="222"/>
      <c r="AB539" s="222"/>
    </row>
    <row r="540" spans="1:28" ht="16">
      <c r="A540" s="222"/>
      <c r="B540" s="222"/>
      <c r="C540" s="222"/>
      <c r="D540" s="222"/>
      <c r="E540" s="222"/>
      <c r="F540" s="222"/>
      <c r="G540" s="222"/>
      <c r="H540" s="222"/>
      <c r="I540" s="222"/>
      <c r="J540" s="222"/>
      <c r="K540" s="222"/>
      <c r="L540" s="223"/>
      <c r="M540" s="222"/>
      <c r="N540" s="222"/>
      <c r="O540" s="222"/>
      <c r="P540" s="222"/>
      <c r="Q540" s="222"/>
      <c r="R540" s="222"/>
      <c r="S540" s="222"/>
      <c r="T540" s="222"/>
      <c r="U540" s="222"/>
      <c r="V540" s="222"/>
      <c r="W540" s="222"/>
      <c r="X540" s="222"/>
      <c r="Y540" s="222"/>
      <c r="Z540" s="222"/>
      <c r="AA540" s="222"/>
      <c r="AB540" s="222"/>
    </row>
    <row r="541" spans="1:28" ht="16">
      <c r="A541" s="222"/>
      <c r="B541" s="222"/>
      <c r="C541" s="222"/>
      <c r="D541" s="222"/>
      <c r="E541" s="222"/>
      <c r="F541" s="222"/>
      <c r="G541" s="222"/>
      <c r="H541" s="222"/>
      <c r="I541" s="222"/>
      <c r="J541" s="222"/>
      <c r="K541" s="222"/>
      <c r="L541" s="223"/>
      <c r="M541" s="222"/>
      <c r="N541" s="222"/>
      <c r="O541" s="222"/>
      <c r="P541" s="222"/>
      <c r="Q541" s="222"/>
      <c r="R541" s="222"/>
      <c r="S541" s="222"/>
      <c r="T541" s="222"/>
      <c r="U541" s="222"/>
      <c r="V541" s="222"/>
      <c r="W541" s="222"/>
      <c r="X541" s="222"/>
      <c r="Y541" s="222"/>
      <c r="Z541" s="222"/>
      <c r="AA541" s="222"/>
      <c r="AB541" s="222"/>
    </row>
    <row r="542" spans="1:28" ht="16">
      <c r="A542" s="222"/>
      <c r="B542" s="222"/>
      <c r="C542" s="222"/>
      <c r="D542" s="222"/>
      <c r="E542" s="222"/>
      <c r="F542" s="222"/>
      <c r="G542" s="222"/>
      <c r="H542" s="222"/>
      <c r="I542" s="222"/>
      <c r="J542" s="222"/>
      <c r="K542" s="222"/>
      <c r="L542" s="223"/>
      <c r="M542" s="222"/>
      <c r="N542" s="222"/>
      <c r="O542" s="222"/>
      <c r="P542" s="222"/>
      <c r="Q542" s="222"/>
      <c r="R542" s="222"/>
      <c r="S542" s="222"/>
      <c r="T542" s="222"/>
      <c r="U542" s="222"/>
      <c r="V542" s="222"/>
      <c r="W542" s="222"/>
      <c r="X542" s="222"/>
      <c r="Y542" s="222"/>
      <c r="Z542" s="222"/>
      <c r="AA542" s="222"/>
      <c r="AB542" s="222"/>
    </row>
    <row r="543" spans="1:28" ht="16">
      <c r="A543" s="222"/>
      <c r="B543" s="222"/>
      <c r="C543" s="222"/>
      <c r="D543" s="222"/>
      <c r="E543" s="222"/>
      <c r="F543" s="222"/>
      <c r="G543" s="222"/>
      <c r="H543" s="222"/>
      <c r="I543" s="222"/>
      <c r="J543" s="222"/>
      <c r="K543" s="222"/>
      <c r="L543" s="223"/>
      <c r="M543" s="222"/>
      <c r="N543" s="222"/>
      <c r="O543" s="222"/>
      <c r="P543" s="222"/>
      <c r="Q543" s="222"/>
      <c r="R543" s="222"/>
      <c r="S543" s="222"/>
      <c r="T543" s="222"/>
      <c r="U543" s="222"/>
      <c r="V543" s="222"/>
      <c r="W543" s="222"/>
      <c r="X543" s="222"/>
      <c r="Y543" s="222"/>
      <c r="Z543" s="222"/>
      <c r="AA543" s="222"/>
      <c r="AB543" s="222"/>
    </row>
    <row r="544" spans="1:28" ht="16">
      <c r="A544" s="222"/>
      <c r="B544" s="222"/>
      <c r="C544" s="222"/>
      <c r="D544" s="222"/>
      <c r="E544" s="222"/>
      <c r="F544" s="222"/>
      <c r="G544" s="222"/>
      <c r="H544" s="222"/>
      <c r="I544" s="222"/>
      <c r="J544" s="222"/>
      <c r="K544" s="222"/>
      <c r="L544" s="223"/>
      <c r="M544" s="222"/>
      <c r="N544" s="222"/>
      <c r="O544" s="222"/>
      <c r="P544" s="222"/>
      <c r="Q544" s="222"/>
      <c r="R544" s="222"/>
      <c r="S544" s="222"/>
      <c r="T544" s="222"/>
      <c r="U544" s="222"/>
      <c r="V544" s="222"/>
      <c r="W544" s="222"/>
      <c r="X544" s="222"/>
      <c r="Y544" s="222"/>
      <c r="Z544" s="222"/>
      <c r="AA544" s="222"/>
      <c r="AB544" s="222"/>
    </row>
    <row r="545" spans="1:28" ht="16">
      <c r="A545" s="222"/>
      <c r="B545" s="222"/>
      <c r="C545" s="222"/>
      <c r="D545" s="222"/>
      <c r="E545" s="222"/>
      <c r="F545" s="222"/>
      <c r="G545" s="222"/>
      <c r="H545" s="222"/>
      <c r="I545" s="222"/>
      <c r="J545" s="222"/>
      <c r="K545" s="222"/>
      <c r="L545" s="223"/>
      <c r="M545" s="222"/>
      <c r="N545" s="222"/>
      <c r="O545" s="222"/>
      <c r="P545" s="222"/>
      <c r="Q545" s="222"/>
      <c r="R545" s="222"/>
      <c r="S545" s="222"/>
      <c r="T545" s="222"/>
      <c r="U545" s="222"/>
      <c r="V545" s="222"/>
      <c r="W545" s="222"/>
      <c r="X545" s="222"/>
      <c r="Y545" s="222"/>
      <c r="Z545" s="222"/>
      <c r="AA545" s="222"/>
      <c r="AB545" s="222"/>
    </row>
    <row r="546" spans="1:28" ht="16">
      <c r="A546" s="222"/>
      <c r="B546" s="222"/>
      <c r="C546" s="222"/>
      <c r="D546" s="222"/>
      <c r="E546" s="222"/>
      <c r="F546" s="222"/>
      <c r="G546" s="222"/>
      <c r="H546" s="222"/>
      <c r="I546" s="222"/>
      <c r="J546" s="222"/>
      <c r="K546" s="222"/>
      <c r="L546" s="223"/>
      <c r="M546" s="222"/>
      <c r="N546" s="222"/>
      <c r="O546" s="222"/>
      <c r="P546" s="222"/>
      <c r="Q546" s="222"/>
      <c r="R546" s="222"/>
      <c r="S546" s="222"/>
      <c r="T546" s="222"/>
      <c r="U546" s="222"/>
      <c r="V546" s="222"/>
      <c r="W546" s="222"/>
      <c r="X546" s="222"/>
      <c r="Y546" s="222"/>
      <c r="Z546" s="222"/>
      <c r="AA546" s="222"/>
      <c r="AB546" s="222"/>
    </row>
    <row r="547" spans="1:28" ht="16">
      <c r="A547" s="222"/>
      <c r="B547" s="222"/>
      <c r="C547" s="222"/>
      <c r="D547" s="222"/>
      <c r="E547" s="222"/>
      <c r="F547" s="222"/>
      <c r="G547" s="222"/>
      <c r="H547" s="222"/>
      <c r="I547" s="222"/>
      <c r="J547" s="222"/>
      <c r="K547" s="222"/>
      <c r="L547" s="223"/>
      <c r="M547" s="222"/>
      <c r="N547" s="222"/>
      <c r="O547" s="222"/>
      <c r="P547" s="222"/>
      <c r="Q547" s="222"/>
      <c r="R547" s="222"/>
      <c r="S547" s="222"/>
      <c r="T547" s="222"/>
      <c r="U547" s="222"/>
      <c r="V547" s="222"/>
      <c r="W547" s="222"/>
      <c r="X547" s="222"/>
      <c r="Y547" s="222"/>
      <c r="Z547" s="222"/>
      <c r="AA547" s="222"/>
      <c r="AB547" s="222"/>
    </row>
    <row r="548" spans="1:28" ht="16">
      <c r="A548" s="222"/>
      <c r="B548" s="222"/>
      <c r="C548" s="222"/>
      <c r="D548" s="222"/>
      <c r="E548" s="222"/>
      <c r="F548" s="222"/>
      <c r="G548" s="222"/>
      <c r="H548" s="222"/>
      <c r="I548" s="222"/>
      <c r="J548" s="222"/>
      <c r="K548" s="222"/>
      <c r="L548" s="223"/>
      <c r="M548" s="222"/>
      <c r="N548" s="222"/>
      <c r="O548" s="222"/>
      <c r="P548" s="222"/>
      <c r="Q548" s="222"/>
      <c r="R548" s="222"/>
      <c r="S548" s="222"/>
      <c r="T548" s="222"/>
      <c r="U548" s="222"/>
      <c r="V548" s="222"/>
      <c r="W548" s="222"/>
      <c r="X548" s="222"/>
      <c r="Y548" s="222"/>
      <c r="Z548" s="222"/>
      <c r="AA548" s="222"/>
      <c r="AB548" s="222"/>
    </row>
    <row r="549" spans="1:28" ht="16">
      <c r="A549" s="222"/>
      <c r="B549" s="222"/>
      <c r="C549" s="222"/>
      <c r="D549" s="222"/>
      <c r="E549" s="222"/>
      <c r="F549" s="222"/>
      <c r="G549" s="222"/>
      <c r="H549" s="222"/>
      <c r="I549" s="222"/>
      <c r="J549" s="222"/>
      <c r="K549" s="222"/>
      <c r="L549" s="223"/>
      <c r="M549" s="222"/>
      <c r="N549" s="222"/>
      <c r="O549" s="222"/>
      <c r="P549" s="222"/>
      <c r="Q549" s="222"/>
      <c r="R549" s="222"/>
      <c r="S549" s="222"/>
      <c r="T549" s="222"/>
      <c r="U549" s="222"/>
      <c r="V549" s="222"/>
      <c r="W549" s="222"/>
      <c r="X549" s="222"/>
      <c r="Y549" s="222"/>
      <c r="Z549" s="222"/>
      <c r="AA549" s="222"/>
      <c r="AB549" s="222"/>
    </row>
    <row r="550" spans="1:28" ht="16">
      <c r="A550" s="222"/>
      <c r="B550" s="222"/>
      <c r="C550" s="222"/>
      <c r="D550" s="222"/>
      <c r="E550" s="222"/>
      <c r="F550" s="222"/>
      <c r="G550" s="222"/>
      <c r="H550" s="222"/>
      <c r="I550" s="222"/>
      <c r="J550" s="222"/>
      <c r="K550" s="222"/>
      <c r="L550" s="223"/>
      <c r="M550" s="222"/>
      <c r="N550" s="222"/>
      <c r="O550" s="222"/>
      <c r="P550" s="222"/>
      <c r="Q550" s="222"/>
      <c r="R550" s="222"/>
      <c r="S550" s="222"/>
      <c r="T550" s="222"/>
      <c r="U550" s="222"/>
      <c r="V550" s="222"/>
      <c r="W550" s="222"/>
      <c r="X550" s="222"/>
      <c r="Y550" s="222"/>
      <c r="Z550" s="222"/>
      <c r="AA550" s="222"/>
      <c r="AB550" s="222"/>
    </row>
    <row r="551" spans="1:28" ht="16">
      <c r="A551" s="222"/>
      <c r="B551" s="222"/>
      <c r="C551" s="222"/>
      <c r="D551" s="222"/>
      <c r="E551" s="222"/>
      <c r="F551" s="222"/>
      <c r="G551" s="222"/>
      <c r="H551" s="222"/>
      <c r="I551" s="222"/>
      <c r="J551" s="222"/>
      <c r="K551" s="222"/>
      <c r="L551" s="223"/>
      <c r="M551" s="222"/>
      <c r="N551" s="222"/>
      <c r="O551" s="222"/>
      <c r="P551" s="222"/>
      <c r="Q551" s="222"/>
      <c r="R551" s="222"/>
      <c r="S551" s="222"/>
      <c r="T551" s="222"/>
      <c r="U551" s="222"/>
      <c r="V551" s="222"/>
      <c r="W551" s="222"/>
      <c r="X551" s="222"/>
      <c r="Y551" s="222"/>
      <c r="Z551" s="222"/>
      <c r="AA551" s="222"/>
      <c r="AB551" s="222"/>
    </row>
    <row r="552" spans="1:28" ht="16">
      <c r="A552" s="222"/>
      <c r="B552" s="222"/>
      <c r="C552" s="222"/>
      <c r="D552" s="222"/>
      <c r="E552" s="222"/>
      <c r="F552" s="222"/>
      <c r="G552" s="222"/>
      <c r="H552" s="222"/>
      <c r="I552" s="222"/>
      <c r="J552" s="222"/>
      <c r="K552" s="222"/>
      <c r="L552" s="223"/>
      <c r="M552" s="222"/>
      <c r="N552" s="222"/>
      <c r="O552" s="222"/>
      <c r="P552" s="222"/>
      <c r="Q552" s="222"/>
      <c r="R552" s="222"/>
      <c r="S552" s="222"/>
      <c r="T552" s="222"/>
      <c r="U552" s="222"/>
      <c r="V552" s="222"/>
      <c r="W552" s="222"/>
      <c r="X552" s="222"/>
      <c r="Y552" s="222"/>
      <c r="Z552" s="222"/>
      <c r="AA552" s="222"/>
      <c r="AB552" s="222"/>
    </row>
    <row r="553" spans="1:28" ht="16">
      <c r="A553" s="222"/>
      <c r="B553" s="222"/>
      <c r="C553" s="222"/>
      <c r="D553" s="222"/>
      <c r="E553" s="222"/>
      <c r="F553" s="222"/>
      <c r="G553" s="222"/>
      <c r="H553" s="222"/>
      <c r="I553" s="222"/>
      <c r="J553" s="222"/>
      <c r="K553" s="222"/>
      <c r="L553" s="223"/>
      <c r="M553" s="222"/>
      <c r="N553" s="222"/>
      <c r="O553" s="222"/>
      <c r="P553" s="222"/>
      <c r="Q553" s="222"/>
      <c r="R553" s="222"/>
      <c r="S553" s="222"/>
      <c r="T553" s="222"/>
      <c r="U553" s="222"/>
      <c r="V553" s="222"/>
      <c r="W553" s="222"/>
      <c r="X553" s="222"/>
      <c r="Y553" s="222"/>
      <c r="Z553" s="222"/>
      <c r="AA553" s="222"/>
      <c r="AB553" s="222"/>
    </row>
    <row r="554" spans="1:28" ht="16">
      <c r="A554" s="222"/>
      <c r="B554" s="222"/>
      <c r="C554" s="222"/>
      <c r="D554" s="222"/>
      <c r="E554" s="222"/>
      <c r="F554" s="222"/>
      <c r="G554" s="222"/>
      <c r="H554" s="222"/>
      <c r="I554" s="222"/>
      <c r="J554" s="222"/>
      <c r="K554" s="222"/>
      <c r="L554" s="223"/>
      <c r="M554" s="222"/>
      <c r="N554" s="222"/>
      <c r="O554" s="222"/>
      <c r="P554" s="222"/>
      <c r="Q554" s="222"/>
      <c r="R554" s="222"/>
      <c r="S554" s="222"/>
      <c r="T554" s="222"/>
      <c r="U554" s="222"/>
      <c r="V554" s="222"/>
      <c r="W554" s="222"/>
      <c r="X554" s="222"/>
      <c r="Y554" s="222"/>
      <c r="Z554" s="222"/>
      <c r="AA554" s="222"/>
      <c r="AB554" s="222"/>
    </row>
    <row r="555" spans="1:28" ht="16">
      <c r="A555" s="222"/>
      <c r="B555" s="222"/>
      <c r="C555" s="222"/>
      <c r="D555" s="222"/>
      <c r="E555" s="222"/>
      <c r="F555" s="222"/>
      <c r="G555" s="222"/>
      <c r="H555" s="222"/>
      <c r="I555" s="222"/>
      <c r="J555" s="222"/>
      <c r="K555" s="222"/>
      <c r="L555" s="223"/>
      <c r="M555" s="222"/>
      <c r="N555" s="222"/>
      <c r="O555" s="222"/>
      <c r="P555" s="222"/>
      <c r="Q555" s="222"/>
      <c r="R555" s="222"/>
      <c r="S555" s="222"/>
      <c r="T555" s="222"/>
      <c r="U555" s="222"/>
      <c r="V555" s="222"/>
      <c r="W555" s="222"/>
      <c r="X555" s="222"/>
      <c r="Y555" s="222"/>
      <c r="Z555" s="222"/>
      <c r="AA555" s="222"/>
      <c r="AB555" s="222"/>
    </row>
    <row r="556" spans="1:28" ht="16">
      <c r="A556" s="222"/>
      <c r="B556" s="222"/>
      <c r="C556" s="222"/>
      <c r="D556" s="222"/>
      <c r="E556" s="222"/>
      <c r="F556" s="222"/>
      <c r="G556" s="222"/>
      <c r="H556" s="222"/>
      <c r="I556" s="222"/>
      <c r="J556" s="222"/>
      <c r="K556" s="222"/>
      <c r="L556" s="223"/>
      <c r="M556" s="222"/>
      <c r="N556" s="222"/>
      <c r="O556" s="222"/>
      <c r="P556" s="222"/>
      <c r="Q556" s="222"/>
      <c r="R556" s="222"/>
      <c r="S556" s="222"/>
      <c r="T556" s="222"/>
      <c r="U556" s="222"/>
      <c r="V556" s="222"/>
      <c r="W556" s="222"/>
      <c r="X556" s="222"/>
      <c r="Y556" s="222"/>
      <c r="Z556" s="222"/>
      <c r="AA556" s="222"/>
      <c r="AB556" s="222"/>
    </row>
    <row r="557" spans="1:28" ht="16">
      <c r="A557" s="222"/>
      <c r="B557" s="222"/>
      <c r="C557" s="222"/>
      <c r="D557" s="222"/>
      <c r="E557" s="222"/>
      <c r="F557" s="222"/>
      <c r="G557" s="222"/>
      <c r="H557" s="222"/>
      <c r="I557" s="222"/>
      <c r="J557" s="222"/>
      <c r="K557" s="222"/>
      <c r="L557" s="223"/>
      <c r="M557" s="222"/>
      <c r="N557" s="222"/>
      <c r="O557" s="222"/>
      <c r="P557" s="222"/>
      <c r="Q557" s="222"/>
      <c r="R557" s="222"/>
      <c r="S557" s="222"/>
      <c r="T557" s="222"/>
      <c r="U557" s="222"/>
      <c r="V557" s="222"/>
      <c r="W557" s="222"/>
      <c r="X557" s="222"/>
      <c r="Y557" s="222"/>
      <c r="Z557" s="222"/>
      <c r="AA557" s="222"/>
      <c r="AB557" s="222"/>
    </row>
    <row r="558" spans="1:28" ht="16">
      <c r="A558" s="222"/>
      <c r="B558" s="222"/>
      <c r="C558" s="222"/>
      <c r="D558" s="222"/>
      <c r="E558" s="222"/>
      <c r="F558" s="222"/>
      <c r="G558" s="222"/>
      <c r="H558" s="222"/>
      <c r="I558" s="222"/>
      <c r="J558" s="222"/>
      <c r="K558" s="222"/>
      <c r="L558" s="223"/>
      <c r="M558" s="222"/>
      <c r="N558" s="222"/>
      <c r="O558" s="222"/>
      <c r="P558" s="222"/>
      <c r="Q558" s="222"/>
      <c r="R558" s="222"/>
      <c r="S558" s="222"/>
      <c r="T558" s="222"/>
      <c r="U558" s="222"/>
      <c r="V558" s="222"/>
      <c r="W558" s="222"/>
      <c r="X558" s="222"/>
      <c r="Y558" s="222"/>
      <c r="Z558" s="222"/>
      <c r="AA558" s="222"/>
      <c r="AB558" s="222"/>
    </row>
    <row r="559" spans="1:28" ht="16">
      <c r="A559" s="222"/>
      <c r="B559" s="222"/>
      <c r="C559" s="222"/>
      <c r="D559" s="222"/>
      <c r="E559" s="222"/>
      <c r="F559" s="222"/>
      <c r="G559" s="222"/>
      <c r="H559" s="222"/>
      <c r="I559" s="222"/>
      <c r="J559" s="222"/>
      <c r="K559" s="222"/>
      <c r="L559" s="223"/>
      <c r="M559" s="222"/>
      <c r="N559" s="222"/>
      <c r="O559" s="222"/>
      <c r="P559" s="222"/>
      <c r="Q559" s="222"/>
      <c r="R559" s="222"/>
      <c r="S559" s="222"/>
      <c r="T559" s="222"/>
      <c r="U559" s="222"/>
      <c r="V559" s="222"/>
      <c r="W559" s="222"/>
      <c r="X559" s="222"/>
      <c r="Y559" s="222"/>
      <c r="Z559" s="222"/>
      <c r="AA559" s="222"/>
      <c r="AB559" s="222"/>
    </row>
    <row r="560" spans="1:28" ht="16">
      <c r="A560" s="222"/>
      <c r="B560" s="222"/>
      <c r="C560" s="222"/>
      <c r="D560" s="222"/>
      <c r="E560" s="222"/>
      <c r="F560" s="222"/>
      <c r="G560" s="222"/>
      <c r="H560" s="222"/>
      <c r="I560" s="222"/>
      <c r="J560" s="222"/>
      <c r="K560" s="222"/>
      <c r="L560" s="223"/>
      <c r="M560" s="222"/>
      <c r="N560" s="222"/>
      <c r="O560" s="222"/>
      <c r="P560" s="222"/>
      <c r="Q560" s="222"/>
      <c r="R560" s="222"/>
      <c r="S560" s="222"/>
      <c r="T560" s="222"/>
      <c r="U560" s="222"/>
      <c r="V560" s="222"/>
      <c r="W560" s="222"/>
      <c r="X560" s="222"/>
      <c r="Y560" s="222"/>
      <c r="Z560" s="222"/>
      <c r="AA560" s="222"/>
      <c r="AB560" s="222"/>
    </row>
    <row r="561" spans="1:28" ht="16">
      <c r="A561" s="222"/>
      <c r="B561" s="222"/>
      <c r="C561" s="222"/>
      <c r="D561" s="222"/>
      <c r="E561" s="222"/>
      <c r="F561" s="222"/>
      <c r="G561" s="222"/>
      <c r="H561" s="222"/>
      <c r="I561" s="222"/>
      <c r="J561" s="222"/>
      <c r="K561" s="222"/>
      <c r="L561" s="223"/>
      <c r="M561" s="222"/>
      <c r="N561" s="222"/>
      <c r="O561" s="222"/>
      <c r="P561" s="222"/>
      <c r="Q561" s="222"/>
      <c r="R561" s="222"/>
      <c r="S561" s="222"/>
      <c r="T561" s="222"/>
      <c r="U561" s="222"/>
      <c r="V561" s="222"/>
      <c r="W561" s="222"/>
      <c r="X561" s="222"/>
      <c r="Y561" s="222"/>
      <c r="Z561" s="222"/>
      <c r="AA561" s="222"/>
      <c r="AB561" s="222"/>
    </row>
    <row r="562" spans="1:28" ht="16">
      <c r="A562" s="222"/>
      <c r="B562" s="222"/>
      <c r="C562" s="222"/>
      <c r="D562" s="222"/>
      <c r="E562" s="222"/>
      <c r="F562" s="222"/>
      <c r="G562" s="222"/>
      <c r="H562" s="222"/>
      <c r="I562" s="222"/>
      <c r="J562" s="222"/>
      <c r="K562" s="222"/>
      <c r="L562" s="223"/>
      <c r="M562" s="222"/>
      <c r="N562" s="222"/>
      <c r="O562" s="222"/>
      <c r="P562" s="222"/>
      <c r="Q562" s="222"/>
      <c r="R562" s="222"/>
      <c r="S562" s="222"/>
      <c r="T562" s="222"/>
      <c r="U562" s="222"/>
      <c r="V562" s="222"/>
      <c r="W562" s="222"/>
      <c r="X562" s="222"/>
      <c r="Y562" s="222"/>
      <c r="Z562" s="222"/>
      <c r="AA562" s="222"/>
      <c r="AB562" s="222"/>
    </row>
    <row r="563" spans="1:28" ht="16">
      <c r="A563" s="222"/>
      <c r="B563" s="222"/>
      <c r="C563" s="222"/>
      <c r="D563" s="222"/>
      <c r="E563" s="222"/>
      <c r="F563" s="222"/>
      <c r="G563" s="222"/>
      <c r="H563" s="222"/>
      <c r="I563" s="222"/>
      <c r="J563" s="222"/>
      <c r="K563" s="222"/>
      <c r="L563" s="223"/>
      <c r="M563" s="222"/>
      <c r="N563" s="222"/>
      <c r="O563" s="222"/>
      <c r="P563" s="222"/>
      <c r="Q563" s="222"/>
      <c r="R563" s="222"/>
      <c r="S563" s="222"/>
      <c r="T563" s="222"/>
      <c r="U563" s="222"/>
      <c r="V563" s="222"/>
      <c r="W563" s="222"/>
      <c r="X563" s="222"/>
      <c r="Y563" s="222"/>
      <c r="Z563" s="222"/>
      <c r="AA563" s="222"/>
      <c r="AB563" s="222"/>
    </row>
    <row r="564" spans="1:28" ht="16">
      <c r="A564" s="222"/>
      <c r="B564" s="222"/>
      <c r="C564" s="222"/>
      <c r="D564" s="222"/>
      <c r="E564" s="222"/>
      <c r="F564" s="222"/>
      <c r="G564" s="222"/>
      <c r="H564" s="222"/>
      <c r="I564" s="222"/>
      <c r="J564" s="222"/>
      <c r="K564" s="222"/>
      <c r="L564" s="223"/>
      <c r="M564" s="222"/>
      <c r="N564" s="222"/>
      <c r="O564" s="222"/>
      <c r="P564" s="222"/>
      <c r="Q564" s="222"/>
      <c r="R564" s="222"/>
      <c r="S564" s="222"/>
      <c r="T564" s="222"/>
      <c r="U564" s="222"/>
      <c r="V564" s="222"/>
      <c r="W564" s="222"/>
      <c r="X564" s="222"/>
      <c r="Y564" s="222"/>
      <c r="Z564" s="222"/>
      <c r="AA564" s="222"/>
      <c r="AB564" s="222"/>
    </row>
    <row r="565" spans="1:28" ht="16">
      <c r="A565" s="222"/>
      <c r="B565" s="222"/>
      <c r="C565" s="222"/>
      <c r="D565" s="222"/>
      <c r="E565" s="222"/>
      <c r="F565" s="222"/>
      <c r="G565" s="222"/>
      <c r="H565" s="222"/>
      <c r="I565" s="222"/>
      <c r="J565" s="222"/>
      <c r="K565" s="222"/>
      <c r="L565" s="223"/>
      <c r="M565" s="222"/>
      <c r="N565" s="222"/>
      <c r="O565" s="222"/>
      <c r="P565" s="222"/>
      <c r="Q565" s="222"/>
      <c r="R565" s="222"/>
      <c r="S565" s="222"/>
      <c r="T565" s="222"/>
      <c r="U565" s="222"/>
      <c r="V565" s="222"/>
      <c r="W565" s="222"/>
      <c r="X565" s="222"/>
      <c r="Y565" s="222"/>
      <c r="Z565" s="222"/>
      <c r="AA565" s="222"/>
      <c r="AB565" s="222"/>
    </row>
    <row r="566" spans="1:28" ht="16">
      <c r="A566" s="222"/>
      <c r="B566" s="222"/>
      <c r="C566" s="222"/>
      <c r="D566" s="222"/>
      <c r="E566" s="222"/>
      <c r="F566" s="222"/>
      <c r="G566" s="222"/>
      <c r="H566" s="222"/>
      <c r="I566" s="222"/>
      <c r="J566" s="222"/>
      <c r="K566" s="222"/>
      <c r="L566" s="223"/>
      <c r="M566" s="222"/>
      <c r="N566" s="222"/>
      <c r="O566" s="222"/>
      <c r="P566" s="222"/>
      <c r="Q566" s="222"/>
      <c r="R566" s="222"/>
      <c r="S566" s="222"/>
      <c r="T566" s="222"/>
      <c r="U566" s="222"/>
      <c r="V566" s="222"/>
      <c r="W566" s="222"/>
      <c r="X566" s="222"/>
      <c r="Y566" s="222"/>
      <c r="Z566" s="222"/>
      <c r="AA566" s="222"/>
      <c r="AB566" s="222"/>
    </row>
    <row r="567" spans="1:28" ht="16">
      <c r="A567" s="222"/>
      <c r="B567" s="222"/>
      <c r="C567" s="222"/>
      <c r="D567" s="222"/>
      <c r="E567" s="222"/>
      <c r="F567" s="222"/>
      <c r="G567" s="222"/>
      <c r="H567" s="222"/>
      <c r="I567" s="222"/>
      <c r="J567" s="222"/>
      <c r="K567" s="222"/>
      <c r="L567" s="223"/>
      <c r="M567" s="222"/>
      <c r="N567" s="222"/>
      <c r="O567" s="222"/>
      <c r="P567" s="222"/>
      <c r="Q567" s="222"/>
      <c r="R567" s="222"/>
      <c r="S567" s="222"/>
      <c r="T567" s="222"/>
      <c r="U567" s="222"/>
      <c r="V567" s="222"/>
      <c r="W567" s="222"/>
      <c r="X567" s="222"/>
      <c r="Y567" s="222"/>
      <c r="Z567" s="222"/>
      <c r="AA567" s="222"/>
      <c r="AB567" s="222"/>
    </row>
    <row r="568" spans="1:28" ht="16">
      <c r="A568" s="222"/>
      <c r="B568" s="222"/>
      <c r="C568" s="222"/>
      <c r="D568" s="222"/>
      <c r="E568" s="222"/>
      <c r="F568" s="222"/>
      <c r="G568" s="222"/>
      <c r="H568" s="222"/>
      <c r="I568" s="222"/>
      <c r="J568" s="222"/>
      <c r="K568" s="222"/>
      <c r="L568" s="223"/>
      <c r="M568" s="222"/>
      <c r="N568" s="222"/>
      <c r="O568" s="222"/>
      <c r="P568" s="222"/>
      <c r="Q568" s="222"/>
      <c r="R568" s="222"/>
      <c r="S568" s="222"/>
      <c r="T568" s="222"/>
      <c r="U568" s="222"/>
      <c r="V568" s="222"/>
      <c r="W568" s="222"/>
      <c r="X568" s="222"/>
      <c r="Y568" s="222"/>
      <c r="Z568" s="222"/>
      <c r="AA568" s="222"/>
      <c r="AB568" s="222"/>
    </row>
    <row r="569" spans="1:28" ht="16">
      <c r="A569" s="222"/>
      <c r="B569" s="222"/>
      <c r="C569" s="222"/>
      <c r="D569" s="222"/>
      <c r="E569" s="222"/>
      <c r="F569" s="222"/>
      <c r="G569" s="222"/>
      <c r="H569" s="222"/>
      <c r="I569" s="222"/>
      <c r="J569" s="222"/>
      <c r="K569" s="222"/>
      <c r="L569" s="223"/>
      <c r="M569" s="222"/>
      <c r="N569" s="222"/>
      <c r="O569" s="222"/>
      <c r="P569" s="222"/>
      <c r="Q569" s="222"/>
      <c r="R569" s="222"/>
      <c r="S569" s="222"/>
      <c r="T569" s="222"/>
      <c r="U569" s="222"/>
      <c r="V569" s="222"/>
      <c r="W569" s="222"/>
      <c r="X569" s="222"/>
      <c r="Y569" s="222"/>
      <c r="Z569" s="222"/>
      <c r="AA569" s="222"/>
      <c r="AB569" s="222"/>
    </row>
    <row r="570" spans="1:28" ht="16">
      <c r="A570" s="222"/>
      <c r="B570" s="222"/>
      <c r="C570" s="222"/>
      <c r="D570" s="222"/>
      <c r="E570" s="222"/>
      <c r="F570" s="222"/>
      <c r="G570" s="222"/>
      <c r="H570" s="222"/>
      <c r="I570" s="222"/>
      <c r="J570" s="222"/>
      <c r="K570" s="222"/>
      <c r="L570" s="223"/>
      <c r="M570" s="222"/>
      <c r="N570" s="222"/>
      <c r="O570" s="222"/>
      <c r="P570" s="222"/>
      <c r="Q570" s="222"/>
      <c r="R570" s="222"/>
      <c r="S570" s="222"/>
      <c r="T570" s="222"/>
      <c r="U570" s="222"/>
      <c r="V570" s="222"/>
      <c r="W570" s="222"/>
      <c r="X570" s="222"/>
      <c r="Y570" s="222"/>
      <c r="Z570" s="222"/>
      <c r="AA570" s="222"/>
      <c r="AB570" s="222"/>
    </row>
    <row r="571" spans="1:28" ht="16">
      <c r="A571" s="222"/>
      <c r="B571" s="222"/>
      <c r="C571" s="222"/>
      <c r="D571" s="222"/>
      <c r="E571" s="222"/>
      <c r="F571" s="222"/>
      <c r="G571" s="222"/>
      <c r="H571" s="222"/>
      <c r="I571" s="222"/>
      <c r="J571" s="222"/>
      <c r="K571" s="222"/>
      <c r="L571" s="223"/>
      <c r="M571" s="222"/>
      <c r="N571" s="222"/>
      <c r="O571" s="222"/>
      <c r="P571" s="222"/>
      <c r="Q571" s="222"/>
      <c r="R571" s="222"/>
      <c r="S571" s="222"/>
      <c r="T571" s="222"/>
      <c r="U571" s="222"/>
      <c r="V571" s="222"/>
      <c r="W571" s="222"/>
      <c r="X571" s="222"/>
      <c r="Y571" s="222"/>
      <c r="Z571" s="222"/>
      <c r="AA571" s="222"/>
      <c r="AB571" s="222"/>
    </row>
    <row r="572" spans="1:28" ht="16">
      <c r="A572" s="222"/>
      <c r="B572" s="222"/>
      <c r="C572" s="222"/>
      <c r="D572" s="222"/>
      <c r="E572" s="222"/>
      <c r="F572" s="222"/>
      <c r="G572" s="222"/>
      <c r="H572" s="222"/>
      <c r="I572" s="222"/>
      <c r="J572" s="222"/>
      <c r="K572" s="222"/>
      <c r="L572" s="223"/>
      <c r="M572" s="222"/>
      <c r="N572" s="222"/>
      <c r="O572" s="222"/>
      <c r="P572" s="222"/>
      <c r="Q572" s="222"/>
      <c r="R572" s="222"/>
      <c r="S572" s="222"/>
      <c r="T572" s="222"/>
      <c r="U572" s="222"/>
      <c r="V572" s="222"/>
      <c r="W572" s="222"/>
      <c r="X572" s="222"/>
      <c r="Y572" s="222"/>
      <c r="Z572" s="222"/>
      <c r="AA572" s="222"/>
      <c r="AB572" s="222"/>
    </row>
    <row r="573" spans="1:28" ht="16">
      <c r="A573" s="222"/>
      <c r="B573" s="222"/>
      <c r="C573" s="222"/>
      <c r="D573" s="222"/>
      <c r="E573" s="222"/>
      <c r="F573" s="222"/>
      <c r="G573" s="222"/>
      <c r="H573" s="222"/>
      <c r="I573" s="222"/>
      <c r="J573" s="222"/>
      <c r="K573" s="222"/>
      <c r="L573" s="223"/>
      <c r="M573" s="222"/>
      <c r="N573" s="222"/>
      <c r="O573" s="222"/>
      <c r="P573" s="222"/>
      <c r="Q573" s="222"/>
      <c r="R573" s="222"/>
      <c r="S573" s="222"/>
      <c r="T573" s="222"/>
      <c r="U573" s="222"/>
      <c r="V573" s="222"/>
      <c r="W573" s="222"/>
      <c r="X573" s="222"/>
      <c r="Y573" s="222"/>
      <c r="Z573" s="222"/>
      <c r="AA573" s="222"/>
      <c r="AB573" s="222"/>
    </row>
    <row r="574" spans="1:28" ht="16">
      <c r="A574" s="222"/>
      <c r="B574" s="222"/>
      <c r="C574" s="222"/>
      <c r="D574" s="222"/>
      <c r="E574" s="222"/>
      <c r="F574" s="222"/>
      <c r="G574" s="222"/>
      <c r="H574" s="222"/>
      <c r="I574" s="222"/>
      <c r="J574" s="222"/>
      <c r="K574" s="222"/>
      <c r="L574" s="223"/>
      <c r="M574" s="222"/>
      <c r="N574" s="222"/>
      <c r="O574" s="222"/>
      <c r="P574" s="222"/>
      <c r="Q574" s="222"/>
      <c r="R574" s="222"/>
      <c r="S574" s="222"/>
      <c r="T574" s="222"/>
      <c r="U574" s="222"/>
      <c r="V574" s="222"/>
      <c r="W574" s="222"/>
      <c r="X574" s="222"/>
      <c r="Y574" s="222"/>
      <c r="Z574" s="222"/>
      <c r="AA574" s="222"/>
      <c r="AB574" s="222"/>
    </row>
    <row r="575" spans="1:28" ht="16">
      <c r="A575" s="222"/>
      <c r="B575" s="222"/>
      <c r="C575" s="222"/>
      <c r="D575" s="222"/>
      <c r="E575" s="222"/>
      <c r="F575" s="222"/>
      <c r="G575" s="222"/>
      <c r="H575" s="222"/>
      <c r="I575" s="222"/>
      <c r="J575" s="222"/>
      <c r="K575" s="222"/>
      <c r="L575" s="223"/>
      <c r="M575" s="222"/>
      <c r="N575" s="222"/>
      <c r="O575" s="222"/>
      <c r="P575" s="222"/>
      <c r="Q575" s="222"/>
      <c r="R575" s="222"/>
      <c r="S575" s="222"/>
      <c r="T575" s="222"/>
      <c r="U575" s="222"/>
      <c r="V575" s="222"/>
      <c r="W575" s="222"/>
      <c r="X575" s="222"/>
      <c r="Y575" s="222"/>
      <c r="Z575" s="222"/>
      <c r="AA575" s="222"/>
      <c r="AB575" s="222"/>
    </row>
    <row r="576" spans="1:28" ht="16">
      <c r="A576" s="222"/>
      <c r="B576" s="222"/>
      <c r="C576" s="222"/>
      <c r="D576" s="222"/>
      <c r="E576" s="222"/>
      <c r="F576" s="222"/>
      <c r="G576" s="222"/>
      <c r="H576" s="222"/>
      <c r="I576" s="222"/>
      <c r="J576" s="222"/>
      <c r="K576" s="222"/>
      <c r="L576" s="223"/>
      <c r="M576" s="222"/>
      <c r="N576" s="222"/>
      <c r="O576" s="222"/>
      <c r="P576" s="222"/>
      <c r="Q576" s="222"/>
      <c r="R576" s="222"/>
      <c r="S576" s="222"/>
      <c r="T576" s="222"/>
      <c r="U576" s="222"/>
      <c r="V576" s="222"/>
      <c r="W576" s="222"/>
      <c r="X576" s="222"/>
      <c r="Y576" s="222"/>
      <c r="Z576" s="222"/>
      <c r="AA576" s="222"/>
      <c r="AB576" s="222"/>
    </row>
    <row r="577" spans="1:28" ht="16">
      <c r="A577" s="222"/>
      <c r="B577" s="222"/>
      <c r="C577" s="222"/>
      <c r="D577" s="222"/>
      <c r="E577" s="222"/>
      <c r="F577" s="222"/>
      <c r="G577" s="222"/>
      <c r="H577" s="222"/>
      <c r="I577" s="222"/>
      <c r="J577" s="222"/>
      <c r="K577" s="222"/>
      <c r="L577" s="223"/>
      <c r="M577" s="222"/>
      <c r="N577" s="222"/>
      <c r="O577" s="222"/>
      <c r="P577" s="222"/>
      <c r="Q577" s="222"/>
      <c r="R577" s="222"/>
      <c r="S577" s="222"/>
      <c r="T577" s="222"/>
      <c r="U577" s="222"/>
      <c r="V577" s="222"/>
      <c r="W577" s="222"/>
      <c r="X577" s="222"/>
      <c r="Y577" s="222"/>
      <c r="Z577" s="222"/>
      <c r="AA577" s="222"/>
      <c r="AB577" s="222"/>
    </row>
    <row r="578" spans="1:28" ht="16">
      <c r="A578" s="222"/>
      <c r="B578" s="222"/>
      <c r="C578" s="222"/>
      <c r="D578" s="222"/>
      <c r="E578" s="222"/>
      <c r="F578" s="222"/>
      <c r="G578" s="222"/>
      <c r="H578" s="222"/>
      <c r="I578" s="222"/>
      <c r="J578" s="222"/>
      <c r="K578" s="222"/>
      <c r="L578" s="223"/>
      <c r="M578" s="222"/>
      <c r="N578" s="222"/>
      <c r="O578" s="222"/>
      <c r="P578" s="222"/>
      <c r="Q578" s="222"/>
      <c r="R578" s="222"/>
      <c r="S578" s="222"/>
      <c r="T578" s="222"/>
      <c r="U578" s="222"/>
      <c r="V578" s="222"/>
      <c r="W578" s="222"/>
      <c r="X578" s="222"/>
      <c r="Y578" s="222"/>
      <c r="Z578" s="222"/>
      <c r="AA578" s="222"/>
      <c r="AB578" s="222"/>
    </row>
    <row r="579" spans="1:28" ht="16">
      <c r="A579" s="222"/>
      <c r="B579" s="222"/>
      <c r="C579" s="222"/>
      <c r="D579" s="222"/>
      <c r="E579" s="222"/>
      <c r="F579" s="222"/>
      <c r="G579" s="222"/>
      <c r="H579" s="222"/>
      <c r="I579" s="222"/>
      <c r="J579" s="222"/>
      <c r="K579" s="222"/>
      <c r="L579" s="223"/>
      <c r="M579" s="222"/>
      <c r="N579" s="222"/>
      <c r="O579" s="222"/>
      <c r="P579" s="222"/>
      <c r="Q579" s="222"/>
      <c r="R579" s="222"/>
      <c r="S579" s="222"/>
      <c r="T579" s="222"/>
      <c r="U579" s="222"/>
      <c r="V579" s="222"/>
      <c r="W579" s="222"/>
      <c r="X579" s="222"/>
      <c r="Y579" s="222"/>
      <c r="Z579" s="222"/>
      <c r="AA579" s="222"/>
      <c r="AB579" s="222"/>
    </row>
    <row r="580" spans="1:28" ht="16">
      <c r="A580" s="222"/>
      <c r="B580" s="222"/>
      <c r="C580" s="222"/>
      <c r="D580" s="222"/>
      <c r="E580" s="222"/>
      <c r="F580" s="222"/>
      <c r="G580" s="222"/>
      <c r="H580" s="222"/>
      <c r="I580" s="222"/>
      <c r="J580" s="222"/>
      <c r="K580" s="222"/>
      <c r="L580" s="223"/>
      <c r="M580" s="222"/>
      <c r="N580" s="222"/>
      <c r="O580" s="222"/>
      <c r="P580" s="222"/>
      <c r="Q580" s="222"/>
      <c r="R580" s="222"/>
      <c r="S580" s="222"/>
      <c r="T580" s="222"/>
      <c r="U580" s="222"/>
      <c r="V580" s="222"/>
      <c r="W580" s="222"/>
      <c r="X580" s="222"/>
      <c r="Y580" s="222"/>
      <c r="Z580" s="222"/>
      <c r="AA580" s="222"/>
      <c r="AB580" s="222"/>
    </row>
    <row r="581" spans="1:28" ht="16">
      <c r="A581" s="222"/>
      <c r="B581" s="222"/>
      <c r="C581" s="222"/>
      <c r="D581" s="222"/>
      <c r="E581" s="222"/>
      <c r="F581" s="222"/>
      <c r="G581" s="222"/>
      <c r="H581" s="222"/>
      <c r="I581" s="222"/>
      <c r="J581" s="222"/>
      <c r="K581" s="222"/>
      <c r="L581" s="223"/>
      <c r="M581" s="222"/>
      <c r="N581" s="222"/>
      <c r="O581" s="222"/>
      <c r="P581" s="222"/>
      <c r="Q581" s="222"/>
      <c r="R581" s="222"/>
      <c r="S581" s="222"/>
      <c r="T581" s="222"/>
      <c r="U581" s="222"/>
      <c r="V581" s="222"/>
      <c r="W581" s="222"/>
      <c r="X581" s="222"/>
      <c r="Y581" s="222"/>
      <c r="Z581" s="222"/>
      <c r="AA581" s="222"/>
      <c r="AB581" s="222"/>
    </row>
    <row r="582" spans="1:28" ht="16">
      <c r="A582" s="222"/>
      <c r="B582" s="222"/>
      <c r="C582" s="222"/>
      <c r="D582" s="222"/>
      <c r="E582" s="222"/>
      <c r="F582" s="222"/>
      <c r="G582" s="222"/>
      <c r="H582" s="222"/>
      <c r="I582" s="222"/>
      <c r="J582" s="222"/>
      <c r="K582" s="222"/>
      <c r="L582" s="223"/>
      <c r="M582" s="222"/>
      <c r="N582" s="222"/>
      <c r="O582" s="222"/>
      <c r="P582" s="222"/>
      <c r="Q582" s="222"/>
      <c r="R582" s="222"/>
      <c r="S582" s="222"/>
      <c r="T582" s="222"/>
      <c r="U582" s="222"/>
      <c r="V582" s="222"/>
      <c r="W582" s="222"/>
      <c r="X582" s="222"/>
      <c r="Y582" s="222"/>
      <c r="Z582" s="222"/>
      <c r="AA582" s="222"/>
      <c r="AB582" s="222"/>
    </row>
    <row r="583" spans="1:28" ht="16">
      <c r="A583" s="222"/>
      <c r="B583" s="222"/>
      <c r="C583" s="222"/>
      <c r="D583" s="222"/>
      <c r="E583" s="222"/>
      <c r="F583" s="222"/>
      <c r="G583" s="222"/>
      <c r="H583" s="222"/>
      <c r="I583" s="222"/>
      <c r="J583" s="222"/>
      <c r="K583" s="222"/>
      <c r="L583" s="223"/>
      <c r="M583" s="222"/>
      <c r="N583" s="222"/>
      <c r="O583" s="222"/>
      <c r="P583" s="222"/>
      <c r="Q583" s="222"/>
      <c r="R583" s="222"/>
      <c r="S583" s="222"/>
      <c r="T583" s="222"/>
      <c r="U583" s="222"/>
      <c r="V583" s="222"/>
      <c r="W583" s="222"/>
      <c r="X583" s="222"/>
      <c r="Y583" s="222"/>
      <c r="Z583" s="222"/>
      <c r="AA583" s="222"/>
      <c r="AB583" s="222"/>
    </row>
    <row r="584" spans="1:28" ht="16">
      <c r="A584" s="222"/>
      <c r="B584" s="222"/>
      <c r="C584" s="222"/>
      <c r="D584" s="222"/>
      <c r="E584" s="222"/>
      <c r="F584" s="222"/>
      <c r="G584" s="222"/>
      <c r="H584" s="222"/>
      <c r="I584" s="222"/>
      <c r="J584" s="222"/>
      <c r="K584" s="222"/>
      <c r="L584" s="223"/>
      <c r="M584" s="222"/>
      <c r="N584" s="222"/>
      <c r="O584" s="222"/>
      <c r="P584" s="222"/>
      <c r="Q584" s="222"/>
      <c r="R584" s="222"/>
      <c r="S584" s="222"/>
      <c r="T584" s="222"/>
      <c r="U584" s="222"/>
      <c r="V584" s="222"/>
      <c r="W584" s="222"/>
      <c r="X584" s="222"/>
      <c r="Y584" s="222"/>
      <c r="Z584" s="222"/>
      <c r="AA584" s="222"/>
      <c r="AB584" s="222"/>
    </row>
    <row r="585" spans="1:28" ht="16">
      <c r="A585" s="222"/>
      <c r="B585" s="222"/>
      <c r="C585" s="222"/>
      <c r="D585" s="222"/>
      <c r="E585" s="222"/>
      <c r="F585" s="222"/>
      <c r="G585" s="222"/>
      <c r="H585" s="222"/>
      <c r="I585" s="222"/>
      <c r="J585" s="222"/>
      <c r="K585" s="222"/>
      <c r="L585" s="223"/>
      <c r="M585" s="222"/>
      <c r="N585" s="222"/>
      <c r="O585" s="222"/>
      <c r="P585" s="222"/>
      <c r="Q585" s="222"/>
      <c r="R585" s="222"/>
      <c r="S585" s="222"/>
      <c r="T585" s="222"/>
      <c r="U585" s="222"/>
      <c r="V585" s="222"/>
      <c r="W585" s="222"/>
      <c r="X585" s="222"/>
      <c r="Y585" s="222"/>
      <c r="Z585" s="222"/>
      <c r="AA585" s="222"/>
      <c r="AB585" s="222"/>
    </row>
    <row r="586" spans="1:28" ht="16">
      <c r="A586" s="222"/>
      <c r="B586" s="222"/>
      <c r="C586" s="222"/>
      <c r="D586" s="222"/>
      <c r="E586" s="222"/>
      <c r="F586" s="222"/>
      <c r="G586" s="222"/>
      <c r="H586" s="222"/>
      <c r="I586" s="222"/>
      <c r="J586" s="222"/>
      <c r="K586" s="222"/>
      <c r="L586" s="223"/>
      <c r="M586" s="222"/>
      <c r="N586" s="222"/>
      <c r="O586" s="222"/>
      <c r="P586" s="222"/>
      <c r="Q586" s="222"/>
      <c r="R586" s="222"/>
      <c r="S586" s="222"/>
      <c r="T586" s="222"/>
      <c r="U586" s="222"/>
      <c r="V586" s="222"/>
      <c r="W586" s="222"/>
      <c r="X586" s="222"/>
      <c r="Y586" s="222"/>
      <c r="Z586" s="222"/>
      <c r="AA586" s="222"/>
      <c r="AB586" s="222"/>
    </row>
    <row r="587" spans="1:28" ht="16">
      <c r="A587" s="222"/>
      <c r="B587" s="222"/>
      <c r="C587" s="222"/>
      <c r="D587" s="222"/>
      <c r="E587" s="222"/>
      <c r="F587" s="222"/>
      <c r="G587" s="222"/>
      <c r="H587" s="222"/>
      <c r="I587" s="222"/>
      <c r="J587" s="222"/>
      <c r="K587" s="222"/>
      <c r="L587" s="223"/>
      <c r="M587" s="222"/>
      <c r="N587" s="222"/>
      <c r="O587" s="222"/>
      <c r="P587" s="222"/>
      <c r="Q587" s="222"/>
      <c r="R587" s="222"/>
      <c r="S587" s="222"/>
      <c r="T587" s="222"/>
      <c r="U587" s="222"/>
      <c r="V587" s="222"/>
      <c r="W587" s="222"/>
      <c r="X587" s="222"/>
      <c r="Y587" s="222"/>
      <c r="Z587" s="222"/>
      <c r="AA587" s="222"/>
      <c r="AB587" s="222"/>
    </row>
    <row r="588" spans="1:28" ht="16">
      <c r="A588" s="222"/>
      <c r="B588" s="222"/>
      <c r="C588" s="222"/>
      <c r="D588" s="222"/>
      <c r="E588" s="222"/>
      <c r="F588" s="222"/>
      <c r="G588" s="222"/>
      <c r="H588" s="222"/>
      <c r="I588" s="222"/>
      <c r="J588" s="222"/>
      <c r="K588" s="222"/>
      <c r="L588" s="223"/>
      <c r="M588" s="222"/>
      <c r="N588" s="222"/>
      <c r="O588" s="222"/>
      <c r="P588" s="222"/>
      <c r="Q588" s="222"/>
      <c r="R588" s="222"/>
      <c r="S588" s="222"/>
      <c r="T588" s="222"/>
      <c r="U588" s="222"/>
      <c r="V588" s="222"/>
      <c r="W588" s="222"/>
      <c r="X588" s="222"/>
      <c r="Y588" s="222"/>
      <c r="Z588" s="222"/>
      <c r="AA588" s="222"/>
      <c r="AB588" s="222"/>
    </row>
    <row r="589" spans="1:28" ht="16">
      <c r="A589" s="222"/>
      <c r="B589" s="222"/>
      <c r="C589" s="222"/>
      <c r="D589" s="222"/>
      <c r="E589" s="222"/>
      <c r="F589" s="222"/>
      <c r="G589" s="222"/>
      <c r="H589" s="222"/>
      <c r="I589" s="222"/>
      <c r="J589" s="222"/>
      <c r="K589" s="222"/>
      <c r="L589" s="223"/>
      <c r="M589" s="222"/>
      <c r="N589" s="222"/>
      <c r="O589" s="222"/>
      <c r="P589" s="222"/>
      <c r="Q589" s="222"/>
      <c r="R589" s="222"/>
      <c r="S589" s="222"/>
      <c r="T589" s="222"/>
      <c r="U589" s="222"/>
      <c r="V589" s="222"/>
      <c r="W589" s="222"/>
      <c r="X589" s="222"/>
      <c r="Y589" s="222"/>
      <c r="Z589" s="222"/>
      <c r="AA589" s="222"/>
      <c r="AB589" s="222"/>
    </row>
    <row r="590" spans="1:28" ht="16">
      <c r="A590" s="222"/>
      <c r="B590" s="222"/>
      <c r="C590" s="222"/>
      <c r="D590" s="222"/>
      <c r="E590" s="222"/>
      <c r="F590" s="222"/>
      <c r="G590" s="222"/>
      <c r="H590" s="222"/>
      <c r="I590" s="222"/>
      <c r="J590" s="222"/>
      <c r="K590" s="222"/>
      <c r="L590" s="223"/>
      <c r="M590" s="222"/>
      <c r="N590" s="222"/>
      <c r="O590" s="222"/>
      <c r="P590" s="222"/>
      <c r="Q590" s="222"/>
      <c r="R590" s="222"/>
      <c r="S590" s="222"/>
      <c r="T590" s="222"/>
      <c r="U590" s="222"/>
      <c r="V590" s="222"/>
      <c r="W590" s="222"/>
      <c r="X590" s="222"/>
      <c r="Y590" s="222"/>
      <c r="Z590" s="222"/>
      <c r="AA590" s="222"/>
      <c r="AB590" s="222"/>
    </row>
    <row r="591" spans="1:28" ht="16">
      <c r="A591" s="222"/>
      <c r="B591" s="222"/>
      <c r="C591" s="222"/>
      <c r="D591" s="222"/>
      <c r="E591" s="222"/>
      <c r="F591" s="222"/>
      <c r="G591" s="222"/>
      <c r="H591" s="222"/>
      <c r="I591" s="222"/>
      <c r="J591" s="222"/>
      <c r="K591" s="222"/>
      <c r="L591" s="223"/>
      <c r="M591" s="222"/>
      <c r="N591" s="222"/>
      <c r="O591" s="222"/>
      <c r="P591" s="222"/>
      <c r="Q591" s="222"/>
      <c r="R591" s="222"/>
      <c r="S591" s="222"/>
      <c r="T591" s="222"/>
      <c r="U591" s="222"/>
      <c r="V591" s="222"/>
      <c r="W591" s="222"/>
      <c r="X591" s="222"/>
      <c r="Y591" s="222"/>
      <c r="Z591" s="222"/>
      <c r="AA591" s="222"/>
      <c r="AB591" s="222"/>
    </row>
    <row r="592" spans="1:28" ht="16">
      <c r="A592" s="222"/>
      <c r="B592" s="222"/>
      <c r="C592" s="222"/>
      <c r="D592" s="222"/>
      <c r="E592" s="222"/>
      <c r="F592" s="222"/>
      <c r="G592" s="222"/>
      <c r="H592" s="222"/>
      <c r="I592" s="222"/>
      <c r="J592" s="222"/>
      <c r="K592" s="222"/>
      <c r="L592" s="223"/>
      <c r="M592" s="222"/>
      <c r="N592" s="222"/>
      <c r="O592" s="222"/>
      <c r="P592" s="222"/>
      <c r="Q592" s="222"/>
      <c r="R592" s="222"/>
      <c r="S592" s="222"/>
      <c r="T592" s="222"/>
      <c r="U592" s="222"/>
      <c r="V592" s="222"/>
      <c r="W592" s="222"/>
      <c r="X592" s="222"/>
      <c r="Y592" s="222"/>
      <c r="Z592" s="222"/>
      <c r="AA592" s="222"/>
      <c r="AB592" s="222"/>
    </row>
    <row r="593" spans="1:28" ht="16">
      <c r="A593" s="222"/>
      <c r="B593" s="222"/>
      <c r="C593" s="222"/>
      <c r="D593" s="222"/>
      <c r="E593" s="222"/>
      <c r="F593" s="222"/>
      <c r="G593" s="222"/>
      <c r="H593" s="222"/>
      <c r="I593" s="222"/>
      <c r="J593" s="222"/>
      <c r="K593" s="222"/>
      <c r="L593" s="223"/>
      <c r="M593" s="222"/>
      <c r="N593" s="222"/>
      <c r="O593" s="222"/>
      <c r="P593" s="222"/>
      <c r="Q593" s="222"/>
      <c r="R593" s="222"/>
      <c r="S593" s="222"/>
      <c r="T593" s="222"/>
      <c r="U593" s="222"/>
      <c r="V593" s="222"/>
      <c r="W593" s="222"/>
      <c r="X593" s="222"/>
      <c r="Y593" s="222"/>
      <c r="Z593" s="222"/>
      <c r="AA593" s="222"/>
      <c r="AB593" s="222"/>
    </row>
    <row r="594" spans="1:28" ht="16">
      <c r="A594" s="222"/>
      <c r="B594" s="222"/>
      <c r="C594" s="222"/>
      <c r="D594" s="222"/>
      <c r="E594" s="222"/>
      <c r="F594" s="222"/>
      <c r="G594" s="222"/>
      <c r="H594" s="222"/>
      <c r="I594" s="222"/>
      <c r="J594" s="222"/>
      <c r="K594" s="222"/>
      <c r="L594" s="223"/>
      <c r="M594" s="222"/>
      <c r="N594" s="222"/>
      <c r="O594" s="222"/>
      <c r="P594" s="222"/>
      <c r="Q594" s="222"/>
      <c r="R594" s="222"/>
      <c r="S594" s="222"/>
      <c r="T594" s="222"/>
      <c r="U594" s="222"/>
      <c r="V594" s="222"/>
      <c r="W594" s="222"/>
      <c r="X594" s="222"/>
      <c r="Y594" s="222"/>
      <c r="Z594" s="222"/>
      <c r="AA594" s="222"/>
      <c r="AB594" s="222"/>
    </row>
    <row r="595" spans="1:28" ht="16">
      <c r="A595" s="222"/>
      <c r="B595" s="222"/>
      <c r="C595" s="222"/>
      <c r="D595" s="222"/>
      <c r="E595" s="222"/>
      <c r="F595" s="222"/>
      <c r="G595" s="222"/>
      <c r="H595" s="222"/>
      <c r="I595" s="222"/>
      <c r="J595" s="222"/>
      <c r="K595" s="222"/>
      <c r="L595" s="223"/>
      <c r="M595" s="222"/>
      <c r="N595" s="222"/>
      <c r="O595" s="222"/>
      <c r="P595" s="222"/>
      <c r="Q595" s="222"/>
      <c r="R595" s="222"/>
      <c r="S595" s="222"/>
      <c r="T595" s="222"/>
      <c r="U595" s="222"/>
      <c r="V595" s="222"/>
      <c r="W595" s="222"/>
      <c r="X595" s="222"/>
      <c r="Y595" s="222"/>
      <c r="Z595" s="222"/>
      <c r="AA595" s="222"/>
      <c r="AB595" s="222"/>
    </row>
    <row r="596" spans="1:28" ht="16">
      <c r="A596" s="222"/>
      <c r="B596" s="222"/>
      <c r="C596" s="222"/>
      <c r="D596" s="222"/>
      <c r="E596" s="222"/>
      <c r="F596" s="222"/>
      <c r="G596" s="222"/>
      <c r="H596" s="222"/>
      <c r="I596" s="222"/>
      <c r="J596" s="222"/>
      <c r="K596" s="222"/>
      <c r="L596" s="223"/>
      <c r="M596" s="222"/>
      <c r="N596" s="222"/>
      <c r="O596" s="222"/>
      <c r="P596" s="222"/>
      <c r="Q596" s="222"/>
      <c r="R596" s="222"/>
      <c r="S596" s="222"/>
      <c r="T596" s="222"/>
      <c r="U596" s="222"/>
      <c r="V596" s="222"/>
      <c r="W596" s="222"/>
      <c r="X596" s="222"/>
      <c r="Y596" s="222"/>
      <c r="Z596" s="222"/>
      <c r="AA596" s="222"/>
      <c r="AB596" s="222"/>
    </row>
    <row r="597" spans="1:28" ht="16">
      <c r="A597" s="222"/>
      <c r="B597" s="222"/>
      <c r="C597" s="222"/>
      <c r="D597" s="222"/>
      <c r="E597" s="222"/>
      <c r="F597" s="222"/>
      <c r="G597" s="222"/>
      <c r="H597" s="222"/>
      <c r="I597" s="222"/>
      <c r="J597" s="222"/>
      <c r="K597" s="222"/>
      <c r="L597" s="223"/>
      <c r="M597" s="222"/>
      <c r="N597" s="222"/>
      <c r="O597" s="222"/>
      <c r="P597" s="222"/>
      <c r="Q597" s="222"/>
      <c r="R597" s="222"/>
      <c r="S597" s="222"/>
      <c r="T597" s="222"/>
      <c r="U597" s="222"/>
      <c r="V597" s="222"/>
      <c r="W597" s="222"/>
      <c r="X597" s="222"/>
      <c r="Y597" s="222"/>
      <c r="Z597" s="222"/>
      <c r="AA597" s="222"/>
      <c r="AB597" s="222"/>
    </row>
    <row r="598" spans="1:28" ht="16">
      <c r="A598" s="222"/>
      <c r="B598" s="222"/>
      <c r="C598" s="222"/>
      <c r="D598" s="222"/>
      <c r="E598" s="222"/>
      <c r="F598" s="222"/>
      <c r="G598" s="222"/>
      <c r="H598" s="222"/>
      <c r="I598" s="222"/>
      <c r="J598" s="222"/>
      <c r="K598" s="222"/>
      <c r="L598" s="223"/>
      <c r="M598" s="222"/>
      <c r="N598" s="222"/>
      <c r="O598" s="222"/>
      <c r="P598" s="222"/>
      <c r="Q598" s="222"/>
      <c r="R598" s="222"/>
      <c r="S598" s="222"/>
      <c r="T598" s="222"/>
      <c r="U598" s="222"/>
      <c r="V598" s="222"/>
      <c r="W598" s="222"/>
      <c r="X598" s="222"/>
      <c r="Y598" s="222"/>
      <c r="Z598" s="222"/>
      <c r="AA598" s="222"/>
      <c r="AB598" s="222"/>
    </row>
    <row r="599" spans="1:28" ht="16">
      <c r="A599" s="222"/>
      <c r="B599" s="222"/>
      <c r="C599" s="222"/>
      <c r="D599" s="222"/>
      <c r="E599" s="222"/>
      <c r="F599" s="222"/>
      <c r="G599" s="222"/>
      <c r="H599" s="222"/>
      <c r="I599" s="222"/>
      <c r="J599" s="222"/>
      <c r="K599" s="222"/>
      <c r="L599" s="223"/>
      <c r="M599" s="222"/>
      <c r="N599" s="222"/>
      <c r="O599" s="222"/>
      <c r="P599" s="222"/>
      <c r="Q599" s="222"/>
      <c r="R599" s="222"/>
      <c r="S599" s="222"/>
      <c r="T599" s="222"/>
      <c r="U599" s="222"/>
      <c r="V599" s="222"/>
      <c r="W599" s="222"/>
      <c r="X599" s="222"/>
      <c r="Y599" s="222"/>
      <c r="Z599" s="222"/>
      <c r="AA599" s="222"/>
      <c r="AB599" s="222"/>
    </row>
    <row r="600" spans="1:28" ht="16">
      <c r="A600" s="222"/>
      <c r="B600" s="222"/>
      <c r="C600" s="222"/>
      <c r="D600" s="222"/>
      <c r="E600" s="222"/>
      <c r="F600" s="222"/>
      <c r="G600" s="222"/>
      <c r="H600" s="222"/>
      <c r="I600" s="222"/>
      <c r="J600" s="222"/>
      <c r="K600" s="222"/>
      <c r="L600" s="223"/>
      <c r="M600" s="222"/>
      <c r="N600" s="222"/>
      <c r="O600" s="222"/>
      <c r="P600" s="222"/>
      <c r="Q600" s="222"/>
      <c r="R600" s="222"/>
      <c r="S600" s="222"/>
      <c r="T600" s="222"/>
      <c r="U600" s="222"/>
      <c r="V600" s="222"/>
      <c r="W600" s="222"/>
      <c r="X600" s="222"/>
      <c r="Y600" s="222"/>
      <c r="Z600" s="222"/>
      <c r="AA600" s="222"/>
      <c r="AB600" s="222"/>
    </row>
    <row r="601" spans="1:28" ht="16">
      <c r="A601" s="222"/>
      <c r="B601" s="222"/>
      <c r="C601" s="222"/>
      <c r="D601" s="222"/>
      <c r="E601" s="222"/>
      <c r="F601" s="222"/>
      <c r="G601" s="222"/>
      <c r="H601" s="222"/>
      <c r="I601" s="222"/>
      <c r="J601" s="222"/>
      <c r="K601" s="222"/>
      <c r="L601" s="223"/>
      <c r="M601" s="222"/>
      <c r="N601" s="222"/>
      <c r="O601" s="222"/>
      <c r="P601" s="222"/>
      <c r="Q601" s="222"/>
      <c r="R601" s="222"/>
      <c r="S601" s="222"/>
      <c r="T601" s="222"/>
      <c r="U601" s="222"/>
      <c r="V601" s="222"/>
      <c r="W601" s="222"/>
      <c r="X601" s="222"/>
      <c r="Y601" s="222"/>
      <c r="Z601" s="222"/>
      <c r="AA601" s="222"/>
      <c r="AB601" s="222"/>
    </row>
    <row r="602" spans="1:28" ht="16">
      <c r="A602" s="222"/>
      <c r="B602" s="222"/>
      <c r="C602" s="222"/>
      <c r="D602" s="222"/>
      <c r="E602" s="222"/>
      <c r="F602" s="222"/>
      <c r="G602" s="222"/>
      <c r="H602" s="222"/>
      <c r="I602" s="222"/>
      <c r="J602" s="222"/>
      <c r="K602" s="222"/>
      <c r="L602" s="223"/>
      <c r="M602" s="222"/>
      <c r="N602" s="222"/>
      <c r="O602" s="222"/>
      <c r="P602" s="222"/>
      <c r="Q602" s="222"/>
      <c r="R602" s="222"/>
      <c r="S602" s="222"/>
      <c r="T602" s="222"/>
      <c r="U602" s="222"/>
      <c r="V602" s="222"/>
      <c r="W602" s="222"/>
      <c r="X602" s="222"/>
      <c r="Y602" s="222"/>
      <c r="Z602" s="222"/>
      <c r="AA602" s="222"/>
      <c r="AB602" s="222"/>
    </row>
    <row r="603" spans="1:28" ht="16">
      <c r="A603" s="222"/>
      <c r="B603" s="222"/>
      <c r="C603" s="222"/>
      <c r="D603" s="222"/>
      <c r="E603" s="222"/>
      <c r="F603" s="222"/>
      <c r="G603" s="222"/>
      <c r="H603" s="222"/>
      <c r="I603" s="222"/>
      <c r="J603" s="222"/>
      <c r="K603" s="222"/>
      <c r="L603" s="223"/>
      <c r="M603" s="222"/>
      <c r="N603" s="222"/>
      <c r="O603" s="222"/>
      <c r="P603" s="222"/>
      <c r="Q603" s="222"/>
      <c r="R603" s="222"/>
      <c r="S603" s="222"/>
      <c r="T603" s="222"/>
      <c r="U603" s="222"/>
      <c r="V603" s="222"/>
      <c r="W603" s="222"/>
      <c r="X603" s="222"/>
      <c r="Y603" s="222"/>
      <c r="Z603" s="222"/>
      <c r="AA603" s="222"/>
      <c r="AB603" s="222"/>
    </row>
    <row r="604" spans="1:28" ht="16">
      <c r="A604" s="222"/>
      <c r="B604" s="222"/>
      <c r="C604" s="222"/>
      <c r="D604" s="222"/>
      <c r="E604" s="222"/>
      <c r="F604" s="222"/>
      <c r="G604" s="222"/>
      <c r="H604" s="222"/>
      <c r="I604" s="222"/>
      <c r="J604" s="222"/>
      <c r="K604" s="222"/>
      <c r="L604" s="223"/>
      <c r="M604" s="222"/>
      <c r="N604" s="222"/>
      <c r="O604" s="222"/>
      <c r="P604" s="222"/>
      <c r="Q604" s="222"/>
      <c r="R604" s="222"/>
      <c r="S604" s="222"/>
      <c r="T604" s="222"/>
      <c r="U604" s="222"/>
      <c r="V604" s="222"/>
      <c r="W604" s="222"/>
      <c r="X604" s="222"/>
      <c r="Y604" s="222"/>
      <c r="Z604" s="222"/>
      <c r="AA604" s="222"/>
      <c r="AB604" s="222"/>
    </row>
    <row r="605" spans="1:28" ht="16">
      <c r="A605" s="222"/>
      <c r="B605" s="222"/>
      <c r="C605" s="222"/>
      <c r="D605" s="222"/>
      <c r="E605" s="222"/>
      <c r="F605" s="222"/>
      <c r="G605" s="222"/>
      <c r="H605" s="222"/>
      <c r="I605" s="222"/>
      <c r="J605" s="222"/>
      <c r="K605" s="222"/>
      <c r="L605" s="223"/>
      <c r="M605" s="222"/>
      <c r="N605" s="222"/>
      <c r="O605" s="222"/>
      <c r="P605" s="222"/>
      <c r="Q605" s="222"/>
      <c r="R605" s="222"/>
      <c r="S605" s="222"/>
      <c r="T605" s="222"/>
      <c r="U605" s="222"/>
      <c r="V605" s="222"/>
      <c r="W605" s="222"/>
      <c r="X605" s="222"/>
      <c r="Y605" s="222"/>
      <c r="Z605" s="222"/>
      <c r="AA605" s="222"/>
      <c r="AB605" s="222"/>
    </row>
    <row r="606" spans="1:28" ht="16">
      <c r="A606" s="222"/>
      <c r="B606" s="222"/>
      <c r="C606" s="222"/>
      <c r="D606" s="222"/>
      <c r="E606" s="222"/>
      <c r="F606" s="222"/>
      <c r="G606" s="222"/>
      <c r="H606" s="222"/>
      <c r="I606" s="222"/>
      <c r="J606" s="222"/>
      <c r="K606" s="222"/>
      <c r="L606" s="223"/>
      <c r="M606" s="222"/>
      <c r="N606" s="222"/>
      <c r="O606" s="222"/>
      <c r="P606" s="222"/>
      <c r="Q606" s="222"/>
      <c r="R606" s="222"/>
      <c r="S606" s="222"/>
      <c r="T606" s="222"/>
      <c r="U606" s="222"/>
      <c r="V606" s="222"/>
      <c r="W606" s="222"/>
      <c r="X606" s="222"/>
      <c r="Y606" s="222"/>
      <c r="Z606" s="222"/>
      <c r="AA606" s="222"/>
      <c r="AB606" s="222"/>
    </row>
    <row r="607" spans="1:28" ht="16">
      <c r="A607" s="222"/>
      <c r="B607" s="222"/>
      <c r="C607" s="222"/>
      <c r="D607" s="222"/>
      <c r="E607" s="222"/>
      <c r="F607" s="222"/>
      <c r="G607" s="222"/>
      <c r="H607" s="222"/>
      <c r="I607" s="222"/>
      <c r="J607" s="222"/>
      <c r="K607" s="222"/>
      <c r="L607" s="223"/>
      <c r="M607" s="222"/>
      <c r="N607" s="222"/>
      <c r="O607" s="222"/>
      <c r="P607" s="222"/>
      <c r="Q607" s="222"/>
      <c r="R607" s="222"/>
      <c r="S607" s="222"/>
      <c r="T607" s="222"/>
      <c r="U607" s="222"/>
      <c r="V607" s="222"/>
      <c r="W607" s="222"/>
      <c r="X607" s="222"/>
      <c r="Y607" s="222"/>
      <c r="Z607" s="222"/>
      <c r="AA607" s="222"/>
      <c r="AB607" s="222"/>
    </row>
    <row r="608" spans="1:28" ht="16">
      <c r="A608" s="222"/>
      <c r="B608" s="222"/>
      <c r="C608" s="222"/>
      <c r="D608" s="222"/>
      <c r="E608" s="222"/>
      <c r="F608" s="222"/>
      <c r="G608" s="222"/>
      <c r="H608" s="222"/>
      <c r="I608" s="222"/>
      <c r="J608" s="222"/>
      <c r="K608" s="222"/>
      <c r="L608" s="223"/>
      <c r="M608" s="222"/>
      <c r="N608" s="222"/>
      <c r="O608" s="222"/>
      <c r="P608" s="222"/>
      <c r="Q608" s="222"/>
      <c r="R608" s="222"/>
      <c r="S608" s="222"/>
      <c r="T608" s="222"/>
      <c r="U608" s="222"/>
      <c r="V608" s="222"/>
      <c r="W608" s="222"/>
      <c r="X608" s="222"/>
      <c r="Y608" s="222"/>
      <c r="Z608" s="222"/>
      <c r="AA608" s="222"/>
      <c r="AB608" s="222"/>
    </row>
    <row r="609" spans="1:28" ht="16">
      <c r="A609" s="222"/>
      <c r="B609" s="222"/>
      <c r="C609" s="222"/>
      <c r="D609" s="222"/>
      <c r="E609" s="222"/>
      <c r="F609" s="222"/>
      <c r="G609" s="222"/>
      <c r="H609" s="222"/>
      <c r="I609" s="222"/>
      <c r="J609" s="222"/>
      <c r="K609" s="222"/>
      <c r="L609" s="223"/>
      <c r="M609" s="222"/>
      <c r="N609" s="222"/>
      <c r="O609" s="222"/>
      <c r="P609" s="222"/>
      <c r="Q609" s="222"/>
      <c r="R609" s="222"/>
      <c r="S609" s="222"/>
      <c r="T609" s="222"/>
      <c r="U609" s="222"/>
      <c r="V609" s="222"/>
      <c r="W609" s="222"/>
      <c r="X609" s="222"/>
      <c r="Y609" s="222"/>
      <c r="Z609" s="222"/>
      <c r="AA609" s="222"/>
      <c r="AB609" s="222"/>
    </row>
    <row r="610" spans="1:28" ht="16">
      <c r="A610" s="222"/>
      <c r="B610" s="222"/>
      <c r="C610" s="222"/>
      <c r="D610" s="222"/>
      <c r="E610" s="222"/>
      <c r="F610" s="222"/>
      <c r="G610" s="222"/>
      <c r="H610" s="222"/>
      <c r="I610" s="222"/>
      <c r="J610" s="222"/>
      <c r="K610" s="222"/>
      <c r="L610" s="223"/>
      <c r="M610" s="222"/>
      <c r="N610" s="222"/>
      <c r="O610" s="222"/>
      <c r="P610" s="222"/>
      <c r="Q610" s="222"/>
      <c r="R610" s="222"/>
      <c r="S610" s="222"/>
      <c r="T610" s="222"/>
      <c r="U610" s="222"/>
      <c r="V610" s="222"/>
      <c r="W610" s="222"/>
      <c r="X610" s="222"/>
      <c r="Y610" s="222"/>
      <c r="Z610" s="222"/>
      <c r="AA610" s="222"/>
      <c r="AB610" s="222"/>
    </row>
    <row r="611" spans="1:28" ht="16">
      <c r="A611" s="222"/>
      <c r="B611" s="222"/>
      <c r="C611" s="222"/>
      <c r="D611" s="222"/>
      <c r="E611" s="222"/>
      <c r="F611" s="222"/>
      <c r="G611" s="222"/>
      <c r="H611" s="222"/>
      <c r="I611" s="222"/>
      <c r="J611" s="222"/>
      <c r="K611" s="222"/>
      <c r="L611" s="223"/>
      <c r="M611" s="222"/>
      <c r="N611" s="222"/>
      <c r="O611" s="222"/>
      <c r="P611" s="222"/>
      <c r="Q611" s="222"/>
      <c r="R611" s="222"/>
      <c r="S611" s="222"/>
      <c r="T611" s="222"/>
      <c r="U611" s="222"/>
      <c r="V611" s="222"/>
      <c r="W611" s="222"/>
      <c r="X611" s="222"/>
      <c r="Y611" s="222"/>
      <c r="Z611" s="222"/>
      <c r="AA611" s="222"/>
      <c r="AB611" s="222"/>
    </row>
    <row r="612" spans="1:28" ht="16">
      <c r="A612" s="222"/>
      <c r="B612" s="222"/>
      <c r="C612" s="222"/>
      <c r="D612" s="222"/>
      <c r="E612" s="222"/>
      <c r="F612" s="222"/>
      <c r="G612" s="222"/>
      <c r="H612" s="222"/>
      <c r="I612" s="222"/>
      <c r="J612" s="222"/>
      <c r="K612" s="222"/>
      <c r="L612" s="223"/>
      <c r="M612" s="222"/>
      <c r="N612" s="222"/>
      <c r="O612" s="222"/>
      <c r="P612" s="222"/>
      <c r="Q612" s="222"/>
      <c r="R612" s="222"/>
      <c r="S612" s="222"/>
      <c r="T612" s="222"/>
      <c r="U612" s="222"/>
      <c r="V612" s="222"/>
      <c r="W612" s="222"/>
      <c r="X612" s="222"/>
      <c r="Y612" s="222"/>
      <c r="Z612" s="222"/>
      <c r="AA612" s="222"/>
      <c r="AB612" s="222"/>
    </row>
    <row r="613" spans="1:28" ht="16">
      <c r="A613" s="222"/>
      <c r="B613" s="222"/>
      <c r="C613" s="222"/>
      <c r="D613" s="222"/>
      <c r="E613" s="222"/>
      <c r="F613" s="222"/>
      <c r="G613" s="222"/>
      <c r="H613" s="222"/>
      <c r="I613" s="222"/>
      <c r="J613" s="222"/>
      <c r="K613" s="222"/>
      <c r="L613" s="223"/>
      <c r="M613" s="222"/>
      <c r="N613" s="222"/>
      <c r="O613" s="222"/>
      <c r="P613" s="222"/>
      <c r="Q613" s="222"/>
      <c r="R613" s="222"/>
      <c r="S613" s="222"/>
      <c r="T613" s="222"/>
      <c r="U613" s="222"/>
      <c r="V613" s="222"/>
      <c r="W613" s="222"/>
      <c r="X613" s="222"/>
      <c r="Y613" s="222"/>
      <c r="Z613" s="222"/>
      <c r="AA613" s="222"/>
      <c r="AB613" s="222"/>
    </row>
    <row r="614" spans="1:28" ht="16">
      <c r="A614" s="222"/>
      <c r="B614" s="222"/>
      <c r="C614" s="222"/>
      <c r="D614" s="222"/>
      <c r="E614" s="222"/>
      <c r="F614" s="222"/>
      <c r="G614" s="222"/>
      <c r="H614" s="222"/>
      <c r="I614" s="222"/>
      <c r="J614" s="222"/>
      <c r="K614" s="222"/>
      <c r="L614" s="223"/>
      <c r="M614" s="222"/>
      <c r="N614" s="222"/>
      <c r="O614" s="222"/>
      <c r="P614" s="222"/>
      <c r="Q614" s="222"/>
      <c r="R614" s="222"/>
      <c r="S614" s="222"/>
      <c r="T614" s="222"/>
      <c r="U614" s="222"/>
      <c r="V614" s="222"/>
      <c r="W614" s="222"/>
      <c r="X614" s="222"/>
      <c r="Y614" s="222"/>
      <c r="Z614" s="222"/>
      <c r="AA614" s="222"/>
      <c r="AB614" s="222"/>
    </row>
    <row r="615" spans="1:28" ht="16">
      <c r="A615" s="222"/>
      <c r="B615" s="222"/>
      <c r="C615" s="222"/>
      <c r="D615" s="222"/>
      <c r="E615" s="222"/>
      <c r="F615" s="222"/>
      <c r="G615" s="222"/>
      <c r="H615" s="222"/>
      <c r="I615" s="222"/>
      <c r="J615" s="222"/>
      <c r="K615" s="222"/>
      <c r="L615" s="223"/>
      <c r="M615" s="222"/>
      <c r="N615" s="222"/>
      <c r="O615" s="222"/>
      <c r="P615" s="222"/>
      <c r="Q615" s="222"/>
      <c r="R615" s="222"/>
      <c r="S615" s="222"/>
      <c r="T615" s="222"/>
      <c r="U615" s="222"/>
      <c r="V615" s="222"/>
      <c r="W615" s="222"/>
      <c r="X615" s="222"/>
      <c r="Y615" s="222"/>
      <c r="Z615" s="222"/>
      <c r="AA615" s="222"/>
      <c r="AB615" s="222"/>
    </row>
    <row r="616" spans="1:28" ht="16">
      <c r="A616" s="222"/>
      <c r="B616" s="222"/>
      <c r="C616" s="222"/>
      <c r="D616" s="222"/>
      <c r="E616" s="222"/>
      <c r="F616" s="222"/>
      <c r="G616" s="222"/>
      <c r="H616" s="222"/>
      <c r="I616" s="222"/>
      <c r="J616" s="222"/>
      <c r="K616" s="222"/>
      <c r="L616" s="223"/>
      <c r="M616" s="222"/>
      <c r="N616" s="222"/>
      <c r="O616" s="222"/>
      <c r="P616" s="222"/>
      <c r="Q616" s="222"/>
      <c r="R616" s="222"/>
      <c r="S616" s="222"/>
      <c r="T616" s="222"/>
      <c r="U616" s="222"/>
      <c r="V616" s="222"/>
      <c r="W616" s="222"/>
      <c r="X616" s="222"/>
      <c r="Y616" s="222"/>
      <c r="Z616" s="222"/>
      <c r="AA616" s="222"/>
      <c r="AB616" s="222"/>
    </row>
    <row r="617" spans="1:28" ht="16">
      <c r="A617" s="222"/>
      <c r="B617" s="222"/>
      <c r="C617" s="222"/>
      <c r="D617" s="222"/>
      <c r="E617" s="222"/>
      <c r="F617" s="222"/>
      <c r="G617" s="222"/>
      <c r="H617" s="222"/>
      <c r="I617" s="222"/>
      <c r="J617" s="222"/>
      <c r="K617" s="222"/>
      <c r="L617" s="223"/>
      <c r="M617" s="222"/>
      <c r="N617" s="222"/>
      <c r="O617" s="222"/>
      <c r="P617" s="222"/>
      <c r="Q617" s="222"/>
      <c r="R617" s="222"/>
      <c r="S617" s="222"/>
      <c r="T617" s="222"/>
      <c r="U617" s="222"/>
      <c r="V617" s="222"/>
      <c r="W617" s="222"/>
      <c r="X617" s="222"/>
      <c r="Y617" s="222"/>
      <c r="Z617" s="222"/>
      <c r="AA617" s="222"/>
      <c r="AB617" s="222"/>
    </row>
    <row r="618" spans="1:28" ht="16">
      <c r="A618" s="222"/>
      <c r="B618" s="222"/>
      <c r="C618" s="222"/>
      <c r="D618" s="222"/>
      <c r="E618" s="222"/>
      <c r="F618" s="222"/>
      <c r="G618" s="222"/>
      <c r="H618" s="222"/>
      <c r="I618" s="222"/>
      <c r="J618" s="222"/>
      <c r="K618" s="222"/>
      <c r="L618" s="223"/>
      <c r="M618" s="222"/>
      <c r="N618" s="222"/>
      <c r="O618" s="222"/>
      <c r="P618" s="222"/>
      <c r="Q618" s="222"/>
      <c r="R618" s="222"/>
      <c r="S618" s="222"/>
      <c r="T618" s="222"/>
      <c r="U618" s="222"/>
      <c r="V618" s="222"/>
      <c r="W618" s="222"/>
      <c r="X618" s="222"/>
      <c r="Y618" s="222"/>
      <c r="Z618" s="222"/>
      <c r="AA618" s="222"/>
      <c r="AB618" s="222"/>
    </row>
    <row r="619" spans="1:28" ht="16">
      <c r="A619" s="222"/>
      <c r="B619" s="222"/>
      <c r="C619" s="222"/>
      <c r="D619" s="222"/>
      <c r="E619" s="222"/>
      <c r="F619" s="222"/>
      <c r="G619" s="222"/>
      <c r="H619" s="222"/>
      <c r="I619" s="222"/>
      <c r="J619" s="222"/>
      <c r="K619" s="222"/>
      <c r="L619" s="223"/>
      <c r="M619" s="222"/>
      <c r="N619" s="222"/>
      <c r="O619" s="222"/>
      <c r="P619" s="222"/>
      <c r="Q619" s="222"/>
      <c r="R619" s="222"/>
      <c r="S619" s="222"/>
      <c r="T619" s="222"/>
      <c r="U619" s="222"/>
      <c r="V619" s="222"/>
      <c r="W619" s="222"/>
      <c r="X619" s="222"/>
      <c r="Y619" s="222"/>
      <c r="Z619" s="222"/>
      <c r="AA619" s="222"/>
      <c r="AB619" s="222"/>
    </row>
    <row r="620" spans="1:28" ht="16">
      <c r="A620" s="222"/>
      <c r="B620" s="222"/>
      <c r="C620" s="222"/>
      <c r="D620" s="222"/>
      <c r="E620" s="222"/>
      <c r="F620" s="222"/>
      <c r="G620" s="222"/>
      <c r="H620" s="222"/>
      <c r="I620" s="222"/>
      <c r="J620" s="222"/>
      <c r="K620" s="222"/>
      <c r="L620" s="223"/>
      <c r="M620" s="222"/>
      <c r="N620" s="222"/>
      <c r="O620" s="222"/>
      <c r="P620" s="222"/>
      <c r="Q620" s="222"/>
      <c r="R620" s="222"/>
      <c r="S620" s="222"/>
      <c r="T620" s="222"/>
      <c r="U620" s="222"/>
      <c r="V620" s="222"/>
      <c r="W620" s="222"/>
      <c r="X620" s="222"/>
      <c r="Y620" s="222"/>
      <c r="Z620" s="222"/>
      <c r="AA620" s="222"/>
      <c r="AB620" s="222"/>
    </row>
    <row r="621" spans="1:28" ht="16">
      <c r="A621" s="222"/>
      <c r="B621" s="222"/>
      <c r="C621" s="222"/>
      <c r="D621" s="222"/>
      <c r="E621" s="222"/>
      <c r="F621" s="222"/>
      <c r="G621" s="222"/>
      <c r="H621" s="222"/>
      <c r="I621" s="222"/>
      <c r="J621" s="222"/>
      <c r="K621" s="222"/>
      <c r="L621" s="223"/>
      <c r="M621" s="222"/>
      <c r="N621" s="222"/>
      <c r="O621" s="222"/>
      <c r="P621" s="222"/>
      <c r="Q621" s="222"/>
      <c r="R621" s="222"/>
      <c r="S621" s="222"/>
      <c r="T621" s="222"/>
      <c r="U621" s="222"/>
      <c r="V621" s="222"/>
      <c r="W621" s="222"/>
      <c r="X621" s="222"/>
      <c r="Y621" s="222"/>
      <c r="Z621" s="222"/>
      <c r="AA621" s="222"/>
      <c r="AB621" s="222"/>
    </row>
    <row r="622" spans="1:28" ht="16">
      <c r="A622" s="222"/>
      <c r="B622" s="222"/>
      <c r="C622" s="222"/>
      <c r="D622" s="222"/>
      <c r="E622" s="222"/>
      <c r="F622" s="222"/>
      <c r="G622" s="222"/>
      <c r="H622" s="222"/>
      <c r="I622" s="222"/>
      <c r="J622" s="222"/>
      <c r="K622" s="222"/>
      <c r="L622" s="223"/>
      <c r="M622" s="222"/>
      <c r="N622" s="222"/>
      <c r="O622" s="222"/>
      <c r="P622" s="222"/>
      <c r="Q622" s="222"/>
      <c r="R622" s="222"/>
      <c r="S622" s="222"/>
      <c r="T622" s="222"/>
      <c r="U622" s="222"/>
      <c r="V622" s="222"/>
      <c r="W622" s="222"/>
      <c r="X622" s="222"/>
      <c r="Y622" s="222"/>
      <c r="Z622" s="222"/>
      <c r="AA622" s="222"/>
      <c r="AB622" s="222"/>
    </row>
    <row r="623" spans="1:28" ht="16">
      <c r="A623" s="222"/>
      <c r="B623" s="222"/>
      <c r="C623" s="222"/>
      <c r="D623" s="222"/>
      <c r="E623" s="222"/>
      <c r="F623" s="222"/>
      <c r="G623" s="222"/>
      <c r="H623" s="222"/>
      <c r="I623" s="222"/>
      <c r="J623" s="222"/>
      <c r="K623" s="222"/>
      <c r="L623" s="223"/>
      <c r="M623" s="222"/>
      <c r="N623" s="222"/>
      <c r="O623" s="222"/>
      <c r="P623" s="222"/>
      <c r="Q623" s="222"/>
      <c r="R623" s="222"/>
      <c r="S623" s="222"/>
      <c r="T623" s="222"/>
      <c r="U623" s="222"/>
      <c r="V623" s="222"/>
      <c r="W623" s="222"/>
      <c r="X623" s="222"/>
      <c r="Y623" s="222"/>
      <c r="Z623" s="222"/>
      <c r="AA623" s="222"/>
      <c r="AB623" s="222"/>
    </row>
    <row r="624" spans="1:28" ht="16">
      <c r="A624" s="222"/>
      <c r="B624" s="222"/>
      <c r="C624" s="222"/>
      <c r="D624" s="222"/>
      <c r="E624" s="222"/>
      <c r="F624" s="222"/>
      <c r="G624" s="222"/>
      <c r="H624" s="222"/>
      <c r="I624" s="222"/>
      <c r="J624" s="222"/>
      <c r="K624" s="222"/>
      <c r="L624" s="223"/>
      <c r="M624" s="222"/>
      <c r="N624" s="222"/>
      <c r="O624" s="222"/>
      <c r="P624" s="222"/>
      <c r="Q624" s="222"/>
      <c r="R624" s="222"/>
      <c r="S624" s="222"/>
      <c r="T624" s="222"/>
      <c r="U624" s="222"/>
      <c r="V624" s="222"/>
      <c r="W624" s="222"/>
      <c r="X624" s="222"/>
      <c r="Y624" s="222"/>
      <c r="Z624" s="222"/>
      <c r="AA624" s="222"/>
      <c r="AB624" s="222"/>
    </row>
    <row r="625" spans="1:28" ht="16">
      <c r="A625" s="222"/>
      <c r="B625" s="222"/>
      <c r="C625" s="222"/>
      <c r="D625" s="222"/>
      <c r="E625" s="222"/>
      <c r="F625" s="222"/>
      <c r="G625" s="222"/>
      <c r="H625" s="222"/>
      <c r="I625" s="222"/>
      <c r="J625" s="222"/>
      <c r="K625" s="222"/>
      <c r="L625" s="223"/>
      <c r="M625" s="222"/>
      <c r="N625" s="222"/>
      <c r="O625" s="222"/>
      <c r="P625" s="222"/>
      <c r="Q625" s="222"/>
      <c r="R625" s="222"/>
      <c r="S625" s="222"/>
      <c r="T625" s="222"/>
      <c r="U625" s="222"/>
      <c r="V625" s="222"/>
      <c r="W625" s="222"/>
      <c r="X625" s="222"/>
      <c r="Y625" s="222"/>
      <c r="Z625" s="222"/>
      <c r="AA625" s="222"/>
      <c r="AB625" s="222"/>
    </row>
    <row r="626" spans="1:28" ht="16">
      <c r="A626" s="222"/>
      <c r="B626" s="222"/>
      <c r="C626" s="222"/>
      <c r="D626" s="222"/>
      <c r="E626" s="222"/>
      <c r="F626" s="222"/>
      <c r="G626" s="222"/>
      <c r="H626" s="222"/>
      <c r="I626" s="222"/>
      <c r="J626" s="222"/>
      <c r="K626" s="222"/>
      <c r="L626" s="223"/>
      <c r="M626" s="222"/>
      <c r="N626" s="222"/>
      <c r="O626" s="222"/>
      <c r="P626" s="222"/>
      <c r="Q626" s="222"/>
      <c r="R626" s="222"/>
      <c r="S626" s="222"/>
      <c r="T626" s="222"/>
      <c r="U626" s="222"/>
      <c r="V626" s="222"/>
      <c r="W626" s="222"/>
      <c r="X626" s="222"/>
      <c r="Y626" s="222"/>
      <c r="Z626" s="222"/>
      <c r="AA626" s="222"/>
      <c r="AB626" s="222"/>
    </row>
    <row r="627" spans="1:28" ht="16">
      <c r="A627" s="222"/>
      <c r="B627" s="222"/>
      <c r="C627" s="222"/>
      <c r="D627" s="222"/>
      <c r="E627" s="222"/>
      <c r="F627" s="222"/>
      <c r="G627" s="222"/>
      <c r="H627" s="222"/>
      <c r="I627" s="222"/>
      <c r="J627" s="222"/>
      <c r="K627" s="222"/>
      <c r="L627" s="223"/>
      <c r="M627" s="222"/>
      <c r="N627" s="222"/>
      <c r="O627" s="222"/>
      <c r="P627" s="222"/>
      <c r="Q627" s="222"/>
      <c r="R627" s="222"/>
      <c r="S627" s="222"/>
      <c r="T627" s="222"/>
      <c r="U627" s="222"/>
      <c r="V627" s="222"/>
      <c r="W627" s="222"/>
      <c r="X627" s="222"/>
      <c r="Y627" s="222"/>
      <c r="Z627" s="222"/>
      <c r="AA627" s="222"/>
      <c r="AB627" s="222"/>
    </row>
    <row r="628" spans="1:28" ht="16">
      <c r="A628" s="222"/>
      <c r="B628" s="222"/>
      <c r="C628" s="222"/>
      <c r="D628" s="222"/>
      <c r="E628" s="222"/>
      <c r="F628" s="222"/>
      <c r="G628" s="222"/>
      <c r="H628" s="222"/>
      <c r="I628" s="222"/>
      <c r="J628" s="222"/>
      <c r="K628" s="222"/>
      <c r="L628" s="223"/>
      <c r="M628" s="222"/>
      <c r="N628" s="222"/>
      <c r="O628" s="222"/>
      <c r="P628" s="222"/>
      <c r="Q628" s="222"/>
      <c r="R628" s="222"/>
      <c r="S628" s="222"/>
      <c r="T628" s="222"/>
      <c r="U628" s="222"/>
      <c r="V628" s="222"/>
      <c r="W628" s="222"/>
      <c r="X628" s="222"/>
      <c r="Y628" s="222"/>
      <c r="Z628" s="222"/>
      <c r="AA628" s="222"/>
      <c r="AB628" s="222"/>
    </row>
    <row r="629" spans="1:28" ht="16">
      <c r="A629" s="222"/>
      <c r="B629" s="222"/>
      <c r="C629" s="222"/>
      <c r="D629" s="222"/>
      <c r="E629" s="222"/>
      <c r="F629" s="222"/>
      <c r="G629" s="222"/>
      <c r="H629" s="222"/>
      <c r="I629" s="222"/>
      <c r="J629" s="222"/>
      <c r="K629" s="222"/>
      <c r="L629" s="223"/>
      <c r="M629" s="222"/>
      <c r="N629" s="222"/>
      <c r="O629" s="222"/>
      <c r="P629" s="222"/>
      <c r="Q629" s="222"/>
      <c r="R629" s="222"/>
      <c r="S629" s="222"/>
      <c r="T629" s="222"/>
      <c r="U629" s="222"/>
      <c r="V629" s="222"/>
      <c r="W629" s="222"/>
      <c r="X629" s="222"/>
      <c r="Y629" s="222"/>
      <c r="Z629" s="222"/>
      <c r="AA629" s="222"/>
      <c r="AB629" s="222"/>
    </row>
    <row r="630" spans="1:28" ht="16">
      <c r="A630" s="222"/>
      <c r="B630" s="222"/>
      <c r="C630" s="222"/>
      <c r="D630" s="222"/>
      <c r="E630" s="222"/>
      <c r="F630" s="222"/>
      <c r="G630" s="222"/>
      <c r="H630" s="222"/>
      <c r="I630" s="222"/>
      <c r="J630" s="222"/>
      <c r="K630" s="222"/>
      <c r="L630" s="223"/>
      <c r="M630" s="222"/>
      <c r="N630" s="222"/>
      <c r="O630" s="222"/>
      <c r="P630" s="222"/>
      <c r="Q630" s="222"/>
      <c r="R630" s="222"/>
      <c r="S630" s="222"/>
      <c r="T630" s="222"/>
      <c r="U630" s="222"/>
      <c r="V630" s="222"/>
      <c r="W630" s="222"/>
      <c r="X630" s="222"/>
      <c r="Y630" s="222"/>
      <c r="Z630" s="222"/>
      <c r="AA630" s="222"/>
      <c r="AB630" s="222"/>
    </row>
    <row r="631" spans="1:28" ht="16">
      <c r="A631" s="222"/>
      <c r="B631" s="222"/>
      <c r="C631" s="222"/>
      <c r="D631" s="222"/>
      <c r="E631" s="222"/>
      <c r="F631" s="222"/>
      <c r="G631" s="222"/>
      <c r="H631" s="222"/>
      <c r="I631" s="222"/>
      <c r="J631" s="222"/>
      <c r="K631" s="222"/>
      <c r="L631" s="223"/>
      <c r="M631" s="222"/>
      <c r="N631" s="222"/>
      <c r="O631" s="222"/>
      <c r="P631" s="222"/>
      <c r="Q631" s="222"/>
      <c r="R631" s="222"/>
      <c r="S631" s="222"/>
      <c r="T631" s="222"/>
      <c r="U631" s="222"/>
      <c r="V631" s="222"/>
      <c r="W631" s="222"/>
      <c r="X631" s="222"/>
      <c r="Y631" s="222"/>
      <c r="Z631" s="222"/>
      <c r="AA631" s="222"/>
      <c r="AB631" s="222"/>
    </row>
    <row r="632" spans="1:28" ht="16">
      <c r="A632" s="222"/>
      <c r="B632" s="222"/>
      <c r="C632" s="222"/>
      <c r="D632" s="222"/>
      <c r="E632" s="222"/>
      <c r="F632" s="222"/>
      <c r="G632" s="222"/>
      <c r="H632" s="222"/>
      <c r="I632" s="222"/>
      <c r="J632" s="222"/>
      <c r="K632" s="222"/>
      <c r="L632" s="223"/>
      <c r="M632" s="222"/>
      <c r="N632" s="222"/>
      <c r="O632" s="222"/>
      <c r="P632" s="222"/>
      <c r="Q632" s="222"/>
      <c r="R632" s="222"/>
      <c r="S632" s="222"/>
      <c r="T632" s="222"/>
      <c r="U632" s="222"/>
      <c r="V632" s="222"/>
      <c r="W632" s="222"/>
      <c r="X632" s="222"/>
      <c r="Y632" s="222"/>
      <c r="Z632" s="222"/>
      <c r="AA632" s="222"/>
      <c r="AB632" s="222"/>
    </row>
    <row r="633" spans="1:28" ht="16">
      <c r="A633" s="222"/>
      <c r="B633" s="222"/>
      <c r="C633" s="222"/>
      <c r="D633" s="222"/>
      <c r="E633" s="222"/>
      <c r="F633" s="222"/>
      <c r="G633" s="222"/>
      <c r="H633" s="222"/>
      <c r="I633" s="222"/>
      <c r="J633" s="222"/>
      <c r="K633" s="222"/>
      <c r="L633" s="223"/>
      <c r="M633" s="222"/>
      <c r="N633" s="222"/>
      <c r="O633" s="222"/>
      <c r="P633" s="222"/>
      <c r="Q633" s="222"/>
      <c r="R633" s="222"/>
      <c r="S633" s="222"/>
      <c r="T633" s="222"/>
      <c r="U633" s="222"/>
      <c r="V633" s="222"/>
      <c r="W633" s="222"/>
      <c r="X633" s="222"/>
      <c r="Y633" s="222"/>
      <c r="Z633" s="222"/>
      <c r="AA633" s="222"/>
      <c r="AB633" s="222"/>
    </row>
    <row r="634" spans="1:28" ht="16">
      <c r="A634" s="222"/>
      <c r="B634" s="222"/>
      <c r="C634" s="222"/>
      <c r="D634" s="222"/>
      <c r="E634" s="222"/>
      <c r="F634" s="222"/>
      <c r="G634" s="222"/>
      <c r="H634" s="222"/>
      <c r="I634" s="222"/>
      <c r="J634" s="222"/>
      <c r="K634" s="222"/>
      <c r="L634" s="223"/>
      <c r="M634" s="222"/>
      <c r="N634" s="222"/>
      <c r="O634" s="222"/>
      <c r="P634" s="222"/>
      <c r="Q634" s="222"/>
      <c r="R634" s="222"/>
      <c r="S634" s="222"/>
      <c r="T634" s="222"/>
      <c r="U634" s="222"/>
      <c r="V634" s="222"/>
      <c r="W634" s="222"/>
      <c r="X634" s="222"/>
      <c r="Y634" s="222"/>
      <c r="Z634" s="222"/>
      <c r="AA634" s="222"/>
      <c r="AB634" s="222"/>
    </row>
    <row r="635" spans="1:28" ht="16">
      <c r="A635" s="222"/>
      <c r="B635" s="222"/>
      <c r="C635" s="222"/>
      <c r="D635" s="222"/>
      <c r="E635" s="222"/>
      <c r="F635" s="222"/>
      <c r="G635" s="222"/>
      <c r="H635" s="222"/>
      <c r="I635" s="222"/>
      <c r="J635" s="222"/>
      <c r="K635" s="222"/>
      <c r="L635" s="223"/>
      <c r="M635" s="222"/>
      <c r="N635" s="222"/>
      <c r="O635" s="222"/>
      <c r="P635" s="222"/>
      <c r="Q635" s="222"/>
      <c r="R635" s="222"/>
      <c r="S635" s="222"/>
      <c r="T635" s="222"/>
      <c r="U635" s="222"/>
      <c r="V635" s="222"/>
      <c r="W635" s="222"/>
      <c r="X635" s="222"/>
      <c r="Y635" s="222"/>
      <c r="Z635" s="222"/>
      <c r="AA635" s="222"/>
      <c r="AB635" s="222"/>
    </row>
    <row r="636" spans="1:28" ht="16">
      <c r="A636" s="222"/>
      <c r="B636" s="222"/>
      <c r="C636" s="222"/>
      <c r="D636" s="222"/>
      <c r="E636" s="222"/>
      <c r="F636" s="222"/>
      <c r="G636" s="222"/>
      <c r="H636" s="222"/>
      <c r="I636" s="222"/>
      <c r="J636" s="222"/>
      <c r="K636" s="222"/>
      <c r="L636" s="223"/>
      <c r="M636" s="222"/>
      <c r="N636" s="222"/>
      <c r="O636" s="222"/>
      <c r="P636" s="222"/>
      <c r="Q636" s="222"/>
      <c r="R636" s="222"/>
      <c r="S636" s="222"/>
      <c r="T636" s="222"/>
      <c r="U636" s="222"/>
      <c r="V636" s="222"/>
      <c r="W636" s="222"/>
      <c r="X636" s="222"/>
      <c r="Y636" s="222"/>
      <c r="Z636" s="222"/>
      <c r="AA636" s="222"/>
      <c r="AB636" s="222"/>
    </row>
    <row r="637" spans="1:28" ht="16">
      <c r="A637" s="222"/>
      <c r="B637" s="222"/>
      <c r="C637" s="222"/>
      <c r="D637" s="222"/>
      <c r="E637" s="222"/>
      <c r="F637" s="222"/>
      <c r="G637" s="222"/>
      <c r="H637" s="222"/>
      <c r="I637" s="222"/>
      <c r="J637" s="222"/>
      <c r="K637" s="222"/>
      <c r="L637" s="223"/>
      <c r="M637" s="222"/>
      <c r="N637" s="222"/>
      <c r="O637" s="222"/>
      <c r="P637" s="222"/>
      <c r="Q637" s="222"/>
      <c r="R637" s="222"/>
      <c r="S637" s="222"/>
      <c r="T637" s="222"/>
      <c r="U637" s="222"/>
      <c r="V637" s="222"/>
      <c r="W637" s="222"/>
      <c r="X637" s="222"/>
      <c r="Y637" s="222"/>
      <c r="Z637" s="222"/>
      <c r="AA637" s="222"/>
      <c r="AB637" s="222"/>
    </row>
    <row r="638" spans="1:28" ht="16">
      <c r="A638" s="222"/>
      <c r="B638" s="222"/>
      <c r="C638" s="222"/>
      <c r="D638" s="222"/>
      <c r="E638" s="222"/>
      <c r="F638" s="222"/>
      <c r="G638" s="222"/>
      <c r="H638" s="222"/>
      <c r="I638" s="222"/>
      <c r="J638" s="222"/>
      <c r="K638" s="222"/>
      <c r="L638" s="223"/>
      <c r="M638" s="222"/>
      <c r="N638" s="222"/>
      <c r="O638" s="222"/>
      <c r="P638" s="222"/>
      <c r="Q638" s="222"/>
      <c r="R638" s="222"/>
      <c r="S638" s="222"/>
      <c r="T638" s="222"/>
      <c r="U638" s="222"/>
      <c r="V638" s="222"/>
      <c r="W638" s="222"/>
      <c r="X638" s="222"/>
      <c r="Y638" s="222"/>
      <c r="Z638" s="222"/>
      <c r="AA638" s="222"/>
      <c r="AB638" s="222"/>
    </row>
    <row r="639" spans="1:28" ht="16">
      <c r="A639" s="222"/>
      <c r="B639" s="222"/>
      <c r="C639" s="222"/>
      <c r="D639" s="222"/>
      <c r="E639" s="222"/>
      <c r="F639" s="222"/>
      <c r="G639" s="222"/>
      <c r="H639" s="222"/>
      <c r="I639" s="222"/>
      <c r="J639" s="222"/>
      <c r="K639" s="222"/>
      <c r="L639" s="223"/>
      <c r="M639" s="222"/>
      <c r="N639" s="222"/>
      <c r="O639" s="222"/>
      <c r="P639" s="222"/>
      <c r="Q639" s="222"/>
      <c r="R639" s="222"/>
      <c r="S639" s="222"/>
      <c r="T639" s="222"/>
      <c r="U639" s="222"/>
      <c r="V639" s="222"/>
      <c r="W639" s="222"/>
      <c r="X639" s="222"/>
      <c r="Y639" s="222"/>
      <c r="Z639" s="222"/>
      <c r="AA639" s="222"/>
      <c r="AB639" s="222"/>
    </row>
    <row r="640" spans="1:28" ht="16">
      <c r="A640" s="222"/>
      <c r="B640" s="222"/>
      <c r="C640" s="222"/>
      <c r="D640" s="222"/>
      <c r="E640" s="222"/>
      <c r="F640" s="222"/>
      <c r="G640" s="222"/>
      <c r="H640" s="222"/>
      <c r="I640" s="222"/>
      <c r="J640" s="222"/>
      <c r="K640" s="222"/>
      <c r="L640" s="223"/>
      <c r="M640" s="222"/>
      <c r="N640" s="222"/>
      <c r="O640" s="222"/>
      <c r="P640" s="222"/>
      <c r="Q640" s="222"/>
      <c r="R640" s="222"/>
      <c r="S640" s="222"/>
      <c r="T640" s="222"/>
      <c r="U640" s="222"/>
      <c r="V640" s="222"/>
      <c r="W640" s="222"/>
      <c r="X640" s="222"/>
      <c r="Y640" s="222"/>
      <c r="Z640" s="222"/>
      <c r="AA640" s="222"/>
      <c r="AB640" s="222"/>
    </row>
    <row r="641" spans="1:28" ht="16">
      <c r="A641" s="222"/>
      <c r="B641" s="222"/>
      <c r="C641" s="222"/>
      <c r="D641" s="222"/>
      <c r="E641" s="222"/>
      <c r="F641" s="222"/>
      <c r="G641" s="222"/>
      <c r="H641" s="222"/>
      <c r="I641" s="222"/>
      <c r="J641" s="222"/>
      <c r="K641" s="222"/>
      <c r="L641" s="223"/>
      <c r="M641" s="222"/>
      <c r="N641" s="222"/>
      <c r="O641" s="222"/>
      <c r="P641" s="222"/>
      <c r="Q641" s="222"/>
      <c r="R641" s="222"/>
      <c r="S641" s="222"/>
      <c r="T641" s="222"/>
      <c r="U641" s="222"/>
      <c r="V641" s="222"/>
      <c r="W641" s="222"/>
      <c r="X641" s="222"/>
      <c r="Y641" s="222"/>
      <c r="Z641" s="222"/>
      <c r="AA641" s="222"/>
      <c r="AB641" s="222"/>
    </row>
    <row r="642" spans="1:28" ht="16">
      <c r="A642" s="222"/>
      <c r="B642" s="222"/>
      <c r="C642" s="222"/>
      <c r="D642" s="222"/>
      <c r="E642" s="222"/>
      <c r="F642" s="222"/>
      <c r="G642" s="222"/>
      <c r="H642" s="222"/>
      <c r="I642" s="222"/>
      <c r="J642" s="222"/>
      <c r="K642" s="222"/>
      <c r="L642" s="223"/>
      <c r="M642" s="222"/>
      <c r="N642" s="222"/>
      <c r="O642" s="222"/>
      <c r="P642" s="222"/>
      <c r="Q642" s="222"/>
      <c r="R642" s="222"/>
      <c r="S642" s="222"/>
      <c r="T642" s="222"/>
      <c r="U642" s="222"/>
      <c r="V642" s="222"/>
      <c r="W642" s="222"/>
      <c r="X642" s="222"/>
      <c r="Y642" s="222"/>
      <c r="Z642" s="222"/>
      <c r="AA642" s="222"/>
      <c r="AB642" s="222"/>
    </row>
    <row r="643" spans="1:28" ht="16">
      <c r="A643" s="222"/>
      <c r="B643" s="222"/>
      <c r="C643" s="222"/>
      <c r="D643" s="222"/>
      <c r="E643" s="222"/>
      <c r="F643" s="222"/>
      <c r="G643" s="222"/>
      <c r="H643" s="222"/>
      <c r="I643" s="222"/>
      <c r="J643" s="222"/>
      <c r="K643" s="222"/>
      <c r="L643" s="223"/>
      <c r="M643" s="222"/>
      <c r="N643" s="222"/>
      <c r="O643" s="222"/>
      <c r="P643" s="222"/>
      <c r="Q643" s="222"/>
      <c r="R643" s="222"/>
      <c r="S643" s="222"/>
      <c r="T643" s="222"/>
      <c r="U643" s="222"/>
      <c r="V643" s="222"/>
      <c r="W643" s="222"/>
      <c r="X643" s="222"/>
      <c r="Y643" s="222"/>
      <c r="Z643" s="222"/>
      <c r="AA643" s="222"/>
      <c r="AB643" s="222"/>
    </row>
    <row r="644" spans="1:28" ht="16">
      <c r="A644" s="222"/>
      <c r="B644" s="222"/>
      <c r="C644" s="222"/>
      <c r="D644" s="222"/>
      <c r="E644" s="222"/>
      <c r="F644" s="222"/>
      <c r="G644" s="222"/>
      <c r="H644" s="222"/>
      <c r="I644" s="222"/>
      <c r="J644" s="222"/>
      <c r="K644" s="222"/>
      <c r="L644" s="223"/>
      <c r="M644" s="222"/>
      <c r="N644" s="222"/>
      <c r="O644" s="222"/>
      <c r="P644" s="222"/>
      <c r="Q644" s="222"/>
      <c r="R644" s="222"/>
      <c r="S644" s="222"/>
      <c r="T644" s="222"/>
      <c r="U644" s="222"/>
      <c r="V644" s="222"/>
      <c r="W644" s="222"/>
      <c r="X644" s="222"/>
      <c r="Y644" s="222"/>
      <c r="Z644" s="222"/>
      <c r="AA644" s="222"/>
      <c r="AB644" s="222"/>
    </row>
    <row r="645" spans="1:28" ht="16">
      <c r="A645" s="222"/>
      <c r="B645" s="222"/>
      <c r="C645" s="222"/>
      <c r="D645" s="222"/>
      <c r="E645" s="222"/>
      <c r="F645" s="222"/>
      <c r="G645" s="222"/>
      <c r="H645" s="222"/>
      <c r="I645" s="222"/>
      <c r="J645" s="222"/>
      <c r="K645" s="222"/>
      <c r="L645" s="223"/>
      <c r="M645" s="222"/>
      <c r="N645" s="222"/>
      <c r="O645" s="222"/>
      <c r="P645" s="222"/>
      <c r="Q645" s="222"/>
      <c r="R645" s="222"/>
      <c r="S645" s="222"/>
      <c r="T645" s="222"/>
      <c r="U645" s="222"/>
      <c r="V645" s="222"/>
      <c r="W645" s="222"/>
      <c r="X645" s="222"/>
      <c r="Y645" s="222"/>
      <c r="Z645" s="222"/>
      <c r="AA645" s="222"/>
      <c r="AB645" s="222"/>
    </row>
    <row r="646" spans="1:28" ht="16">
      <c r="A646" s="222"/>
      <c r="B646" s="222"/>
      <c r="C646" s="222"/>
      <c r="D646" s="222"/>
      <c r="E646" s="222"/>
      <c r="F646" s="222"/>
      <c r="G646" s="222"/>
      <c r="H646" s="222"/>
      <c r="I646" s="222"/>
      <c r="J646" s="222"/>
      <c r="K646" s="222"/>
      <c r="L646" s="223"/>
      <c r="M646" s="222"/>
      <c r="N646" s="222"/>
      <c r="O646" s="222"/>
      <c r="P646" s="222"/>
      <c r="Q646" s="222"/>
      <c r="R646" s="222"/>
      <c r="S646" s="222"/>
      <c r="T646" s="222"/>
      <c r="U646" s="222"/>
      <c r="V646" s="222"/>
      <c r="W646" s="222"/>
      <c r="X646" s="222"/>
      <c r="Y646" s="222"/>
      <c r="Z646" s="222"/>
      <c r="AA646" s="222"/>
      <c r="AB646" s="222"/>
    </row>
    <row r="647" spans="1:28" ht="16">
      <c r="A647" s="222"/>
      <c r="B647" s="222"/>
      <c r="C647" s="222"/>
      <c r="D647" s="222"/>
      <c r="E647" s="222"/>
      <c r="F647" s="222"/>
      <c r="G647" s="222"/>
      <c r="H647" s="222"/>
      <c r="I647" s="222"/>
      <c r="J647" s="222"/>
      <c r="K647" s="222"/>
      <c r="L647" s="223"/>
      <c r="M647" s="222"/>
      <c r="N647" s="222"/>
      <c r="O647" s="222"/>
      <c r="P647" s="222"/>
      <c r="Q647" s="222"/>
      <c r="R647" s="222"/>
      <c r="S647" s="222"/>
      <c r="T647" s="222"/>
      <c r="U647" s="222"/>
      <c r="V647" s="222"/>
      <c r="W647" s="222"/>
      <c r="X647" s="222"/>
      <c r="Y647" s="222"/>
      <c r="Z647" s="222"/>
      <c r="AA647" s="222"/>
      <c r="AB647" s="222"/>
    </row>
    <row r="648" spans="1:28" ht="16">
      <c r="A648" s="222"/>
      <c r="B648" s="222"/>
      <c r="C648" s="222"/>
      <c r="D648" s="222"/>
      <c r="E648" s="222"/>
      <c r="F648" s="222"/>
      <c r="G648" s="222"/>
      <c r="H648" s="222"/>
      <c r="I648" s="222"/>
      <c r="J648" s="222"/>
      <c r="K648" s="222"/>
      <c r="L648" s="223"/>
      <c r="M648" s="222"/>
      <c r="N648" s="222"/>
      <c r="O648" s="222"/>
      <c r="P648" s="222"/>
      <c r="Q648" s="222"/>
      <c r="R648" s="222"/>
      <c r="S648" s="222"/>
      <c r="T648" s="222"/>
      <c r="U648" s="222"/>
      <c r="V648" s="222"/>
      <c r="W648" s="222"/>
      <c r="X648" s="222"/>
      <c r="Y648" s="222"/>
      <c r="Z648" s="222"/>
      <c r="AA648" s="222"/>
      <c r="AB648" s="222"/>
    </row>
    <row r="649" spans="1:28" ht="16">
      <c r="A649" s="222"/>
      <c r="B649" s="222"/>
      <c r="C649" s="222"/>
      <c r="D649" s="222"/>
      <c r="E649" s="222"/>
      <c r="F649" s="222"/>
      <c r="G649" s="222"/>
      <c r="H649" s="222"/>
      <c r="I649" s="222"/>
      <c r="J649" s="222"/>
      <c r="K649" s="222"/>
      <c r="L649" s="223"/>
      <c r="M649" s="222"/>
      <c r="N649" s="222"/>
      <c r="O649" s="222"/>
      <c r="P649" s="222"/>
      <c r="Q649" s="222"/>
      <c r="R649" s="222"/>
      <c r="S649" s="222"/>
      <c r="T649" s="222"/>
      <c r="U649" s="222"/>
      <c r="V649" s="222"/>
      <c r="W649" s="222"/>
      <c r="X649" s="222"/>
      <c r="Y649" s="222"/>
      <c r="Z649" s="222"/>
      <c r="AA649" s="222"/>
      <c r="AB649" s="222"/>
    </row>
    <row r="650" spans="1:28" ht="16">
      <c r="A650" s="222"/>
      <c r="B650" s="222"/>
      <c r="C650" s="222"/>
      <c r="D650" s="222"/>
      <c r="E650" s="222"/>
      <c r="F650" s="222"/>
      <c r="G650" s="222"/>
      <c r="H650" s="222"/>
      <c r="I650" s="222"/>
      <c r="J650" s="222"/>
      <c r="K650" s="222"/>
      <c r="L650" s="223"/>
      <c r="M650" s="222"/>
      <c r="N650" s="222"/>
      <c r="O650" s="222"/>
      <c r="P650" s="222"/>
      <c r="Q650" s="222"/>
      <c r="R650" s="222"/>
      <c r="S650" s="222"/>
      <c r="T650" s="222"/>
      <c r="U650" s="222"/>
      <c r="V650" s="222"/>
      <c r="W650" s="222"/>
      <c r="X650" s="222"/>
      <c r="Y650" s="222"/>
      <c r="Z650" s="222"/>
      <c r="AA650" s="222"/>
      <c r="AB650" s="222"/>
    </row>
    <row r="651" spans="1:28" ht="16">
      <c r="A651" s="222"/>
      <c r="B651" s="222"/>
      <c r="C651" s="222"/>
      <c r="D651" s="222"/>
      <c r="E651" s="222"/>
      <c r="F651" s="222"/>
      <c r="G651" s="222"/>
      <c r="H651" s="222"/>
      <c r="I651" s="222"/>
      <c r="J651" s="222"/>
      <c r="K651" s="222"/>
      <c r="L651" s="223"/>
      <c r="M651" s="222"/>
      <c r="N651" s="222"/>
      <c r="O651" s="222"/>
      <c r="P651" s="222"/>
      <c r="Q651" s="222"/>
      <c r="R651" s="222"/>
      <c r="S651" s="222"/>
      <c r="T651" s="222"/>
      <c r="U651" s="222"/>
      <c r="V651" s="222"/>
      <c r="W651" s="222"/>
      <c r="X651" s="222"/>
      <c r="Y651" s="222"/>
      <c r="Z651" s="222"/>
      <c r="AA651" s="222"/>
      <c r="AB651" s="222"/>
    </row>
    <row r="652" spans="1:28" ht="16">
      <c r="A652" s="222"/>
      <c r="B652" s="222"/>
      <c r="C652" s="222"/>
      <c r="D652" s="222"/>
      <c r="E652" s="222"/>
      <c r="F652" s="222"/>
      <c r="G652" s="222"/>
      <c r="H652" s="222"/>
      <c r="I652" s="222"/>
      <c r="J652" s="222"/>
      <c r="K652" s="222"/>
      <c r="L652" s="223"/>
      <c r="M652" s="222"/>
      <c r="N652" s="222"/>
      <c r="O652" s="222"/>
      <c r="P652" s="222"/>
      <c r="Q652" s="222"/>
      <c r="R652" s="222"/>
      <c r="S652" s="222"/>
      <c r="T652" s="222"/>
      <c r="U652" s="222"/>
      <c r="V652" s="222"/>
      <c r="W652" s="222"/>
      <c r="X652" s="222"/>
      <c r="Y652" s="222"/>
      <c r="Z652" s="222"/>
      <c r="AA652" s="222"/>
      <c r="AB652" s="222"/>
    </row>
    <row r="653" spans="1:28" ht="16">
      <c r="A653" s="222"/>
      <c r="B653" s="222"/>
      <c r="C653" s="222"/>
      <c r="D653" s="222"/>
      <c r="E653" s="222"/>
      <c r="F653" s="222"/>
      <c r="G653" s="222"/>
      <c r="H653" s="222"/>
      <c r="I653" s="222"/>
      <c r="J653" s="222"/>
      <c r="K653" s="222"/>
      <c r="L653" s="223"/>
      <c r="M653" s="222"/>
      <c r="N653" s="222"/>
      <c r="O653" s="222"/>
      <c r="P653" s="222"/>
      <c r="Q653" s="222"/>
      <c r="R653" s="222"/>
      <c r="S653" s="222"/>
      <c r="T653" s="222"/>
      <c r="U653" s="222"/>
      <c r="V653" s="222"/>
      <c r="W653" s="222"/>
      <c r="X653" s="222"/>
      <c r="Y653" s="222"/>
      <c r="Z653" s="222"/>
      <c r="AA653" s="222"/>
      <c r="AB653" s="222"/>
    </row>
    <row r="654" spans="1:28" ht="16">
      <c r="A654" s="222"/>
      <c r="B654" s="222"/>
      <c r="C654" s="222"/>
      <c r="D654" s="222"/>
      <c r="E654" s="222"/>
      <c r="F654" s="222"/>
      <c r="G654" s="222"/>
      <c r="H654" s="222"/>
      <c r="I654" s="222"/>
      <c r="J654" s="222"/>
      <c r="K654" s="222"/>
      <c r="L654" s="223"/>
      <c r="M654" s="222"/>
      <c r="N654" s="222"/>
      <c r="O654" s="222"/>
      <c r="P654" s="222"/>
      <c r="Q654" s="222"/>
      <c r="R654" s="222"/>
      <c r="S654" s="222"/>
      <c r="T654" s="222"/>
      <c r="U654" s="222"/>
      <c r="V654" s="222"/>
      <c r="W654" s="222"/>
      <c r="X654" s="222"/>
      <c r="Y654" s="222"/>
      <c r="Z654" s="222"/>
      <c r="AA654" s="222"/>
      <c r="AB654" s="222"/>
    </row>
    <row r="655" spans="1:28" ht="16">
      <c r="A655" s="222"/>
      <c r="B655" s="222"/>
      <c r="C655" s="222"/>
      <c r="D655" s="222"/>
      <c r="E655" s="222"/>
      <c r="F655" s="222"/>
      <c r="G655" s="222"/>
      <c r="H655" s="222"/>
      <c r="I655" s="222"/>
      <c r="J655" s="222"/>
      <c r="K655" s="222"/>
      <c r="L655" s="223"/>
      <c r="M655" s="222"/>
      <c r="N655" s="222"/>
      <c r="O655" s="222"/>
      <c r="P655" s="222"/>
      <c r="Q655" s="222"/>
      <c r="R655" s="222"/>
      <c r="S655" s="222"/>
      <c r="T655" s="222"/>
      <c r="U655" s="222"/>
      <c r="V655" s="222"/>
      <c r="W655" s="222"/>
      <c r="X655" s="222"/>
      <c r="Y655" s="222"/>
      <c r="Z655" s="222"/>
      <c r="AA655" s="222"/>
      <c r="AB655" s="222"/>
    </row>
    <row r="656" spans="1:28" ht="16">
      <c r="A656" s="222"/>
      <c r="B656" s="222"/>
      <c r="C656" s="222"/>
      <c r="D656" s="222"/>
      <c r="E656" s="222"/>
      <c r="F656" s="222"/>
      <c r="G656" s="222"/>
      <c r="H656" s="222"/>
      <c r="I656" s="222"/>
      <c r="J656" s="222"/>
      <c r="K656" s="222"/>
      <c r="L656" s="223"/>
      <c r="M656" s="222"/>
      <c r="N656" s="222"/>
      <c r="O656" s="222"/>
      <c r="P656" s="222"/>
      <c r="Q656" s="222"/>
      <c r="R656" s="222"/>
      <c r="S656" s="222"/>
      <c r="T656" s="222"/>
      <c r="U656" s="222"/>
      <c r="V656" s="222"/>
      <c r="W656" s="222"/>
      <c r="X656" s="222"/>
      <c r="Y656" s="222"/>
      <c r="Z656" s="222"/>
      <c r="AA656" s="222"/>
      <c r="AB656" s="222"/>
    </row>
    <row r="657" spans="1:28" ht="16">
      <c r="A657" s="222"/>
      <c r="B657" s="222"/>
      <c r="C657" s="222"/>
      <c r="D657" s="222"/>
      <c r="E657" s="222"/>
      <c r="F657" s="222"/>
      <c r="G657" s="222"/>
      <c r="H657" s="222"/>
      <c r="I657" s="222"/>
      <c r="J657" s="222"/>
      <c r="K657" s="222"/>
      <c r="L657" s="223"/>
      <c r="M657" s="222"/>
      <c r="N657" s="222"/>
      <c r="O657" s="222"/>
      <c r="P657" s="222"/>
      <c r="Q657" s="222"/>
      <c r="R657" s="222"/>
      <c r="S657" s="222"/>
      <c r="T657" s="222"/>
      <c r="U657" s="222"/>
      <c r="V657" s="222"/>
      <c r="W657" s="222"/>
      <c r="X657" s="222"/>
      <c r="Y657" s="222"/>
      <c r="Z657" s="222"/>
      <c r="AA657" s="222"/>
      <c r="AB657" s="222"/>
    </row>
    <row r="658" spans="1:28" ht="16">
      <c r="A658" s="222"/>
      <c r="B658" s="222"/>
      <c r="C658" s="222"/>
      <c r="D658" s="222"/>
      <c r="E658" s="222"/>
      <c r="F658" s="222"/>
      <c r="G658" s="222"/>
      <c r="H658" s="222"/>
      <c r="I658" s="222"/>
      <c r="J658" s="222"/>
      <c r="K658" s="222"/>
      <c r="L658" s="223"/>
      <c r="M658" s="222"/>
      <c r="N658" s="222"/>
      <c r="O658" s="222"/>
      <c r="P658" s="222"/>
      <c r="Q658" s="222"/>
      <c r="R658" s="222"/>
      <c r="S658" s="222"/>
      <c r="T658" s="222"/>
      <c r="U658" s="222"/>
      <c r="V658" s="222"/>
      <c r="W658" s="222"/>
      <c r="X658" s="222"/>
      <c r="Y658" s="222"/>
      <c r="Z658" s="222"/>
      <c r="AA658" s="222"/>
      <c r="AB658" s="222"/>
    </row>
    <row r="659" spans="1:28" ht="16">
      <c r="A659" s="222"/>
      <c r="B659" s="222"/>
      <c r="C659" s="222"/>
      <c r="D659" s="222"/>
      <c r="E659" s="222"/>
      <c r="F659" s="222"/>
      <c r="G659" s="222"/>
      <c r="H659" s="222"/>
      <c r="I659" s="222"/>
      <c r="J659" s="222"/>
      <c r="K659" s="222"/>
      <c r="L659" s="223"/>
      <c r="M659" s="222"/>
      <c r="N659" s="222"/>
      <c r="O659" s="222"/>
      <c r="P659" s="222"/>
      <c r="Q659" s="222"/>
      <c r="R659" s="222"/>
      <c r="S659" s="222"/>
      <c r="T659" s="222"/>
      <c r="U659" s="222"/>
      <c r="V659" s="222"/>
      <c r="W659" s="222"/>
      <c r="X659" s="222"/>
      <c r="Y659" s="222"/>
      <c r="Z659" s="222"/>
      <c r="AA659" s="222"/>
      <c r="AB659" s="222"/>
    </row>
    <row r="660" spans="1:28" ht="16">
      <c r="A660" s="222"/>
      <c r="B660" s="222"/>
      <c r="C660" s="222"/>
      <c r="D660" s="222"/>
      <c r="E660" s="222"/>
      <c r="F660" s="222"/>
      <c r="G660" s="222"/>
      <c r="H660" s="222"/>
      <c r="I660" s="222"/>
      <c r="J660" s="222"/>
      <c r="K660" s="222"/>
      <c r="L660" s="223"/>
      <c r="M660" s="222"/>
      <c r="N660" s="222"/>
      <c r="O660" s="222"/>
      <c r="P660" s="222"/>
      <c r="Q660" s="222"/>
      <c r="R660" s="222"/>
      <c r="S660" s="222"/>
      <c r="T660" s="222"/>
      <c r="U660" s="222"/>
      <c r="V660" s="222"/>
      <c r="W660" s="222"/>
      <c r="X660" s="222"/>
      <c r="Y660" s="222"/>
      <c r="Z660" s="222"/>
      <c r="AA660" s="222"/>
      <c r="AB660" s="222"/>
    </row>
    <row r="661" spans="1:28" ht="16">
      <c r="A661" s="222"/>
      <c r="B661" s="222"/>
      <c r="C661" s="222"/>
      <c r="D661" s="222"/>
      <c r="E661" s="222"/>
      <c r="F661" s="222"/>
      <c r="G661" s="222"/>
      <c r="H661" s="222"/>
      <c r="I661" s="222"/>
      <c r="J661" s="222"/>
      <c r="K661" s="222"/>
      <c r="L661" s="223"/>
      <c r="M661" s="222"/>
      <c r="N661" s="222"/>
      <c r="O661" s="222"/>
      <c r="P661" s="222"/>
      <c r="Q661" s="222"/>
      <c r="R661" s="222"/>
      <c r="S661" s="222"/>
      <c r="T661" s="222"/>
      <c r="U661" s="222"/>
      <c r="V661" s="222"/>
      <c r="W661" s="222"/>
      <c r="X661" s="222"/>
      <c r="Y661" s="222"/>
      <c r="Z661" s="222"/>
      <c r="AA661" s="222"/>
      <c r="AB661" s="222"/>
    </row>
    <row r="662" spans="1:28" ht="16">
      <c r="A662" s="222"/>
      <c r="B662" s="222"/>
      <c r="C662" s="222"/>
      <c r="D662" s="222"/>
      <c r="E662" s="222"/>
      <c r="F662" s="222"/>
      <c r="G662" s="222"/>
      <c r="H662" s="222"/>
      <c r="I662" s="222"/>
      <c r="J662" s="222"/>
      <c r="K662" s="222"/>
      <c r="L662" s="223"/>
      <c r="M662" s="222"/>
      <c r="N662" s="222"/>
      <c r="O662" s="222"/>
      <c r="P662" s="222"/>
      <c r="Q662" s="222"/>
      <c r="R662" s="222"/>
      <c r="S662" s="222"/>
      <c r="T662" s="222"/>
      <c r="U662" s="222"/>
      <c r="V662" s="222"/>
      <c r="W662" s="222"/>
      <c r="X662" s="222"/>
      <c r="Y662" s="222"/>
      <c r="Z662" s="222"/>
      <c r="AA662" s="222"/>
      <c r="AB662" s="222"/>
    </row>
    <row r="663" spans="1:28" ht="16">
      <c r="A663" s="222"/>
      <c r="B663" s="222"/>
      <c r="C663" s="222"/>
      <c r="D663" s="222"/>
      <c r="E663" s="222"/>
      <c r="F663" s="222"/>
      <c r="G663" s="222"/>
      <c r="H663" s="222"/>
      <c r="I663" s="222"/>
      <c r="J663" s="222"/>
      <c r="K663" s="222"/>
      <c r="L663" s="223"/>
      <c r="M663" s="222"/>
      <c r="N663" s="222"/>
      <c r="O663" s="222"/>
      <c r="P663" s="222"/>
      <c r="Q663" s="222"/>
      <c r="R663" s="222"/>
      <c r="S663" s="222"/>
      <c r="T663" s="222"/>
      <c r="U663" s="222"/>
      <c r="V663" s="222"/>
      <c r="W663" s="222"/>
      <c r="X663" s="222"/>
      <c r="Y663" s="222"/>
      <c r="Z663" s="222"/>
      <c r="AA663" s="222"/>
      <c r="AB663" s="222"/>
    </row>
    <row r="664" spans="1:28" ht="16">
      <c r="A664" s="222"/>
      <c r="B664" s="222"/>
      <c r="C664" s="222"/>
      <c r="D664" s="222"/>
      <c r="E664" s="222"/>
      <c r="F664" s="222"/>
      <c r="G664" s="222"/>
      <c r="H664" s="222"/>
      <c r="I664" s="222"/>
      <c r="J664" s="222"/>
      <c r="K664" s="222"/>
      <c r="L664" s="223"/>
      <c r="M664" s="222"/>
      <c r="N664" s="222"/>
      <c r="O664" s="222"/>
      <c r="P664" s="222"/>
      <c r="Q664" s="222"/>
      <c r="R664" s="222"/>
      <c r="S664" s="222"/>
      <c r="T664" s="222"/>
      <c r="U664" s="222"/>
      <c r="V664" s="222"/>
      <c r="W664" s="222"/>
      <c r="X664" s="222"/>
      <c r="Y664" s="222"/>
      <c r="Z664" s="222"/>
      <c r="AA664" s="222"/>
      <c r="AB664" s="222"/>
    </row>
    <row r="665" spans="1:28" ht="16">
      <c r="A665" s="222"/>
      <c r="B665" s="222"/>
      <c r="C665" s="222"/>
      <c r="D665" s="222"/>
      <c r="E665" s="222"/>
      <c r="F665" s="222"/>
      <c r="G665" s="222"/>
      <c r="H665" s="222"/>
      <c r="I665" s="222"/>
      <c r="J665" s="222"/>
      <c r="K665" s="222"/>
      <c r="L665" s="223"/>
      <c r="M665" s="222"/>
      <c r="N665" s="222"/>
      <c r="O665" s="222"/>
      <c r="P665" s="222"/>
      <c r="Q665" s="222"/>
      <c r="R665" s="222"/>
      <c r="S665" s="222"/>
      <c r="T665" s="222"/>
      <c r="U665" s="222"/>
      <c r="V665" s="222"/>
      <c r="W665" s="222"/>
      <c r="X665" s="222"/>
      <c r="Y665" s="222"/>
      <c r="Z665" s="222"/>
      <c r="AA665" s="222"/>
      <c r="AB665" s="222"/>
    </row>
    <row r="666" spans="1:28" ht="16">
      <c r="A666" s="222"/>
      <c r="B666" s="222"/>
      <c r="C666" s="222"/>
      <c r="D666" s="222"/>
      <c r="E666" s="222"/>
      <c r="F666" s="222"/>
      <c r="G666" s="222"/>
      <c r="H666" s="222"/>
      <c r="I666" s="222"/>
      <c r="J666" s="222"/>
      <c r="K666" s="222"/>
      <c r="L666" s="223"/>
      <c r="M666" s="222"/>
      <c r="N666" s="222"/>
      <c r="O666" s="222"/>
      <c r="P666" s="222"/>
      <c r="Q666" s="222"/>
      <c r="R666" s="222"/>
      <c r="S666" s="222"/>
      <c r="T666" s="222"/>
      <c r="U666" s="222"/>
      <c r="V666" s="222"/>
      <c r="W666" s="222"/>
      <c r="X666" s="222"/>
      <c r="Y666" s="222"/>
      <c r="Z666" s="222"/>
      <c r="AA666" s="222"/>
      <c r="AB666" s="222"/>
    </row>
    <row r="667" spans="1:28" ht="16">
      <c r="A667" s="222"/>
      <c r="B667" s="222"/>
      <c r="C667" s="222"/>
      <c r="D667" s="222"/>
      <c r="E667" s="222"/>
      <c r="F667" s="222"/>
      <c r="G667" s="222"/>
      <c r="H667" s="222"/>
      <c r="I667" s="222"/>
      <c r="J667" s="222"/>
      <c r="K667" s="222"/>
      <c r="L667" s="223"/>
      <c r="M667" s="222"/>
      <c r="N667" s="222"/>
      <c r="O667" s="222"/>
      <c r="P667" s="222"/>
      <c r="Q667" s="222"/>
      <c r="R667" s="222"/>
      <c r="S667" s="222"/>
      <c r="T667" s="222"/>
      <c r="U667" s="222"/>
      <c r="V667" s="222"/>
      <c r="W667" s="222"/>
      <c r="X667" s="222"/>
      <c r="Y667" s="222"/>
      <c r="Z667" s="222"/>
      <c r="AA667" s="222"/>
      <c r="AB667" s="222"/>
    </row>
    <row r="668" spans="1:28" ht="16">
      <c r="A668" s="222"/>
      <c r="B668" s="222"/>
      <c r="C668" s="222"/>
      <c r="D668" s="222"/>
      <c r="E668" s="222"/>
      <c r="F668" s="222"/>
      <c r="G668" s="222"/>
      <c r="H668" s="222"/>
      <c r="I668" s="222"/>
      <c r="J668" s="222"/>
      <c r="K668" s="222"/>
      <c r="L668" s="223"/>
      <c r="M668" s="222"/>
      <c r="N668" s="222"/>
      <c r="O668" s="222"/>
      <c r="P668" s="222"/>
      <c r="Q668" s="222"/>
      <c r="R668" s="222"/>
      <c r="S668" s="222"/>
      <c r="T668" s="222"/>
      <c r="U668" s="222"/>
      <c r="V668" s="222"/>
      <c r="W668" s="222"/>
      <c r="X668" s="222"/>
      <c r="Y668" s="222"/>
      <c r="Z668" s="222"/>
      <c r="AA668" s="222"/>
      <c r="AB668" s="222"/>
    </row>
    <row r="669" spans="1:28" ht="16">
      <c r="A669" s="222"/>
      <c r="B669" s="222"/>
      <c r="C669" s="222"/>
      <c r="D669" s="222"/>
      <c r="E669" s="222"/>
      <c r="F669" s="222"/>
      <c r="G669" s="222"/>
      <c r="H669" s="222"/>
      <c r="I669" s="222"/>
      <c r="J669" s="222"/>
      <c r="K669" s="222"/>
      <c r="L669" s="223"/>
      <c r="M669" s="222"/>
      <c r="N669" s="222"/>
      <c r="O669" s="222"/>
      <c r="P669" s="222"/>
      <c r="Q669" s="222"/>
      <c r="R669" s="222"/>
      <c r="S669" s="222"/>
      <c r="T669" s="222"/>
      <c r="U669" s="222"/>
      <c r="V669" s="222"/>
      <c r="W669" s="222"/>
      <c r="X669" s="222"/>
      <c r="Y669" s="222"/>
      <c r="Z669" s="222"/>
      <c r="AA669" s="222"/>
      <c r="AB669" s="222"/>
    </row>
    <row r="670" spans="1:28" ht="16">
      <c r="A670" s="222"/>
      <c r="B670" s="222"/>
      <c r="C670" s="222"/>
      <c r="D670" s="222"/>
      <c r="E670" s="222"/>
      <c r="F670" s="222"/>
      <c r="G670" s="222"/>
      <c r="H670" s="222"/>
      <c r="I670" s="222"/>
      <c r="J670" s="222"/>
      <c r="K670" s="222"/>
      <c r="L670" s="223"/>
      <c r="M670" s="222"/>
      <c r="N670" s="222"/>
      <c r="O670" s="222"/>
      <c r="P670" s="222"/>
      <c r="Q670" s="222"/>
      <c r="R670" s="222"/>
      <c r="S670" s="222"/>
      <c r="T670" s="222"/>
      <c r="U670" s="222"/>
      <c r="V670" s="222"/>
      <c r="W670" s="222"/>
      <c r="X670" s="222"/>
      <c r="Y670" s="222"/>
      <c r="Z670" s="222"/>
      <c r="AA670" s="222"/>
      <c r="AB670" s="222"/>
    </row>
    <row r="671" spans="1:28" ht="16">
      <c r="A671" s="222"/>
      <c r="B671" s="222"/>
      <c r="C671" s="222"/>
      <c r="D671" s="222"/>
      <c r="E671" s="222"/>
      <c r="F671" s="222"/>
      <c r="G671" s="222"/>
      <c r="H671" s="222"/>
      <c r="I671" s="222"/>
      <c r="J671" s="222"/>
      <c r="K671" s="222"/>
      <c r="L671" s="223"/>
      <c r="M671" s="222"/>
      <c r="N671" s="222"/>
      <c r="O671" s="222"/>
      <c r="P671" s="222"/>
      <c r="Q671" s="222"/>
      <c r="R671" s="222"/>
      <c r="S671" s="222"/>
      <c r="T671" s="222"/>
      <c r="U671" s="222"/>
      <c r="V671" s="222"/>
      <c r="W671" s="222"/>
      <c r="X671" s="222"/>
      <c r="Y671" s="222"/>
      <c r="Z671" s="222"/>
      <c r="AA671" s="222"/>
      <c r="AB671" s="222"/>
    </row>
    <row r="672" spans="1:28" ht="16">
      <c r="A672" s="222"/>
      <c r="B672" s="222"/>
      <c r="C672" s="222"/>
      <c r="D672" s="222"/>
      <c r="E672" s="222"/>
      <c r="F672" s="222"/>
      <c r="G672" s="222"/>
      <c r="H672" s="222"/>
      <c r="I672" s="222"/>
      <c r="J672" s="222"/>
      <c r="K672" s="222"/>
      <c r="L672" s="223"/>
      <c r="M672" s="222"/>
      <c r="N672" s="222"/>
      <c r="O672" s="222"/>
      <c r="P672" s="222"/>
      <c r="Q672" s="222"/>
      <c r="R672" s="222"/>
      <c r="S672" s="222"/>
      <c r="T672" s="222"/>
      <c r="U672" s="222"/>
      <c r="V672" s="222"/>
      <c r="W672" s="222"/>
      <c r="X672" s="222"/>
      <c r="Y672" s="222"/>
      <c r="Z672" s="222"/>
      <c r="AA672" s="222"/>
      <c r="AB672" s="222"/>
    </row>
    <row r="673" spans="1:28" ht="16">
      <c r="A673" s="222"/>
      <c r="B673" s="222"/>
      <c r="C673" s="222"/>
      <c r="D673" s="222"/>
      <c r="E673" s="222"/>
      <c r="F673" s="222"/>
      <c r="G673" s="222"/>
      <c r="H673" s="222"/>
      <c r="I673" s="222"/>
      <c r="J673" s="222"/>
      <c r="K673" s="222"/>
      <c r="L673" s="223"/>
      <c r="M673" s="222"/>
      <c r="N673" s="222"/>
      <c r="O673" s="222"/>
      <c r="P673" s="222"/>
      <c r="Q673" s="222"/>
      <c r="R673" s="222"/>
      <c r="S673" s="222"/>
      <c r="T673" s="222"/>
      <c r="U673" s="222"/>
      <c r="V673" s="222"/>
      <c r="W673" s="222"/>
      <c r="X673" s="222"/>
      <c r="Y673" s="222"/>
      <c r="Z673" s="222"/>
      <c r="AA673" s="222"/>
      <c r="AB673" s="222"/>
    </row>
    <row r="674" spans="1:28" ht="16">
      <c r="A674" s="222"/>
      <c r="B674" s="222"/>
      <c r="C674" s="222"/>
      <c r="D674" s="222"/>
      <c r="E674" s="222"/>
      <c r="F674" s="222"/>
      <c r="G674" s="222"/>
      <c r="H674" s="222"/>
      <c r="I674" s="222"/>
      <c r="J674" s="222"/>
      <c r="K674" s="222"/>
      <c r="L674" s="223"/>
      <c r="M674" s="222"/>
      <c r="N674" s="222"/>
      <c r="O674" s="222"/>
      <c r="P674" s="222"/>
      <c r="Q674" s="222"/>
      <c r="R674" s="222"/>
      <c r="S674" s="222"/>
      <c r="T674" s="222"/>
      <c r="U674" s="222"/>
      <c r="V674" s="222"/>
      <c r="W674" s="222"/>
      <c r="X674" s="222"/>
      <c r="Y674" s="222"/>
      <c r="Z674" s="222"/>
      <c r="AA674" s="222"/>
      <c r="AB674" s="222"/>
    </row>
    <row r="675" spans="1:28" ht="16">
      <c r="A675" s="222"/>
      <c r="B675" s="222"/>
      <c r="C675" s="222"/>
      <c r="D675" s="222"/>
      <c r="E675" s="222"/>
      <c r="F675" s="222"/>
      <c r="G675" s="222"/>
      <c r="H675" s="222"/>
      <c r="I675" s="222"/>
      <c r="J675" s="222"/>
      <c r="K675" s="222"/>
      <c r="L675" s="223"/>
      <c r="M675" s="222"/>
      <c r="N675" s="222"/>
      <c r="O675" s="222"/>
      <c r="P675" s="222"/>
      <c r="Q675" s="222"/>
      <c r="R675" s="222"/>
      <c r="S675" s="222"/>
      <c r="T675" s="222"/>
      <c r="U675" s="222"/>
      <c r="V675" s="222"/>
      <c r="W675" s="222"/>
      <c r="X675" s="222"/>
      <c r="Y675" s="222"/>
      <c r="Z675" s="222"/>
      <c r="AA675" s="222"/>
      <c r="AB675" s="222"/>
    </row>
    <row r="676" spans="1:28" ht="16">
      <c r="A676" s="222"/>
      <c r="B676" s="222"/>
      <c r="C676" s="222"/>
      <c r="D676" s="222"/>
      <c r="E676" s="222"/>
      <c r="F676" s="222"/>
      <c r="G676" s="222"/>
      <c r="H676" s="222"/>
      <c r="I676" s="222"/>
      <c r="J676" s="222"/>
      <c r="K676" s="222"/>
      <c r="L676" s="223"/>
      <c r="M676" s="222"/>
      <c r="N676" s="222"/>
      <c r="O676" s="222"/>
      <c r="P676" s="222"/>
      <c r="Q676" s="222"/>
      <c r="R676" s="222"/>
      <c r="S676" s="222"/>
      <c r="T676" s="222"/>
      <c r="U676" s="222"/>
      <c r="V676" s="222"/>
      <c r="W676" s="222"/>
      <c r="X676" s="222"/>
      <c r="Y676" s="222"/>
      <c r="Z676" s="222"/>
      <c r="AA676" s="222"/>
      <c r="AB676" s="222"/>
    </row>
    <row r="677" spans="1:28" ht="16">
      <c r="A677" s="222"/>
      <c r="B677" s="222"/>
      <c r="C677" s="222"/>
      <c r="D677" s="222"/>
      <c r="E677" s="222"/>
      <c r="F677" s="222"/>
      <c r="G677" s="222"/>
      <c r="H677" s="222"/>
      <c r="I677" s="222"/>
      <c r="J677" s="222"/>
      <c r="K677" s="222"/>
      <c r="L677" s="223"/>
      <c r="M677" s="222"/>
      <c r="N677" s="222"/>
      <c r="O677" s="222"/>
      <c r="P677" s="222"/>
      <c r="Q677" s="222"/>
      <c r="R677" s="222"/>
      <c r="S677" s="222"/>
      <c r="T677" s="222"/>
      <c r="U677" s="222"/>
      <c r="V677" s="222"/>
      <c r="W677" s="222"/>
      <c r="X677" s="222"/>
      <c r="Y677" s="222"/>
      <c r="Z677" s="222"/>
      <c r="AA677" s="222"/>
      <c r="AB677" s="222"/>
    </row>
    <row r="678" spans="1:28" ht="16">
      <c r="A678" s="222"/>
      <c r="B678" s="222"/>
      <c r="C678" s="222"/>
      <c r="D678" s="222"/>
      <c r="E678" s="222"/>
      <c r="F678" s="222"/>
      <c r="G678" s="222"/>
      <c r="H678" s="222"/>
      <c r="I678" s="222"/>
      <c r="J678" s="222"/>
      <c r="K678" s="222"/>
      <c r="L678" s="223"/>
      <c r="M678" s="222"/>
      <c r="N678" s="222"/>
      <c r="O678" s="222"/>
      <c r="P678" s="222"/>
      <c r="Q678" s="222"/>
      <c r="R678" s="222"/>
      <c r="S678" s="222"/>
      <c r="T678" s="222"/>
      <c r="U678" s="222"/>
      <c r="V678" s="222"/>
      <c r="W678" s="222"/>
      <c r="X678" s="222"/>
      <c r="Y678" s="222"/>
      <c r="Z678" s="222"/>
      <c r="AA678" s="222"/>
      <c r="AB678" s="222"/>
    </row>
    <row r="679" spans="1:28" ht="16">
      <c r="A679" s="222"/>
      <c r="B679" s="222"/>
      <c r="C679" s="222"/>
      <c r="D679" s="222"/>
      <c r="E679" s="222"/>
      <c r="F679" s="222"/>
      <c r="G679" s="222"/>
      <c r="H679" s="222"/>
      <c r="I679" s="222"/>
      <c r="J679" s="222"/>
      <c r="K679" s="222"/>
      <c r="L679" s="223"/>
      <c r="M679" s="222"/>
      <c r="N679" s="222"/>
      <c r="O679" s="222"/>
      <c r="P679" s="222"/>
      <c r="Q679" s="222"/>
      <c r="R679" s="222"/>
      <c r="S679" s="222"/>
      <c r="T679" s="222"/>
      <c r="U679" s="222"/>
      <c r="V679" s="222"/>
      <c r="W679" s="222"/>
      <c r="X679" s="222"/>
      <c r="Y679" s="222"/>
      <c r="Z679" s="222"/>
      <c r="AA679" s="222"/>
      <c r="AB679" s="222"/>
    </row>
    <row r="680" spans="1:28" ht="16">
      <c r="A680" s="222"/>
      <c r="B680" s="222"/>
      <c r="C680" s="222"/>
      <c r="D680" s="222"/>
      <c r="E680" s="222"/>
      <c r="F680" s="222"/>
      <c r="G680" s="222"/>
      <c r="H680" s="222"/>
      <c r="I680" s="222"/>
      <c r="J680" s="222"/>
      <c r="K680" s="222"/>
      <c r="L680" s="223"/>
      <c r="M680" s="222"/>
      <c r="N680" s="222"/>
      <c r="O680" s="222"/>
      <c r="P680" s="222"/>
      <c r="Q680" s="222"/>
      <c r="R680" s="222"/>
      <c r="S680" s="222"/>
      <c r="T680" s="222"/>
      <c r="U680" s="222"/>
      <c r="V680" s="222"/>
      <c r="W680" s="222"/>
      <c r="X680" s="222"/>
      <c r="Y680" s="222"/>
      <c r="Z680" s="222"/>
      <c r="AA680" s="222"/>
      <c r="AB680" s="222"/>
    </row>
    <row r="681" spans="1:28" ht="16">
      <c r="A681" s="222"/>
      <c r="B681" s="222"/>
      <c r="C681" s="222"/>
      <c r="D681" s="222"/>
      <c r="E681" s="222"/>
      <c r="F681" s="222"/>
      <c r="G681" s="222"/>
      <c r="H681" s="222"/>
      <c r="I681" s="222"/>
      <c r="J681" s="222"/>
      <c r="K681" s="222"/>
      <c r="L681" s="223"/>
      <c r="M681" s="222"/>
      <c r="N681" s="222"/>
      <c r="O681" s="222"/>
      <c r="P681" s="222"/>
      <c r="Q681" s="222"/>
      <c r="R681" s="222"/>
      <c r="S681" s="222"/>
      <c r="T681" s="222"/>
      <c r="U681" s="222"/>
      <c r="V681" s="222"/>
      <c r="W681" s="222"/>
      <c r="X681" s="222"/>
      <c r="Y681" s="222"/>
      <c r="Z681" s="222"/>
      <c r="AA681" s="222"/>
      <c r="AB681" s="222"/>
    </row>
    <row r="682" spans="1:28" ht="16">
      <c r="A682" s="222"/>
      <c r="B682" s="222"/>
      <c r="C682" s="222"/>
      <c r="D682" s="222"/>
      <c r="E682" s="222"/>
      <c r="F682" s="222"/>
      <c r="G682" s="222"/>
      <c r="H682" s="222"/>
      <c r="I682" s="222"/>
      <c r="J682" s="222"/>
      <c r="K682" s="222"/>
      <c r="L682" s="223"/>
      <c r="M682" s="222"/>
      <c r="N682" s="222"/>
      <c r="O682" s="222"/>
      <c r="P682" s="222"/>
      <c r="Q682" s="222"/>
      <c r="R682" s="222"/>
      <c r="S682" s="222"/>
      <c r="T682" s="222"/>
      <c r="U682" s="222"/>
      <c r="V682" s="222"/>
      <c r="W682" s="222"/>
      <c r="X682" s="222"/>
      <c r="Y682" s="222"/>
      <c r="Z682" s="222"/>
      <c r="AA682" s="222"/>
      <c r="AB682" s="222"/>
    </row>
    <row r="683" spans="1:28" ht="16">
      <c r="A683" s="222"/>
      <c r="B683" s="222"/>
      <c r="C683" s="222"/>
      <c r="D683" s="222"/>
      <c r="E683" s="222"/>
      <c r="F683" s="222"/>
      <c r="G683" s="222"/>
      <c r="H683" s="222"/>
      <c r="I683" s="222"/>
      <c r="J683" s="222"/>
      <c r="K683" s="222"/>
      <c r="L683" s="223"/>
      <c r="M683" s="222"/>
      <c r="N683" s="222"/>
      <c r="O683" s="222"/>
      <c r="P683" s="222"/>
      <c r="Q683" s="222"/>
      <c r="R683" s="222"/>
      <c r="S683" s="222"/>
      <c r="T683" s="222"/>
      <c r="U683" s="222"/>
      <c r="V683" s="222"/>
      <c r="W683" s="222"/>
      <c r="X683" s="222"/>
      <c r="Y683" s="222"/>
      <c r="Z683" s="222"/>
      <c r="AA683" s="222"/>
      <c r="AB683" s="222"/>
    </row>
    <row r="684" spans="1:28" ht="16">
      <c r="A684" s="222"/>
      <c r="B684" s="222"/>
      <c r="C684" s="222"/>
      <c r="D684" s="222"/>
      <c r="E684" s="222"/>
      <c r="F684" s="222"/>
      <c r="G684" s="222"/>
      <c r="H684" s="222"/>
      <c r="I684" s="222"/>
      <c r="J684" s="222"/>
      <c r="K684" s="222"/>
      <c r="L684" s="223"/>
      <c r="M684" s="222"/>
      <c r="N684" s="222"/>
      <c r="O684" s="222"/>
      <c r="P684" s="222"/>
      <c r="Q684" s="222"/>
      <c r="R684" s="222"/>
      <c r="S684" s="222"/>
      <c r="T684" s="222"/>
      <c r="U684" s="222"/>
      <c r="V684" s="222"/>
      <c r="W684" s="222"/>
      <c r="X684" s="222"/>
      <c r="Y684" s="222"/>
      <c r="Z684" s="222"/>
      <c r="AA684" s="222"/>
      <c r="AB684" s="222"/>
    </row>
    <row r="685" spans="1:28" ht="16">
      <c r="A685" s="222"/>
      <c r="B685" s="222"/>
      <c r="C685" s="222"/>
      <c r="D685" s="222"/>
      <c r="E685" s="222"/>
      <c r="F685" s="222"/>
      <c r="G685" s="222"/>
      <c r="H685" s="222"/>
      <c r="I685" s="222"/>
      <c r="J685" s="222"/>
      <c r="K685" s="222"/>
      <c r="L685" s="223"/>
      <c r="M685" s="222"/>
      <c r="N685" s="222"/>
      <c r="O685" s="222"/>
      <c r="P685" s="222"/>
      <c r="Q685" s="222"/>
      <c r="R685" s="222"/>
      <c r="S685" s="222"/>
      <c r="T685" s="222"/>
      <c r="U685" s="222"/>
      <c r="V685" s="222"/>
      <c r="W685" s="222"/>
      <c r="X685" s="222"/>
      <c r="Y685" s="222"/>
      <c r="Z685" s="222"/>
      <c r="AA685" s="222"/>
      <c r="AB685" s="222"/>
    </row>
    <row r="686" spans="1:28" ht="16">
      <c r="A686" s="222"/>
      <c r="B686" s="222"/>
      <c r="C686" s="222"/>
      <c r="D686" s="222"/>
      <c r="E686" s="222"/>
      <c r="F686" s="222"/>
      <c r="G686" s="222"/>
      <c r="H686" s="222"/>
      <c r="I686" s="222"/>
      <c r="J686" s="222"/>
      <c r="K686" s="222"/>
      <c r="L686" s="223"/>
      <c r="M686" s="222"/>
      <c r="N686" s="222"/>
      <c r="O686" s="222"/>
      <c r="P686" s="222"/>
      <c r="Q686" s="222"/>
      <c r="R686" s="222"/>
      <c r="S686" s="222"/>
      <c r="T686" s="222"/>
      <c r="U686" s="222"/>
      <c r="V686" s="222"/>
      <c r="W686" s="222"/>
      <c r="X686" s="222"/>
      <c r="Y686" s="222"/>
      <c r="Z686" s="222"/>
      <c r="AA686" s="222"/>
      <c r="AB686" s="222"/>
    </row>
    <row r="687" spans="1:28" ht="16">
      <c r="A687" s="222"/>
      <c r="B687" s="222"/>
      <c r="C687" s="222"/>
      <c r="D687" s="222"/>
      <c r="E687" s="222"/>
      <c r="F687" s="222"/>
      <c r="G687" s="222"/>
      <c r="H687" s="222"/>
      <c r="I687" s="222"/>
      <c r="J687" s="222"/>
      <c r="K687" s="222"/>
      <c r="L687" s="223"/>
      <c r="M687" s="222"/>
      <c r="N687" s="222"/>
      <c r="O687" s="222"/>
      <c r="P687" s="222"/>
      <c r="Q687" s="222"/>
      <c r="R687" s="222"/>
      <c r="S687" s="222"/>
      <c r="T687" s="222"/>
      <c r="U687" s="222"/>
      <c r="V687" s="222"/>
      <c r="W687" s="222"/>
      <c r="X687" s="222"/>
      <c r="Y687" s="222"/>
      <c r="Z687" s="222"/>
      <c r="AA687" s="222"/>
      <c r="AB687" s="222"/>
    </row>
    <row r="688" spans="1:28" ht="16">
      <c r="A688" s="222"/>
      <c r="B688" s="222"/>
      <c r="C688" s="222"/>
      <c r="D688" s="222"/>
      <c r="E688" s="222"/>
      <c r="F688" s="222"/>
      <c r="G688" s="222"/>
      <c r="H688" s="222"/>
      <c r="I688" s="222"/>
      <c r="J688" s="222"/>
      <c r="K688" s="222"/>
      <c r="L688" s="223"/>
      <c r="M688" s="222"/>
      <c r="N688" s="222"/>
      <c r="O688" s="222"/>
      <c r="P688" s="222"/>
      <c r="Q688" s="222"/>
      <c r="R688" s="222"/>
      <c r="S688" s="222"/>
      <c r="T688" s="222"/>
      <c r="U688" s="222"/>
      <c r="V688" s="222"/>
      <c r="W688" s="222"/>
      <c r="X688" s="222"/>
      <c r="Y688" s="222"/>
      <c r="Z688" s="222"/>
      <c r="AA688" s="222"/>
      <c r="AB688" s="222"/>
    </row>
    <row r="689" spans="1:28" ht="16">
      <c r="A689" s="222"/>
      <c r="B689" s="222"/>
      <c r="C689" s="222"/>
      <c r="D689" s="222"/>
      <c r="E689" s="222"/>
      <c r="F689" s="222"/>
      <c r="G689" s="222"/>
      <c r="H689" s="222"/>
      <c r="I689" s="222"/>
      <c r="J689" s="222"/>
      <c r="K689" s="222"/>
      <c r="L689" s="223"/>
      <c r="M689" s="222"/>
      <c r="N689" s="222"/>
      <c r="O689" s="222"/>
      <c r="P689" s="222"/>
      <c r="Q689" s="222"/>
      <c r="R689" s="222"/>
      <c r="S689" s="222"/>
      <c r="T689" s="222"/>
      <c r="U689" s="222"/>
      <c r="V689" s="222"/>
      <c r="W689" s="222"/>
      <c r="X689" s="222"/>
      <c r="Y689" s="222"/>
      <c r="Z689" s="222"/>
      <c r="AA689" s="222"/>
      <c r="AB689" s="222"/>
    </row>
    <row r="690" spans="1:28" ht="16">
      <c r="A690" s="222"/>
      <c r="B690" s="222"/>
      <c r="C690" s="222"/>
      <c r="D690" s="222"/>
      <c r="E690" s="222"/>
      <c r="F690" s="222"/>
      <c r="G690" s="222"/>
      <c r="H690" s="222"/>
      <c r="I690" s="222"/>
      <c r="J690" s="222"/>
      <c r="K690" s="222"/>
      <c r="L690" s="223"/>
      <c r="M690" s="222"/>
      <c r="N690" s="222"/>
      <c r="O690" s="222"/>
      <c r="P690" s="222"/>
      <c r="Q690" s="222"/>
      <c r="R690" s="222"/>
      <c r="S690" s="222"/>
      <c r="T690" s="222"/>
      <c r="U690" s="222"/>
      <c r="V690" s="222"/>
      <c r="W690" s="222"/>
      <c r="X690" s="222"/>
      <c r="Y690" s="222"/>
      <c r="Z690" s="222"/>
      <c r="AA690" s="222"/>
      <c r="AB690" s="222"/>
    </row>
    <row r="691" spans="1:28" ht="16">
      <c r="A691" s="222"/>
      <c r="B691" s="222"/>
      <c r="C691" s="222"/>
      <c r="D691" s="222"/>
      <c r="E691" s="222"/>
      <c r="F691" s="222"/>
      <c r="G691" s="222"/>
      <c r="H691" s="222"/>
      <c r="I691" s="222"/>
      <c r="J691" s="222"/>
      <c r="K691" s="222"/>
      <c r="L691" s="223"/>
      <c r="M691" s="222"/>
      <c r="N691" s="222"/>
      <c r="O691" s="222"/>
      <c r="P691" s="222"/>
      <c r="Q691" s="222"/>
      <c r="R691" s="222"/>
      <c r="S691" s="222"/>
      <c r="T691" s="222"/>
      <c r="U691" s="222"/>
      <c r="V691" s="222"/>
      <c r="W691" s="222"/>
      <c r="X691" s="222"/>
      <c r="Y691" s="222"/>
      <c r="Z691" s="222"/>
      <c r="AA691" s="222"/>
      <c r="AB691" s="222"/>
    </row>
    <row r="692" spans="1:28" ht="16">
      <c r="A692" s="222"/>
      <c r="B692" s="222"/>
      <c r="C692" s="222"/>
      <c r="D692" s="222"/>
      <c r="E692" s="222"/>
      <c r="F692" s="222"/>
      <c r="G692" s="222"/>
      <c r="H692" s="222"/>
      <c r="I692" s="222"/>
      <c r="J692" s="222"/>
      <c r="K692" s="222"/>
      <c r="L692" s="223"/>
      <c r="M692" s="222"/>
      <c r="N692" s="222"/>
      <c r="O692" s="222"/>
      <c r="P692" s="222"/>
      <c r="Q692" s="222"/>
      <c r="R692" s="222"/>
      <c r="S692" s="222"/>
      <c r="T692" s="222"/>
      <c r="U692" s="222"/>
      <c r="V692" s="222"/>
      <c r="W692" s="222"/>
      <c r="X692" s="222"/>
      <c r="Y692" s="222"/>
      <c r="Z692" s="222"/>
      <c r="AA692" s="222"/>
      <c r="AB692" s="222"/>
    </row>
    <row r="693" spans="1:28" ht="16">
      <c r="A693" s="222"/>
      <c r="B693" s="222"/>
      <c r="C693" s="222"/>
      <c r="D693" s="222"/>
      <c r="E693" s="222"/>
      <c r="F693" s="222"/>
      <c r="G693" s="222"/>
      <c r="H693" s="222"/>
      <c r="I693" s="222"/>
      <c r="J693" s="222"/>
      <c r="K693" s="222"/>
      <c r="L693" s="223"/>
      <c r="M693" s="222"/>
      <c r="N693" s="222"/>
      <c r="O693" s="222"/>
      <c r="P693" s="222"/>
      <c r="Q693" s="222"/>
      <c r="R693" s="222"/>
      <c r="S693" s="222"/>
      <c r="T693" s="222"/>
      <c r="U693" s="222"/>
      <c r="V693" s="222"/>
      <c r="W693" s="222"/>
      <c r="X693" s="222"/>
      <c r="Y693" s="222"/>
      <c r="Z693" s="222"/>
      <c r="AA693" s="222"/>
      <c r="AB693" s="222"/>
    </row>
    <row r="694" spans="1:28" ht="16">
      <c r="A694" s="222"/>
      <c r="B694" s="222"/>
      <c r="C694" s="222"/>
      <c r="D694" s="222"/>
      <c r="E694" s="222"/>
      <c r="F694" s="222"/>
      <c r="G694" s="222"/>
      <c r="H694" s="222"/>
      <c r="I694" s="222"/>
      <c r="J694" s="222"/>
      <c r="K694" s="222"/>
      <c r="L694" s="223"/>
      <c r="M694" s="222"/>
      <c r="N694" s="222"/>
      <c r="O694" s="222"/>
      <c r="P694" s="222"/>
      <c r="Q694" s="222"/>
      <c r="R694" s="222"/>
      <c r="S694" s="222"/>
      <c r="T694" s="222"/>
      <c r="U694" s="222"/>
      <c r="V694" s="222"/>
      <c r="W694" s="222"/>
      <c r="X694" s="222"/>
      <c r="Y694" s="222"/>
      <c r="Z694" s="222"/>
      <c r="AA694" s="222"/>
      <c r="AB694" s="222"/>
    </row>
    <row r="695" spans="1:28" ht="16">
      <c r="A695" s="222"/>
      <c r="B695" s="222"/>
      <c r="C695" s="222"/>
      <c r="D695" s="222"/>
      <c r="E695" s="222"/>
      <c r="F695" s="222"/>
      <c r="G695" s="222"/>
      <c r="H695" s="222"/>
      <c r="I695" s="222"/>
      <c r="J695" s="222"/>
      <c r="K695" s="222"/>
      <c r="L695" s="223"/>
      <c r="M695" s="222"/>
      <c r="N695" s="222"/>
      <c r="O695" s="222"/>
      <c r="P695" s="222"/>
      <c r="Q695" s="222"/>
      <c r="R695" s="222"/>
      <c r="S695" s="222"/>
      <c r="T695" s="222"/>
      <c r="U695" s="222"/>
      <c r="V695" s="222"/>
      <c r="W695" s="222"/>
      <c r="X695" s="222"/>
      <c r="Y695" s="222"/>
      <c r="Z695" s="222"/>
      <c r="AA695" s="222"/>
      <c r="AB695" s="222"/>
    </row>
    <row r="696" spans="1:28" ht="16">
      <c r="A696" s="222"/>
      <c r="B696" s="222"/>
      <c r="C696" s="222"/>
      <c r="D696" s="222"/>
      <c r="E696" s="222"/>
      <c r="F696" s="222"/>
      <c r="G696" s="222"/>
      <c r="H696" s="222"/>
      <c r="I696" s="222"/>
      <c r="J696" s="222"/>
      <c r="K696" s="222"/>
      <c r="L696" s="223"/>
      <c r="M696" s="222"/>
      <c r="N696" s="222"/>
      <c r="O696" s="222"/>
      <c r="P696" s="222"/>
      <c r="Q696" s="222"/>
      <c r="R696" s="222"/>
      <c r="S696" s="222"/>
      <c r="T696" s="222"/>
      <c r="U696" s="222"/>
      <c r="V696" s="222"/>
      <c r="W696" s="222"/>
      <c r="X696" s="222"/>
      <c r="Y696" s="222"/>
      <c r="Z696" s="222"/>
      <c r="AA696" s="222"/>
      <c r="AB696" s="222"/>
    </row>
    <row r="697" spans="1:28" ht="16">
      <c r="A697" s="222"/>
      <c r="B697" s="222"/>
      <c r="C697" s="222"/>
      <c r="D697" s="222"/>
      <c r="E697" s="222"/>
      <c r="F697" s="222"/>
      <c r="G697" s="222"/>
      <c r="H697" s="222"/>
      <c r="I697" s="222"/>
      <c r="J697" s="222"/>
      <c r="K697" s="222"/>
      <c r="L697" s="223"/>
      <c r="M697" s="222"/>
      <c r="N697" s="222"/>
      <c r="O697" s="222"/>
      <c r="P697" s="222"/>
      <c r="Q697" s="222"/>
      <c r="R697" s="222"/>
      <c r="S697" s="222"/>
      <c r="T697" s="222"/>
      <c r="U697" s="222"/>
      <c r="V697" s="222"/>
      <c r="W697" s="222"/>
      <c r="X697" s="222"/>
      <c r="Y697" s="222"/>
      <c r="Z697" s="222"/>
      <c r="AA697" s="222"/>
      <c r="AB697" s="222"/>
    </row>
    <row r="698" spans="1:28" ht="16">
      <c r="A698" s="222"/>
      <c r="B698" s="222"/>
      <c r="C698" s="222"/>
      <c r="D698" s="222"/>
      <c r="E698" s="222"/>
      <c r="F698" s="222"/>
      <c r="G698" s="222"/>
      <c r="H698" s="222"/>
      <c r="I698" s="222"/>
      <c r="J698" s="222"/>
      <c r="K698" s="222"/>
      <c r="L698" s="223"/>
      <c r="M698" s="222"/>
      <c r="N698" s="222"/>
      <c r="O698" s="222"/>
      <c r="P698" s="222"/>
      <c r="Q698" s="222"/>
      <c r="R698" s="222"/>
      <c r="S698" s="222"/>
      <c r="T698" s="222"/>
      <c r="U698" s="222"/>
      <c r="V698" s="222"/>
      <c r="W698" s="222"/>
      <c r="X698" s="222"/>
      <c r="Y698" s="222"/>
      <c r="Z698" s="222"/>
      <c r="AA698" s="222"/>
      <c r="AB698" s="222"/>
    </row>
    <row r="699" spans="1:28" ht="16">
      <c r="A699" s="222"/>
      <c r="B699" s="222"/>
      <c r="C699" s="222"/>
      <c r="D699" s="222"/>
      <c r="E699" s="222"/>
      <c r="F699" s="222"/>
      <c r="G699" s="222"/>
      <c r="H699" s="222"/>
      <c r="I699" s="222"/>
      <c r="J699" s="222"/>
      <c r="K699" s="222"/>
      <c r="L699" s="223"/>
      <c r="M699" s="222"/>
      <c r="N699" s="222"/>
      <c r="O699" s="222"/>
      <c r="P699" s="222"/>
      <c r="Q699" s="222"/>
      <c r="R699" s="222"/>
      <c r="S699" s="222"/>
      <c r="T699" s="222"/>
      <c r="U699" s="222"/>
      <c r="V699" s="222"/>
      <c r="W699" s="222"/>
      <c r="X699" s="222"/>
      <c r="Y699" s="222"/>
      <c r="Z699" s="222"/>
      <c r="AA699" s="222"/>
      <c r="AB699" s="222"/>
    </row>
    <row r="700" spans="1:28" ht="16">
      <c r="A700" s="222"/>
      <c r="B700" s="222"/>
      <c r="C700" s="222"/>
      <c r="D700" s="222"/>
      <c r="E700" s="222"/>
      <c r="F700" s="222"/>
      <c r="G700" s="222"/>
      <c r="H700" s="222"/>
      <c r="I700" s="222"/>
      <c r="J700" s="222"/>
      <c r="K700" s="222"/>
      <c r="L700" s="223"/>
      <c r="M700" s="222"/>
      <c r="N700" s="222"/>
      <c r="O700" s="222"/>
      <c r="P700" s="222"/>
      <c r="Q700" s="222"/>
      <c r="R700" s="222"/>
      <c r="S700" s="222"/>
      <c r="T700" s="222"/>
      <c r="U700" s="222"/>
      <c r="V700" s="222"/>
      <c r="W700" s="222"/>
      <c r="X700" s="222"/>
      <c r="Y700" s="222"/>
      <c r="Z700" s="222"/>
      <c r="AA700" s="222"/>
      <c r="AB700" s="222"/>
    </row>
    <row r="701" spans="1:28" ht="16">
      <c r="A701" s="222"/>
      <c r="B701" s="222"/>
      <c r="C701" s="222"/>
      <c r="D701" s="222"/>
      <c r="E701" s="222"/>
      <c r="F701" s="222"/>
      <c r="G701" s="222"/>
      <c r="H701" s="222"/>
      <c r="I701" s="222"/>
      <c r="J701" s="222"/>
      <c r="K701" s="222"/>
      <c r="L701" s="223"/>
      <c r="M701" s="222"/>
      <c r="N701" s="222"/>
      <c r="O701" s="222"/>
      <c r="P701" s="222"/>
      <c r="Q701" s="222"/>
      <c r="R701" s="222"/>
      <c r="S701" s="222"/>
      <c r="T701" s="222"/>
      <c r="U701" s="222"/>
      <c r="V701" s="222"/>
      <c r="W701" s="222"/>
      <c r="X701" s="222"/>
      <c r="Y701" s="222"/>
      <c r="Z701" s="222"/>
      <c r="AA701" s="222"/>
      <c r="AB701" s="222"/>
    </row>
    <row r="702" spans="1:28" ht="16">
      <c r="A702" s="222"/>
      <c r="B702" s="222"/>
      <c r="C702" s="222"/>
      <c r="D702" s="222"/>
      <c r="E702" s="222"/>
      <c r="F702" s="222"/>
      <c r="G702" s="222"/>
      <c r="H702" s="222"/>
      <c r="I702" s="222"/>
      <c r="J702" s="222"/>
      <c r="K702" s="222"/>
      <c r="L702" s="223"/>
      <c r="M702" s="222"/>
      <c r="N702" s="222"/>
      <c r="O702" s="222"/>
      <c r="P702" s="222"/>
      <c r="Q702" s="222"/>
      <c r="R702" s="222"/>
      <c r="S702" s="222"/>
      <c r="T702" s="222"/>
      <c r="U702" s="222"/>
      <c r="V702" s="222"/>
      <c r="W702" s="222"/>
      <c r="X702" s="222"/>
      <c r="Y702" s="222"/>
      <c r="Z702" s="222"/>
      <c r="AA702" s="222"/>
      <c r="AB702" s="222"/>
    </row>
    <row r="703" spans="1:28" ht="16">
      <c r="A703" s="222"/>
      <c r="B703" s="222"/>
      <c r="C703" s="222"/>
      <c r="D703" s="222"/>
      <c r="E703" s="222"/>
      <c r="F703" s="222"/>
      <c r="G703" s="222"/>
      <c r="H703" s="222"/>
      <c r="I703" s="222"/>
      <c r="J703" s="222"/>
      <c r="K703" s="222"/>
      <c r="L703" s="223"/>
      <c r="M703" s="222"/>
      <c r="N703" s="222"/>
      <c r="O703" s="222"/>
      <c r="P703" s="222"/>
      <c r="Q703" s="222"/>
      <c r="R703" s="222"/>
      <c r="S703" s="222"/>
      <c r="T703" s="222"/>
      <c r="U703" s="222"/>
      <c r="V703" s="222"/>
      <c r="W703" s="222"/>
      <c r="X703" s="222"/>
      <c r="Y703" s="222"/>
      <c r="Z703" s="222"/>
      <c r="AA703" s="222"/>
      <c r="AB703" s="222"/>
    </row>
    <row r="704" spans="1:28" ht="16">
      <c r="A704" s="222"/>
      <c r="B704" s="222"/>
      <c r="C704" s="222"/>
      <c r="D704" s="222"/>
      <c r="E704" s="222"/>
      <c r="F704" s="222"/>
      <c r="G704" s="222"/>
      <c r="H704" s="222"/>
      <c r="I704" s="222"/>
      <c r="J704" s="222"/>
      <c r="K704" s="222"/>
      <c r="L704" s="223"/>
      <c r="M704" s="222"/>
      <c r="N704" s="222"/>
      <c r="O704" s="222"/>
      <c r="P704" s="222"/>
      <c r="Q704" s="222"/>
      <c r="R704" s="222"/>
      <c r="S704" s="222"/>
      <c r="T704" s="222"/>
      <c r="U704" s="222"/>
      <c r="V704" s="222"/>
      <c r="W704" s="222"/>
      <c r="X704" s="222"/>
      <c r="Y704" s="222"/>
      <c r="Z704" s="222"/>
      <c r="AA704" s="222"/>
      <c r="AB704" s="222"/>
    </row>
    <row r="705" spans="1:28" ht="16">
      <c r="A705" s="222"/>
      <c r="B705" s="222"/>
      <c r="C705" s="222"/>
      <c r="D705" s="222"/>
      <c r="E705" s="222"/>
      <c r="F705" s="222"/>
      <c r="G705" s="222"/>
      <c r="H705" s="222"/>
      <c r="I705" s="222"/>
      <c r="J705" s="222"/>
      <c r="K705" s="222"/>
      <c r="L705" s="223"/>
      <c r="M705" s="222"/>
      <c r="N705" s="222"/>
      <c r="O705" s="222"/>
      <c r="P705" s="222"/>
      <c r="Q705" s="222"/>
      <c r="R705" s="222"/>
      <c r="S705" s="222"/>
      <c r="T705" s="222"/>
      <c r="U705" s="222"/>
      <c r="V705" s="222"/>
      <c r="W705" s="222"/>
      <c r="X705" s="222"/>
      <c r="Y705" s="222"/>
      <c r="Z705" s="222"/>
      <c r="AA705" s="222"/>
      <c r="AB705" s="222"/>
    </row>
    <row r="706" spans="1:28" ht="16">
      <c r="A706" s="222"/>
      <c r="B706" s="222"/>
      <c r="C706" s="222"/>
      <c r="D706" s="222"/>
      <c r="E706" s="222"/>
      <c r="F706" s="222"/>
      <c r="G706" s="222"/>
      <c r="H706" s="222"/>
      <c r="I706" s="222"/>
      <c r="J706" s="222"/>
      <c r="K706" s="222"/>
      <c r="L706" s="223"/>
      <c r="M706" s="222"/>
      <c r="N706" s="222"/>
      <c r="O706" s="222"/>
      <c r="P706" s="222"/>
      <c r="Q706" s="222"/>
      <c r="R706" s="222"/>
      <c r="S706" s="222"/>
      <c r="T706" s="222"/>
      <c r="U706" s="222"/>
      <c r="V706" s="222"/>
      <c r="W706" s="222"/>
      <c r="X706" s="222"/>
      <c r="Y706" s="222"/>
      <c r="Z706" s="222"/>
      <c r="AA706" s="222"/>
      <c r="AB706" s="222"/>
    </row>
    <row r="707" spans="1:28" ht="16">
      <c r="A707" s="222"/>
      <c r="B707" s="222"/>
      <c r="C707" s="222"/>
      <c r="D707" s="222"/>
      <c r="E707" s="222"/>
      <c r="F707" s="222"/>
      <c r="G707" s="222"/>
      <c r="H707" s="222"/>
      <c r="I707" s="222"/>
      <c r="J707" s="222"/>
      <c r="K707" s="222"/>
      <c r="L707" s="223"/>
      <c r="M707" s="222"/>
      <c r="N707" s="222"/>
      <c r="O707" s="222"/>
      <c r="P707" s="222"/>
      <c r="Q707" s="222"/>
      <c r="R707" s="222"/>
      <c r="S707" s="222"/>
      <c r="T707" s="222"/>
      <c r="U707" s="222"/>
      <c r="V707" s="222"/>
      <c r="W707" s="222"/>
      <c r="X707" s="222"/>
      <c r="Y707" s="222"/>
      <c r="Z707" s="222"/>
      <c r="AA707" s="222"/>
      <c r="AB707" s="222"/>
    </row>
    <row r="708" spans="1:28" ht="16">
      <c r="A708" s="222"/>
      <c r="B708" s="222"/>
      <c r="C708" s="222"/>
      <c r="D708" s="222"/>
      <c r="E708" s="222"/>
      <c r="F708" s="222"/>
      <c r="G708" s="222"/>
      <c r="H708" s="222"/>
      <c r="I708" s="222"/>
      <c r="J708" s="222"/>
      <c r="K708" s="222"/>
      <c r="L708" s="223"/>
      <c r="M708" s="222"/>
      <c r="N708" s="222"/>
      <c r="O708" s="222"/>
      <c r="P708" s="222"/>
      <c r="Q708" s="222"/>
      <c r="R708" s="222"/>
      <c r="S708" s="222"/>
      <c r="T708" s="222"/>
      <c r="U708" s="222"/>
      <c r="V708" s="222"/>
      <c r="W708" s="222"/>
      <c r="X708" s="222"/>
      <c r="Y708" s="222"/>
      <c r="Z708" s="222"/>
      <c r="AA708" s="222"/>
      <c r="AB708" s="222"/>
    </row>
    <row r="709" spans="1:28" ht="16">
      <c r="A709" s="222"/>
      <c r="B709" s="222"/>
      <c r="C709" s="222"/>
      <c r="D709" s="222"/>
      <c r="E709" s="222"/>
      <c r="F709" s="222"/>
      <c r="G709" s="222"/>
      <c r="H709" s="222"/>
      <c r="I709" s="222"/>
      <c r="J709" s="222"/>
      <c r="K709" s="222"/>
      <c r="L709" s="223"/>
      <c r="M709" s="222"/>
      <c r="N709" s="222"/>
      <c r="O709" s="222"/>
      <c r="P709" s="222"/>
      <c r="Q709" s="222"/>
      <c r="R709" s="222"/>
      <c r="S709" s="222"/>
      <c r="T709" s="222"/>
      <c r="U709" s="222"/>
      <c r="V709" s="222"/>
      <c r="W709" s="222"/>
      <c r="X709" s="222"/>
      <c r="Y709" s="222"/>
      <c r="Z709" s="222"/>
      <c r="AA709" s="222"/>
      <c r="AB709" s="222"/>
    </row>
    <row r="710" spans="1:28" ht="16">
      <c r="A710" s="222"/>
      <c r="B710" s="222"/>
      <c r="C710" s="222"/>
      <c r="D710" s="222"/>
      <c r="E710" s="222"/>
      <c r="F710" s="222"/>
      <c r="G710" s="222"/>
      <c r="H710" s="222"/>
      <c r="I710" s="222"/>
      <c r="J710" s="222"/>
      <c r="K710" s="222"/>
      <c r="L710" s="223"/>
      <c r="M710" s="222"/>
      <c r="N710" s="222"/>
      <c r="O710" s="222"/>
      <c r="P710" s="222"/>
      <c r="Q710" s="222"/>
      <c r="R710" s="222"/>
      <c r="S710" s="222"/>
      <c r="T710" s="222"/>
      <c r="U710" s="222"/>
      <c r="V710" s="222"/>
      <c r="W710" s="222"/>
      <c r="X710" s="222"/>
      <c r="Y710" s="222"/>
      <c r="Z710" s="222"/>
      <c r="AA710" s="222"/>
      <c r="AB710" s="222"/>
    </row>
    <row r="711" spans="1:28" ht="16">
      <c r="A711" s="222"/>
      <c r="B711" s="222"/>
      <c r="C711" s="222"/>
      <c r="D711" s="222"/>
      <c r="E711" s="222"/>
      <c r="F711" s="222"/>
      <c r="G711" s="222"/>
      <c r="H711" s="222"/>
      <c r="I711" s="222"/>
      <c r="J711" s="222"/>
      <c r="K711" s="222"/>
      <c r="L711" s="223"/>
      <c r="M711" s="222"/>
      <c r="N711" s="222"/>
      <c r="O711" s="222"/>
      <c r="P711" s="222"/>
      <c r="Q711" s="222"/>
      <c r="R711" s="222"/>
      <c r="S711" s="222"/>
      <c r="T711" s="222"/>
      <c r="U711" s="222"/>
      <c r="V711" s="222"/>
      <c r="W711" s="222"/>
      <c r="X711" s="222"/>
      <c r="Y711" s="222"/>
      <c r="Z711" s="222"/>
      <c r="AA711" s="222"/>
      <c r="AB711" s="222"/>
    </row>
    <row r="712" spans="1:28" ht="16">
      <c r="A712" s="222"/>
      <c r="B712" s="222"/>
      <c r="C712" s="222"/>
      <c r="D712" s="222"/>
      <c r="E712" s="222"/>
      <c r="F712" s="222"/>
      <c r="G712" s="222"/>
      <c r="H712" s="222"/>
      <c r="I712" s="222"/>
      <c r="J712" s="222"/>
      <c r="K712" s="222"/>
      <c r="L712" s="223"/>
      <c r="M712" s="222"/>
      <c r="N712" s="222"/>
      <c r="O712" s="222"/>
      <c r="P712" s="222"/>
      <c r="Q712" s="222"/>
      <c r="R712" s="222"/>
      <c r="S712" s="222"/>
      <c r="T712" s="222"/>
      <c r="U712" s="222"/>
      <c r="V712" s="222"/>
      <c r="W712" s="222"/>
      <c r="X712" s="222"/>
      <c r="Y712" s="222"/>
      <c r="Z712" s="222"/>
      <c r="AA712" s="222"/>
      <c r="AB712" s="222"/>
    </row>
    <row r="713" spans="1:28" ht="16">
      <c r="A713" s="222"/>
      <c r="B713" s="222"/>
      <c r="C713" s="222"/>
      <c r="D713" s="222"/>
      <c r="E713" s="222"/>
      <c r="F713" s="222"/>
      <c r="G713" s="222"/>
      <c r="H713" s="222"/>
      <c r="I713" s="222"/>
      <c r="J713" s="222"/>
      <c r="K713" s="222"/>
      <c r="L713" s="223"/>
      <c r="M713" s="222"/>
      <c r="N713" s="222"/>
      <c r="O713" s="222"/>
      <c r="P713" s="222"/>
      <c r="Q713" s="222"/>
      <c r="R713" s="222"/>
      <c r="S713" s="222"/>
      <c r="T713" s="222"/>
      <c r="U713" s="222"/>
      <c r="V713" s="222"/>
      <c r="W713" s="222"/>
      <c r="X713" s="222"/>
      <c r="Y713" s="222"/>
      <c r="Z713" s="222"/>
      <c r="AA713" s="222"/>
      <c r="AB713" s="222"/>
    </row>
    <row r="714" spans="1:28" ht="16">
      <c r="A714" s="222"/>
      <c r="B714" s="222"/>
      <c r="C714" s="222"/>
      <c r="D714" s="222"/>
      <c r="E714" s="222"/>
      <c r="F714" s="222"/>
      <c r="G714" s="222"/>
      <c r="H714" s="222"/>
      <c r="I714" s="222"/>
      <c r="J714" s="222"/>
      <c r="K714" s="222"/>
      <c r="L714" s="223"/>
      <c r="M714" s="222"/>
      <c r="N714" s="222"/>
      <c r="O714" s="222"/>
      <c r="P714" s="222"/>
      <c r="Q714" s="222"/>
      <c r="R714" s="222"/>
      <c r="S714" s="222"/>
      <c r="T714" s="222"/>
      <c r="U714" s="222"/>
      <c r="V714" s="222"/>
      <c r="W714" s="222"/>
      <c r="X714" s="222"/>
      <c r="Y714" s="222"/>
      <c r="Z714" s="222"/>
      <c r="AA714" s="222"/>
      <c r="AB714" s="222"/>
    </row>
    <row r="715" spans="1:28" ht="16">
      <c r="A715" s="222"/>
      <c r="B715" s="222"/>
      <c r="C715" s="222"/>
      <c r="D715" s="222"/>
      <c r="E715" s="222"/>
      <c r="F715" s="222"/>
      <c r="G715" s="222"/>
      <c r="H715" s="222"/>
      <c r="I715" s="222"/>
      <c r="J715" s="222"/>
      <c r="K715" s="222"/>
      <c r="L715" s="223"/>
      <c r="M715" s="222"/>
      <c r="N715" s="222"/>
      <c r="O715" s="222"/>
      <c r="P715" s="222"/>
      <c r="Q715" s="222"/>
      <c r="R715" s="222"/>
      <c r="S715" s="222"/>
      <c r="T715" s="222"/>
      <c r="U715" s="222"/>
      <c r="V715" s="222"/>
      <c r="W715" s="222"/>
      <c r="X715" s="222"/>
      <c r="Y715" s="222"/>
      <c r="Z715" s="222"/>
      <c r="AA715" s="222"/>
      <c r="AB715" s="222"/>
    </row>
    <row r="716" spans="1:28" ht="16">
      <c r="A716" s="222"/>
      <c r="B716" s="222"/>
      <c r="C716" s="222"/>
      <c r="D716" s="222"/>
      <c r="E716" s="222"/>
      <c r="F716" s="222"/>
      <c r="G716" s="222"/>
      <c r="H716" s="222"/>
      <c r="I716" s="222"/>
      <c r="J716" s="222"/>
      <c r="K716" s="222"/>
      <c r="L716" s="223"/>
      <c r="M716" s="222"/>
      <c r="N716" s="222"/>
      <c r="O716" s="222"/>
      <c r="P716" s="222"/>
      <c r="Q716" s="222"/>
      <c r="R716" s="222"/>
      <c r="S716" s="222"/>
      <c r="T716" s="222"/>
      <c r="U716" s="222"/>
      <c r="V716" s="222"/>
      <c r="W716" s="222"/>
      <c r="X716" s="222"/>
      <c r="Y716" s="222"/>
      <c r="Z716" s="222"/>
      <c r="AA716" s="222"/>
      <c r="AB716" s="222"/>
    </row>
    <row r="717" spans="1:28" ht="16">
      <c r="A717" s="222"/>
      <c r="B717" s="222"/>
      <c r="C717" s="222"/>
      <c r="D717" s="222"/>
      <c r="E717" s="222"/>
      <c r="F717" s="222"/>
      <c r="G717" s="222"/>
      <c r="H717" s="222"/>
      <c r="I717" s="222"/>
      <c r="J717" s="222"/>
      <c r="K717" s="222"/>
      <c r="L717" s="223"/>
      <c r="M717" s="222"/>
      <c r="N717" s="222"/>
      <c r="O717" s="222"/>
      <c r="P717" s="222"/>
      <c r="Q717" s="222"/>
      <c r="R717" s="222"/>
      <c r="S717" s="222"/>
      <c r="T717" s="222"/>
      <c r="U717" s="222"/>
      <c r="V717" s="222"/>
      <c r="W717" s="222"/>
      <c r="X717" s="222"/>
      <c r="Y717" s="222"/>
      <c r="Z717" s="222"/>
      <c r="AA717" s="222"/>
      <c r="AB717" s="222"/>
    </row>
    <row r="718" spans="1:28" ht="16">
      <c r="A718" s="222"/>
      <c r="B718" s="222"/>
      <c r="C718" s="222"/>
      <c r="D718" s="222"/>
      <c r="E718" s="222"/>
      <c r="F718" s="222"/>
      <c r="G718" s="222"/>
      <c r="H718" s="222"/>
      <c r="I718" s="222"/>
      <c r="J718" s="222"/>
      <c r="K718" s="222"/>
      <c r="L718" s="223"/>
      <c r="M718" s="222"/>
      <c r="N718" s="222"/>
      <c r="O718" s="222"/>
      <c r="P718" s="222"/>
      <c r="Q718" s="222"/>
      <c r="R718" s="222"/>
      <c r="S718" s="222"/>
      <c r="T718" s="222"/>
      <c r="U718" s="222"/>
      <c r="V718" s="222"/>
      <c r="W718" s="222"/>
      <c r="X718" s="222"/>
      <c r="Y718" s="222"/>
      <c r="Z718" s="222"/>
      <c r="AA718" s="222"/>
      <c r="AB718" s="222"/>
    </row>
    <row r="719" spans="1:28" ht="16">
      <c r="A719" s="222"/>
      <c r="B719" s="222"/>
      <c r="C719" s="222"/>
      <c r="D719" s="222"/>
      <c r="E719" s="222"/>
      <c r="F719" s="222"/>
      <c r="G719" s="222"/>
      <c r="H719" s="222"/>
      <c r="I719" s="222"/>
      <c r="J719" s="222"/>
      <c r="K719" s="222"/>
      <c r="L719" s="223"/>
      <c r="M719" s="222"/>
      <c r="N719" s="222"/>
      <c r="O719" s="222"/>
      <c r="P719" s="222"/>
      <c r="Q719" s="222"/>
      <c r="R719" s="222"/>
      <c r="S719" s="222"/>
      <c r="T719" s="222"/>
      <c r="U719" s="222"/>
      <c r="V719" s="222"/>
      <c r="W719" s="222"/>
      <c r="X719" s="222"/>
      <c r="Y719" s="222"/>
      <c r="Z719" s="222"/>
      <c r="AA719" s="222"/>
      <c r="AB719" s="222"/>
    </row>
    <row r="720" spans="1:28" ht="16">
      <c r="A720" s="222"/>
      <c r="B720" s="222"/>
      <c r="C720" s="222"/>
      <c r="D720" s="222"/>
      <c r="E720" s="222"/>
      <c r="F720" s="222"/>
      <c r="G720" s="222"/>
      <c r="H720" s="222"/>
      <c r="I720" s="222"/>
      <c r="J720" s="222"/>
      <c r="K720" s="222"/>
      <c r="L720" s="223"/>
      <c r="M720" s="222"/>
      <c r="N720" s="222"/>
      <c r="O720" s="222"/>
      <c r="P720" s="222"/>
      <c r="Q720" s="222"/>
      <c r="R720" s="222"/>
      <c r="S720" s="222"/>
      <c r="T720" s="222"/>
      <c r="U720" s="222"/>
      <c r="V720" s="222"/>
      <c r="W720" s="222"/>
      <c r="X720" s="222"/>
      <c r="Y720" s="222"/>
      <c r="Z720" s="222"/>
      <c r="AA720" s="222"/>
      <c r="AB720" s="222"/>
    </row>
    <row r="721" spans="1:28" ht="16">
      <c r="A721" s="222"/>
      <c r="B721" s="222"/>
      <c r="C721" s="222"/>
      <c r="D721" s="222"/>
      <c r="E721" s="222"/>
      <c r="F721" s="222"/>
      <c r="G721" s="222"/>
      <c r="H721" s="222"/>
      <c r="I721" s="222"/>
      <c r="J721" s="222"/>
      <c r="K721" s="222"/>
      <c r="L721" s="223"/>
      <c r="M721" s="222"/>
      <c r="N721" s="222"/>
      <c r="O721" s="222"/>
      <c r="P721" s="222"/>
      <c r="Q721" s="222"/>
      <c r="R721" s="222"/>
      <c r="S721" s="222"/>
      <c r="T721" s="222"/>
      <c r="U721" s="222"/>
      <c r="V721" s="222"/>
      <c r="W721" s="222"/>
      <c r="X721" s="222"/>
      <c r="Y721" s="222"/>
      <c r="Z721" s="222"/>
      <c r="AA721" s="222"/>
      <c r="AB721" s="222"/>
    </row>
    <row r="722" spans="1:28" ht="16">
      <c r="A722" s="222"/>
      <c r="B722" s="222"/>
      <c r="C722" s="222"/>
      <c r="D722" s="222"/>
      <c r="E722" s="222"/>
      <c r="F722" s="222"/>
      <c r="G722" s="222"/>
      <c r="H722" s="222"/>
      <c r="I722" s="222"/>
      <c r="J722" s="222"/>
      <c r="K722" s="222"/>
      <c r="L722" s="223"/>
      <c r="M722" s="222"/>
      <c r="N722" s="222"/>
      <c r="O722" s="222"/>
      <c r="P722" s="222"/>
      <c r="Q722" s="222"/>
      <c r="R722" s="222"/>
      <c r="S722" s="222"/>
      <c r="T722" s="222"/>
      <c r="U722" s="222"/>
      <c r="V722" s="222"/>
      <c r="W722" s="222"/>
      <c r="X722" s="222"/>
      <c r="Y722" s="222"/>
      <c r="Z722" s="222"/>
      <c r="AA722" s="222"/>
      <c r="AB722" s="222"/>
    </row>
    <row r="723" spans="1:28" ht="16">
      <c r="A723" s="222"/>
      <c r="B723" s="222"/>
      <c r="C723" s="222"/>
      <c r="D723" s="222"/>
      <c r="E723" s="222"/>
      <c r="F723" s="222"/>
      <c r="G723" s="222"/>
      <c r="H723" s="222"/>
      <c r="I723" s="222"/>
      <c r="J723" s="222"/>
      <c r="K723" s="222"/>
      <c r="L723" s="223"/>
      <c r="M723" s="222"/>
      <c r="N723" s="222"/>
      <c r="O723" s="222"/>
      <c r="P723" s="222"/>
      <c r="Q723" s="222"/>
      <c r="R723" s="222"/>
      <c r="S723" s="222"/>
      <c r="T723" s="222"/>
      <c r="U723" s="222"/>
      <c r="V723" s="222"/>
      <c r="W723" s="222"/>
      <c r="X723" s="222"/>
      <c r="Y723" s="222"/>
      <c r="Z723" s="222"/>
      <c r="AA723" s="222"/>
      <c r="AB723" s="222"/>
    </row>
    <row r="724" spans="1:28" ht="16">
      <c r="A724" s="222"/>
      <c r="B724" s="222"/>
      <c r="C724" s="222"/>
      <c r="D724" s="222"/>
      <c r="E724" s="222"/>
      <c r="F724" s="222"/>
      <c r="G724" s="222"/>
      <c r="H724" s="222"/>
      <c r="I724" s="222"/>
      <c r="J724" s="222"/>
      <c r="K724" s="222"/>
      <c r="L724" s="223"/>
      <c r="M724" s="222"/>
      <c r="N724" s="222"/>
      <c r="O724" s="222"/>
      <c r="P724" s="222"/>
      <c r="Q724" s="222"/>
      <c r="R724" s="222"/>
      <c r="S724" s="222"/>
      <c r="T724" s="222"/>
      <c r="U724" s="222"/>
      <c r="V724" s="222"/>
      <c r="W724" s="222"/>
      <c r="X724" s="222"/>
      <c r="Y724" s="222"/>
      <c r="Z724" s="222"/>
      <c r="AA724" s="222"/>
      <c r="AB724" s="222"/>
    </row>
    <row r="725" spans="1:28" ht="16">
      <c r="A725" s="222"/>
      <c r="B725" s="222"/>
      <c r="C725" s="222"/>
      <c r="D725" s="222"/>
      <c r="E725" s="222"/>
      <c r="F725" s="222"/>
      <c r="G725" s="222"/>
      <c r="H725" s="222"/>
      <c r="I725" s="222"/>
      <c r="J725" s="222"/>
      <c r="K725" s="222"/>
      <c r="L725" s="223"/>
      <c r="M725" s="222"/>
      <c r="N725" s="222"/>
      <c r="O725" s="222"/>
      <c r="P725" s="222"/>
      <c r="Q725" s="222"/>
      <c r="R725" s="222"/>
      <c r="S725" s="222"/>
      <c r="T725" s="222"/>
      <c r="U725" s="222"/>
      <c r="V725" s="222"/>
      <c r="W725" s="222"/>
      <c r="X725" s="222"/>
      <c r="Y725" s="222"/>
      <c r="Z725" s="222"/>
      <c r="AA725" s="222"/>
      <c r="AB725" s="222"/>
    </row>
    <row r="726" spans="1:28" ht="16">
      <c r="A726" s="222"/>
      <c r="B726" s="222"/>
      <c r="C726" s="222"/>
      <c r="D726" s="222"/>
      <c r="E726" s="222"/>
      <c r="F726" s="222"/>
      <c r="G726" s="222"/>
      <c r="H726" s="222"/>
      <c r="I726" s="222"/>
      <c r="J726" s="222"/>
      <c r="K726" s="222"/>
      <c r="L726" s="223"/>
      <c r="M726" s="222"/>
      <c r="N726" s="222"/>
      <c r="O726" s="222"/>
      <c r="P726" s="222"/>
      <c r="Q726" s="222"/>
      <c r="R726" s="222"/>
      <c r="S726" s="222"/>
      <c r="T726" s="222"/>
      <c r="U726" s="222"/>
      <c r="V726" s="222"/>
      <c r="W726" s="222"/>
      <c r="X726" s="222"/>
      <c r="Y726" s="222"/>
      <c r="Z726" s="222"/>
      <c r="AA726" s="222"/>
      <c r="AB726" s="222"/>
    </row>
    <row r="727" spans="1:28" ht="16">
      <c r="A727" s="222"/>
      <c r="B727" s="222"/>
      <c r="C727" s="222"/>
      <c r="D727" s="222"/>
      <c r="E727" s="222"/>
      <c r="F727" s="222"/>
      <c r="G727" s="222"/>
      <c r="H727" s="222"/>
      <c r="I727" s="222"/>
      <c r="J727" s="222"/>
      <c r="K727" s="222"/>
      <c r="L727" s="223"/>
      <c r="M727" s="222"/>
      <c r="N727" s="222"/>
      <c r="O727" s="222"/>
      <c r="P727" s="222"/>
      <c r="Q727" s="222"/>
      <c r="R727" s="222"/>
      <c r="S727" s="222"/>
      <c r="T727" s="222"/>
      <c r="U727" s="222"/>
      <c r="V727" s="222"/>
      <c r="W727" s="222"/>
      <c r="X727" s="222"/>
      <c r="Y727" s="222"/>
      <c r="Z727" s="222"/>
      <c r="AA727" s="222"/>
      <c r="AB727" s="222"/>
    </row>
    <row r="728" spans="1:28" ht="16">
      <c r="A728" s="222"/>
      <c r="B728" s="222"/>
      <c r="C728" s="222"/>
      <c r="D728" s="222"/>
      <c r="E728" s="222"/>
      <c r="F728" s="222"/>
      <c r="G728" s="222"/>
      <c r="H728" s="222"/>
      <c r="I728" s="222"/>
      <c r="J728" s="222"/>
      <c r="K728" s="222"/>
      <c r="L728" s="223"/>
      <c r="M728" s="222"/>
      <c r="N728" s="222"/>
      <c r="O728" s="222"/>
      <c r="P728" s="222"/>
      <c r="Q728" s="222"/>
      <c r="R728" s="222"/>
      <c r="S728" s="222"/>
      <c r="T728" s="222"/>
      <c r="U728" s="222"/>
      <c r="V728" s="222"/>
      <c r="W728" s="222"/>
      <c r="X728" s="222"/>
      <c r="Y728" s="222"/>
      <c r="Z728" s="222"/>
      <c r="AA728" s="222"/>
      <c r="AB728" s="222"/>
    </row>
    <row r="729" spans="1:28" ht="16">
      <c r="A729" s="222"/>
      <c r="B729" s="222"/>
      <c r="C729" s="222"/>
      <c r="D729" s="222"/>
      <c r="E729" s="222"/>
      <c r="F729" s="222"/>
      <c r="G729" s="222"/>
      <c r="H729" s="222"/>
      <c r="I729" s="222"/>
      <c r="J729" s="222"/>
      <c r="K729" s="222"/>
      <c r="L729" s="223"/>
      <c r="M729" s="222"/>
      <c r="N729" s="222"/>
      <c r="O729" s="222"/>
      <c r="P729" s="222"/>
      <c r="Q729" s="222"/>
      <c r="R729" s="222"/>
      <c r="S729" s="222"/>
      <c r="T729" s="222"/>
      <c r="U729" s="222"/>
      <c r="V729" s="222"/>
      <c r="W729" s="222"/>
      <c r="X729" s="222"/>
      <c r="Y729" s="222"/>
      <c r="Z729" s="222"/>
      <c r="AA729" s="222"/>
      <c r="AB729" s="222"/>
    </row>
    <row r="730" spans="1:28" ht="16">
      <c r="A730" s="222"/>
      <c r="B730" s="222"/>
      <c r="C730" s="222"/>
      <c r="D730" s="222"/>
      <c r="E730" s="222"/>
      <c r="F730" s="222"/>
      <c r="G730" s="222"/>
      <c r="H730" s="222"/>
      <c r="I730" s="222"/>
      <c r="J730" s="222"/>
      <c r="K730" s="222"/>
      <c r="L730" s="223"/>
      <c r="M730" s="222"/>
      <c r="N730" s="222"/>
      <c r="O730" s="222"/>
      <c r="P730" s="222"/>
      <c r="Q730" s="222"/>
      <c r="R730" s="222"/>
      <c r="S730" s="222"/>
      <c r="T730" s="222"/>
      <c r="U730" s="222"/>
      <c r="V730" s="222"/>
      <c r="W730" s="222"/>
      <c r="X730" s="222"/>
      <c r="Y730" s="222"/>
      <c r="Z730" s="222"/>
      <c r="AA730" s="222"/>
      <c r="AB730" s="222"/>
    </row>
    <row r="731" spans="1:28" ht="16">
      <c r="A731" s="222"/>
      <c r="B731" s="222"/>
      <c r="C731" s="222"/>
      <c r="D731" s="222"/>
      <c r="E731" s="222"/>
      <c r="F731" s="222"/>
      <c r="G731" s="222"/>
      <c r="H731" s="222"/>
      <c r="I731" s="222"/>
      <c r="J731" s="222"/>
      <c r="K731" s="222"/>
      <c r="L731" s="223"/>
      <c r="M731" s="222"/>
      <c r="N731" s="222"/>
      <c r="O731" s="222"/>
      <c r="P731" s="222"/>
      <c r="Q731" s="222"/>
      <c r="R731" s="222"/>
      <c r="S731" s="222"/>
      <c r="T731" s="222"/>
      <c r="U731" s="222"/>
      <c r="V731" s="222"/>
      <c r="W731" s="222"/>
      <c r="X731" s="222"/>
      <c r="Y731" s="222"/>
      <c r="Z731" s="222"/>
      <c r="AA731" s="222"/>
      <c r="AB731" s="222"/>
    </row>
    <row r="732" spans="1:28" ht="16">
      <c r="A732" s="222"/>
      <c r="B732" s="222"/>
      <c r="C732" s="222"/>
      <c r="D732" s="222"/>
      <c r="E732" s="222"/>
      <c r="F732" s="222"/>
      <c r="G732" s="222"/>
      <c r="H732" s="222"/>
      <c r="I732" s="222"/>
      <c r="J732" s="222"/>
      <c r="K732" s="222"/>
      <c r="L732" s="223"/>
      <c r="M732" s="222"/>
      <c r="N732" s="222"/>
      <c r="O732" s="222"/>
      <c r="P732" s="222"/>
      <c r="Q732" s="222"/>
      <c r="R732" s="222"/>
      <c r="S732" s="222"/>
      <c r="T732" s="222"/>
      <c r="U732" s="222"/>
      <c r="V732" s="222"/>
      <c r="W732" s="222"/>
      <c r="X732" s="222"/>
      <c r="Y732" s="222"/>
      <c r="Z732" s="222"/>
      <c r="AA732" s="222"/>
      <c r="AB732" s="222"/>
    </row>
    <row r="733" spans="1:28" ht="16">
      <c r="A733" s="222"/>
      <c r="B733" s="222"/>
      <c r="C733" s="222"/>
      <c r="D733" s="222"/>
      <c r="E733" s="222"/>
      <c r="F733" s="222"/>
      <c r="G733" s="222"/>
      <c r="H733" s="222"/>
      <c r="I733" s="222"/>
      <c r="J733" s="222"/>
      <c r="K733" s="222"/>
      <c r="L733" s="223"/>
      <c r="M733" s="222"/>
      <c r="N733" s="222"/>
      <c r="O733" s="222"/>
      <c r="P733" s="222"/>
      <c r="Q733" s="222"/>
      <c r="R733" s="222"/>
      <c r="S733" s="222"/>
      <c r="T733" s="222"/>
      <c r="U733" s="222"/>
      <c r="V733" s="222"/>
      <c r="W733" s="222"/>
      <c r="X733" s="222"/>
      <c r="Y733" s="222"/>
      <c r="Z733" s="222"/>
      <c r="AA733" s="222"/>
      <c r="AB733" s="222"/>
    </row>
    <row r="734" spans="1:28" ht="16">
      <c r="A734" s="222"/>
      <c r="B734" s="222"/>
      <c r="C734" s="222"/>
      <c r="D734" s="222"/>
      <c r="E734" s="222"/>
      <c r="F734" s="222"/>
      <c r="G734" s="222"/>
      <c r="H734" s="222"/>
      <c r="I734" s="222"/>
      <c r="J734" s="222"/>
      <c r="K734" s="222"/>
      <c r="L734" s="223"/>
      <c r="M734" s="222"/>
      <c r="N734" s="222"/>
      <c r="O734" s="222"/>
      <c r="P734" s="222"/>
      <c r="Q734" s="222"/>
      <c r="R734" s="222"/>
      <c r="S734" s="222"/>
      <c r="T734" s="222"/>
      <c r="U734" s="222"/>
      <c r="V734" s="222"/>
      <c r="W734" s="222"/>
      <c r="X734" s="222"/>
      <c r="Y734" s="222"/>
      <c r="Z734" s="222"/>
      <c r="AA734" s="222"/>
      <c r="AB734" s="222"/>
    </row>
    <row r="735" spans="1:28" ht="16">
      <c r="A735" s="222"/>
      <c r="B735" s="222"/>
      <c r="C735" s="222"/>
      <c r="D735" s="222"/>
      <c r="E735" s="222"/>
      <c r="F735" s="222"/>
      <c r="G735" s="222"/>
      <c r="H735" s="222"/>
      <c r="I735" s="222"/>
      <c r="J735" s="222"/>
      <c r="K735" s="222"/>
      <c r="L735" s="223"/>
      <c r="M735" s="222"/>
      <c r="N735" s="222"/>
      <c r="O735" s="222"/>
      <c r="P735" s="222"/>
      <c r="Q735" s="222"/>
      <c r="R735" s="222"/>
      <c r="S735" s="222"/>
      <c r="T735" s="222"/>
      <c r="U735" s="222"/>
      <c r="V735" s="222"/>
      <c r="W735" s="222"/>
      <c r="X735" s="222"/>
      <c r="Y735" s="222"/>
      <c r="Z735" s="222"/>
      <c r="AA735" s="222"/>
      <c r="AB735" s="222"/>
    </row>
    <row r="736" spans="1:28" ht="16">
      <c r="A736" s="222"/>
      <c r="B736" s="222"/>
      <c r="C736" s="222"/>
      <c r="D736" s="222"/>
      <c r="E736" s="222"/>
      <c r="F736" s="222"/>
      <c r="G736" s="222"/>
      <c r="H736" s="222"/>
      <c r="I736" s="222"/>
      <c r="J736" s="222"/>
      <c r="K736" s="222"/>
      <c r="L736" s="223"/>
      <c r="M736" s="222"/>
      <c r="N736" s="222"/>
      <c r="O736" s="222"/>
      <c r="P736" s="222"/>
      <c r="Q736" s="222"/>
      <c r="R736" s="222"/>
      <c r="S736" s="222"/>
      <c r="T736" s="222"/>
      <c r="U736" s="222"/>
      <c r="V736" s="222"/>
      <c r="W736" s="222"/>
      <c r="X736" s="222"/>
      <c r="Y736" s="222"/>
      <c r="Z736" s="222"/>
      <c r="AA736" s="222"/>
      <c r="AB736" s="222"/>
    </row>
    <row r="737" spans="1:28" ht="16">
      <c r="A737" s="222"/>
      <c r="B737" s="222"/>
      <c r="C737" s="222"/>
      <c r="D737" s="222"/>
      <c r="E737" s="222"/>
      <c r="F737" s="222"/>
      <c r="G737" s="222"/>
      <c r="H737" s="222"/>
      <c r="I737" s="222"/>
      <c r="J737" s="222"/>
      <c r="K737" s="222"/>
      <c r="L737" s="223"/>
      <c r="M737" s="222"/>
      <c r="N737" s="222"/>
      <c r="O737" s="222"/>
      <c r="P737" s="222"/>
      <c r="Q737" s="222"/>
      <c r="R737" s="222"/>
      <c r="S737" s="222"/>
      <c r="T737" s="222"/>
      <c r="U737" s="222"/>
      <c r="V737" s="222"/>
      <c r="W737" s="222"/>
      <c r="X737" s="222"/>
      <c r="Y737" s="222"/>
      <c r="Z737" s="222"/>
      <c r="AA737" s="222"/>
      <c r="AB737" s="222"/>
    </row>
    <row r="738" spans="1:28" ht="16">
      <c r="A738" s="222"/>
      <c r="B738" s="222"/>
      <c r="C738" s="222"/>
      <c r="D738" s="222"/>
      <c r="E738" s="222"/>
      <c r="F738" s="222"/>
      <c r="G738" s="222"/>
      <c r="H738" s="222"/>
      <c r="I738" s="222"/>
      <c r="J738" s="222"/>
      <c r="K738" s="222"/>
      <c r="L738" s="223"/>
      <c r="M738" s="222"/>
      <c r="N738" s="222"/>
      <c r="O738" s="222"/>
      <c r="P738" s="222"/>
      <c r="Q738" s="222"/>
      <c r="R738" s="222"/>
      <c r="S738" s="222"/>
      <c r="T738" s="222"/>
      <c r="U738" s="222"/>
      <c r="V738" s="222"/>
      <c r="W738" s="222"/>
      <c r="X738" s="222"/>
      <c r="Y738" s="222"/>
      <c r="Z738" s="222"/>
      <c r="AA738" s="222"/>
      <c r="AB738" s="222"/>
    </row>
    <row r="739" spans="1:28" ht="16">
      <c r="A739" s="222"/>
      <c r="B739" s="222"/>
      <c r="C739" s="222"/>
      <c r="D739" s="222"/>
      <c r="E739" s="222"/>
      <c r="F739" s="222"/>
      <c r="G739" s="222"/>
      <c r="H739" s="222"/>
      <c r="I739" s="222"/>
      <c r="J739" s="222"/>
      <c r="K739" s="222"/>
      <c r="L739" s="223"/>
      <c r="M739" s="222"/>
      <c r="N739" s="222"/>
      <c r="O739" s="222"/>
      <c r="P739" s="222"/>
      <c r="Q739" s="222"/>
      <c r="R739" s="222"/>
      <c r="S739" s="222"/>
      <c r="T739" s="222"/>
      <c r="U739" s="222"/>
      <c r="V739" s="222"/>
      <c r="W739" s="222"/>
      <c r="X739" s="222"/>
      <c r="Y739" s="222"/>
      <c r="Z739" s="222"/>
      <c r="AA739" s="222"/>
      <c r="AB739" s="222"/>
    </row>
    <row r="740" spans="1:28" ht="16">
      <c r="A740" s="222"/>
      <c r="B740" s="222"/>
      <c r="C740" s="222"/>
      <c r="D740" s="222"/>
      <c r="E740" s="222"/>
      <c r="F740" s="222"/>
      <c r="G740" s="222"/>
      <c r="H740" s="222"/>
      <c r="I740" s="222"/>
      <c r="J740" s="222"/>
      <c r="K740" s="222"/>
      <c r="L740" s="223"/>
      <c r="M740" s="222"/>
      <c r="N740" s="222"/>
      <c r="O740" s="222"/>
      <c r="P740" s="222"/>
      <c r="Q740" s="222"/>
      <c r="R740" s="222"/>
      <c r="S740" s="222"/>
      <c r="T740" s="222"/>
      <c r="U740" s="222"/>
      <c r="V740" s="222"/>
      <c r="W740" s="222"/>
      <c r="X740" s="222"/>
      <c r="Y740" s="222"/>
      <c r="Z740" s="222"/>
      <c r="AA740" s="222"/>
      <c r="AB740" s="222"/>
    </row>
    <row r="741" spans="1:28" ht="16">
      <c r="A741" s="222"/>
      <c r="B741" s="222"/>
      <c r="C741" s="222"/>
      <c r="D741" s="222"/>
      <c r="E741" s="222"/>
      <c r="F741" s="222"/>
      <c r="G741" s="222"/>
      <c r="H741" s="222"/>
      <c r="I741" s="222"/>
      <c r="J741" s="222"/>
      <c r="K741" s="222"/>
      <c r="L741" s="223"/>
      <c r="M741" s="222"/>
      <c r="N741" s="222"/>
      <c r="O741" s="222"/>
      <c r="P741" s="222"/>
      <c r="Q741" s="222"/>
      <c r="R741" s="222"/>
      <c r="S741" s="222"/>
      <c r="T741" s="222"/>
      <c r="U741" s="222"/>
      <c r="V741" s="222"/>
      <c r="W741" s="222"/>
      <c r="X741" s="222"/>
      <c r="Y741" s="222"/>
      <c r="Z741" s="222"/>
      <c r="AA741" s="222"/>
      <c r="AB741" s="222"/>
    </row>
    <row r="742" spans="1:28" ht="16">
      <c r="A742" s="222"/>
      <c r="B742" s="222"/>
      <c r="C742" s="222"/>
      <c r="D742" s="222"/>
      <c r="E742" s="222"/>
      <c r="F742" s="222"/>
      <c r="G742" s="222"/>
      <c r="H742" s="222"/>
      <c r="I742" s="222"/>
      <c r="J742" s="222"/>
      <c r="K742" s="222"/>
      <c r="L742" s="223"/>
      <c r="M742" s="222"/>
      <c r="N742" s="222"/>
      <c r="O742" s="222"/>
      <c r="P742" s="222"/>
      <c r="Q742" s="222"/>
      <c r="R742" s="222"/>
      <c r="S742" s="222"/>
      <c r="T742" s="222"/>
      <c r="U742" s="222"/>
      <c r="V742" s="222"/>
      <c r="W742" s="222"/>
      <c r="X742" s="222"/>
      <c r="Y742" s="222"/>
      <c r="Z742" s="222"/>
      <c r="AA742" s="222"/>
      <c r="AB742" s="222"/>
    </row>
    <row r="743" spans="1:28" ht="16">
      <c r="A743" s="222"/>
      <c r="B743" s="222"/>
      <c r="C743" s="222"/>
      <c r="D743" s="222"/>
      <c r="E743" s="222"/>
      <c r="F743" s="222"/>
      <c r="G743" s="222"/>
      <c r="H743" s="222"/>
      <c r="I743" s="222"/>
      <c r="J743" s="222"/>
      <c r="K743" s="222"/>
      <c r="L743" s="223"/>
      <c r="M743" s="222"/>
      <c r="N743" s="222"/>
      <c r="O743" s="222"/>
      <c r="P743" s="222"/>
      <c r="Q743" s="222"/>
      <c r="R743" s="222"/>
      <c r="S743" s="222"/>
      <c r="T743" s="222"/>
      <c r="U743" s="222"/>
      <c r="V743" s="222"/>
      <c r="W743" s="222"/>
      <c r="X743" s="222"/>
      <c r="Y743" s="222"/>
      <c r="Z743" s="222"/>
      <c r="AA743" s="222"/>
      <c r="AB743" s="222"/>
    </row>
    <row r="744" spans="1:28" ht="16">
      <c r="A744" s="222"/>
      <c r="B744" s="222"/>
      <c r="C744" s="222"/>
      <c r="D744" s="222"/>
      <c r="E744" s="222"/>
      <c r="F744" s="222"/>
      <c r="G744" s="222"/>
      <c r="H744" s="222"/>
      <c r="I744" s="222"/>
      <c r="J744" s="222"/>
      <c r="K744" s="222"/>
      <c r="L744" s="223"/>
      <c r="M744" s="222"/>
      <c r="N744" s="222"/>
      <c r="O744" s="222"/>
      <c r="P744" s="222"/>
      <c r="Q744" s="222"/>
      <c r="R744" s="222"/>
      <c r="S744" s="222"/>
      <c r="T744" s="222"/>
      <c r="U744" s="222"/>
      <c r="V744" s="222"/>
      <c r="W744" s="222"/>
      <c r="X744" s="222"/>
      <c r="Y744" s="222"/>
      <c r="Z744" s="222"/>
      <c r="AA744" s="222"/>
      <c r="AB744" s="222"/>
    </row>
    <row r="745" spans="1:28" ht="16">
      <c r="A745" s="222"/>
      <c r="B745" s="222"/>
      <c r="C745" s="222"/>
      <c r="D745" s="222"/>
      <c r="E745" s="222"/>
      <c r="F745" s="222"/>
      <c r="G745" s="222"/>
      <c r="H745" s="222"/>
      <c r="I745" s="222"/>
      <c r="J745" s="222"/>
      <c r="K745" s="222"/>
      <c r="L745" s="223"/>
      <c r="M745" s="222"/>
      <c r="N745" s="222"/>
      <c r="O745" s="222"/>
      <c r="P745" s="222"/>
      <c r="Q745" s="222"/>
      <c r="R745" s="222"/>
      <c r="S745" s="222"/>
      <c r="T745" s="222"/>
      <c r="U745" s="222"/>
      <c r="V745" s="222"/>
      <c r="W745" s="222"/>
      <c r="X745" s="222"/>
      <c r="Y745" s="222"/>
      <c r="Z745" s="222"/>
      <c r="AA745" s="222"/>
      <c r="AB745" s="222"/>
    </row>
    <row r="746" spans="1:28" ht="16">
      <c r="A746" s="222"/>
      <c r="B746" s="222"/>
      <c r="C746" s="222"/>
      <c r="D746" s="222"/>
      <c r="E746" s="222"/>
      <c r="F746" s="222"/>
      <c r="G746" s="222"/>
      <c r="H746" s="222"/>
      <c r="I746" s="222"/>
      <c r="J746" s="222"/>
      <c r="K746" s="222"/>
      <c r="L746" s="223"/>
      <c r="M746" s="222"/>
      <c r="N746" s="222"/>
      <c r="O746" s="222"/>
      <c r="P746" s="222"/>
      <c r="Q746" s="222"/>
      <c r="R746" s="222"/>
      <c r="S746" s="222"/>
      <c r="T746" s="222"/>
      <c r="U746" s="222"/>
      <c r="V746" s="222"/>
      <c r="W746" s="222"/>
      <c r="X746" s="222"/>
      <c r="Y746" s="222"/>
      <c r="Z746" s="222"/>
      <c r="AA746" s="222"/>
      <c r="AB746" s="222"/>
    </row>
    <row r="747" spans="1:28" ht="16">
      <c r="A747" s="222"/>
      <c r="B747" s="222"/>
      <c r="C747" s="222"/>
      <c r="D747" s="222"/>
      <c r="E747" s="222"/>
      <c r="F747" s="222"/>
      <c r="G747" s="222"/>
      <c r="H747" s="222"/>
      <c r="I747" s="222"/>
      <c r="J747" s="222"/>
      <c r="K747" s="222"/>
      <c r="L747" s="223"/>
      <c r="M747" s="222"/>
      <c r="N747" s="222"/>
      <c r="O747" s="222"/>
      <c r="P747" s="222"/>
      <c r="Q747" s="222"/>
      <c r="R747" s="222"/>
      <c r="S747" s="222"/>
      <c r="T747" s="222"/>
      <c r="U747" s="222"/>
      <c r="V747" s="222"/>
      <c r="W747" s="222"/>
      <c r="X747" s="222"/>
      <c r="Y747" s="222"/>
      <c r="Z747" s="222"/>
      <c r="AA747" s="222"/>
      <c r="AB747" s="222"/>
    </row>
    <row r="748" spans="1:28" ht="16">
      <c r="A748" s="222"/>
      <c r="B748" s="222"/>
      <c r="C748" s="222"/>
      <c r="D748" s="222"/>
      <c r="E748" s="222"/>
      <c r="F748" s="222"/>
      <c r="G748" s="222"/>
      <c r="H748" s="222"/>
      <c r="I748" s="222"/>
      <c r="J748" s="222"/>
      <c r="K748" s="222"/>
      <c r="L748" s="223"/>
      <c r="M748" s="222"/>
      <c r="N748" s="222"/>
      <c r="O748" s="222"/>
      <c r="P748" s="222"/>
      <c r="Q748" s="222"/>
      <c r="R748" s="222"/>
      <c r="S748" s="222"/>
      <c r="T748" s="222"/>
      <c r="U748" s="222"/>
      <c r="V748" s="222"/>
      <c r="W748" s="222"/>
      <c r="X748" s="222"/>
      <c r="Y748" s="222"/>
      <c r="Z748" s="222"/>
      <c r="AA748" s="222"/>
      <c r="AB748" s="222"/>
    </row>
    <row r="749" spans="1:28" ht="16">
      <c r="A749" s="222"/>
      <c r="B749" s="222"/>
      <c r="C749" s="222"/>
      <c r="D749" s="222"/>
      <c r="E749" s="222"/>
      <c r="F749" s="222"/>
      <c r="G749" s="222"/>
      <c r="H749" s="222"/>
      <c r="I749" s="222"/>
      <c r="J749" s="222"/>
      <c r="K749" s="222"/>
      <c r="L749" s="223"/>
      <c r="M749" s="222"/>
      <c r="N749" s="222"/>
      <c r="O749" s="222"/>
      <c r="P749" s="222"/>
      <c r="Q749" s="222"/>
      <c r="R749" s="222"/>
      <c r="S749" s="222"/>
      <c r="T749" s="222"/>
      <c r="U749" s="222"/>
      <c r="V749" s="222"/>
      <c r="W749" s="222"/>
      <c r="X749" s="222"/>
      <c r="Y749" s="222"/>
      <c r="Z749" s="222"/>
      <c r="AA749" s="222"/>
      <c r="AB749" s="222"/>
    </row>
    <row r="750" spans="1:28" ht="16">
      <c r="A750" s="222"/>
      <c r="B750" s="222"/>
      <c r="C750" s="222"/>
      <c r="D750" s="222"/>
      <c r="E750" s="222"/>
      <c r="F750" s="222"/>
      <c r="G750" s="222"/>
      <c r="H750" s="222"/>
      <c r="I750" s="222"/>
      <c r="J750" s="222"/>
      <c r="K750" s="222"/>
      <c r="L750" s="223"/>
      <c r="M750" s="222"/>
      <c r="N750" s="222"/>
      <c r="O750" s="222"/>
      <c r="P750" s="222"/>
      <c r="Q750" s="222"/>
      <c r="R750" s="222"/>
      <c r="S750" s="222"/>
      <c r="T750" s="222"/>
      <c r="U750" s="222"/>
      <c r="V750" s="222"/>
      <c r="W750" s="222"/>
      <c r="X750" s="222"/>
      <c r="Y750" s="222"/>
      <c r="Z750" s="222"/>
      <c r="AA750" s="222"/>
      <c r="AB750" s="222"/>
    </row>
    <row r="751" spans="1:28" ht="16">
      <c r="A751" s="222"/>
      <c r="B751" s="222"/>
      <c r="C751" s="222"/>
      <c r="D751" s="222"/>
      <c r="E751" s="222"/>
      <c r="F751" s="222"/>
      <c r="G751" s="222"/>
      <c r="H751" s="222"/>
      <c r="I751" s="222"/>
      <c r="J751" s="222"/>
      <c r="K751" s="222"/>
      <c r="L751" s="223"/>
      <c r="M751" s="222"/>
      <c r="N751" s="222"/>
      <c r="O751" s="222"/>
      <c r="P751" s="222"/>
      <c r="Q751" s="222"/>
      <c r="R751" s="222"/>
      <c r="S751" s="222"/>
      <c r="T751" s="222"/>
      <c r="U751" s="222"/>
      <c r="V751" s="222"/>
      <c r="W751" s="222"/>
      <c r="X751" s="222"/>
      <c r="Y751" s="222"/>
      <c r="Z751" s="222"/>
      <c r="AA751" s="222"/>
      <c r="AB751" s="222"/>
    </row>
    <row r="752" spans="1:28" ht="16">
      <c r="A752" s="222"/>
      <c r="B752" s="222"/>
      <c r="C752" s="222"/>
      <c r="D752" s="222"/>
      <c r="E752" s="222"/>
      <c r="F752" s="222"/>
      <c r="G752" s="222"/>
      <c r="H752" s="222"/>
      <c r="I752" s="222"/>
      <c r="J752" s="222"/>
      <c r="K752" s="222"/>
      <c r="L752" s="223"/>
      <c r="M752" s="222"/>
      <c r="N752" s="222"/>
      <c r="O752" s="222"/>
      <c r="P752" s="222"/>
      <c r="Q752" s="222"/>
      <c r="R752" s="222"/>
      <c r="S752" s="222"/>
      <c r="T752" s="222"/>
      <c r="U752" s="222"/>
      <c r="V752" s="222"/>
      <c r="W752" s="222"/>
      <c r="X752" s="222"/>
      <c r="Y752" s="222"/>
      <c r="Z752" s="222"/>
      <c r="AA752" s="222"/>
      <c r="AB752" s="222"/>
    </row>
    <row r="753" spans="1:28" ht="16">
      <c r="A753" s="222"/>
      <c r="B753" s="222"/>
      <c r="C753" s="222"/>
      <c r="D753" s="222"/>
      <c r="E753" s="222"/>
      <c r="F753" s="222"/>
      <c r="G753" s="222"/>
      <c r="H753" s="222"/>
      <c r="I753" s="222"/>
      <c r="J753" s="222"/>
      <c r="K753" s="222"/>
      <c r="L753" s="223"/>
      <c r="M753" s="222"/>
      <c r="N753" s="222"/>
      <c r="O753" s="222"/>
      <c r="P753" s="222"/>
      <c r="Q753" s="222"/>
      <c r="R753" s="222"/>
      <c r="S753" s="222"/>
      <c r="T753" s="222"/>
      <c r="U753" s="222"/>
      <c r="V753" s="222"/>
      <c r="W753" s="222"/>
      <c r="X753" s="222"/>
      <c r="Y753" s="222"/>
      <c r="Z753" s="222"/>
      <c r="AA753" s="222"/>
      <c r="AB753" s="222"/>
    </row>
    <row r="754" spans="1:28" ht="16">
      <c r="A754" s="222"/>
      <c r="B754" s="222"/>
      <c r="C754" s="222"/>
      <c r="D754" s="222"/>
      <c r="E754" s="222"/>
      <c r="F754" s="222"/>
      <c r="G754" s="222"/>
      <c r="H754" s="222"/>
      <c r="I754" s="222"/>
      <c r="J754" s="222"/>
      <c r="K754" s="222"/>
      <c r="L754" s="223"/>
      <c r="M754" s="222"/>
      <c r="N754" s="222"/>
      <c r="O754" s="222"/>
      <c r="P754" s="222"/>
      <c r="Q754" s="222"/>
      <c r="R754" s="222"/>
      <c r="S754" s="222"/>
      <c r="T754" s="222"/>
      <c r="U754" s="222"/>
      <c r="V754" s="222"/>
      <c r="W754" s="222"/>
      <c r="X754" s="222"/>
      <c r="Y754" s="222"/>
      <c r="Z754" s="222"/>
      <c r="AA754" s="222"/>
      <c r="AB754" s="222"/>
    </row>
    <row r="755" spans="1:28" ht="16">
      <c r="A755" s="222"/>
      <c r="B755" s="222"/>
      <c r="C755" s="222"/>
      <c r="D755" s="222"/>
      <c r="E755" s="222"/>
      <c r="F755" s="222"/>
      <c r="G755" s="222"/>
      <c r="H755" s="222"/>
      <c r="I755" s="222"/>
      <c r="J755" s="222"/>
      <c r="K755" s="222"/>
      <c r="L755" s="223"/>
      <c r="M755" s="222"/>
      <c r="N755" s="222"/>
      <c r="O755" s="222"/>
      <c r="P755" s="222"/>
      <c r="Q755" s="222"/>
      <c r="R755" s="222"/>
      <c r="S755" s="222"/>
      <c r="T755" s="222"/>
      <c r="U755" s="222"/>
      <c r="V755" s="222"/>
      <c r="W755" s="222"/>
      <c r="X755" s="222"/>
      <c r="Y755" s="222"/>
      <c r="Z755" s="222"/>
      <c r="AA755" s="222"/>
      <c r="AB755" s="222"/>
    </row>
    <row r="756" spans="1:28" ht="16">
      <c r="A756" s="222"/>
      <c r="B756" s="222"/>
      <c r="C756" s="222"/>
      <c r="D756" s="222"/>
      <c r="E756" s="222"/>
      <c r="F756" s="222"/>
      <c r="G756" s="222"/>
      <c r="H756" s="222"/>
      <c r="I756" s="222"/>
      <c r="J756" s="222"/>
      <c r="K756" s="222"/>
      <c r="L756" s="223"/>
      <c r="M756" s="222"/>
      <c r="N756" s="222"/>
      <c r="O756" s="222"/>
      <c r="P756" s="222"/>
      <c r="Q756" s="222"/>
      <c r="R756" s="222"/>
      <c r="S756" s="222"/>
      <c r="T756" s="222"/>
      <c r="U756" s="222"/>
      <c r="V756" s="222"/>
      <c r="W756" s="222"/>
      <c r="X756" s="222"/>
      <c r="Y756" s="222"/>
      <c r="Z756" s="222"/>
      <c r="AA756" s="222"/>
      <c r="AB756" s="222"/>
    </row>
    <row r="757" spans="1:28" ht="16">
      <c r="A757" s="222"/>
      <c r="B757" s="222"/>
      <c r="C757" s="222"/>
      <c r="D757" s="222"/>
      <c r="E757" s="222"/>
      <c r="F757" s="222"/>
      <c r="G757" s="222"/>
      <c r="H757" s="222"/>
      <c r="I757" s="222"/>
      <c r="J757" s="222"/>
      <c r="K757" s="222"/>
      <c r="L757" s="223"/>
      <c r="M757" s="222"/>
      <c r="N757" s="222"/>
      <c r="O757" s="222"/>
      <c r="P757" s="222"/>
      <c r="Q757" s="222"/>
      <c r="R757" s="222"/>
      <c r="S757" s="222"/>
      <c r="T757" s="222"/>
      <c r="U757" s="222"/>
      <c r="V757" s="222"/>
      <c r="W757" s="222"/>
      <c r="X757" s="222"/>
      <c r="Y757" s="222"/>
      <c r="Z757" s="222"/>
      <c r="AA757" s="222"/>
      <c r="AB757" s="222"/>
    </row>
    <row r="758" spans="1:28" ht="16">
      <c r="A758" s="222"/>
      <c r="B758" s="222"/>
      <c r="C758" s="222"/>
      <c r="D758" s="222"/>
      <c r="E758" s="222"/>
      <c r="F758" s="222"/>
      <c r="G758" s="222"/>
      <c r="H758" s="222"/>
      <c r="I758" s="222"/>
      <c r="J758" s="222"/>
      <c r="K758" s="222"/>
      <c r="L758" s="223"/>
      <c r="M758" s="222"/>
      <c r="N758" s="222"/>
      <c r="O758" s="222"/>
      <c r="P758" s="222"/>
      <c r="Q758" s="222"/>
      <c r="R758" s="222"/>
      <c r="S758" s="222"/>
      <c r="T758" s="222"/>
      <c r="U758" s="222"/>
      <c r="V758" s="222"/>
      <c r="W758" s="222"/>
      <c r="X758" s="222"/>
      <c r="Y758" s="222"/>
      <c r="Z758" s="222"/>
      <c r="AA758" s="222"/>
      <c r="AB758" s="222"/>
    </row>
    <row r="759" spans="1:28" ht="16">
      <c r="A759" s="222"/>
      <c r="B759" s="222"/>
      <c r="C759" s="222"/>
      <c r="D759" s="222"/>
      <c r="E759" s="222"/>
      <c r="F759" s="222"/>
      <c r="G759" s="222"/>
      <c r="H759" s="222"/>
      <c r="I759" s="222"/>
      <c r="J759" s="222"/>
      <c r="K759" s="222"/>
      <c r="L759" s="223"/>
      <c r="M759" s="222"/>
      <c r="N759" s="222"/>
      <c r="O759" s="222"/>
      <c r="P759" s="222"/>
      <c r="Q759" s="222"/>
      <c r="R759" s="222"/>
      <c r="S759" s="222"/>
      <c r="T759" s="222"/>
      <c r="U759" s="222"/>
      <c r="V759" s="222"/>
      <c r="W759" s="222"/>
      <c r="X759" s="222"/>
      <c r="Y759" s="222"/>
      <c r="Z759" s="222"/>
      <c r="AA759" s="222"/>
      <c r="AB759" s="222"/>
    </row>
    <row r="760" spans="1:28" ht="16">
      <c r="A760" s="222"/>
      <c r="B760" s="222"/>
      <c r="C760" s="222"/>
      <c r="D760" s="222"/>
      <c r="E760" s="222"/>
      <c r="F760" s="222"/>
      <c r="G760" s="222"/>
      <c r="H760" s="222"/>
      <c r="I760" s="222"/>
      <c r="J760" s="222"/>
      <c r="K760" s="222"/>
      <c r="L760" s="223"/>
      <c r="M760" s="222"/>
      <c r="N760" s="222"/>
      <c r="O760" s="222"/>
      <c r="P760" s="222"/>
      <c r="Q760" s="222"/>
      <c r="R760" s="222"/>
      <c r="S760" s="222"/>
      <c r="T760" s="222"/>
      <c r="U760" s="222"/>
      <c r="V760" s="222"/>
      <c r="W760" s="222"/>
      <c r="X760" s="222"/>
      <c r="Y760" s="222"/>
      <c r="Z760" s="222"/>
      <c r="AA760" s="222"/>
      <c r="AB760" s="222"/>
    </row>
    <row r="761" spans="1:28" ht="16">
      <c r="A761" s="222"/>
      <c r="B761" s="222"/>
      <c r="C761" s="222"/>
      <c r="D761" s="222"/>
      <c r="E761" s="222"/>
      <c r="F761" s="222"/>
      <c r="G761" s="222"/>
      <c r="H761" s="222"/>
      <c r="I761" s="222"/>
      <c r="J761" s="222"/>
      <c r="K761" s="222"/>
      <c r="L761" s="223"/>
      <c r="M761" s="222"/>
      <c r="N761" s="222"/>
      <c r="O761" s="222"/>
      <c r="P761" s="222"/>
      <c r="Q761" s="222"/>
      <c r="R761" s="222"/>
      <c r="S761" s="222"/>
      <c r="T761" s="222"/>
      <c r="U761" s="222"/>
      <c r="V761" s="222"/>
      <c r="W761" s="222"/>
      <c r="X761" s="222"/>
      <c r="Y761" s="222"/>
      <c r="Z761" s="222"/>
      <c r="AA761" s="222"/>
      <c r="AB761" s="222"/>
    </row>
    <row r="762" spans="1:28" ht="16">
      <c r="A762" s="222"/>
      <c r="B762" s="222"/>
      <c r="C762" s="222"/>
      <c r="D762" s="222"/>
      <c r="E762" s="222"/>
      <c r="F762" s="222"/>
      <c r="G762" s="222"/>
      <c r="H762" s="222"/>
      <c r="I762" s="222"/>
      <c r="J762" s="222"/>
      <c r="K762" s="222"/>
      <c r="L762" s="223"/>
      <c r="M762" s="222"/>
      <c r="N762" s="222"/>
      <c r="O762" s="222"/>
      <c r="P762" s="222"/>
      <c r="Q762" s="222"/>
      <c r="R762" s="222"/>
      <c r="S762" s="222"/>
      <c r="T762" s="222"/>
      <c r="U762" s="222"/>
      <c r="V762" s="222"/>
      <c r="W762" s="222"/>
      <c r="X762" s="222"/>
      <c r="Y762" s="222"/>
      <c r="Z762" s="222"/>
      <c r="AA762" s="222"/>
      <c r="AB762" s="222"/>
    </row>
    <row r="763" spans="1:28" ht="16">
      <c r="A763" s="222"/>
      <c r="B763" s="222"/>
      <c r="C763" s="222"/>
      <c r="D763" s="222"/>
      <c r="E763" s="222"/>
      <c r="F763" s="222"/>
      <c r="G763" s="222"/>
      <c r="H763" s="222"/>
      <c r="I763" s="222"/>
      <c r="J763" s="222"/>
      <c r="K763" s="222"/>
      <c r="L763" s="223"/>
      <c r="M763" s="222"/>
      <c r="N763" s="222"/>
      <c r="O763" s="222"/>
      <c r="P763" s="222"/>
      <c r="Q763" s="222"/>
      <c r="R763" s="222"/>
      <c r="S763" s="222"/>
      <c r="T763" s="222"/>
      <c r="U763" s="222"/>
      <c r="V763" s="222"/>
      <c r="W763" s="222"/>
      <c r="X763" s="222"/>
      <c r="Y763" s="222"/>
      <c r="Z763" s="222"/>
      <c r="AA763" s="222"/>
      <c r="AB763" s="222"/>
    </row>
    <row r="764" spans="1:28" ht="16">
      <c r="A764" s="222"/>
      <c r="B764" s="222"/>
      <c r="C764" s="222"/>
      <c r="D764" s="222"/>
      <c r="E764" s="222"/>
      <c r="F764" s="222"/>
      <c r="G764" s="222"/>
      <c r="H764" s="222"/>
      <c r="I764" s="222"/>
      <c r="J764" s="222"/>
      <c r="K764" s="222"/>
      <c r="L764" s="223"/>
      <c r="M764" s="222"/>
      <c r="N764" s="222"/>
      <c r="O764" s="222"/>
      <c r="P764" s="222"/>
      <c r="Q764" s="222"/>
      <c r="R764" s="222"/>
      <c r="S764" s="222"/>
      <c r="T764" s="222"/>
      <c r="U764" s="222"/>
      <c r="V764" s="222"/>
      <c r="W764" s="222"/>
      <c r="X764" s="222"/>
      <c r="Y764" s="222"/>
      <c r="Z764" s="222"/>
      <c r="AA764" s="222"/>
      <c r="AB764" s="222"/>
    </row>
    <row r="765" spans="1:28" ht="16">
      <c r="A765" s="222"/>
      <c r="B765" s="222"/>
      <c r="C765" s="222"/>
      <c r="D765" s="222"/>
      <c r="E765" s="222"/>
      <c r="F765" s="222"/>
      <c r="G765" s="222"/>
      <c r="H765" s="222"/>
      <c r="I765" s="222"/>
      <c r="J765" s="222"/>
      <c r="K765" s="222"/>
      <c r="L765" s="223"/>
      <c r="M765" s="222"/>
      <c r="N765" s="222"/>
      <c r="O765" s="222"/>
      <c r="P765" s="222"/>
      <c r="Q765" s="222"/>
      <c r="R765" s="222"/>
      <c r="S765" s="222"/>
      <c r="T765" s="222"/>
      <c r="U765" s="222"/>
      <c r="V765" s="222"/>
      <c r="W765" s="222"/>
      <c r="X765" s="222"/>
      <c r="Y765" s="222"/>
      <c r="Z765" s="222"/>
      <c r="AA765" s="222"/>
      <c r="AB765" s="222"/>
    </row>
    <row r="766" spans="1:28" ht="16">
      <c r="A766" s="222"/>
      <c r="B766" s="222"/>
      <c r="C766" s="222"/>
      <c r="D766" s="222"/>
      <c r="E766" s="222"/>
      <c r="F766" s="222"/>
      <c r="G766" s="222"/>
      <c r="H766" s="222"/>
      <c r="I766" s="222"/>
      <c r="J766" s="222"/>
      <c r="K766" s="222"/>
      <c r="L766" s="223"/>
      <c r="M766" s="222"/>
      <c r="N766" s="222"/>
      <c r="O766" s="222"/>
      <c r="P766" s="222"/>
      <c r="Q766" s="222"/>
      <c r="R766" s="222"/>
      <c r="S766" s="222"/>
      <c r="T766" s="222"/>
      <c r="U766" s="222"/>
      <c r="V766" s="222"/>
      <c r="W766" s="222"/>
      <c r="X766" s="222"/>
      <c r="Y766" s="222"/>
      <c r="Z766" s="222"/>
      <c r="AA766" s="222"/>
      <c r="AB766" s="222"/>
    </row>
    <row r="767" spans="1:28" ht="16">
      <c r="A767" s="222"/>
      <c r="B767" s="222"/>
      <c r="C767" s="222"/>
      <c r="D767" s="222"/>
      <c r="E767" s="222"/>
      <c r="F767" s="222"/>
      <c r="G767" s="222"/>
      <c r="H767" s="222"/>
      <c r="I767" s="222"/>
      <c r="J767" s="222"/>
      <c r="K767" s="222"/>
      <c r="L767" s="223"/>
      <c r="M767" s="222"/>
      <c r="N767" s="222"/>
      <c r="O767" s="222"/>
      <c r="P767" s="222"/>
      <c r="Q767" s="222"/>
      <c r="R767" s="222"/>
      <c r="S767" s="222"/>
      <c r="T767" s="222"/>
      <c r="U767" s="222"/>
      <c r="V767" s="222"/>
      <c r="W767" s="222"/>
      <c r="X767" s="222"/>
      <c r="Y767" s="222"/>
      <c r="Z767" s="222"/>
      <c r="AA767" s="222"/>
      <c r="AB767" s="222"/>
    </row>
    <row r="768" spans="1:28" ht="16">
      <c r="A768" s="222"/>
      <c r="B768" s="222"/>
      <c r="C768" s="222"/>
      <c r="D768" s="222"/>
      <c r="E768" s="222"/>
      <c r="F768" s="222"/>
      <c r="G768" s="222"/>
      <c r="H768" s="222"/>
      <c r="I768" s="222"/>
      <c r="J768" s="222"/>
      <c r="K768" s="222"/>
      <c r="L768" s="223"/>
      <c r="M768" s="222"/>
      <c r="N768" s="222"/>
      <c r="O768" s="222"/>
      <c r="P768" s="222"/>
      <c r="Q768" s="222"/>
      <c r="R768" s="222"/>
      <c r="S768" s="222"/>
      <c r="T768" s="222"/>
      <c r="U768" s="222"/>
      <c r="V768" s="222"/>
      <c r="W768" s="222"/>
      <c r="X768" s="222"/>
      <c r="Y768" s="222"/>
      <c r="Z768" s="222"/>
      <c r="AA768" s="222"/>
      <c r="AB768" s="222"/>
    </row>
    <row r="769" spans="1:28" ht="16">
      <c r="A769" s="222"/>
      <c r="B769" s="222"/>
      <c r="C769" s="222"/>
      <c r="D769" s="222"/>
      <c r="E769" s="222"/>
      <c r="F769" s="222"/>
      <c r="G769" s="222"/>
      <c r="H769" s="222"/>
      <c r="I769" s="222"/>
      <c r="J769" s="222"/>
      <c r="K769" s="222"/>
      <c r="L769" s="223"/>
      <c r="M769" s="222"/>
      <c r="N769" s="222"/>
      <c r="O769" s="222"/>
      <c r="P769" s="222"/>
      <c r="Q769" s="222"/>
      <c r="R769" s="222"/>
      <c r="S769" s="222"/>
      <c r="T769" s="222"/>
      <c r="U769" s="222"/>
      <c r="V769" s="222"/>
      <c r="W769" s="222"/>
      <c r="X769" s="222"/>
      <c r="Y769" s="222"/>
      <c r="Z769" s="222"/>
      <c r="AA769" s="222"/>
      <c r="AB769" s="222"/>
    </row>
    <row r="770" spans="1:28" ht="16">
      <c r="A770" s="222"/>
      <c r="B770" s="222"/>
      <c r="C770" s="222"/>
      <c r="D770" s="222"/>
      <c r="E770" s="222"/>
      <c r="F770" s="222"/>
      <c r="G770" s="222"/>
      <c r="H770" s="222"/>
      <c r="I770" s="222"/>
      <c r="J770" s="222"/>
      <c r="K770" s="222"/>
      <c r="L770" s="223"/>
      <c r="M770" s="222"/>
      <c r="N770" s="222"/>
      <c r="O770" s="222"/>
      <c r="P770" s="222"/>
      <c r="Q770" s="222"/>
      <c r="R770" s="222"/>
      <c r="S770" s="222"/>
      <c r="T770" s="222"/>
      <c r="U770" s="222"/>
      <c r="V770" s="222"/>
      <c r="W770" s="222"/>
      <c r="X770" s="222"/>
      <c r="Y770" s="222"/>
      <c r="Z770" s="222"/>
      <c r="AA770" s="222"/>
      <c r="AB770" s="222"/>
    </row>
    <row r="771" spans="1:28" ht="16">
      <c r="A771" s="222"/>
      <c r="B771" s="222"/>
      <c r="C771" s="222"/>
      <c r="D771" s="222"/>
      <c r="E771" s="222"/>
      <c r="F771" s="222"/>
      <c r="G771" s="222"/>
      <c r="H771" s="222"/>
      <c r="I771" s="222"/>
      <c r="J771" s="222"/>
      <c r="K771" s="222"/>
      <c r="L771" s="223"/>
      <c r="M771" s="222"/>
      <c r="N771" s="222"/>
      <c r="O771" s="222"/>
      <c r="P771" s="222"/>
      <c r="Q771" s="222"/>
      <c r="R771" s="222"/>
      <c r="S771" s="222"/>
      <c r="T771" s="222"/>
      <c r="U771" s="222"/>
      <c r="V771" s="222"/>
      <c r="W771" s="222"/>
      <c r="X771" s="222"/>
      <c r="Y771" s="222"/>
      <c r="Z771" s="222"/>
      <c r="AA771" s="222"/>
      <c r="AB771" s="222"/>
    </row>
    <row r="772" spans="1:28" ht="16">
      <c r="A772" s="222"/>
      <c r="B772" s="222"/>
      <c r="C772" s="222"/>
      <c r="D772" s="222"/>
      <c r="E772" s="222"/>
      <c r="F772" s="222"/>
      <c r="G772" s="222"/>
      <c r="H772" s="222"/>
      <c r="I772" s="222"/>
      <c r="J772" s="222"/>
      <c r="K772" s="222"/>
      <c r="L772" s="223"/>
      <c r="M772" s="222"/>
      <c r="N772" s="222"/>
      <c r="O772" s="222"/>
      <c r="P772" s="222"/>
      <c r="Q772" s="222"/>
      <c r="R772" s="222"/>
      <c r="S772" s="222"/>
      <c r="T772" s="222"/>
      <c r="U772" s="222"/>
      <c r="V772" s="222"/>
      <c r="W772" s="222"/>
      <c r="X772" s="222"/>
      <c r="Y772" s="222"/>
      <c r="Z772" s="222"/>
      <c r="AA772" s="222"/>
      <c r="AB772" s="222"/>
    </row>
    <row r="773" spans="1:28" ht="16">
      <c r="A773" s="222"/>
      <c r="B773" s="222"/>
      <c r="C773" s="222"/>
      <c r="D773" s="222"/>
      <c r="E773" s="222"/>
      <c r="F773" s="222"/>
      <c r="G773" s="222"/>
      <c r="H773" s="222"/>
      <c r="I773" s="222"/>
      <c r="J773" s="222"/>
      <c r="K773" s="222"/>
      <c r="L773" s="223"/>
      <c r="M773" s="222"/>
      <c r="N773" s="222"/>
      <c r="O773" s="222"/>
      <c r="P773" s="222"/>
      <c r="Q773" s="222"/>
      <c r="R773" s="222"/>
      <c r="S773" s="222"/>
      <c r="T773" s="222"/>
      <c r="U773" s="222"/>
      <c r="V773" s="222"/>
      <c r="W773" s="222"/>
      <c r="X773" s="222"/>
      <c r="Y773" s="222"/>
      <c r="Z773" s="222"/>
      <c r="AA773" s="222"/>
      <c r="AB773" s="222"/>
    </row>
    <row r="774" spans="1:28" ht="16">
      <c r="A774" s="222"/>
      <c r="B774" s="222"/>
      <c r="C774" s="222"/>
      <c r="D774" s="222"/>
      <c r="E774" s="222"/>
      <c r="F774" s="222"/>
      <c r="G774" s="222"/>
      <c r="H774" s="222"/>
      <c r="I774" s="222"/>
      <c r="J774" s="222"/>
      <c r="K774" s="222"/>
      <c r="L774" s="223"/>
      <c r="M774" s="222"/>
      <c r="N774" s="222"/>
      <c r="O774" s="222"/>
      <c r="P774" s="222"/>
      <c r="Q774" s="222"/>
      <c r="R774" s="222"/>
      <c r="S774" s="222"/>
      <c r="T774" s="222"/>
      <c r="U774" s="222"/>
      <c r="V774" s="222"/>
      <c r="W774" s="222"/>
      <c r="X774" s="222"/>
      <c r="Y774" s="222"/>
      <c r="Z774" s="222"/>
      <c r="AA774" s="222"/>
      <c r="AB774" s="222"/>
    </row>
    <row r="775" spans="1:28" ht="16">
      <c r="A775" s="222"/>
      <c r="B775" s="222"/>
      <c r="C775" s="222"/>
      <c r="D775" s="222"/>
      <c r="E775" s="222"/>
      <c r="F775" s="222"/>
      <c r="G775" s="222"/>
      <c r="H775" s="222"/>
      <c r="I775" s="222"/>
      <c r="J775" s="222"/>
      <c r="K775" s="222"/>
      <c r="L775" s="223"/>
      <c r="M775" s="222"/>
      <c r="N775" s="222"/>
      <c r="O775" s="222"/>
      <c r="P775" s="222"/>
      <c r="Q775" s="222"/>
      <c r="R775" s="222"/>
      <c r="S775" s="222"/>
      <c r="T775" s="222"/>
      <c r="U775" s="222"/>
      <c r="V775" s="222"/>
      <c r="W775" s="222"/>
      <c r="X775" s="222"/>
      <c r="Y775" s="222"/>
      <c r="Z775" s="222"/>
      <c r="AA775" s="222"/>
      <c r="AB775" s="222"/>
    </row>
    <row r="776" spans="1:28" ht="16">
      <c r="A776" s="222"/>
      <c r="B776" s="222"/>
      <c r="C776" s="222"/>
      <c r="D776" s="222"/>
      <c r="E776" s="222"/>
      <c r="F776" s="222"/>
      <c r="G776" s="222"/>
      <c r="H776" s="222"/>
      <c r="I776" s="222"/>
      <c r="J776" s="222"/>
      <c r="K776" s="222"/>
      <c r="L776" s="223"/>
      <c r="M776" s="222"/>
      <c r="N776" s="222"/>
      <c r="O776" s="222"/>
      <c r="P776" s="222"/>
      <c r="Q776" s="222"/>
      <c r="R776" s="222"/>
      <c r="S776" s="222"/>
      <c r="T776" s="222"/>
      <c r="U776" s="222"/>
      <c r="V776" s="222"/>
      <c r="W776" s="222"/>
      <c r="X776" s="222"/>
      <c r="Y776" s="222"/>
      <c r="Z776" s="222"/>
      <c r="AA776" s="222"/>
      <c r="AB776" s="222"/>
    </row>
    <row r="777" spans="1:28" ht="16">
      <c r="A777" s="222"/>
      <c r="B777" s="222"/>
      <c r="C777" s="222"/>
      <c r="D777" s="222"/>
      <c r="E777" s="222"/>
      <c r="F777" s="222"/>
      <c r="G777" s="222"/>
      <c r="H777" s="222"/>
      <c r="I777" s="222"/>
      <c r="J777" s="222"/>
      <c r="K777" s="222"/>
      <c r="L777" s="223"/>
      <c r="M777" s="222"/>
      <c r="N777" s="222"/>
      <c r="O777" s="222"/>
      <c r="P777" s="222"/>
      <c r="Q777" s="222"/>
      <c r="R777" s="222"/>
      <c r="S777" s="222"/>
      <c r="T777" s="222"/>
      <c r="U777" s="222"/>
      <c r="V777" s="222"/>
      <c r="W777" s="222"/>
      <c r="X777" s="222"/>
      <c r="Y777" s="222"/>
      <c r="Z777" s="222"/>
      <c r="AA777" s="222"/>
      <c r="AB777" s="222"/>
    </row>
    <row r="778" spans="1:28" ht="16">
      <c r="A778" s="222"/>
      <c r="B778" s="222"/>
      <c r="C778" s="222"/>
      <c r="D778" s="222"/>
      <c r="E778" s="222"/>
      <c r="F778" s="222"/>
      <c r="G778" s="222"/>
      <c r="H778" s="222"/>
      <c r="I778" s="222"/>
      <c r="J778" s="222"/>
      <c r="K778" s="222"/>
      <c r="L778" s="223"/>
      <c r="M778" s="222"/>
      <c r="N778" s="222"/>
      <c r="O778" s="222"/>
      <c r="P778" s="222"/>
      <c r="Q778" s="222"/>
      <c r="R778" s="222"/>
      <c r="S778" s="222"/>
      <c r="T778" s="222"/>
      <c r="U778" s="222"/>
      <c r="V778" s="222"/>
      <c r="W778" s="222"/>
      <c r="X778" s="222"/>
      <c r="Y778" s="222"/>
      <c r="Z778" s="222"/>
      <c r="AA778" s="222"/>
      <c r="AB778" s="222"/>
    </row>
    <row r="779" spans="1:28" ht="16">
      <c r="A779" s="222"/>
      <c r="B779" s="222"/>
      <c r="C779" s="222"/>
      <c r="D779" s="222"/>
      <c r="E779" s="222"/>
      <c r="F779" s="222"/>
      <c r="G779" s="222"/>
      <c r="H779" s="222"/>
      <c r="I779" s="222"/>
      <c r="J779" s="222"/>
      <c r="K779" s="222"/>
      <c r="L779" s="223"/>
      <c r="M779" s="222"/>
      <c r="N779" s="222"/>
      <c r="O779" s="222"/>
      <c r="P779" s="222"/>
      <c r="Q779" s="222"/>
      <c r="R779" s="222"/>
      <c r="S779" s="222"/>
      <c r="T779" s="222"/>
      <c r="U779" s="222"/>
      <c r="V779" s="222"/>
      <c r="W779" s="222"/>
      <c r="X779" s="222"/>
      <c r="Y779" s="222"/>
      <c r="Z779" s="222"/>
      <c r="AA779" s="222"/>
      <c r="AB779" s="222"/>
    </row>
    <row r="780" spans="1:28" ht="16">
      <c r="A780" s="222"/>
      <c r="B780" s="222"/>
      <c r="C780" s="222"/>
      <c r="D780" s="222"/>
      <c r="E780" s="222"/>
      <c r="F780" s="222"/>
      <c r="G780" s="222"/>
      <c r="H780" s="222"/>
      <c r="I780" s="222"/>
      <c r="J780" s="222"/>
      <c r="K780" s="222"/>
      <c r="L780" s="223"/>
      <c r="M780" s="222"/>
      <c r="N780" s="222"/>
      <c r="O780" s="222"/>
      <c r="P780" s="222"/>
      <c r="Q780" s="222"/>
      <c r="R780" s="222"/>
      <c r="S780" s="222"/>
      <c r="T780" s="222"/>
      <c r="U780" s="222"/>
      <c r="V780" s="222"/>
      <c r="W780" s="222"/>
      <c r="X780" s="222"/>
      <c r="Y780" s="222"/>
      <c r="Z780" s="222"/>
      <c r="AA780" s="222"/>
      <c r="AB780" s="222"/>
    </row>
    <row r="781" spans="1:28" ht="16">
      <c r="A781" s="222"/>
      <c r="B781" s="222"/>
      <c r="C781" s="222"/>
      <c r="D781" s="222"/>
      <c r="E781" s="222"/>
      <c r="F781" s="222"/>
      <c r="G781" s="222"/>
      <c r="H781" s="222"/>
      <c r="I781" s="222"/>
      <c r="J781" s="222"/>
      <c r="K781" s="222"/>
      <c r="L781" s="223"/>
      <c r="M781" s="222"/>
      <c r="N781" s="222"/>
      <c r="O781" s="222"/>
      <c r="P781" s="222"/>
      <c r="Q781" s="222"/>
      <c r="R781" s="222"/>
      <c r="S781" s="222"/>
      <c r="T781" s="222"/>
      <c r="U781" s="222"/>
      <c r="V781" s="222"/>
      <c r="W781" s="222"/>
      <c r="X781" s="222"/>
      <c r="Y781" s="222"/>
      <c r="Z781" s="222"/>
      <c r="AA781" s="222"/>
      <c r="AB781" s="222"/>
    </row>
    <row r="782" spans="1:28" ht="16">
      <c r="A782" s="222"/>
      <c r="B782" s="222"/>
      <c r="C782" s="222"/>
      <c r="D782" s="222"/>
      <c r="E782" s="222"/>
      <c r="F782" s="222"/>
      <c r="G782" s="222"/>
      <c r="H782" s="222"/>
      <c r="I782" s="222"/>
      <c r="J782" s="222"/>
      <c r="K782" s="222"/>
      <c r="L782" s="223"/>
      <c r="M782" s="222"/>
      <c r="N782" s="222"/>
      <c r="O782" s="222"/>
      <c r="P782" s="222"/>
      <c r="Q782" s="222"/>
      <c r="R782" s="222"/>
      <c r="S782" s="222"/>
      <c r="T782" s="222"/>
      <c r="U782" s="222"/>
      <c r="V782" s="222"/>
      <c r="W782" s="222"/>
      <c r="X782" s="222"/>
      <c r="Y782" s="222"/>
      <c r="Z782" s="222"/>
      <c r="AA782" s="222"/>
      <c r="AB782" s="222"/>
    </row>
    <row r="783" spans="1:28" ht="16">
      <c r="A783" s="222"/>
      <c r="B783" s="222"/>
      <c r="C783" s="222"/>
      <c r="D783" s="222"/>
      <c r="E783" s="222"/>
      <c r="F783" s="222"/>
      <c r="G783" s="222"/>
      <c r="H783" s="222"/>
      <c r="I783" s="222"/>
      <c r="J783" s="222"/>
      <c r="K783" s="222"/>
      <c r="L783" s="223"/>
      <c r="M783" s="222"/>
      <c r="N783" s="222"/>
      <c r="O783" s="222"/>
      <c r="P783" s="222"/>
      <c r="Q783" s="222"/>
      <c r="R783" s="222"/>
      <c r="S783" s="222"/>
      <c r="T783" s="222"/>
      <c r="U783" s="222"/>
      <c r="V783" s="222"/>
      <c r="W783" s="222"/>
      <c r="X783" s="222"/>
      <c r="Y783" s="222"/>
      <c r="Z783" s="222"/>
      <c r="AA783" s="222"/>
      <c r="AB783" s="222"/>
    </row>
    <row r="784" spans="1:28" ht="16">
      <c r="A784" s="222"/>
      <c r="B784" s="222"/>
      <c r="C784" s="222"/>
      <c r="D784" s="222"/>
      <c r="E784" s="222"/>
      <c r="F784" s="222"/>
      <c r="G784" s="222"/>
      <c r="H784" s="222"/>
      <c r="I784" s="222"/>
      <c r="J784" s="222"/>
      <c r="K784" s="222"/>
      <c r="L784" s="223"/>
      <c r="M784" s="222"/>
      <c r="N784" s="222"/>
      <c r="O784" s="222"/>
      <c r="P784" s="222"/>
      <c r="Q784" s="222"/>
      <c r="R784" s="222"/>
      <c r="S784" s="222"/>
      <c r="T784" s="222"/>
      <c r="U784" s="222"/>
      <c r="V784" s="222"/>
      <c r="W784" s="222"/>
      <c r="X784" s="222"/>
      <c r="Y784" s="222"/>
      <c r="Z784" s="222"/>
      <c r="AA784" s="222"/>
      <c r="AB784" s="222"/>
    </row>
    <row r="785" spans="1:28" ht="16">
      <c r="A785" s="222"/>
      <c r="B785" s="222"/>
      <c r="C785" s="222"/>
      <c r="D785" s="222"/>
      <c r="E785" s="222"/>
      <c r="F785" s="222"/>
      <c r="G785" s="222"/>
      <c r="H785" s="222"/>
      <c r="I785" s="222"/>
      <c r="J785" s="222"/>
      <c r="K785" s="222"/>
      <c r="L785" s="223"/>
      <c r="M785" s="222"/>
      <c r="N785" s="222"/>
      <c r="O785" s="222"/>
      <c r="P785" s="222"/>
      <c r="Q785" s="222"/>
      <c r="R785" s="222"/>
      <c r="S785" s="222"/>
      <c r="T785" s="222"/>
      <c r="U785" s="222"/>
      <c r="V785" s="222"/>
      <c r="W785" s="222"/>
      <c r="X785" s="222"/>
      <c r="Y785" s="222"/>
      <c r="Z785" s="222"/>
      <c r="AA785" s="222"/>
      <c r="AB785" s="222"/>
    </row>
    <row r="786" spans="1:28" ht="16">
      <c r="A786" s="222"/>
      <c r="B786" s="222"/>
      <c r="C786" s="222"/>
      <c r="D786" s="222"/>
      <c r="E786" s="222"/>
      <c r="F786" s="222"/>
      <c r="G786" s="222"/>
      <c r="H786" s="222"/>
      <c r="I786" s="222"/>
      <c r="J786" s="222"/>
      <c r="K786" s="222"/>
      <c r="L786" s="223"/>
      <c r="M786" s="222"/>
      <c r="N786" s="222"/>
      <c r="O786" s="222"/>
      <c r="P786" s="222"/>
      <c r="Q786" s="222"/>
      <c r="R786" s="222"/>
      <c r="S786" s="222"/>
      <c r="T786" s="222"/>
      <c r="U786" s="222"/>
      <c r="V786" s="222"/>
      <c r="W786" s="222"/>
      <c r="X786" s="222"/>
      <c r="Y786" s="222"/>
      <c r="Z786" s="222"/>
      <c r="AA786" s="222"/>
      <c r="AB786" s="222"/>
    </row>
    <row r="787" spans="1:28" ht="16">
      <c r="A787" s="222"/>
      <c r="B787" s="222"/>
      <c r="C787" s="222"/>
      <c r="D787" s="222"/>
      <c r="E787" s="222"/>
      <c r="F787" s="222"/>
      <c r="G787" s="222"/>
      <c r="H787" s="222"/>
      <c r="I787" s="222"/>
      <c r="J787" s="222"/>
      <c r="K787" s="222"/>
      <c r="L787" s="223"/>
      <c r="M787" s="222"/>
      <c r="N787" s="222"/>
      <c r="O787" s="222"/>
      <c r="P787" s="222"/>
      <c r="Q787" s="222"/>
      <c r="R787" s="222"/>
      <c r="S787" s="222"/>
      <c r="T787" s="222"/>
      <c r="U787" s="222"/>
      <c r="V787" s="222"/>
      <c r="W787" s="222"/>
      <c r="X787" s="222"/>
      <c r="Y787" s="222"/>
      <c r="Z787" s="222"/>
      <c r="AA787" s="222"/>
      <c r="AB787" s="222"/>
    </row>
    <row r="788" spans="1:28" ht="16">
      <c r="A788" s="222"/>
      <c r="B788" s="222"/>
      <c r="C788" s="222"/>
      <c r="D788" s="222"/>
      <c r="E788" s="222"/>
      <c r="F788" s="222"/>
      <c r="G788" s="222"/>
      <c r="H788" s="222"/>
      <c r="I788" s="222"/>
      <c r="J788" s="222"/>
      <c r="K788" s="222"/>
      <c r="L788" s="223"/>
      <c r="M788" s="222"/>
      <c r="N788" s="222"/>
      <c r="O788" s="222"/>
      <c r="P788" s="222"/>
      <c r="Q788" s="222"/>
      <c r="R788" s="222"/>
      <c r="S788" s="222"/>
      <c r="T788" s="222"/>
      <c r="U788" s="222"/>
      <c r="V788" s="222"/>
      <c r="W788" s="222"/>
      <c r="X788" s="222"/>
      <c r="Y788" s="222"/>
      <c r="Z788" s="222"/>
      <c r="AA788" s="222"/>
      <c r="AB788" s="222"/>
    </row>
    <row r="789" spans="1:28" ht="16">
      <c r="A789" s="222"/>
      <c r="B789" s="222"/>
      <c r="C789" s="222"/>
      <c r="D789" s="222"/>
      <c r="E789" s="222"/>
      <c r="F789" s="222"/>
      <c r="G789" s="222"/>
      <c r="H789" s="222"/>
      <c r="I789" s="222"/>
      <c r="J789" s="222"/>
      <c r="K789" s="222"/>
      <c r="L789" s="223"/>
      <c r="M789" s="222"/>
      <c r="N789" s="222"/>
      <c r="O789" s="222"/>
      <c r="P789" s="222"/>
      <c r="Q789" s="222"/>
      <c r="R789" s="222"/>
      <c r="S789" s="222"/>
      <c r="T789" s="222"/>
      <c r="U789" s="222"/>
      <c r="V789" s="222"/>
      <c r="W789" s="222"/>
      <c r="X789" s="222"/>
      <c r="Y789" s="222"/>
      <c r="Z789" s="222"/>
      <c r="AA789" s="222"/>
      <c r="AB789" s="222"/>
    </row>
    <row r="790" spans="1:28" ht="16">
      <c r="A790" s="222"/>
      <c r="B790" s="222"/>
      <c r="C790" s="222"/>
      <c r="D790" s="222"/>
      <c r="E790" s="222"/>
      <c r="F790" s="222"/>
      <c r="G790" s="222"/>
      <c r="H790" s="222"/>
      <c r="I790" s="222"/>
      <c r="J790" s="222"/>
      <c r="K790" s="222"/>
      <c r="L790" s="223"/>
      <c r="M790" s="222"/>
      <c r="N790" s="222"/>
      <c r="O790" s="222"/>
      <c r="P790" s="222"/>
      <c r="Q790" s="222"/>
      <c r="R790" s="222"/>
      <c r="S790" s="222"/>
      <c r="T790" s="222"/>
      <c r="U790" s="222"/>
      <c r="V790" s="222"/>
      <c r="W790" s="222"/>
      <c r="X790" s="222"/>
      <c r="Y790" s="222"/>
      <c r="Z790" s="222"/>
      <c r="AA790" s="222"/>
      <c r="AB790" s="222"/>
    </row>
    <row r="791" spans="1:28" ht="16">
      <c r="A791" s="222"/>
      <c r="B791" s="222"/>
      <c r="C791" s="222"/>
      <c r="D791" s="222"/>
      <c r="E791" s="222"/>
      <c r="F791" s="222"/>
      <c r="G791" s="222"/>
      <c r="H791" s="222"/>
      <c r="I791" s="222"/>
      <c r="J791" s="222"/>
      <c r="K791" s="222"/>
      <c r="L791" s="223"/>
      <c r="M791" s="222"/>
      <c r="N791" s="222"/>
      <c r="O791" s="222"/>
      <c r="P791" s="222"/>
      <c r="Q791" s="222"/>
      <c r="R791" s="222"/>
      <c r="S791" s="222"/>
      <c r="T791" s="222"/>
      <c r="U791" s="222"/>
      <c r="V791" s="222"/>
      <c r="W791" s="222"/>
      <c r="X791" s="222"/>
      <c r="Y791" s="222"/>
      <c r="Z791" s="222"/>
      <c r="AA791" s="222"/>
      <c r="AB791" s="222"/>
    </row>
    <row r="792" spans="1:28" ht="16">
      <c r="A792" s="222"/>
      <c r="B792" s="222"/>
      <c r="C792" s="222"/>
      <c r="D792" s="222"/>
      <c r="E792" s="222"/>
      <c r="F792" s="222"/>
      <c r="G792" s="222"/>
      <c r="H792" s="222"/>
      <c r="I792" s="222"/>
      <c r="J792" s="222"/>
      <c r="K792" s="222"/>
      <c r="L792" s="223"/>
      <c r="M792" s="222"/>
      <c r="N792" s="222"/>
      <c r="O792" s="222"/>
      <c r="P792" s="222"/>
      <c r="Q792" s="222"/>
      <c r="R792" s="222"/>
      <c r="S792" s="222"/>
      <c r="T792" s="222"/>
      <c r="U792" s="222"/>
      <c r="V792" s="222"/>
      <c r="W792" s="222"/>
      <c r="X792" s="222"/>
      <c r="Y792" s="222"/>
      <c r="Z792" s="222"/>
      <c r="AA792" s="222"/>
      <c r="AB792" s="222"/>
    </row>
    <row r="793" spans="1:28" ht="16">
      <c r="A793" s="222"/>
      <c r="B793" s="222"/>
      <c r="C793" s="222"/>
      <c r="D793" s="222"/>
      <c r="E793" s="222"/>
      <c r="F793" s="222"/>
      <c r="G793" s="222"/>
      <c r="H793" s="222"/>
      <c r="I793" s="222"/>
      <c r="J793" s="222"/>
      <c r="K793" s="222"/>
      <c r="L793" s="223"/>
      <c r="M793" s="222"/>
      <c r="N793" s="222"/>
      <c r="O793" s="222"/>
      <c r="P793" s="222"/>
      <c r="Q793" s="222"/>
      <c r="R793" s="222"/>
      <c r="S793" s="222"/>
      <c r="T793" s="222"/>
      <c r="U793" s="222"/>
      <c r="V793" s="222"/>
      <c r="W793" s="222"/>
      <c r="X793" s="222"/>
      <c r="Y793" s="222"/>
      <c r="Z793" s="222"/>
      <c r="AA793" s="222"/>
      <c r="AB793" s="222"/>
    </row>
    <row r="794" spans="1:28" ht="16">
      <c r="A794" s="222"/>
      <c r="B794" s="222"/>
      <c r="C794" s="222"/>
      <c r="D794" s="222"/>
      <c r="E794" s="222"/>
      <c r="F794" s="222"/>
      <c r="G794" s="222"/>
      <c r="H794" s="222"/>
      <c r="I794" s="222"/>
      <c r="J794" s="222"/>
      <c r="K794" s="222"/>
      <c r="L794" s="223"/>
      <c r="M794" s="222"/>
      <c r="N794" s="222"/>
      <c r="O794" s="222"/>
      <c r="P794" s="222"/>
      <c r="Q794" s="222"/>
      <c r="R794" s="222"/>
      <c r="S794" s="222"/>
      <c r="T794" s="222"/>
      <c r="U794" s="222"/>
      <c r="V794" s="222"/>
      <c r="W794" s="222"/>
      <c r="X794" s="222"/>
      <c r="Y794" s="222"/>
      <c r="Z794" s="222"/>
      <c r="AA794" s="222"/>
      <c r="AB794" s="222"/>
    </row>
    <row r="795" spans="1:28" ht="16">
      <c r="A795" s="222"/>
      <c r="B795" s="222"/>
      <c r="C795" s="222"/>
      <c r="D795" s="222"/>
      <c r="E795" s="222"/>
      <c r="F795" s="222"/>
      <c r="G795" s="222"/>
      <c r="H795" s="222"/>
      <c r="I795" s="222"/>
      <c r="J795" s="222"/>
      <c r="K795" s="222"/>
      <c r="L795" s="223"/>
      <c r="M795" s="222"/>
      <c r="N795" s="222"/>
      <c r="O795" s="222"/>
      <c r="P795" s="222"/>
      <c r="Q795" s="222"/>
      <c r="R795" s="222"/>
      <c r="S795" s="222"/>
      <c r="T795" s="222"/>
      <c r="U795" s="222"/>
      <c r="V795" s="222"/>
      <c r="W795" s="222"/>
      <c r="X795" s="222"/>
      <c r="Y795" s="222"/>
      <c r="Z795" s="222"/>
      <c r="AA795" s="222"/>
      <c r="AB795" s="222"/>
    </row>
    <row r="796" spans="1:28" ht="16">
      <c r="A796" s="222"/>
      <c r="B796" s="222"/>
      <c r="C796" s="222"/>
      <c r="D796" s="222"/>
      <c r="E796" s="222"/>
      <c r="F796" s="222"/>
      <c r="G796" s="222"/>
      <c r="H796" s="222"/>
      <c r="I796" s="222"/>
      <c r="J796" s="222"/>
      <c r="K796" s="222"/>
      <c r="L796" s="223"/>
      <c r="M796" s="222"/>
      <c r="N796" s="222"/>
      <c r="O796" s="222"/>
      <c r="P796" s="222"/>
      <c r="Q796" s="222"/>
      <c r="R796" s="222"/>
      <c r="S796" s="222"/>
      <c r="T796" s="222"/>
      <c r="U796" s="222"/>
      <c r="V796" s="222"/>
      <c r="W796" s="222"/>
      <c r="X796" s="222"/>
      <c r="Y796" s="222"/>
      <c r="Z796" s="222"/>
      <c r="AA796" s="222"/>
      <c r="AB796" s="222"/>
    </row>
    <row r="797" spans="1:28" ht="16">
      <c r="A797" s="222"/>
      <c r="B797" s="222"/>
      <c r="C797" s="222"/>
      <c r="D797" s="222"/>
      <c r="E797" s="222"/>
      <c r="F797" s="222"/>
      <c r="G797" s="222"/>
      <c r="H797" s="222"/>
      <c r="I797" s="222"/>
      <c r="J797" s="222"/>
      <c r="K797" s="222"/>
      <c r="L797" s="223"/>
      <c r="M797" s="222"/>
      <c r="N797" s="222"/>
      <c r="O797" s="222"/>
      <c r="P797" s="222"/>
      <c r="Q797" s="222"/>
      <c r="R797" s="222"/>
      <c r="S797" s="222"/>
      <c r="T797" s="222"/>
      <c r="U797" s="222"/>
      <c r="V797" s="222"/>
      <c r="W797" s="222"/>
      <c r="X797" s="222"/>
      <c r="Y797" s="222"/>
      <c r="Z797" s="222"/>
      <c r="AA797" s="222"/>
      <c r="AB797" s="222"/>
    </row>
    <row r="798" spans="1:28" ht="16">
      <c r="A798" s="222"/>
      <c r="B798" s="222"/>
      <c r="C798" s="222"/>
      <c r="D798" s="222"/>
      <c r="E798" s="222"/>
      <c r="F798" s="222"/>
      <c r="G798" s="222"/>
      <c r="H798" s="222"/>
      <c r="I798" s="222"/>
      <c r="J798" s="222"/>
      <c r="K798" s="222"/>
      <c r="L798" s="223"/>
      <c r="M798" s="222"/>
      <c r="N798" s="222"/>
      <c r="O798" s="222"/>
      <c r="P798" s="222"/>
      <c r="Q798" s="222"/>
      <c r="R798" s="222"/>
      <c r="S798" s="222"/>
      <c r="T798" s="222"/>
      <c r="U798" s="222"/>
      <c r="V798" s="222"/>
      <c r="W798" s="222"/>
      <c r="X798" s="222"/>
      <c r="Y798" s="222"/>
      <c r="Z798" s="222"/>
      <c r="AA798" s="222"/>
      <c r="AB798" s="222"/>
    </row>
    <row r="799" spans="1:28" ht="16">
      <c r="A799" s="222"/>
      <c r="B799" s="222"/>
      <c r="C799" s="222"/>
      <c r="D799" s="222"/>
      <c r="E799" s="222"/>
      <c r="F799" s="222"/>
      <c r="G799" s="222"/>
      <c r="H799" s="222"/>
      <c r="I799" s="222"/>
      <c r="J799" s="222"/>
      <c r="K799" s="222"/>
      <c r="L799" s="223"/>
      <c r="M799" s="222"/>
      <c r="N799" s="222"/>
      <c r="O799" s="222"/>
      <c r="P799" s="222"/>
      <c r="Q799" s="222"/>
      <c r="R799" s="222"/>
      <c r="S799" s="222"/>
      <c r="T799" s="222"/>
      <c r="U799" s="222"/>
      <c r="V799" s="222"/>
      <c r="W799" s="222"/>
      <c r="X799" s="222"/>
      <c r="Y799" s="222"/>
      <c r="Z799" s="222"/>
      <c r="AA799" s="222"/>
      <c r="AB799" s="222"/>
    </row>
    <row r="800" spans="1:28" ht="16">
      <c r="A800" s="222"/>
      <c r="B800" s="222"/>
      <c r="C800" s="222"/>
      <c r="D800" s="222"/>
      <c r="E800" s="222"/>
      <c r="F800" s="222"/>
      <c r="G800" s="222"/>
      <c r="H800" s="222"/>
      <c r="I800" s="222"/>
      <c r="J800" s="222"/>
      <c r="K800" s="222"/>
      <c r="L800" s="223"/>
      <c r="M800" s="222"/>
      <c r="N800" s="222"/>
      <c r="O800" s="222"/>
      <c r="P800" s="222"/>
      <c r="Q800" s="222"/>
      <c r="R800" s="222"/>
      <c r="S800" s="222"/>
      <c r="T800" s="222"/>
      <c r="U800" s="222"/>
      <c r="V800" s="222"/>
      <c r="W800" s="222"/>
      <c r="X800" s="222"/>
      <c r="Y800" s="222"/>
      <c r="Z800" s="222"/>
      <c r="AA800" s="222"/>
      <c r="AB800" s="222"/>
    </row>
    <row r="801" spans="1:28" ht="16">
      <c r="A801" s="222"/>
      <c r="B801" s="222"/>
      <c r="C801" s="222"/>
      <c r="D801" s="222"/>
      <c r="E801" s="222"/>
      <c r="F801" s="222"/>
      <c r="G801" s="222"/>
      <c r="H801" s="222"/>
      <c r="I801" s="222"/>
      <c r="J801" s="222"/>
      <c r="K801" s="222"/>
      <c r="L801" s="223"/>
      <c r="M801" s="222"/>
      <c r="N801" s="222"/>
      <c r="O801" s="222"/>
      <c r="P801" s="222"/>
      <c r="Q801" s="222"/>
      <c r="R801" s="222"/>
      <c r="S801" s="222"/>
      <c r="T801" s="222"/>
      <c r="U801" s="222"/>
      <c r="V801" s="222"/>
      <c r="W801" s="222"/>
      <c r="X801" s="222"/>
      <c r="Y801" s="222"/>
      <c r="Z801" s="222"/>
      <c r="AA801" s="222"/>
      <c r="AB801" s="222"/>
    </row>
    <row r="802" spans="1:28" ht="16">
      <c r="A802" s="222"/>
      <c r="B802" s="222"/>
      <c r="C802" s="222"/>
      <c r="D802" s="222"/>
      <c r="E802" s="222"/>
      <c r="F802" s="222"/>
      <c r="G802" s="222"/>
      <c r="H802" s="222"/>
      <c r="I802" s="222"/>
      <c r="J802" s="222"/>
      <c r="K802" s="222"/>
      <c r="L802" s="223"/>
      <c r="M802" s="222"/>
      <c r="N802" s="222"/>
      <c r="O802" s="222"/>
      <c r="P802" s="222"/>
      <c r="Q802" s="222"/>
      <c r="R802" s="222"/>
      <c r="S802" s="222"/>
      <c r="T802" s="222"/>
      <c r="U802" s="222"/>
      <c r="V802" s="222"/>
      <c r="W802" s="222"/>
      <c r="X802" s="222"/>
      <c r="Y802" s="222"/>
      <c r="Z802" s="222"/>
      <c r="AA802" s="222"/>
      <c r="AB802" s="222"/>
    </row>
    <row r="803" spans="1:28" ht="16">
      <c r="A803" s="222"/>
      <c r="B803" s="222"/>
      <c r="C803" s="222"/>
      <c r="D803" s="222"/>
      <c r="E803" s="222"/>
      <c r="F803" s="222"/>
      <c r="G803" s="222"/>
      <c r="H803" s="222"/>
      <c r="I803" s="222"/>
      <c r="J803" s="222"/>
      <c r="K803" s="222"/>
      <c r="L803" s="223"/>
      <c r="M803" s="222"/>
      <c r="N803" s="222"/>
      <c r="O803" s="222"/>
      <c r="P803" s="222"/>
      <c r="Q803" s="222"/>
      <c r="R803" s="222"/>
      <c r="S803" s="222"/>
      <c r="T803" s="222"/>
      <c r="U803" s="222"/>
      <c r="V803" s="222"/>
      <c r="W803" s="222"/>
      <c r="X803" s="222"/>
      <c r="Y803" s="222"/>
      <c r="Z803" s="222"/>
      <c r="AA803" s="222"/>
      <c r="AB803" s="222"/>
    </row>
    <row r="804" spans="1:28" ht="16">
      <c r="A804" s="222"/>
      <c r="B804" s="222"/>
      <c r="C804" s="222"/>
      <c r="D804" s="222"/>
      <c r="E804" s="222"/>
      <c r="F804" s="222"/>
      <c r="G804" s="222"/>
      <c r="H804" s="222"/>
      <c r="I804" s="222"/>
      <c r="J804" s="222"/>
      <c r="K804" s="222"/>
      <c r="L804" s="223"/>
      <c r="M804" s="222"/>
      <c r="N804" s="222"/>
      <c r="O804" s="222"/>
      <c r="P804" s="222"/>
      <c r="Q804" s="222"/>
      <c r="R804" s="222"/>
      <c r="S804" s="222"/>
      <c r="T804" s="222"/>
      <c r="U804" s="222"/>
      <c r="V804" s="222"/>
      <c r="W804" s="222"/>
      <c r="X804" s="222"/>
      <c r="Y804" s="222"/>
      <c r="Z804" s="222"/>
      <c r="AA804" s="222"/>
      <c r="AB804" s="222"/>
    </row>
    <row r="805" spans="1:28" ht="16">
      <c r="A805" s="222"/>
      <c r="B805" s="222"/>
      <c r="C805" s="222"/>
      <c r="D805" s="222"/>
      <c r="E805" s="222"/>
      <c r="F805" s="222"/>
      <c r="G805" s="222"/>
      <c r="H805" s="222"/>
      <c r="I805" s="222"/>
      <c r="J805" s="222"/>
      <c r="K805" s="222"/>
      <c r="L805" s="223"/>
      <c r="M805" s="222"/>
      <c r="N805" s="222"/>
      <c r="O805" s="222"/>
      <c r="P805" s="222"/>
      <c r="Q805" s="222"/>
      <c r="R805" s="222"/>
      <c r="S805" s="222"/>
      <c r="T805" s="222"/>
      <c r="U805" s="222"/>
      <c r="V805" s="222"/>
      <c r="W805" s="222"/>
      <c r="X805" s="222"/>
      <c r="Y805" s="222"/>
      <c r="Z805" s="222"/>
      <c r="AA805" s="222"/>
      <c r="AB805" s="222"/>
    </row>
    <row r="806" spans="1:28" ht="16">
      <c r="A806" s="222"/>
      <c r="B806" s="222"/>
      <c r="C806" s="222"/>
      <c r="D806" s="222"/>
      <c r="E806" s="222"/>
      <c r="F806" s="222"/>
      <c r="G806" s="222"/>
      <c r="H806" s="222"/>
      <c r="I806" s="222"/>
      <c r="J806" s="222"/>
      <c r="K806" s="222"/>
      <c r="L806" s="223"/>
      <c r="M806" s="222"/>
      <c r="N806" s="222"/>
      <c r="O806" s="222"/>
      <c r="P806" s="222"/>
      <c r="Q806" s="222"/>
      <c r="R806" s="222"/>
      <c r="S806" s="222"/>
      <c r="T806" s="222"/>
      <c r="U806" s="222"/>
      <c r="V806" s="222"/>
      <c r="W806" s="222"/>
      <c r="X806" s="222"/>
      <c r="Y806" s="222"/>
      <c r="Z806" s="222"/>
      <c r="AA806" s="222"/>
      <c r="AB806" s="222"/>
    </row>
    <row r="807" spans="1:28" ht="16">
      <c r="A807" s="222"/>
      <c r="B807" s="222"/>
      <c r="C807" s="222"/>
      <c r="D807" s="222"/>
      <c r="E807" s="222"/>
      <c r="F807" s="222"/>
      <c r="G807" s="222"/>
      <c r="H807" s="222"/>
      <c r="I807" s="222"/>
      <c r="J807" s="222"/>
      <c r="K807" s="222"/>
      <c r="L807" s="223"/>
      <c r="M807" s="222"/>
      <c r="N807" s="222"/>
      <c r="O807" s="222"/>
      <c r="P807" s="222"/>
      <c r="Q807" s="222"/>
      <c r="R807" s="222"/>
      <c r="S807" s="222"/>
      <c r="T807" s="222"/>
      <c r="U807" s="222"/>
      <c r="V807" s="222"/>
      <c r="W807" s="222"/>
      <c r="X807" s="222"/>
      <c r="Y807" s="222"/>
      <c r="Z807" s="222"/>
      <c r="AA807" s="222"/>
      <c r="AB807" s="222"/>
    </row>
    <row r="808" spans="1:28" ht="16">
      <c r="A808" s="222"/>
      <c r="B808" s="222"/>
      <c r="C808" s="222"/>
      <c r="D808" s="222"/>
      <c r="E808" s="222"/>
      <c r="F808" s="222"/>
      <c r="G808" s="222"/>
      <c r="H808" s="222"/>
      <c r="I808" s="222"/>
      <c r="J808" s="222"/>
      <c r="K808" s="222"/>
      <c r="L808" s="223"/>
      <c r="M808" s="222"/>
      <c r="N808" s="222"/>
      <c r="O808" s="222"/>
      <c r="P808" s="222"/>
      <c r="Q808" s="222"/>
      <c r="R808" s="222"/>
      <c r="S808" s="222"/>
      <c r="T808" s="222"/>
      <c r="U808" s="222"/>
      <c r="V808" s="222"/>
      <c r="W808" s="222"/>
      <c r="X808" s="222"/>
      <c r="Y808" s="222"/>
      <c r="Z808" s="222"/>
      <c r="AA808" s="222"/>
      <c r="AB808" s="222"/>
    </row>
    <row r="809" spans="1:28" ht="16">
      <c r="A809" s="222"/>
      <c r="B809" s="222"/>
      <c r="C809" s="222"/>
      <c r="D809" s="222"/>
      <c r="E809" s="222"/>
      <c r="F809" s="222"/>
      <c r="G809" s="222"/>
      <c r="H809" s="222"/>
      <c r="I809" s="222"/>
      <c r="J809" s="222"/>
      <c r="K809" s="222"/>
      <c r="L809" s="223"/>
      <c r="M809" s="222"/>
      <c r="N809" s="222"/>
      <c r="O809" s="222"/>
      <c r="P809" s="222"/>
      <c r="Q809" s="222"/>
      <c r="R809" s="222"/>
      <c r="S809" s="222"/>
      <c r="T809" s="222"/>
      <c r="U809" s="222"/>
      <c r="V809" s="222"/>
      <c r="W809" s="222"/>
      <c r="X809" s="222"/>
      <c r="Y809" s="222"/>
      <c r="Z809" s="222"/>
      <c r="AA809" s="222"/>
      <c r="AB809" s="222"/>
    </row>
    <row r="810" spans="1:28" ht="16">
      <c r="A810" s="222"/>
      <c r="B810" s="222"/>
      <c r="C810" s="222"/>
      <c r="D810" s="222"/>
      <c r="E810" s="222"/>
      <c r="F810" s="222"/>
      <c r="G810" s="222"/>
      <c r="H810" s="222"/>
      <c r="I810" s="222"/>
      <c r="J810" s="222"/>
      <c r="K810" s="222"/>
      <c r="L810" s="223"/>
      <c r="M810" s="222"/>
      <c r="N810" s="222"/>
      <c r="O810" s="222"/>
      <c r="P810" s="222"/>
      <c r="Q810" s="222"/>
      <c r="R810" s="222"/>
      <c r="S810" s="222"/>
      <c r="T810" s="222"/>
      <c r="U810" s="222"/>
      <c r="V810" s="222"/>
      <c r="W810" s="222"/>
      <c r="X810" s="222"/>
      <c r="Y810" s="222"/>
      <c r="Z810" s="222"/>
      <c r="AA810" s="222"/>
      <c r="AB810" s="222"/>
    </row>
    <row r="811" spans="1:28" ht="16">
      <c r="A811" s="222"/>
      <c r="B811" s="222"/>
      <c r="C811" s="222"/>
      <c r="D811" s="222"/>
      <c r="E811" s="222"/>
      <c r="F811" s="222"/>
      <c r="G811" s="222"/>
      <c r="H811" s="222"/>
      <c r="I811" s="222"/>
      <c r="J811" s="222"/>
      <c r="K811" s="222"/>
      <c r="L811" s="223"/>
      <c r="M811" s="222"/>
      <c r="N811" s="222"/>
      <c r="O811" s="222"/>
      <c r="P811" s="222"/>
      <c r="Q811" s="222"/>
      <c r="R811" s="222"/>
      <c r="S811" s="222"/>
      <c r="T811" s="222"/>
      <c r="U811" s="222"/>
      <c r="V811" s="222"/>
      <c r="W811" s="222"/>
      <c r="X811" s="222"/>
      <c r="Y811" s="222"/>
      <c r="Z811" s="222"/>
      <c r="AA811" s="222"/>
      <c r="AB811" s="222"/>
    </row>
    <row r="812" spans="1:28" ht="16">
      <c r="A812" s="222"/>
      <c r="B812" s="222"/>
      <c r="C812" s="222"/>
      <c r="D812" s="222"/>
      <c r="E812" s="222"/>
      <c r="F812" s="222"/>
      <c r="G812" s="222"/>
      <c r="H812" s="222"/>
      <c r="I812" s="222"/>
      <c r="J812" s="222"/>
      <c r="K812" s="222"/>
      <c r="L812" s="223"/>
      <c r="M812" s="222"/>
      <c r="N812" s="222"/>
      <c r="O812" s="222"/>
      <c r="P812" s="222"/>
      <c r="Q812" s="222"/>
      <c r="R812" s="222"/>
      <c r="S812" s="222"/>
      <c r="T812" s="222"/>
      <c r="U812" s="222"/>
      <c r="V812" s="222"/>
      <c r="W812" s="222"/>
      <c r="X812" s="222"/>
      <c r="Y812" s="222"/>
      <c r="Z812" s="222"/>
      <c r="AA812" s="222"/>
      <c r="AB812" s="222"/>
    </row>
    <row r="813" spans="1:28" ht="16">
      <c r="A813" s="222"/>
      <c r="B813" s="222"/>
      <c r="C813" s="222"/>
      <c r="D813" s="222"/>
      <c r="E813" s="222"/>
      <c r="F813" s="222"/>
      <c r="G813" s="222"/>
      <c r="H813" s="222"/>
      <c r="I813" s="222"/>
      <c r="J813" s="222"/>
      <c r="K813" s="222"/>
      <c r="L813" s="223"/>
      <c r="M813" s="222"/>
      <c r="N813" s="222"/>
      <c r="O813" s="222"/>
      <c r="P813" s="222"/>
      <c r="Q813" s="222"/>
      <c r="R813" s="222"/>
      <c r="S813" s="222"/>
      <c r="T813" s="222"/>
      <c r="U813" s="222"/>
      <c r="V813" s="222"/>
      <c r="W813" s="222"/>
      <c r="X813" s="222"/>
      <c r="Y813" s="222"/>
      <c r="Z813" s="222"/>
      <c r="AA813" s="222"/>
      <c r="AB813" s="222"/>
    </row>
    <row r="814" spans="1:28" ht="16">
      <c r="A814" s="222"/>
      <c r="B814" s="222"/>
      <c r="C814" s="222"/>
      <c r="D814" s="222"/>
      <c r="E814" s="222"/>
      <c r="F814" s="222"/>
      <c r="G814" s="222"/>
      <c r="H814" s="222"/>
      <c r="I814" s="222"/>
      <c r="J814" s="222"/>
      <c r="K814" s="222"/>
      <c r="L814" s="223"/>
      <c r="M814" s="222"/>
      <c r="N814" s="222"/>
      <c r="O814" s="222"/>
      <c r="P814" s="222"/>
      <c r="Q814" s="222"/>
      <c r="R814" s="222"/>
      <c r="S814" s="222"/>
      <c r="T814" s="222"/>
      <c r="U814" s="222"/>
      <c r="V814" s="222"/>
      <c r="W814" s="222"/>
      <c r="X814" s="222"/>
      <c r="Y814" s="222"/>
      <c r="Z814" s="222"/>
      <c r="AA814" s="222"/>
      <c r="AB814" s="222"/>
    </row>
    <row r="815" spans="1:28" ht="16">
      <c r="A815" s="222"/>
      <c r="B815" s="222"/>
      <c r="C815" s="222"/>
      <c r="D815" s="222"/>
      <c r="E815" s="222"/>
      <c r="F815" s="222"/>
      <c r="G815" s="222"/>
      <c r="H815" s="222"/>
      <c r="I815" s="222"/>
      <c r="J815" s="222"/>
      <c r="K815" s="222"/>
      <c r="L815" s="223"/>
      <c r="M815" s="222"/>
      <c r="N815" s="222"/>
      <c r="O815" s="222"/>
      <c r="P815" s="222"/>
      <c r="Q815" s="222"/>
      <c r="R815" s="222"/>
      <c r="S815" s="222"/>
      <c r="T815" s="222"/>
      <c r="U815" s="222"/>
      <c r="V815" s="222"/>
      <c r="W815" s="222"/>
      <c r="X815" s="222"/>
      <c r="Y815" s="222"/>
      <c r="Z815" s="222"/>
      <c r="AA815" s="222"/>
      <c r="AB815" s="222"/>
    </row>
    <row r="816" spans="1:28" ht="16">
      <c r="A816" s="222"/>
      <c r="B816" s="222"/>
      <c r="C816" s="222"/>
      <c r="D816" s="222"/>
      <c r="E816" s="222"/>
      <c r="F816" s="222"/>
      <c r="G816" s="222"/>
      <c r="H816" s="222"/>
      <c r="I816" s="222"/>
      <c r="J816" s="222"/>
      <c r="K816" s="222"/>
      <c r="L816" s="223"/>
      <c r="M816" s="222"/>
      <c r="N816" s="222"/>
      <c r="O816" s="222"/>
      <c r="P816" s="222"/>
      <c r="Q816" s="222"/>
      <c r="R816" s="222"/>
      <c r="S816" s="222"/>
      <c r="T816" s="222"/>
      <c r="U816" s="222"/>
      <c r="V816" s="222"/>
      <c r="W816" s="222"/>
      <c r="X816" s="222"/>
      <c r="Y816" s="222"/>
      <c r="Z816" s="222"/>
      <c r="AA816" s="222"/>
      <c r="AB816" s="222"/>
    </row>
    <row r="817" spans="1:28" ht="16">
      <c r="A817" s="222"/>
      <c r="B817" s="222"/>
      <c r="C817" s="222"/>
      <c r="D817" s="222"/>
      <c r="E817" s="222"/>
      <c r="F817" s="222"/>
      <c r="G817" s="222"/>
      <c r="H817" s="222"/>
      <c r="I817" s="222"/>
      <c r="J817" s="222"/>
      <c r="K817" s="222"/>
      <c r="L817" s="223"/>
      <c r="M817" s="222"/>
      <c r="N817" s="222"/>
      <c r="O817" s="222"/>
      <c r="P817" s="222"/>
      <c r="Q817" s="222"/>
      <c r="R817" s="222"/>
      <c r="S817" s="222"/>
      <c r="T817" s="222"/>
      <c r="U817" s="222"/>
      <c r="V817" s="222"/>
      <c r="W817" s="222"/>
      <c r="X817" s="222"/>
      <c r="Y817" s="222"/>
      <c r="Z817" s="222"/>
      <c r="AA817" s="222"/>
      <c r="AB817" s="222"/>
    </row>
    <row r="818" spans="1:28" ht="16">
      <c r="A818" s="222"/>
      <c r="B818" s="222"/>
      <c r="C818" s="222"/>
      <c r="D818" s="222"/>
      <c r="E818" s="222"/>
      <c r="F818" s="222"/>
      <c r="G818" s="222"/>
      <c r="H818" s="222"/>
      <c r="I818" s="222"/>
      <c r="J818" s="222"/>
      <c r="K818" s="222"/>
      <c r="L818" s="223"/>
      <c r="M818" s="222"/>
      <c r="N818" s="222"/>
      <c r="O818" s="222"/>
      <c r="P818" s="222"/>
      <c r="Q818" s="222"/>
      <c r="R818" s="222"/>
      <c r="S818" s="222"/>
      <c r="T818" s="222"/>
      <c r="U818" s="222"/>
      <c r="V818" s="222"/>
      <c r="W818" s="222"/>
      <c r="X818" s="222"/>
      <c r="Y818" s="222"/>
      <c r="Z818" s="222"/>
      <c r="AA818" s="222"/>
      <c r="AB818" s="222"/>
    </row>
    <row r="819" spans="1:28" ht="16">
      <c r="A819" s="222"/>
      <c r="B819" s="222"/>
      <c r="C819" s="222"/>
      <c r="D819" s="222"/>
      <c r="E819" s="222"/>
      <c r="F819" s="222"/>
      <c r="G819" s="222"/>
      <c r="H819" s="222"/>
      <c r="I819" s="222"/>
      <c r="J819" s="222"/>
      <c r="K819" s="222"/>
      <c r="L819" s="223"/>
      <c r="M819" s="222"/>
      <c r="N819" s="222"/>
      <c r="O819" s="222"/>
      <c r="P819" s="222"/>
      <c r="Q819" s="222"/>
      <c r="R819" s="222"/>
      <c r="S819" s="222"/>
      <c r="T819" s="222"/>
      <c r="U819" s="222"/>
      <c r="V819" s="222"/>
      <c r="W819" s="222"/>
      <c r="X819" s="222"/>
      <c r="Y819" s="222"/>
      <c r="Z819" s="222"/>
      <c r="AA819" s="222"/>
      <c r="AB819" s="222"/>
    </row>
    <row r="820" spans="1:28" ht="16">
      <c r="A820" s="222"/>
      <c r="B820" s="222"/>
      <c r="C820" s="222"/>
      <c r="D820" s="222"/>
      <c r="E820" s="222"/>
      <c r="F820" s="222"/>
      <c r="G820" s="222"/>
      <c r="H820" s="222"/>
      <c r="I820" s="222"/>
      <c r="J820" s="222"/>
      <c r="K820" s="222"/>
      <c r="L820" s="223"/>
      <c r="M820" s="222"/>
      <c r="N820" s="222"/>
      <c r="O820" s="222"/>
      <c r="P820" s="222"/>
      <c r="Q820" s="222"/>
      <c r="R820" s="222"/>
      <c r="S820" s="222"/>
      <c r="T820" s="222"/>
      <c r="U820" s="222"/>
      <c r="V820" s="222"/>
      <c r="W820" s="222"/>
      <c r="X820" s="222"/>
      <c r="Y820" s="222"/>
      <c r="Z820" s="222"/>
      <c r="AA820" s="222"/>
      <c r="AB820" s="222"/>
    </row>
    <row r="821" spans="1:28" ht="16">
      <c r="A821" s="222"/>
      <c r="B821" s="222"/>
      <c r="C821" s="222"/>
      <c r="D821" s="222"/>
      <c r="E821" s="222"/>
      <c r="F821" s="222"/>
      <c r="G821" s="222"/>
      <c r="H821" s="222"/>
      <c r="I821" s="222"/>
      <c r="J821" s="222"/>
      <c r="K821" s="222"/>
      <c r="L821" s="223"/>
      <c r="M821" s="222"/>
      <c r="N821" s="222"/>
      <c r="O821" s="222"/>
      <c r="P821" s="222"/>
      <c r="Q821" s="222"/>
      <c r="R821" s="222"/>
      <c r="S821" s="222"/>
      <c r="T821" s="222"/>
      <c r="U821" s="222"/>
      <c r="V821" s="222"/>
      <c r="W821" s="222"/>
      <c r="X821" s="222"/>
      <c r="Y821" s="222"/>
      <c r="Z821" s="222"/>
      <c r="AA821" s="222"/>
      <c r="AB821" s="222"/>
    </row>
    <row r="822" spans="1:28" ht="16">
      <c r="A822" s="222"/>
      <c r="B822" s="222"/>
      <c r="C822" s="222"/>
      <c r="D822" s="222"/>
      <c r="E822" s="222"/>
      <c r="F822" s="222"/>
      <c r="G822" s="222"/>
      <c r="H822" s="222"/>
      <c r="I822" s="222"/>
      <c r="J822" s="222"/>
      <c r="K822" s="222"/>
      <c r="L822" s="223"/>
      <c r="M822" s="222"/>
      <c r="N822" s="222"/>
      <c r="O822" s="222"/>
      <c r="P822" s="222"/>
      <c r="Q822" s="222"/>
      <c r="R822" s="222"/>
      <c r="S822" s="222"/>
      <c r="T822" s="222"/>
      <c r="U822" s="222"/>
      <c r="V822" s="222"/>
      <c r="W822" s="222"/>
      <c r="X822" s="222"/>
      <c r="Y822" s="222"/>
      <c r="Z822" s="222"/>
      <c r="AA822" s="222"/>
      <c r="AB822" s="222"/>
    </row>
    <row r="823" spans="1:28" ht="16">
      <c r="A823" s="222"/>
      <c r="B823" s="222"/>
      <c r="C823" s="222"/>
      <c r="D823" s="222"/>
      <c r="E823" s="222"/>
      <c r="F823" s="222"/>
      <c r="G823" s="222"/>
      <c r="H823" s="222"/>
      <c r="I823" s="222"/>
      <c r="J823" s="222"/>
      <c r="K823" s="222"/>
      <c r="L823" s="223"/>
      <c r="M823" s="222"/>
      <c r="N823" s="222"/>
      <c r="O823" s="222"/>
      <c r="P823" s="222"/>
      <c r="Q823" s="222"/>
      <c r="R823" s="222"/>
      <c r="S823" s="222"/>
      <c r="T823" s="222"/>
      <c r="U823" s="222"/>
      <c r="V823" s="222"/>
      <c r="W823" s="222"/>
      <c r="X823" s="222"/>
      <c r="Y823" s="222"/>
      <c r="Z823" s="222"/>
      <c r="AA823" s="222"/>
      <c r="AB823" s="222"/>
    </row>
    <row r="824" spans="1:28" ht="16">
      <c r="A824" s="222"/>
      <c r="B824" s="222"/>
      <c r="C824" s="222"/>
      <c r="D824" s="222"/>
      <c r="E824" s="222"/>
      <c r="F824" s="222"/>
      <c r="G824" s="222"/>
      <c r="H824" s="222"/>
      <c r="I824" s="222"/>
      <c r="J824" s="222"/>
      <c r="K824" s="222"/>
      <c r="L824" s="223"/>
      <c r="M824" s="222"/>
      <c r="N824" s="222"/>
      <c r="O824" s="222"/>
      <c r="P824" s="222"/>
      <c r="Q824" s="222"/>
      <c r="R824" s="222"/>
      <c r="S824" s="222"/>
      <c r="T824" s="222"/>
      <c r="U824" s="222"/>
      <c r="V824" s="222"/>
      <c r="W824" s="222"/>
      <c r="X824" s="222"/>
      <c r="Y824" s="222"/>
      <c r="Z824" s="222"/>
      <c r="AA824" s="222"/>
      <c r="AB824" s="222"/>
    </row>
    <row r="825" spans="1:28" ht="16">
      <c r="A825" s="222"/>
      <c r="B825" s="222"/>
      <c r="C825" s="222"/>
      <c r="D825" s="222"/>
      <c r="E825" s="222"/>
      <c r="F825" s="222"/>
      <c r="G825" s="222"/>
      <c r="H825" s="222"/>
      <c r="I825" s="222"/>
      <c r="J825" s="222"/>
      <c r="K825" s="222"/>
      <c r="L825" s="223"/>
      <c r="M825" s="222"/>
      <c r="N825" s="222"/>
      <c r="O825" s="222"/>
      <c r="P825" s="222"/>
      <c r="Q825" s="222"/>
      <c r="R825" s="222"/>
      <c r="S825" s="222"/>
      <c r="T825" s="222"/>
      <c r="U825" s="222"/>
      <c r="V825" s="222"/>
      <c r="W825" s="222"/>
      <c r="X825" s="222"/>
      <c r="Y825" s="222"/>
      <c r="Z825" s="222"/>
      <c r="AA825" s="222"/>
      <c r="AB825" s="222"/>
    </row>
    <row r="826" spans="1:28" ht="16">
      <c r="A826" s="222"/>
      <c r="B826" s="222"/>
      <c r="C826" s="222"/>
      <c r="D826" s="222"/>
      <c r="E826" s="222"/>
      <c r="F826" s="222"/>
      <c r="G826" s="222"/>
      <c r="H826" s="222"/>
      <c r="I826" s="222"/>
      <c r="J826" s="222"/>
      <c r="K826" s="222"/>
      <c r="L826" s="223"/>
      <c r="M826" s="222"/>
      <c r="N826" s="222"/>
      <c r="O826" s="222"/>
      <c r="P826" s="222"/>
      <c r="Q826" s="222"/>
      <c r="R826" s="222"/>
      <c r="S826" s="222"/>
      <c r="T826" s="222"/>
      <c r="U826" s="222"/>
      <c r="V826" s="222"/>
      <c r="W826" s="222"/>
      <c r="X826" s="222"/>
      <c r="Y826" s="222"/>
      <c r="Z826" s="222"/>
      <c r="AA826" s="222"/>
      <c r="AB826" s="222"/>
    </row>
    <row r="827" spans="1:28" ht="16">
      <c r="A827" s="222"/>
      <c r="B827" s="222"/>
      <c r="C827" s="222"/>
      <c r="D827" s="222"/>
      <c r="E827" s="222"/>
      <c r="F827" s="222"/>
      <c r="G827" s="222"/>
      <c r="H827" s="222"/>
      <c r="I827" s="222"/>
      <c r="J827" s="222"/>
      <c r="K827" s="222"/>
      <c r="L827" s="223"/>
      <c r="M827" s="222"/>
      <c r="N827" s="222"/>
      <c r="O827" s="222"/>
      <c r="P827" s="222"/>
      <c r="Q827" s="222"/>
      <c r="R827" s="222"/>
      <c r="S827" s="222"/>
      <c r="T827" s="222"/>
      <c r="U827" s="222"/>
      <c r="V827" s="222"/>
      <c r="W827" s="222"/>
      <c r="X827" s="222"/>
      <c r="Y827" s="222"/>
      <c r="Z827" s="222"/>
      <c r="AA827" s="222"/>
      <c r="AB827" s="222"/>
    </row>
    <row r="828" spans="1:28" ht="16">
      <c r="A828" s="222"/>
      <c r="B828" s="222"/>
      <c r="C828" s="222"/>
      <c r="D828" s="222"/>
      <c r="E828" s="222"/>
      <c r="F828" s="222"/>
      <c r="G828" s="222"/>
      <c r="H828" s="222"/>
      <c r="I828" s="222"/>
      <c r="J828" s="222"/>
      <c r="K828" s="222"/>
      <c r="L828" s="223"/>
      <c r="M828" s="222"/>
      <c r="N828" s="222"/>
      <c r="O828" s="222"/>
      <c r="P828" s="222"/>
      <c r="Q828" s="222"/>
      <c r="R828" s="222"/>
      <c r="S828" s="222"/>
      <c r="T828" s="222"/>
      <c r="U828" s="222"/>
      <c r="V828" s="222"/>
      <c r="W828" s="222"/>
      <c r="X828" s="222"/>
      <c r="Y828" s="222"/>
      <c r="Z828" s="222"/>
      <c r="AA828" s="222"/>
      <c r="AB828" s="222"/>
    </row>
    <row r="829" spans="1:28" ht="16">
      <c r="A829" s="222"/>
      <c r="B829" s="222"/>
      <c r="C829" s="222"/>
      <c r="D829" s="222"/>
      <c r="E829" s="222"/>
      <c r="F829" s="222"/>
      <c r="G829" s="222"/>
      <c r="H829" s="222"/>
      <c r="I829" s="222"/>
      <c r="J829" s="222"/>
      <c r="K829" s="222"/>
      <c r="L829" s="223"/>
      <c r="M829" s="222"/>
      <c r="N829" s="222"/>
      <c r="O829" s="222"/>
      <c r="P829" s="222"/>
      <c r="Q829" s="222"/>
      <c r="R829" s="222"/>
      <c r="S829" s="222"/>
      <c r="T829" s="222"/>
      <c r="U829" s="222"/>
      <c r="V829" s="222"/>
      <c r="W829" s="222"/>
      <c r="X829" s="222"/>
      <c r="Y829" s="222"/>
      <c r="Z829" s="222"/>
      <c r="AA829" s="222"/>
      <c r="AB829" s="222"/>
    </row>
    <row r="830" spans="1:28" ht="16">
      <c r="A830" s="222"/>
      <c r="B830" s="222"/>
      <c r="C830" s="222"/>
      <c r="D830" s="222"/>
      <c r="E830" s="222"/>
      <c r="F830" s="222"/>
      <c r="G830" s="222"/>
      <c r="H830" s="222"/>
      <c r="I830" s="222"/>
      <c r="J830" s="222"/>
      <c r="K830" s="222"/>
      <c r="L830" s="223"/>
      <c r="M830" s="222"/>
      <c r="N830" s="222"/>
      <c r="O830" s="222"/>
      <c r="P830" s="222"/>
      <c r="Q830" s="222"/>
      <c r="R830" s="222"/>
      <c r="S830" s="222"/>
      <c r="T830" s="222"/>
      <c r="U830" s="222"/>
      <c r="V830" s="222"/>
      <c r="W830" s="222"/>
      <c r="X830" s="222"/>
      <c r="Y830" s="222"/>
      <c r="Z830" s="222"/>
      <c r="AA830" s="222"/>
      <c r="AB830" s="222"/>
    </row>
    <row r="831" spans="1:28" ht="16">
      <c r="A831" s="222"/>
      <c r="B831" s="222"/>
      <c r="C831" s="222"/>
      <c r="D831" s="222"/>
      <c r="E831" s="222"/>
      <c r="F831" s="222"/>
      <c r="G831" s="222"/>
      <c r="H831" s="222"/>
      <c r="I831" s="222"/>
      <c r="J831" s="222"/>
      <c r="K831" s="222"/>
      <c r="L831" s="223"/>
      <c r="M831" s="222"/>
      <c r="N831" s="222"/>
      <c r="O831" s="222"/>
      <c r="P831" s="222"/>
      <c r="Q831" s="222"/>
      <c r="R831" s="222"/>
      <c r="S831" s="222"/>
      <c r="T831" s="222"/>
      <c r="U831" s="222"/>
      <c r="V831" s="222"/>
      <c r="W831" s="222"/>
      <c r="X831" s="222"/>
      <c r="Y831" s="222"/>
      <c r="Z831" s="222"/>
      <c r="AA831" s="222"/>
      <c r="AB831" s="222"/>
    </row>
    <row r="832" spans="1:28" ht="16">
      <c r="A832" s="222"/>
      <c r="B832" s="222"/>
      <c r="C832" s="222"/>
      <c r="D832" s="222"/>
      <c r="E832" s="222"/>
      <c r="F832" s="222"/>
      <c r="G832" s="222"/>
      <c r="H832" s="222"/>
      <c r="I832" s="222"/>
      <c r="J832" s="222"/>
      <c r="K832" s="222"/>
      <c r="L832" s="223"/>
      <c r="M832" s="222"/>
      <c r="N832" s="222"/>
      <c r="O832" s="222"/>
      <c r="P832" s="222"/>
      <c r="Q832" s="222"/>
      <c r="R832" s="222"/>
      <c r="S832" s="222"/>
      <c r="T832" s="222"/>
      <c r="U832" s="222"/>
      <c r="V832" s="222"/>
      <c r="W832" s="222"/>
      <c r="X832" s="222"/>
      <c r="Y832" s="222"/>
      <c r="Z832" s="222"/>
      <c r="AA832" s="222"/>
      <c r="AB832" s="222"/>
    </row>
    <row r="833" spans="1:28" ht="16">
      <c r="A833" s="222"/>
      <c r="B833" s="222"/>
      <c r="C833" s="222"/>
      <c r="D833" s="222"/>
      <c r="E833" s="222"/>
      <c r="F833" s="222"/>
      <c r="G833" s="222"/>
      <c r="H833" s="222"/>
      <c r="I833" s="222"/>
      <c r="J833" s="222"/>
      <c r="K833" s="222"/>
      <c r="L833" s="223"/>
      <c r="M833" s="222"/>
      <c r="N833" s="222"/>
      <c r="O833" s="222"/>
      <c r="P833" s="222"/>
      <c r="Q833" s="222"/>
      <c r="R833" s="222"/>
      <c r="S833" s="222"/>
      <c r="T833" s="222"/>
      <c r="U833" s="222"/>
      <c r="V833" s="222"/>
      <c r="W833" s="222"/>
      <c r="X833" s="222"/>
      <c r="Y833" s="222"/>
      <c r="Z833" s="222"/>
      <c r="AA833" s="222"/>
      <c r="AB833" s="222"/>
    </row>
    <row r="834" spans="1:28" ht="16">
      <c r="A834" s="222"/>
      <c r="B834" s="222"/>
      <c r="C834" s="222"/>
      <c r="D834" s="222"/>
      <c r="E834" s="222"/>
      <c r="F834" s="222"/>
      <c r="G834" s="222"/>
      <c r="H834" s="222"/>
      <c r="I834" s="222"/>
      <c r="J834" s="222"/>
      <c r="K834" s="222"/>
      <c r="L834" s="223"/>
      <c r="M834" s="222"/>
      <c r="N834" s="222"/>
      <c r="O834" s="222"/>
      <c r="P834" s="222"/>
      <c r="Q834" s="222"/>
      <c r="R834" s="222"/>
      <c r="S834" s="222"/>
      <c r="T834" s="222"/>
      <c r="U834" s="222"/>
      <c r="V834" s="222"/>
      <c r="W834" s="222"/>
      <c r="X834" s="222"/>
      <c r="Y834" s="222"/>
      <c r="Z834" s="222"/>
      <c r="AA834" s="222"/>
      <c r="AB834" s="222"/>
    </row>
    <row r="835" spans="1:28" ht="16">
      <c r="A835" s="222"/>
      <c r="B835" s="222"/>
      <c r="C835" s="222"/>
      <c r="D835" s="222"/>
      <c r="E835" s="222"/>
      <c r="F835" s="222"/>
      <c r="G835" s="222"/>
      <c r="H835" s="222"/>
      <c r="I835" s="222"/>
      <c r="J835" s="222"/>
      <c r="K835" s="222"/>
      <c r="L835" s="223"/>
      <c r="M835" s="222"/>
      <c r="N835" s="222"/>
      <c r="O835" s="222"/>
      <c r="P835" s="222"/>
      <c r="Q835" s="222"/>
      <c r="R835" s="222"/>
      <c r="S835" s="222"/>
      <c r="T835" s="222"/>
      <c r="U835" s="222"/>
      <c r="V835" s="222"/>
      <c r="W835" s="222"/>
      <c r="X835" s="222"/>
      <c r="Y835" s="222"/>
      <c r="Z835" s="222"/>
      <c r="AA835" s="222"/>
      <c r="AB835" s="222"/>
    </row>
    <row r="836" spans="1:28" ht="16">
      <c r="A836" s="222"/>
      <c r="B836" s="222"/>
      <c r="C836" s="222"/>
      <c r="D836" s="222"/>
      <c r="E836" s="222"/>
      <c r="F836" s="222"/>
      <c r="G836" s="222"/>
      <c r="H836" s="222"/>
      <c r="I836" s="222"/>
      <c r="J836" s="222"/>
      <c r="K836" s="222"/>
      <c r="L836" s="223"/>
      <c r="M836" s="222"/>
      <c r="N836" s="222"/>
      <c r="O836" s="222"/>
      <c r="P836" s="222"/>
      <c r="Q836" s="222"/>
      <c r="R836" s="222"/>
      <c r="S836" s="222"/>
      <c r="T836" s="222"/>
      <c r="U836" s="222"/>
      <c r="V836" s="222"/>
      <c r="W836" s="222"/>
      <c r="X836" s="222"/>
      <c r="Y836" s="222"/>
      <c r="Z836" s="222"/>
      <c r="AA836" s="222"/>
      <c r="AB836" s="222"/>
    </row>
    <row r="837" spans="1:28" ht="16">
      <c r="A837" s="222"/>
      <c r="B837" s="222"/>
      <c r="C837" s="222"/>
      <c r="D837" s="222"/>
      <c r="E837" s="222"/>
      <c r="F837" s="222"/>
      <c r="G837" s="222"/>
      <c r="H837" s="222"/>
      <c r="I837" s="222"/>
      <c r="J837" s="222"/>
      <c r="K837" s="222"/>
      <c r="L837" s="223"/>
      <c r="M837" s="222"/>
      <c r="N837" s="222"/>
      <c r="O837" s="222"/>
      <c r="P837" s="222"/>
      <c r="Q837" s="222"/>
      <c r="R837" s="222"/>
      <c r="S837" s="222"/>
      <c r="T837" s="222"/>
      <c r="U837" s="222"/>
      <c r="V837" s="222"/>
      <c r="W837" s="222"/>
      <c r="X837" s="222"/>
      <c r="Y837" s="222"/>
      <c r="Z837" s="222"/>
      <c r="AA837" s="222"/>
      <c r="AB837" s="222"/>
    </row>
    <row r="838" spans="1:28" ht="16">
      <c r="A838" s="222"/>
      <c r="B838" s="222"/>
      <c r="C838" s="222"/>
      <c r="D838" s="222"/>
      <c r="E838" s="222"/>
      <c r="F838" s="222"/>
      <c r="G838" s="222"/>
      <c r="H838" s="222"/>
      <c r="I838" s="222"/>
      <c r="J838" s="222"/>
      <c r="K838" s="222"/>
      <c r="L838" s="223"/>
      <c r="M838" s="222"/>
      <c r="N838" s="222"/>
      <c r="O838" s="222"/>
      <c r="P838" s="222"/>
      <c r="Q838" s="222"/>
      <c r="R838" s="222"/>
      <c r="S838" s="222"/>
      <c r="T838" s="222"/>
      <c r="U838" s="222"/>
      <c r="V838" s="222"/>
      <c r="W838" s="222"/>
      <c r="X838" s="222"/>
      <c r="Y838" s="222"/>
      <c r="Z838" s="222"/>
      <c r="AA838" s="222"/>
      <c r="AB838" s="222"/>
    </row>
    <row r="839" spans="1:28" ht="16">
      <c r="A839" s="222"/>
      <c r="B839" s="222"/>
      <c r="C839" s="222"/>
      <c r="D839" s="222"/>
      <c r="E839" s="222"/>
      <c r="F839" s="222"/>
      <c r="G839" s="222"/>
      <c r="H839" s="222"/>
      <c r="I839" s="222"/>
      <c r="J839" s="222"/>
      <c r="K839" s="222"/>
      <c r="L839" s="223"/>
      <c r="M839" s="222"/>
      <c r="N839" s="222"/>
      <c r="O839" s="222"/>
      <c r="P839" s="222"/>
      <c r="Q839" s="222"/>
      <c r="R839" s="222"/>
      <c r="S839" s="222"/>
      <c r="T839" s="222"/>
      <c r="U839" s="222"/>
      <c r="V839" s="222"/>
      <c r="W839" s="222"/>
      <c r="X839" s="222"/>
      <c r="Y839" s="222"/>
      <c r="Z839" s="222"/>
      <c r="AA839" s="222"/>
      <c r="AB839" s="222"/>
    </row>
    <row r="840" spans="1:28" ht="16">
      <c r="A840" s="222"/>
      <c r="B840" s="222"/>
      <c r="C840" s="222"/>
      <c r="D840" s="222"/>
      <c r="E840" s="222"/>
      <c r="F840" s="222"/>
      <c r="G840" s="222"/>
      <c r="H840" s="222"/>
      <c r="I840" s="222"/>
      <c r="J840" s="222"/>
      <c r="K840" s="222"/>
      <c r="L840" s="223"/>
      <c r="M840" s="222"/>
      <c r="N840" s="222"/>
      <c r="O840" s="222"/>
      <c r="P840" s="222"/>
      <c r="Q840" s="222"/>
      <c r="R840" s="222"/>
      <c r="S840" s="222"/>
      <c r="T840" s="222"/>
      <c r="U840" s="222"/>
      <c r="V840" s="222"/>
      <c r="W840" s="222"/>
      <c r="X840" s="222"/>
      <c r="Y840" s="222"/>
      <c r="Z840" s="222"/>
      <c r="AA840" s="222"/>
      <c r="AB840" s="222"/>
    </row>
    <row r="841" spans="1:28" ht="16">
      <c r="A841" s="222"/>
      <c r="B841" s="222"/>
      <c r="C841" s="222"/>
      <c r="D841" s="222"/>
      <c r="E841" s="222"/>
      <c r="F841" s="222"/>
      <c r="G841" s="222"/>
      <c r="H841" s="222"/>
      <c r="I841" s="222"/>
      <c r="J841" s="222"/>
      <c r="K841" s="222"/>
      <c r="L841" s="223"/>
      <c r="M841" s="222"/>
      <c r="N841" s="222"/>
      <c r="O841" s="222"/>
      <c r="P841" s="222"/>
      <c r="Q841" s="222"/>
      <c r="R841" s="222"/>
      <c r="S841" s="222"/>
      <c r="T841" s="222"/>
      <c r="U841" s="222"/>
      <c r="V841" s="222"/>
      <c r="W841" s="222"/>
      <c r="X841" s="222"/>
      <c r="Y841" s="222"/>
      <c r="Z841" s="222"/>
      <c r="AA841" s="222"/>
      <c r="AB841" s="222"/>
    </row>
    <row r="842" spans="1:28" ht="16">
      <c r="A842" s="222"/>
      <c r="B842" s="222"/>
      <c r="C842" s="222"/>
      <c r="D842" s="222"/>
      <c r="E842" s="222"/>
      <c r="F842" s="222"/>
      <c r="G842" s="222"/>
      <c r="H842" s="222"/>
      <c r="I842" s="222"/>
      <c r="J842" s="222"/>
      <c r="K842" s="222"/>
      <c r="L842" s="223"/>
      <c r="M842" s="222"/>
      <c r="N842" s="222"/>
      <c r="O842" s="222"/>
      <c r="P842" s="222"/>
      <c r="Q842" s="222"/>
      <c r="R842" s="222"/>
      <c r="S842" s="222"/>
      <c r="T842" s="222"/>
      <c r="U842" s="222"/>
      <c r="V842" s="222"/>
      <c r="W842" s="222"/>
      <c r="X842" s="222"/>
      <c r="Y842" s="222"/>
      <c r="Z842" s="222"/>
      <c r="AA842" s="222"/>
      <c r="AB842" s="222"/>
    </row>
    <row r="843" spans="1:28" ht="16">
      <c r="A843" s="222"/>
      <c r="B843" s="222"/>
      <c r="C843" s="222"/>
      <c r="D843" s="222"/>
      <c r="E843" s="222"/>
      <c r="F843" s="222"/>
      <c r="G843" s="222"/>
      <c r="H843" s="222"/>
      <c r="I843" s="222"/>
      <c r="J843" s="222"/>
      <c r="K843" s="222"/>
      <c r="L843" s="223"/>
      <c r="M843" s="222"/>
      <c r="N843" s="222"/>
      <c r="O843" s="222"/>
      <c r="P843" s="222"/>
      <c r="Q843" s="222"/>
      <c r="R843" s="222"/>
      <c r="S843" s="222"/>
      <c r="T843" s="222"/>
      <c r="U843" s="222"/>
      <c r="V843" s="222"/>
      <c r="W843" s="222"/>
      <c r="X843" s="222"/>
      <c r="Y843" s="222"/>
      <c r="Z843" s="222"/>
      <c r="AA843" s="222"/>
      <c r="AB843" s="222"/>
    </row>
    <row r="844" spans="1:28" ht="16">
      <c r="A844" s="222"/>
      <c r="B844" s="222"/>
      <c r="C844" s="222"/>
      <c r="D844" s="222"/>
      <c r="E844" s="222"/>
      <c r="F844" s="222"/>
      <c r="G844" s="222"/>
      <c r="H844" s="222"/>
      <c r="I844" s="222"/>
      <c r="J844" s="222"/>
      <c r="K844" s="222"/>
      <c r="L844" s="223"/>
      <c r="M844" s="222"/>
      <c r="N844" s="222"/>
      <c r="O844" s="222"/>
      <c r="P844" s="222"/>
      <c r="Q844" s="222"/>
      <c r="R844" s="222"/>
      <c r="S844" s="222"/>
      <c r="T844" s="222"/>
      <c r="U844" s="222"/>
      <c r="V844" s="222"/>
      <c r="W844" s="222"/>
      <c r="X844" s="222"/>
      <c r="Y844" s="222"/>
      <c r="Z844" s="222"/>
      <c r="AA844" s="222"/>
      <c r="AB844" s="222"/>
    </row>
    <row r="845" spans="1:28" ht="16">
      <c r="A845" s="222"/>
      <c r="B845" s="222"/>
      <c r="C845" s="222"/>
      <c r="D845" s="222"/>
      <c r="E845" s="222"/>
      <c r="F845" s="222"/>
      <c r="G845" s="222"/>
      <c r="H845" s="222"/>
      <c r="I845" s="222"/>
      <c r="J845" s="222"/>
      <c r="K845" s="222"/>
      <c r="L845" s="223"/>
      <c r="M845" s="222"/>
      <c r="N845" s="222"/>
      <c r="O845" s="222"/>
      <c r="P845" s="222"/>
      <c r="Q845" s="222"/>
      <c r="R845" s="222"/>
      <c r="S845" s="222"/>
      <c r="T845" s="222"/>
      <c r="U845" s="222"/>
      <c r="V845" s="222"/>
      <c r="W845" s="222"/>
      <c r="X845" s="222"/>
      <c r="Y845" s="222"/>
      <c r="Z845" s="222"/>
      <c r="AA845" s="222"/>
      <c r="AB845" s="222"/>
    </row>
    <row r="846" spans="1:28" ht="16">
      <c r="A846" s="222"/>
      <c r="B846" s="222"/>
      <c r="C846" s="222"/>
      <c r="D846" s="222"/>
      <c r="E846" s="222"/>
      <c r="F846" s="222"/>
      <c r="G846" s="222"/>
      <c r="H846" s="222"/>
      <c r="I846" s="222"/>
      <c r="J846" s="222"/>
      <c r="K846" s="222"/>
      <c r="L846" s="223"/>
      <c r="M846" s="222"/>
      <c r="N846" s="222"/>
      <c r="O846" s="222"/>
      <c r="P846" s="222"/>
      <c r="Q846" s="222"/>
      <c r="R846" s="222"/>
      <c r="S846" s="222"/>
      <c r="T846" s="222"/>
      <c r="U846" s="222"/>
      <c r="V846" s="222"/>
      <c r="W846" s="222"/>
      <c r="X846" s="222"/>
      <c r="Y846" s="222"/>
      <c r="Z846" s="222"/>
      <c r="AA846" s="222"/>
      <c r="AB846" s="222"/>
    </row>
    <row r="847" spans="1:28" ht="16">
      <c r="A847" s="222"/>
      <c r="B847" s="222"/>
      <c r="C847" s="222"/>
      <c r="D847" s="222"/>
      <c r="E847" s="222"/>
      <c r="F847" s="222"/>
      <c r="G847" s="222"/>
      <c r="H847" s="222"/>
      <c r="I847" s="222"/>
      <c r="J847" s="222"/>
      <c r="K847" s="222"/>
      <c r="L847" s="223"/>
      <c r="M847" s="222"/>
      <c r="N847" s="222"/>
      <c r="O847" s="222"/>
      <c r="P847" s="222"/>
      <c r="Q847" s="222"/>
      <c r="R847" s="222"/>
      <c r="S847" s="222"/>
      <c r="T847" s="222"/>
      <c r="U847" s="222"/>
      <c r="V847" s="222"/>
      <c r="W847" s="222"/>
      <c r="X847" s="222"/>
      <c r="Y847" s="222"/>
      <c r="Z847" s="222"/>
      <c r="AA847" s="222"/>
      <c r="AB847" s="222"/>
    </row>
    <row r="848" spans="1:28" ht="16">
      <c r="A848" s="222"/>
      <c r="B848" s="222"/>
      <c r="C848" s="222"/>
      <c r="D848" s="222"/>
      <c r="E848" s="222"/>
      <c r="F848" s="222"/>
      <c r="G848" s="222"/>
      <c r="H848" s="222"/>
      <c r="I848" s="222"/>
      <c r="J848" s="222"/>
      <c r="K848" s="222"/>
      <c r="L848" s="223"/>
      <c r="M848" s="222"/>
      <c r="N848" s="222"/>
      <c r="O848" s="222"/>
      <c r="P848" s="222"/>
      <c r="Q848" s="222"/>
      <c r="R848" s="222"/>
      <c r="S848" s="222"/>
      <c r="T848" s="222"/>
      <c r="U848" s="222"/>
      <c r="V848" s="222"/>
      <c r="W848" s="222"/>
      <c r="X848" s="222"/>
      <c r="Y848" s="222"/>
      <c r="Z848" s="222"/>
      <c r="AA848" s="222"/>
      <c r="AB848" s="222"/>
    </row>
    <row r="849" spans="1:28" ht="16">
      <c r="A849" s="222"/>
      <c r="B849" s="222"/>
      <c r="C849" s="222"/>
      <c r="D849" s="222"/>
      <c r="E849" s="222"/>
      <c r="F849" s="222"/>
      <c r="G849" s="222"/>
      <c r="H849" s="222"/>
      <c r="I849" s="222"/>
      <c r="J849" s="222"/>
      <c r="K849" s="222"/>
      <c r="L849" s="223"/>
      <c r="M849" s="222"/>
      <c r="N849" s="222"/>
      <c r="O849" s="222"/>
      <c r="P849" s="222"/>
      <c r="Q849" s="222"/>
      <c r="R849" s="222"/>
      <c r="S849" s="222"/>
      <c r="T849" s="222"/>
      <c r="U849" s="222"/>
      <c r="V849" s="222"/>
      <c r="W849" s="222"/>
      <c r="X849" s="222"/>
      <c r="Y849" s="222"/>
      <c r="Z849" s="222"/>
      <c r="AA849" s="222"/>
      <c r="AB849" s="222"/>
    </row>
    <row r="850" spans="1:28" ht="16">
      <c r="A850" s="222"/>
      <c r="B850" s="222"/>
      <c r="C850" s="222"/>
      <c r="D850" s="222"/>
      <c r="E850" s="222"/>
      <c r="F850" s="222"/>
      <c r="G850" s="222"/>
      <c r="H850" s="222"/>
      <c r="I850" s="222"/>
      <c r="J850" s="222"/>
      <c r="K850" s="222"/>
      <c r="L850" s="223"/>
      <c r="M850" s="222"/>
      <c r="N850" s="222"/>
      <c r="O850" s="222"/>
      <c r="P850" s="222"/>
      <c r="Q850" s="222"/>
      <c r="R850" s="222"/>
      <c r="S850" s="222"/>
      <c r="T850" s="222"/>
      <c r="U850" s="222"/>
      <c r="V850" s="222"/>
      <c r="W850" s="222"/>
      <c r="X850" s="222"/>
      <c r="Y850" s="222"/>
      <c r="Z850" s="222"/>
      <c r="AA850" s="222"/>
      <c r="AB850" s="222"/>
    </row>
    <row r="851" spans="1:28" ht="16">
      <c r="A851" s="222"/>
      <c r="B851" s="222"/>
      <c r="C851" s="222"/>
      <c r="D851" s="222"/>
      <c r="E851" s="222"/>
      <c r="F851" s="222"/>
      <c r="G851" s="222"/>
      <c r="H851" s="222"/>
      <c r="I851" s="222"/>
      <c r="J851" s="222"/>
      <c r="K851" s="222"/>
      <c r="L851" s="223"/>
      <c r="M851" s="222"/>
      <c r="N851" s="222"/>
      <c r="O851" s="222"/>
      <c r="P851" s="222"/>
      <c r="Q851" s="222"/>
      <c r="R851" s="222"/>
      <c r="S851" s="222"/>
      <c r="T851" s="222"/>
      <c r="U851" s="222"/>
      <c r="V851" s="222"/>
      <c r="W851" s="222"/>
      <c r="X851" s="222"/>
      <c r="Y851" s="222"/>
      <c r="Z851" s="222"/>
      <c r="AA851" s="222"/>
      <c r="AB851" s="222"/>
    </row>
    <row r="852" spans="1:28" ht="16">
      <c r="A852" s="222"/>
      <c r="B852" s="222"/>
      <c r="C852" s="222"/>
      <c r="D852" s="222"/>
      <c r="E852" s="222"/>
      <c r="F852" s="222"/>
      <c r="G852" s="222"/>
      <c r="H852" s="222"/>
      <c r="I852" s="222"/>
      <c r="J852" s="222"/>
      <c r="K852" s="222"/>
      <c r="L852" s="223"/>
      <c r="M852" s="222"/>
      <c r="N852" s="222"/>
      <c r="O852" s="222"/>
      <c r="P852" s="222"/>
      <c r="Q852" s="222"/>
      <c r="R852" s="222"/>
      <c r="S852" s="222"/>
      <c r="T852" s="222"/>
      <c r="U852" s="222"/>
      <c r="V852" s="222"/>
      <c r="W852" s="222"/>
      <c r="X852" s="222"/>
      <c r="Y852" s="222"/>
      <c r="Z852" s="222"/>
      <c r="AA852" s="222"/>
      <c r="AB852" s="222"/>
    </row>
    <row r="853" spans="1:28" ht="16">
      <c r="A853" s="222"/>
      <c r="B853" s="222"/>
      <c r="C853" s="222"/>
      <c r="D853" s="222"/>
      <c r="E853" s="222"/>
      <c r="F853" s="222"/>
      <c r="G853" s="222"/>
      <c r="H853" s="222"/>
      <c r="I853" s="222"/>
      <c r="J853" s="222"/>
      <c r="K853" s="222"/>
      <c r="L853" s="223"/>
      <c r="M853" s="222"/>
      <c r="N853" s="222"/>
      <c r="O853" s="222"/>
      <c r="P853" s="222"/>
      <c r="Q853" s="222"/>
      <c r="R853" s="222"/>
      <c r="S853" s="222"/>
      <c r="T853" s="222"/>
      <c r="U853" s="222"/>
      <c r="V853" s="222"/>
      <c r="W853" s="222"/>
      <c r="X853" s="222"/>
      <c r="Y853" s="222"/>
      <c r="Z853" s="222"/>
      <c r="AA853" s="222"/>
      <c r="AB853" s="222"/>
    </row>
    <row r="854" spans="1:28" ht="16">
      <c r="A854" s="222"/>
      <c r="B854" s="222"/>
      <c r="C854" s="222"/>
      <c r="D854" s="222"/>
      <c r="E854" s="222"/>
      <c r="F854" s="222"/>
      <c r="G854" s="222"/>
      <c r="H854" s="222"/>
      <c r="I854" s="222"/>
      <c r="J854" s="222"/>
      <c r="K854" s="222"/>
      <c r="L854" s="223"/>
      <c r="M854" s="222"/>
      <c r="N854" s="222"/>
      <c r="O854" s="222"/>
      <c r="P854" s="222"/>
      <c r="Q854" s="222"/>
      <c r="R854" s="222"/>
      <c r="S854" s="222"/>
      <c r="T854" s="222"/>
      <c r="U854" s="222"/>
      <c r="V854" s="222"/>
      <c r="W854" s="222"/>
      <c r="X854" s="222"/>
      <c r="Y854" s="222"/>
      <c r="Z854" s="222"/>
      <c r="AA854" s="222"/>
      <c r="AB854" s="222"/>
    </row>
    <row r="855" spans="1:28" ht="16">
      <c r="A855" s="222"/>
      <c r="B855" s="222"/>
      <c r="C855" s="222"/>
      <c r="D855" s="222"/>
      <c r="E855" s="222"/>
      <c r="F855" s="222"/>
      <c r="G855" s="222"/>
      <c r="H855" s="222"/>
      <c r="I855" s="222"/>
      <c r="J855" s="222"/>
      <c r="K855" s="222"/>
      <c r="L855" s="223"/>
      <c r="M855" s="222"/>
      <c r="N855" s="222"/>
      <c r="O855" s="222"/>
      <c r="P855" s="222"/>
      <c r="Q855" s="222"/>
      <c r="R855" s="222"/>
      <c r="S855" s="222"/>
      <c r="T855" s="222"/>
      <c r="U855" s="222"/>
      <c r="V855" s="222"/>
      <c r="W855" s="222"/>
      <c r="X855" s="222"/>
      <c r="Y855" s="222"/>
      <c r="Z855" s="222"/>
      <c r="AA855" s="222"/>
      <c r="AB855" s="222"/>
    </row>
    <row r="856" spans="1:28" ht="16">
      <c r="A856" s="222"/>
      <c r="B856" s="222"/>
      <c r="C856" s="222"/>
      <c r="D856" s="222"/>
      <c r="E856" s="222"/>
      <c r="F856" s="222"/>
      <c r="G856" s="222"/>
      <c r="H856" s="222"/>
      <c r="I856" s="222"/>
      <c r="J856" s="222"/>
      <c r="K856" s="222"/>
      <c r="L856" s="223"/>
      <c r="M856" s="222"/>
      <c r="N856" s="222"/>
      <c r="O856" s="222"/>
      <c r="P856" s="222"/>
      <c r="Q856" s="222"/>
      <c r="R856" s="222"/>
      <c r="S856" s="222"/>
      <c r="T856" s="222"/>
      <c r="U856" s="222"/>
      <c r="V856" s="222"/>
      <c r="W856" s="222"/>
      <c r="X856" s="222"/>
      <c r="Y856" s="222"/>
      <c r="Z856" s="222"/>
      <c r="AA856" s="222"/>
      <c r="AB856" s="222"/>
    </row>
    <row r="857" spans="1:28" ht="16">
      <c r="A857" s="222"/>
      <c r="B857" s="222"/>
      <c r="C857" s="222"/>
      <c r="D857" s="222"/>
      <c r="E857" s="222"/>
      <c r="F857" s="222"/>
      <c r="G857" s="222"/>
      <c r="H857" s="222"/>
      <c r="I857" s="222"/>
      <c r="J857" s="222"/>
      <c r="K857" s="222"/>
      <c r="L857" s="223"/>
      <c r="M857" s="222"/>
      <c r="N857" s="222"/>
      <c r="O857" s="222"/>
      <c r="P857" s="222"/>
      <c r="Q857" s="222"/>
      <c r="R857" s="222"/>
      <c r="S857" s="222"/>
      <c r="T857" s="222"/>
      <c r="U857" s="222"/>
      <c r="V857" s="222"/>
      <c r="W857" s="222"/>
      <c r="X857" s="222"/>
      <c r="Y857" s="222"/>
      <c r="Z857" s="222"/>
      <c r="AA857" s="222"/>
      <c r="AB857" s="222"/>
    </row>
    <row r="858" spans="1:28" ht="16">
      <c r="A858" s="222"/>
      <c r="B858" s="222"/>
      <c r="C858" s="222"/>
      <c r="D858" s="222"/>
      <c r="E858" s="222"/>
      <c r="F858" s="222"/>
      <c r="G858" s="222"/>
      <c r="H858" s="222"/>
      <c r="I858" s="222"/>
      <c r="J858" s="222"/>
      <c r="K858" s="222"/>
      <c r="L858" s="223"/>
      <c r="M858" s="222"/>
      <c r="N858" s="222"/>
      <c r="O858" s="222"/>
      <c r="P858" s="222"/>
      <c r="Q858" s="222"/>
      <c r="R858" s="222"/>
      <c r="S858" s="222"/>
      <c r="T858" s="222"/>
      <c r="U858" s="222"/>
      <c r="V858" s="222"/>
      <c r="W858" s="222"/>
      <c r="X858" s="222"/>
      <c r="Y858" s="222"/>
      <c r="Z858" s="222"/>
      <c r="AA858" s="222"/>
      <c r="AB858" s="222"/>
    </row>
    <row r="859" spans="1:28" ht="16">
      <c r="A859" s="222"/>
      <c r="B859" s="222"/>
      <c r="C859" s="222"/>
      <c r="D859" s="222"/>
      <c r="E859" s="222"/>
      <c r="F859" s="222"/>
      <c r="G859" s="222"/>
      <c r="H859" s="222"/>
      <c r="I859" s="222"/>
      <c r="J859" s="222"/>
      <c r="K859" s="222"/>
      <c r="L859" s="223"/>
      <c r="M859" s="222"/>
      <c r="N859" s="222"/>
      <c r="O859" s="222"/>
      <c r="P859" s="222"/>
      <c r="Q859" s="222"/>
      <c r="R859" s="222"/>
      <c r="S859" s="222"/>
      <c r="T859" s="222"/>
      <c r="U859" s="222"/>
      <c r="V859" s="222"/>
      <c r="W859" s="222"/>
      <c r="X859" s="222"/>
      <c r="Y859" s="222"/>
      <c r="Z859" s="222"/>
      <c r="AA859" s="222"/>
      <c r="AB859" s="222"/>
    </row>
    <row r="860" spans="1:28" ht="16">
      <c r="A860" s="222"/>
      <c r="B860" s="222"/>
      <c r="C860" s="222"/>
      <c r="D860" s="222"/>
      <c r="E860" s="222"/>
      <c r="F860" s="222"/>
      <c r="G860" s="222"/>
      <c r="H860" s="222"/>
      <c r="I860" s="222"/>
      <c r="J860" s="222"/>
      <c r="K860" s="222"/>
      <c r="L860" s="223"/>
      <c r="M860" s="222"/>
      <c r="N860" s="222"/>
      <c r="O860" s="222"/>
      <c r="P860" s="222"/>
      <c r="Q860" s="222"/>
      <c r="R860" s="222"/>
      <c r="S860" s="222"/>
      <c r="T860" s="222"/>
      <c r="U860" s="222"/>
      <c r="V860" s="222"/>
      <c r="W860" s="222"/>
      <c r="X860" s="222"/>
      <c r="Y860" s="222"/>
      <c r="Z860" s="222"/>
      <c r="AA860" s="222"/>
      <c r="AB860" s="222"/>
    </row>
    <row r="861" spans="1:28" ht="16">
      <c r="A861" s="222"/>
      <c r="B861" s="222"/>
      <c r="C861" s="222"/>
      <c r="D861" s="222"/>
      <c r="E861" s="222"/>
      <c r="F861" s="222"/>
      <c r="G861" s="222"/>
      <c r="H861" s="222"/>
      <c r="I861" s="222"/>
      <c r="J861" s="222"/>
      <c r="K861" s="222"/>
      <c r="L861" s="223"/>
      <c r="M861" s="222"/>
      <c r="N861" s="222"/>
      <c r="O861" s="222"/>
      <c r="P861" s="222"/>
      <c r="Q861" s="222"/>
      <c r="R861" s="222"/>
      <c r="S861" s="222"/>
      <c r="T861" s="222"/>
      <c r="U861" s="222"/>
      <c r="V861" s="222"/>
      <c r="W861" s="222"/>
      <c r="X861" s="222"/>
      <c r="Y861" s="222"/>
      <c r="Z861" s="222"/>
      <c r="AA861" s="222"/>
      <c r="AB861" s="222"/>
    </row>
    <row r="862" spans="1:28" ht="16">
      <c r="A862" s="222"/>
      <c r="B862" s="222"/>
      <c r="C862" s="222"/>
      <c r="D862" s="222"/>
      <c r="E862" s="222"/>
      <c r="F862" s="222"/>
      <c r="G862" s="222"/>
      <c r="H862" s="222"/>
      <c r="I862" s="222"/>
      <c r="J862" s="222"/>
      <c r="K862" s="222"/>
      <c r="L862" s="223"/>
      <c r="M862" s="222"/>
      <c r="N862" s="222"/>
      <c r="O862" s="222"/>
      <c r="P862" s="222"/>
      <c r="Q862" s="222"/>
      <c r="R862" s="222"/>
      <c r="S862" s="222"/>
      <c r="T862" s="222"/>
      <c r="U862" s="222"/>
      <c r="V862" s="222"/>
      <c r="W862" s="222"/>
      <c r="X862" s="222"/>
      <c r="Y862" s="222"/>
      <c r="Z862" s="222"/>
      <c r="AA862" s="222"/>
      <c r="AB862" s="222"/>
    </row>
    <row r="863" spans="1:28" ht="16">
      <c r="A863" s="222"/>
      <c r="B863" s="222"/>
      <c r="C863" s="222"/>
      <c r="D863" s="222"/>
      <c r="E863" s="222"/>
      <c r="F863" s="222"/>
      <c r="G863" s="222"/>
      <c r="H863" s="222"/>
      <c r="I863" s="222"/>
      <c r="J863" s="222"/>
      <c r="K863" s="222"/>
      <c r="L863" s="223"/>
      <c r="M863" s="222"/>
      <c r="N863" s="222"/>
      <c r="O863" s="222"/>
      <c r="P863" s="222"/>
      <c r="Q863" s="222"/>
      <c r="R863" s="222"/>
      <c r="S863" s="222"/>
      <c r="T863" s="222"/>
      <c r="U863" s="222"/>
      <c r="V863" s="222"/>
      <c r="W863" s="222"/>
      <c r="X863" s="222"/>
      <c r="Y863" s="222"/>
      <c r="Z863" s="222"/>
      <c r="AA863" s="222"/>
      <c r="AB863" s="222"/>
    </row>
    <row r="864" spans="1:28" ht="16">
      <c r="A864" s="222"/>
      <c r="B864" s="222"/>
      <c r="C864" s="222"/>
      <c r="D864" s="222"/>
      <c r="E864" s="222"/>
      <c r="F864" s="222"/>
      <c r="G864" s="222"/>
      <c r="H864" s="222"/>
      <c r="I864" s="222"/>
      <c r="J864" s="222"/>
      <c r="K864" s="222"/>
      <c r="L864" s="223"/>
      <c r="M864" s="222"/>
      <c r="N864" s="222"/>
      <c r="O864" s="222"/>
      <c r="P864" s="222"/>
      <c r="Q864" s="222"/>
      <c r="R864" s="222"/>
      <c r="S864" s="222"/>
      <c r="T864" s="222"/>
      <c r="U864" s="222"/>
      <c r="V864" s="222"/>
      <c r="W864" s="222"/>
      <c r="X864" s="222"/>
      <c r="Y864" s="222"/>
      <c r="Z864" s="222"/>
      <c r="AA864" s="222"/>
      <c r="AB864" s="222"/>
    </row>
    <row r="865" spans="1:28" ht="16">
      <c r="A865" s="222"/>
      <c r="B865" s="222"/>
      <c r="C865" s="222"/>
      <c r="D865" s="222"/>
      <c r="E865" s="222"/>
      <c r="F865" s="222"/>
      <c r="G865" s="222"/>
      <c r="H865" s="222"/>
      <c r="I865" s="222"/>
      <c r="J865" s="222"/>
      <c r="K865" s="222"/>
      <c r="L865" s="223"/>
      <c r="M865" s="222"/>
      <c r="N865" s="222"/>
      <c r="O865" s="222"/>
      <c r="P865" s="222"/>
      <c r="Q865" s="222"/>
      <c r="R865" s="222"/>
      <c r="S865" s="222"/>
      <c r="T865" s="222"/>
      <c r="U865" s="222"/>
      <c r="V865" s="222"/>
      <c r="W865" s="222"/>
      <c r="X865" s="222"/>
      <c r="Y865" s="222"/>
      <c r="Z865" s="222"/>
      <c r="AA865" s="222"/>
      <c r="AB865" s="222"/>
    </row>
    <row r="866" spans="1:28" ht="16">
      <c r="A866" s="222"/>
      <c r="B866" s="222"/>
      <c r="C866" s="222"/>
      <c r="D866" s="222"/>
      <c r="E866" s="222"/>
      <c r="F866" s="222"/>
      <c r="G866" s="222"/>
      <c r="H866" s="222"/>
      <c r="I866" s="222"/>
      <c r="J866" s="222"/>
      <c r="K866" s="222"/>
      <c r="L866" s="223"/>
      <c r="M866" s="222"/>
      <c r="N866" s="222"/>
      <c r="O866" s="222"/>
      <c r="P866" s="222"/>
      <c r="Q866" s="222"/>
      <c r="R866" s="222"/>
      <c r="S866" s="222"/>
      <c r="T866" s="222"/>
      <c r="U866" s="222"/>
      <c r="V866" s="222"/>
      <c r="W866" s="222"/>
      <c r="X866" s="222"/>
      <c r="Y866" s="222"/>
      <c r="Z866" s="222"/>
      <c r="AA866" s="222"/>
      <c r="AB866" s="222"/>
    </row>
    <row r="867" spans="1:28" ht="16">
      <c r="A867" s="222"/>
      <c r="B867" s="222"/>
      <c r="C867" s="222"/>
      <c r="D867" s="222"/>
      <c r="E867" s="222"/>
      <c r="F867" s="222"/>
      <c r="G867" s="222"/>
      <c r="H867" s="222"/>
      <c r="I867" s="222"/>
      <c r="J867" s="222"/>
      <c r="K867" s="222"/>
      <c r="L867" s="223"/>
      <c r="M867" s="222"/>
      <c r="N867" s="222"/>
      <c r="O867" s="222"/>
      <c r="P867" s="222"/>
      <c r="Q867" s="222"/>
      <c r="R867" s="222"/>
      <c r="S867" s="222"/>
      <c r="T867" s="222"/>
      <c r="U867" s="222"/>
      <c r="V867" s="222"/>
      <c r="W867" s="222"/>
      <c r="X867" s="222"/>
      <c r="Y867" s="222"/>
      <c r="Z867" s="222"/>
      <c r="AA867" s="222"/>
      <c r="AB867" s="222"/>
    </row>
    <row r="868" spans="1:28" ht="16">
      <c r="A868" s="222"/>
      <c r="B868" s="222"/>
      <c r="C868" s="222"/>
      <c r="D868" s="222"/>
      <c r="E868" s="222"/>
      <c r="F868" s="222"/>
      <c r="G868" s="222"/>
      <c r="H868" s="222"/>
      <c r="I868" s="222"/>
      <c r="J868" s="222"/>
      <c r="K868" s="222"/>
      <c r="L868" s="223"/>
      <c r="M868" s="222"/>
      <c r="N868" s="222"/>
      <c r="O868" s="222"/>
      <c r="P868" s="222"/>
      <c r="Q868" s="222"/>
      <c r="R868" s="222"/>
      <c r="S868" s="222"/>
      <c r="T868" s="222"/>
      <c r="U868" s="222"/>
      <c r="V868" s="222"/>
      <c r="W868" s="222"/>
      <c r="X868" s="222"/>
      <c r="Y868" s="222"/>
      <c r="Z868" s="222"/>
      <c r="AA868" s="222"/>
      <c r="AB868" s="222"/>
    </row>
    <row r="869" spans="1:28" ht="16">
      <c r="A869" s="222"/>
      <c r="B869" s="222"/>
      <c r="C869" s="222"/>
      <c r="D869" s="222"/>
      <c r="E869" s="222"/>
      <c r="F869" s="222"/>
      <c r="G869" s="222"/>
      <c r="H869" s="222"/>
      <c r="I869" s="222"/>
      <c r="J869" s="222"/>
      <c r="K869" s="222"/>
      <c r="L869" s="223"/>
      <c r="M869" s="222"/>
      <c r="N869" s="222"/>
      <c r="O869" s="222"/>
      <c r="P869" s="222"/>
      <c r="Q869" s="222"/>
      <c r="R869" s="222"/>
      <c r="S869" s="222"/>
      <c r="T869" s="222"/>
      <c r="U869" s="222"/>
      <c r="V869" s="222"/>
      <c r="W869" s="222"/>
      <c r="X869" s="222"/>
      <c r="Y869" s="222"/>
      <c r="Z869" s="222"/>
      <c r="AA869" s="222"/>
      <c r="AB869" s="222"/>
    </row>
    <row r="870" spans="1:28" ht="16">
      <c r="A870" s="222"/>
      <c r="B870" s="222"/>
      <c r="C870" s="222"/>
      <c r="D870" s="222"/>
      <c r="E870" s="222"/>
      <c r="F870" s="222"/>
      <c r="G870" s="222"/>
      <c r="H870" s="222"/>
      <c r="I870" s="222"/>
      <c r="J870" s="222"/>
      <c r="K870" s="222"/>
      <c r="L870" s="223"/>
      <c r="M870" s="222"/>
      <c r="N870" s="222"/>
      <c r="O870" s="222"/>
      <c r="P870" s="222"/>
      <c r="Q870" s="222"/>
      <c r="R870" s="222"/>
      <c r="S870" s="222"/>
      <c r="T870" s="222"/>
      <c r="U870" s="222"/>
      <c r="V870" s="222"/>
      <c r="W870" s="222"/>
      <c r="X870" s="222"/>
      <c r="Y870" s="222"/>
      <c r="Z870" s="222"/>
      <c r="AA870" s="222"/>
      <c r="AB870" s="222"/>
    </row>
    <row r="871" spans="1:28" ht="16">
      <c r="A871" s="222"/>
      <c r="B871" s="222"/>
      <c r="C871" s="222"/>
      <c r="D871" s="222"/>
      <c r="E871" s="222"/>
      <c r="F871" s="222"/>
      <c r="G871" s="222"/>
      <c r="H871" s="222"/>
      <c r="I871" s="222"/>
      <c r="J871" s="222"/>
      <c r="K871" s="222"/>
      <c r="L871" s="223"/>
      <c r="M871" s="222"/>
      <c r="N871" s="222"/>
      <c r="O871" s="222"/>
      <c r="P871" s="222"/>
      <c r="Q871" s="222"/>
      <c r="R871" s="222"/>
      <c r="S871" s="222"/>
      <c r="T871" s="222"/>
      <c r="U871" s="222"/>
      <c r="V871" s="222"/>
      <c r="W871" s="222"/>
      <c r="X871" s="222"/>
      <c r="Y871" s="222"/>
      <c r="Z871" s="222"/>
      <c r="AA871" s="222"/>
      <c r="AB871" s="222"/>
    </row>
    <row r="872" spans="1:28" ht="16">
      <c r="A872" s="222"/>
      <c r="B872" s="222"/>
      <c r="C872" s="222"/>
      <c r="D872" s="222"/>
      <c r="E872" s="222"/>
      <c r="F872" s="222"/>
      <c r="G872" s="222"/>
      <c r="H872" s="222"/>
      <c r="I872" s="222"/>
      <c r="J872" s="222"/>
      <c r="K872" s="222"/>
      <c r="L872" s="223"/>
      <c r="M872" s="222"/>
      <c r="N872" s="222"/>
      <c r="O872" s="222"/>
      <c r="P872" s="222"/>
      <c r="Q872" s="222"/>
      <c r="R872" s="222"/>
      <c r="S872" s="222"/>
      <c r="T872" s="222"/>
      <c r="U872" s="222"/>
      <c r="V872" s="222"/>
      <c r="W872" s="222"/>
      <c r="X872" s="222"/>
      <c r="Y872" s="222"/>
      <c r="Z872" s="222"/>
      <c r="AA872" s="222"/>
      <c r="AB872" s="222"/>
    </row>
    <row r="873" spans="1:28" ht="16">
      <c r="A873" s="222"/>
      <c r="B873" s="222"/>
      <c r="C873" s="222"/>
      <c r="D873" s="222"/>
      <c r="E873" s="222"/>
      <c r="F873" s="222"/>
      <c r="G873" s="222"/>
      <c r="H873" s="222"/>
      <c r="I873" s="222"/>
      <c r="J873" s="222"/>
      <c r="K873" s="222"/>
      <c r="L873" s="223"/>
      <c r="M873" s="222"/>
      <c r="N873" s="222"/>
      <c r="O873" s="222"/>
      <c r="P873" s="222"/>
      <c r="Q873" s="222"/>
      <c r="R873" s="222"/>
      <c r="S873" s="222"/>
      <c r="T873" s="222"/>
      <c r="U873" s="222"/>
      <c r="V873" s="222"/>
      <c r="W873" s="222"/>
      <c r="X873" s="222"/>
      <c r="Y873" s="222"/>
      <c r="Z873" s="222"/>
      <c r="AA873" s="222"/>
      <c r="AB873" s="222"/>
    </row>
    <row r="874" spans="1:28" ht="16">
      <c r="A874" s="222"/>
      <c r="B874" s="222"/>
      <c r="C874" s="222"/>
      <c r="D874" s="222"/>
      <c r="E874" s="222"/>
      <c r="F874" s="222"/>
      <c r="G874" s="222"/>
      <c r="H874" s="222"/>
      <c r="I874" s="222"/>
      <c r="J874" s="222"/>
      <c r="K874" s="222"/>
      <c r="L874" s="223"/>
      <c r="M874" s="222"/>
      <c r="N874" s="222"/>
      <c r="O874" s="222"/>
      <c r="P874" s="222"/>
      <c r="Q874" s="222"/>
      <c r="R874" s="222"/>
      <c r="S874" s="222"/>
      <c r="T874" s="222"/>
      <c r="U874" s="222"/>
      <c r="V874" s="222"/>
      <c r="W874" s="222"/>
      <c r="X874" s="222"/>
      <c r="Y874" s="222"/>
      <c r="Z874" s="222"/>
      <c r="AA874" s="222"/>
      <c r="AB874" s="222"/>
    </row>
    <row r="875" spans="1:28" ht="16">
      <c r="A875" s="222"/>
      <c r="B875" s="222"/>
      <c r="C875" s="222"/>
      <c r="D875" s="222"/>
      <c r="E875" s="222"/>
      <c r="F875" s="222"/>
      <c r="G875" s="222"/>
      <c r="H875" s="222"/>
      <c r="I875" s="222"/>
      <c r="J875" s="222"/>
      <c r="K875" s="222"/>
      <c r="L875" s="223"/>
      <c r="M875" s="222"/>
      <c r="N875" s="222"/>
      <c r="O875" s="222"/>
      <c r="P875" s="222"/>
      <c r="Q875" s="222"/>
      <c r="R875" s="222"/>
      <c r="S875" s="222"/>
      <c r="T875" s="222"/>
      <c r="U875" s="222"/>
      <c r="V875" s="222"/>
      <c r="W875" s="222"/>
      <c r="X875" s="222"/>
      <c r="Y875" s="222"/>
      <c r="Z875" s="222"/>
      <c r="AA875" s="222"/>
      <c r="AB875" s="222"/>
    </row>
    <row r="876" spans="1:28" ht="16">
      <c r="A876" s="222"/>
      <c r="B876" s="222"/>
      <c r="C876" s="222"/>
      <c r="D876" s="222"/>
      <c r="E876" s="222"/>
      <c r="F876" s="222"/>
      <c r="G876" s="222"/>
      <c r="H876" s="222"/>
      <c r="I876" s="222"/>
      <c r="J876" s="222"/>
      <c r="K876" s="222"/>
      <c r="L876" s="223"/>
      <c r="M876" s="222"/>
      <c r="N876" s="222"/>
      <c r="O876" s="222"/>
      <c r="P876" s="222"/>
      <c r="Q876" s="222"/>
      <c r="R876" s="222"/>
      <c r="S876" s="222"/>
      <c r="T876" s="222"/>
      <c r="U876" s="222"/>
      <c r="V876" s="222"/>
      <c r="W876" s="222"/>
      <c r="X876" s="222"/>
      <c r="Y876" s="222"/>
      <c r="Z876" s="222"/>
      <c r="AA876" s="222"/>
      <c r="AB876" s="222"/>
    </row>
    <row r="877" spans="1:28" ht="16">
      <c r="A877" s="222"/>
      <c r="B877" s="222"/>
      <c r="C877" s="222"/>
      <c r="D877" s="222"/>
      <c r="E877" s="222"/>
      <c r="F877" s="222"/>
      <c r="G877" s="222"/>
      <c r="H877" s="222"/>
      <c r="I877" s="222"/>
      <c r="J877" s="222"/>
      <c r="K877" s="222"/>
      <c r="L877" s="223"/>
      <c r="M877" s="222"/>
      <c r="N877" s="222"/>
      <c r="O877" s="222"/>
      <c r="P877" s="222"/>
      <c r="Q877" s="222"/>
      <c r="R877" s="222"/>
      <c r="S877" s="222"/>
      <c r="T877" s="222"/>
      <c r="U877" s="222"/>
      <c r="V877" s="222"/>
      <c r="W877" s="222"/>
      <c r="X877" s="222"/>
      <c r="Y877" s="222"/>
      <c r="Z877" s="222"/>
      <c r="AA877" s="222"/>
      <c r="AB877" s="222"/>
    </row>
    <row r="878" spans="1:28" ht="16">
      <c r="A878" s="222"/>
      <c r="B878" s="222"/>
      <c r="C878" s="222"/>
      <c r="D878" s="222"/>
      <c r="E878" s="222"/>
      <c r="F878" s="222"/>
      <c r="G878" s="222"/>
      <c r="H878" s="222"/>
      <c r="I878" s="222"/>
      <c r="J878" s="222"/>
      <c r="K878" s="222"/>
      <c r="L878" s="223"/>
      <c r="M878" s="222"/>
      <c r="N878" s="222"/>
      <c r="O878" s="222"/>
      <c r="P878" s="222"/>
      <c r="Q878" s="222"/>
      <c r="R878" s="222"/>
      <c r="S878" s="222"/>
      <c r="T878" s="222"/>
      <c r="U878" s="222"/>
      <c r="V878" s="222"/>
      <c r="W878" s="222"/>
      <c r="X878" s="222"/>
      <c r="Y878" s="222"/>
      <c r="Z878" s="222"/>
      <c r="AA878" s="222"/>
      <c r="AB878" s="222"/>
    </row>
    <row r="879" spans="1:28" ht="16">
      <c r="A879" s="222"/>
      <c r="B879" s="222"/>
      <c r="C879" s="222"/>
      <c r="D879" s="222"/>
      <c r="E879" s="222"/>
      <c r="F879" s="222"/>
      <c r="G879" s="222"/>
      <c r="H879" s="222"/>
      <c r="I879" s="222"/>
      <c r="J879" s="222"/>
      <c r="K879" s="222"/>
      <c r="L879" s="223"/>
      <c r="M879" s="222"/>
      <c r="N879" s="222"/>
      <c r="O879" s="222"/>
      <c r="P879" s="222"/>
      <c r="Q879" s="222"/>
      <c r="R879" s="222"/>
      <c r="S879" s="222"/>
      <c r="T879" s="222"/>
      <c r="U879" s="222"/>
      <c r="V879" s="222"/>
      <c r="W879" s="222"/>
      <c r="X879" s="222"/>
      <c r="Y879" s="222"/>
      <c r="Z879" s="222"/>
      <c r="AA879" s="222"/>
      <c r="AB879" s="222"/>
    </row>
    <row r="880" spans="1:28" ht="16">
      <c r="A880" s="222"/>
      <c r="B880" s="222"/>
      <c r="C880" s="222"/>
      <c r="D880" s="222"/>
      <c r="E880" s="222"/>
      <c r="F880" s="222"/>
      <c r="G880" s="222"/>
      <c r="H880" s="222"/>
      <c r="I880" s="222"/>
      <c r="J880" s="222"/>
      <c r="K880" s="222"/>
      <c r="L880" s="223"/>
      <c r="M880" s="222"/>
      <c r="N880" s="222"/>
      <c r="O880" s="222"/>
      <c r="P880" s="222"/>
      <c r="Q880" s="222"/>
      <c r="R880" s="222"/>
      <c r="S880" s="222"/>
      <c r="T880" s="222"/>
      <c r="U880" s="222"/>
      <c r="V880" s="222"/>
      <c r="W880" s="222"/>
      <c r="X880" s="222"/>
      <c r="Y880" s="222"/>
      <c r="Z880" s="222"/>
      <c r="AA880" s="222"/>
      <c r="AB880" s="222"/>
    </row>
    <row r="881" spans="1:28" ht="16">
      <c r="A881" s="222"/>
      <c r="B881" s="222"/>
      <c r="C881" s="222"/>
      <c r="D881" s="222"/>
      <c r="E881" s="222"/>
      <c r="F881" s="222"/>
      <c r="G881" s="222"/>
      <c r="H881" s="222"/>
      <c r="I881" s="222"/>
      <c r="J881" s="222"/>
      <c r="K881" s="222"/>
      <c r="L881" s="223"/>
      <c r="M881" s="222"/>
      <c r="N881" s="222"/>
      <c r="O881" s="222"/>
      <c r="P881" s="222"/>
      <c r="Q881" s="222"/>
      <c r="R881" s="222"/>
      <c r="S881" s="222"/>
      <c r="T881" s="222"/>
      <c r="U881" s="222"/>
      <c r="V881" s="222"/>
      <c r="W881" s="222"/>
      <c r="X881" s="222"/>
      <c r="Y881" s="222"/>
      <c r="Z881" s="222"/>
      <c r="AA881" s="222"/>
      <c r="AB881" s="222"/>
    </row>
    <row r="882" spans="1:28" ht="16">
      <c r="A882" s="222"/>
      <c r="B882" s="222"/>
      <c r="C882" s="222"/>
      <c r="D882" s="222"/>
      <c r="E882" s="222"/>
      <c r="F882" s="222"/>
      <c r="G882" s="222"/>
      <c r="H882" s="222"/>
      <c r="I882" s="222"/>
      <c r="J882" s="222"/>
      <c r="K882" s="222"/>
      <c r="L882" s="223"/>
      <c r="M882" s="222"/>
      <c r="N882" s="222"/>
      <c r="O882" s="222"/>
      <c r="P882" s="222"/>
      <c r="Q882" s="222"/>
      <c r="R882" s="222"/>
      <c r="S882" s="222"/>
      <c r="T882" s="222"/>
      <c r="U882" s="222"/>
      <c r="V882" s="222"/>
      <c r="W882" s="222"/>
      <c r="X882" s="222"/>
      <c r="Y882" s="222"/>
      <c r="Z882" s="222"/>
      <c r="AA882" s="222"/>
      <c r="AB882" s="222"/>
    </row>
    <row r="883" spans="1:28" ht="16">
      <c r="A883" s="222"/>
      <c r="B883" s="222"/>
      <c r="C883" s="222"/>
      <c r="D883" s="222"/>
      <c r="E883" s="222"/>
      <c r="F883" s="222"/>
      <c r="G883" s="222"/>
      <c r="H883" s="222"/>
      <c r="I883" s="222"/>
      <c r="J883" s="222"/>
      <c r="K883" s="222"/>
      <c r="L883" s="223"/>
      <c r="M883" s="222"/>
      <c r="N883" s="222"/>
      <c r="O883" s="222"/>
      <c r="P883" s="222"/>
      <c r="Q883" s="222"/>
      <c r="R883" s="222"/>
      <c r="S883" s="222"/>
      <c r="T883" s="222"/>
      <c r="U883" s="222"/>
      <c r="V883" s="222"/>
      <c r="W883" s="222"/>
      <c r="X883" s="222"/>
      <c r="Y883" s="222"/>
      <c r="Z883" s="222"/>
      <c r="AA883" s="222"/>
      <c r="AB883" s="222"/>
    </row>
    <row r="884" spans="1:28" ht="16">
      <c r="A884" s="222"/>
      <c r="B884" s="222"/>
      <c r="C884" s="222"/>
      <c r="D884" s="222"/>
      <c r="E884" s="222"/>
      <c r="F884" s="222"/>
      <c r="G884" s="222"/>
      <c r="H884" s="222"/>
      <c r="I884" s="222"/>
      <c r="J884" s="222"/>
      <c r="K884" s="222"/>
      <c r="L884" s="223"/>
      <c r="M884" s="222"/>
      <c r="N884" s="222"/>
      <c r="O884" s="222"/>
      <c r="P884" s="222"/>
      <c r="Q884" s="222"/>
      <c r="R884" s="222"/>
      <c r="S884" s="222"/>
      <c r="T884" s="222"/>
      <c r="U884" s="222"/>
      <c r="V884" s="222"/>
      <c r="W884" s="222"/>
      <c r="X884" s="222"/>
      <c r="Y884" s="222"/>
      <c r="Z884" s="222"/>
      <c r="AA884" s="222"/>
      <c r="AB884" s="222"/>
    </row>
    <row r="885" spans="1:28" ht="16">
      <c r="A885" s="222"/>
      <c r="B885" s="222"/>
      <c r="C885" s="222"/>
      <c r="D885" s="222"/>
      <c r="E885" s="222"/>
      <c r="F885" s="222"/>
      <c r="G885" s="222"/>
      <c r="H885" s="222"/>
      <c r="I885" s="222"/>
      <c r="J885" s="222"/>
      <c r="K885" s="222"/>
      <c r="L885" s="223"/>
      <c r="M885" s="222"/>
      <c r="N885" s="222"/>
      <c r="O885" s="222"/>
      <c r="P885" s="222"/>
      <c r="Q885" s="222"/>
      <c r="R885" s="222"/>
      <c r="S885" s="222"/>
      <c r="T885" s="222"/>
      <c r="U885" s="222"/>
      <c r="V885" s="222"/>
      <c r="W885" s="222"/>
      <c r="X885" s="222"/>
      <c r="Y885" s="222"/>
      <c r="Z885" s="222"/>
      <c r="AA885" s="222"/>
      <c r="AB885" s="222"/>
    </row>
    <row r="886" spans="1:28" ht="16">
      <c r="A886" s="222"/>
      <c r="B886" s="222"/>
      <c r="C886" s="222"/>
      <c r="D886" s="222"/>
      <c r="E886" s="222"/>
      <c r="F886" s="222"/>
      <c r="G886" s="222"/>
      <c r="H886" s="222"/>
      <c r="I886" s="222"/>
      <c r="J886" s="222"/>
      <c r="K886" s="222"/>
      <c r="L886" s="223"/>
      <c r="M886" s="222"/>
      <c r="N886" s="222"/>
      <c r="O886" s="222"/>
      <c r="P886" s="222"/>
      <c r="Q886" s="222"/>
      <c r="R886" s="222"/>
      <c r="S886" s="222"/>
      <c r="T886" s="222"/>
      <c r="U886" s="222"/>
      <c r="V886" s="222"/>
      <c r="W886" s="222"/>
      <c r="X886" s="222"/>
      <c r="Y886" s="222"/>
      <c r="Z886" s="222"/>
      <c r="AA886" s="222"/>
      <c r="AB886" s="222"/>
    </row>
    <row r="887" spans="1:28" ht="16">
      <c r="A887" s="222"/>
      <c r="B887" s="222"/>
      <c r="C887" s="222"/>
      <c r="D887" s="222"/>
      <c r="E887" s="222"/>
      <c r="F887" s="222"/>
      <c r="G887" s="222"/>
      <c r="H887" s="222"/>
      <c r="I887" s="222"/>
      <c r="J887" s="222"/>
      <c r="K887" s="222"/>
      <c r="L887" s="223"/>
      <c r="M887" s="222"/>
      <c r="N887" s="222"/>
      <c r="O887" s="222"/>
      <c r="P887" s="222"/>
      <c r="Q887" s="222"/>
      <c r="R887" s="222"/>
      <c r="S887" s="222"/>
      <c r="T887" s="222"/>
      <c r="U887" s="222"/>
      <c r="V887" s="222"/>
      <c r="W887" s="222"/>
      <c r="X887" s="222"/>
      <c r="Y887" s="222"/>
      <c r="Z887" s="222"/>
      <c r="AA887" s="222"/>
      <c r="AB887" s="222"/>
    </row>
    <row r="888" spans="1:28" ht="16">
      <c r="A888" s="222"/>
      <c r="B888" s="222"/>
      <c r="C888" s="222"/>
      <c r="D888" s="222"/>
      <c r="E888" s="222"/>
      <c r="F888" s="222"/>
      <c r="G888" s="222"/>
      <c r="H888" s="222"/>
      <c r="I888" s="222"/>
      <c r="J888" s="222"/>
      <c r="K888" s="222"/>
      <c r="L888" s="223"/>
      <c r="M888" s="222"/>
      <c r="N888" s="222"/>
      <c r="O888" s="222"/>
      <c r="P888" s="222"/>
      <c r="Q888" s="222"/>
      <c r="R888" s="222"/>
      <c r="S888" s="222"/>
      <c r="T888" s="222"/>
      <c r="U888" s="222"/>
      <c r="V888" s="222"/>
      <c r="W888" s="222"/>
      <c r="X888" s="222"/>
      <c r="Y888" s="222"/>
      <c r="Z888" s="222"/>
      <c r="AA888" s="222"/>
      <c r="AB888" s="222"/>
    </row>
    <row r="889" spans="1:28" ht="16">
      <c r="A889" s="222"/>
      <c r="B889" s="222"/>
      <c r="C889" s="222"/>
      <c r="D889" s="222"/>
      <c r="E889" s="222"/>
      <c r="F889" s="222"/>
      <c r="G889" s="222"/>
      <c r="H889" s="222"/>
      <c r="I889" s="222"/>
      <c r="J889" s="222"/>
      <c r="K889" s="222"/>
      <c r="L889" s="223"/>
      <c r="M889" s="222"/>
      <c r="N889" s="222"/>
      <c r="O889" s="222"/>
      <c r="P889" s="222"/>
      <c r="Q889" s="222"/>
      <c r="R889" s="222"/>
      <c r="S889" s="222"/>
      <c r="T889" s="222"/>
      <c r="U889" s="222"/>
      <c r="V889" s="222"/>
      <c r="W889" s="222"/>
      <c r="X889" s="222"/>
      <c r="Y889" s="222"/>
      <c r="Z889" s="222"/>
      <c r="AA889" s="222"/>
      <c r="AB889" s="222"/>
    </row>
    <row r="890" spans="1:28" ht="16">
      <c r="A890" s="222"/>
      <c r="B890" s="222"/>
      <c r="C890" s="222"/>
      <c r="D890" s="222"/>
      <c r="E890" s="222"/>
      <c r="F890" s="222"/>
      <c r="G890" s="222"/>
      <c r="H890" s="222"/>
      <c r="I890" s="222"/>
      <c r="J890" s="222"/>
      <c r="K890" s="222"/>
      <c r="L890" s="223"/>
      <c r="M890" s="222"/>
      <c r="N890" s="222"/>
      <c r="O890" s="222"/>
      <c r="P890" s="222"/>
      <c r="Q890" s="222"/>
      <c r="R890" s="222"/>
      <c r="S890" s="222"/>
      <c r="T890" s="222"/>
      <c r="U890" s="222"/>
      <c r="V890" s="222"/>
      <c r="W890" s="222"/>
      <c r="X890" s="222"/>
      <c r="Y890" s="222"/>
      <c r="Z890" s="222"/>
      <c r="AA890" s="222"/>
      <c r="AB890" s="222"/>
    </row>
    <row r="891" spans="1:28" ht="16">
      <c r="A891" s="222"/>
      <c r="B891" s="222"/>
      <c r="C891" s="222"/>
      <c r="D891" s="222"/>
      <c r="E891" s="222"/>
      <c r="F891" s="222"/>
      <c r="G891" s="222"/>
      <c r="H891" s="222"/>
      <c r="I891" s="222"/>
      <c r="J891" s="222"/>
      <c r="K891" s="222"/>
      <c r="L891" s="223"/>
      <c r="M891" s="222"/>
      <c r="N891" s="222"/>
      <c r="O891" s="222"/>
      <c r="P891" s="222"/>
      <c r="Q891" s="222"/>
      <c r="R891" s="222"/>
      <c r="S891" s="222"/>
      <c r="T891" s="222"/>
      <c r="U891" s="222"/>
      <c r="V891" s="222"/>
      <c r="W891" s="222"/>
      <c r="X891" s="222"/>
      <c r="Y891" s="222"/>
      <c r="Z891" s="222"/>
      <c r="AA891" s="222"/>
      <c r="AB891" s="222"/>
    </row>
    <row r="892" spans="1:28" ht="16">
      <c r="A892" s="222"/>
      <c r="B892" s="222"/>
      <c r="C892" s="222"/>
      <c r="D892" s="222"/>
      <c r="E892" s="222"/>
      <c r="F892" s="222"/>
      <c r="G892" s="222"/>
      <c r="H892" s="222"/>
      <c r="I892" s="222"/>
      <c r="J892" s="222"/>
      <c r="K892" s="222"/>
      <c r="L892" s="223"/>
      <c r="M892" s="222"/>
      <c r="N892" s="222"/>
      <c r="O892" s="222"/>
      <c r="P892" s="222"/>
      <c r="Q892" s="222"/>
      <c r="R892" s="222"/>
      <c r="S892" s="222"/>
      <c r="T892" s="222"/>
      <c r="U892" s="222"/>
      <c r="V892" s="222"/>
      <c r="W892" s="222"/>
      <c r="X892" s="222"/>
      <c r="Y892" s="222"/>
      <c r="Z892" s="222"/>
      <c r="AA892" s="222"/>
      <c r="AB892" s="222"/>
    </row>
    <row r="893" spans="1:28" ht="16">
      <c r="A893" s="222"/>
      <c r="B893" s="222"/>
      <c r="C893" s="222"/>
      <c r="D893" s="222"/>
      <c r="E893" s="222"/>
      <c r="F893" s="222"/>
      <c r="G893" s="222"/>
      <c r="H893" s="222"/>
      <c r="I893" s="222"/>
      <c r="J893" s="222"/>
      <c r="K893" s="222"/>
      <c r="L893" s="223"/>
      <c r="M893" s="222"/>
      <c r="N893" s="222"/>
      <c r="O893" s="222"/>
      <c r="P893" s="222"/>
      <c r="Q893" s="222"/>
      <c r="R893" s="222"/>
      <c r="S893" s="222"/>
      <c r="T893" s="222"/>
      <c r="U893" s="222"/>
      <c r="V893" s="222"/>
      <c r="W893" s="222"/>
      <c r="X893" s="222"/>
      <c r="Y893" s="222"/>
      <c r="Z893" s="222"/>
      <c r="AA893" s="222"/>
      <c r="AB893" s="222"/>
    </row>
    <row r="894" spans="1:28" ht="16">
      <c r="A894" s="222"/>
      <c r="B894" s="222"/>
      <c r="C894" s="222"/>
      <c r="D894" s="222"/>
      <c r="E894" s="222"/>
      <c r="F894" s="222"/>
      <c r="G894" s="222"/>
      <c r="H894" s="222"/>
      <c r="I894" s="222"/>
      <c r="J894" s="222"/>
      <c r="K894" s="222"/>
      <c r="L894" s="223"/>
      <c r="M894" s="222"/>
      <c r="N894" s="222"/>
      <c r="O894" s="222"/>
      <c r="P894" s="222"/>
      <c r="Q894" s="222"/>
      <c r="R894" s="222"/>
      <c r="S894" s="222"/>
      <c r="T894" s="222"/>
      <c r="U894" s="222"/>
      <c r="V894" s="222"/>
      <c r="W894" s="222"/>
      <c r="X894" s="222"/>
      <c r="Y894" s="222"/>
      <c r="Z894" s="222"/>
      <c r="AA894" s="222"/>
      <c r="AB894" s="222"/>
    </row>
    <row r="895" spans="1:28" ht="16">
      <c r="A895" s="222"/>
      <c r="B895" s="222"/>
      <c r="C895" s="222"/>
      <c r="D895" s="222"/>
      <c r="E895" s="222"/>
      <c r="F895" s="222"/>
      <c r="G895" s="222"/>
      <c r="H895" s="222"/>
      <c r="I895" s="222"/>
      <c r="J895" s="222"/>
      <c r="K895" s="222"/>
      <c r="L895" s="223"/>
      <c r="M895" s="222"/>
      <c r="N895" s="222"/>
      <c r="O895" s="222"/>
      <c r="P895" s="222"/>
      <c r="Q895" s="222"/>
      <c r="R895" s="222"/>
      <c r="S895" s="222"/>
      <c r="T895" s="222"/>
      <c r="U895" s="222"/>
      <c r="V895" s="222"/>
      <c r="W895" s="222"/>
      <c r="X895" s="222"/>
      <c r="Y895" s="222"/>
      <c r="Z895" s="222"/>
      <c r="AA895" s="222"/>
      <c r="AB895" s="222"/>
    </row>
    <row r="896" spans="1:28" ht="16">
      <c r="A896" s="222"/>
      <c r="B896" s="222"/>
      <c r="C896" s="222"/>
      <c r="D896" s="222"/>
      <c r="E896" s="222"/>
      <c r="F896" s="222"/>
      <c r="G896" s="222"/>
      <c r="H896" s="222"/>
      <c r="I896" s="222"/>
      <c r="J896" s="222"/>
      <c r="K896" s="222"/>
      <c r="L896" s="223"/>
      <c r="M896" s="222"/>
      <c r="N896" s="222"/>
      <c r="O896" s="222"/>
      <c r="P896" s="222"/>
      <c r="Q896" s="222"/>
      <c r="R896" s="222"/>
      <c r="S896" s="222"/>
      <c r="T896" s="222"/>
      <c r="U896" s="222"/>
      <c r="V896" s="222"/>
      <c r="W896" s="222"/>
      <c r="X896" s="222"/>
      <c r="Y896" s="222"/>
      <c r="Z896" s="222"/>
      <c r="AA896" s="222"/>
      <c r="AB896" s="222"/>
    </row>
    <row r="897" spans="1:28" ht="16">
      <c r="A897" s="222"/>
      <c r="B897" s="222"/>
      <c r="C897" s="222"/>
      <c r="D897" s="222"/>
      <c r="E897" s="222"/>
      <c r="F897" s="222"/>
      <c r="G897" s="222"/>
      <c r="H897" s="222"/>
      <c r="I897" s="222"/>
      <c r="J897" s="222"/>
      <c r="K897" s="222"/>
      <c r="L897" s="223"/>
      <c r="M897" s="222"/>
      <c r="N897" s="222"/>
      <c r="O897" s="222"/>
      <c r="P897" s="222"/>
      <c r="Q897" s="222"/>
      <c r="R897" s="222"/>
      <c r="S897" s="222"/>
      <c r="T897" s="222"/>
      <c r="U897" s="222"/>
      <c r="V897" s="222"/>
      <c r="W897" s="222"/>
      <c r="X897" s="222"/>
      <c r="Y897" s="222"/>
      <c r="Z897" s="222"/>
      <c r="AA897" s="222"/>
      <c r="AB897" s="222"/>
    </row>
    <row r="898" spans="1:28" ht="16">
      <c r="A898" s="222"/>
      <c r="B898" s="222"/>
      <c r="C898" s="222"/>
      <c r="D898" s="222"/>
      <c r="E898" s="222"/>
      <c r="F898" s="222"/>
      <c r="G898" s="222"/>
      <c r="H898" s="222"/>
      <c r="I898" s="222"/>
      <c r="J898" s="222"/>
      <c r="K898" s="222"/>
      <c r="L898" s="223"/>
      <c r="M898" s="222"/>
      <c r="N898" s="222"/>
      <c r="O898" s="222"/>
      <c r="P898" s="222"/>
      <c r="Q898" s="222"/>
      <c r="R898" s="222"/>
      <c r="S898" s="222"/>
      <c r="T898" s="222"/>
      <c r="U898" s="222"/>
      <c r="V898" s="222"/>
      <c r="W898" s="222"/>
      <c r="X898" s="222"/>
      <c r="Y898" s="222"/>
      <c r="Z898" s="222"/>
      <c r="AA898" s="222"/>
      <c r="AB898" s="222"/>
    </row>
    <row r="899" spans="1:28" ht="16">
      <c r="A899" s="222"/>
      <c r="B899" s="222"/>
      <c r="C899" s="222"/>
      <c r="D899" s="222"/>
      <c r="E899" s="222"/>
      <c r="F899" s="222"/>
      <c r="G899" s="222"/>
      <c r="H899" s="222"/>
      <c r="I899" s="222"/>
      <c r="J899" s="222"/>
      <c r="K899" s="222"/>
      <c r="L899" s="223"/>
      <c r="M899" s="222"/>
      <c r="N899" s="222"/>
      <c r="O899" s="222"/>
      <c r="P899" s="222"/>
      <c r="Q899" s="222"/>
      <c r="R899" s="222"/>
      <c r="S899" s="222"/>
      <c r="T899" s="222"/>
      <c r="U899" s="222"/>
      <c r="V899" s="222"/>
      <c r="W899" s="222"/>
      <c r="X899" s="222"/>
      <c r="Y899" s="222"/>
      <c r="Z899" s="222"/>
      <c r="AA899" s="222"/>
      <c r="AB899" s="222"/>
    </row>
    <row r="900" spans="1:28" ht="16">
      <c r="A900" s="222"/>
      <c r="B900" s="222"/>
      <c r="C900" s="222"/>
      <c r="D900" s="222"/>
      <c r="E900" s="222"/>
      <c r="F900" s="222"/>
      <c r="G900" s="222"/>
      <c r="H900" s="222"/>
      <c r="I900" s="222"/>
      <c r="J900" s="222"/>
      <c r="K900" s="222"/>
      <c r="L900" s="223"/>
      <c r="M900" s="222"/>
      <c r="N900" s="222"/>
      <c r="O900" s="222"/>
      <c r="P900" s="222"/>
      <c r="Q900" s="222"/>
      <c r="R900" s="222"/>
      <c r="S900" s="222"/>
      <c r="T900" s="222"/>
      <c r="U900" s="222"/>
      <c r="V900" s="222"/>
      <c r="W900" s="222"/>
      <c r="X900" s="222"/>
      <c r="Y900" s="222"/>
      <c r="Z900" s="222"/>
      <c r="AA900" s="222"/>
      <c r="AB900" s="222"/>
    </row>
    <row r="901" spans="1:28" ht="16">
      <c r="A901" s="222"/>
      <c r="B901" s="222"/>
      <c r="C901" s="222"/>
      <c r="D901" s="222"/>
      <c r="E901" s="222"/>
      <c r="F901" s="222"/>
      <c r="G901" s="222"/>
      <c r="H901" s="222"/>
      <c r="I901" s="222"/>
      <c r="J901" s="222"/>
      <c r="K901" s="222"/>
      <c r="L901" s="223"/>
      <c r="M901" s="222"/>
      <c r="N901" s="222"/>
      <c r="O901" s="222"/>
      <c r="P901" s="222"/>
      <c r="Q901" s="222"/>
      <c r="R901" s="222"/>
      <c r="S901" s="222"/>
      <c r="T901" s="222"/>
      <c r="U901" s="222"/>
      <c r="V901" s="222"/>
      <c r="W901" s="222"/>
      <c r="X901" s="222"/>
      <c r="Y901" s="222"/>
      <c r="Z901" s="222"/>
      <c r="AA901" s="222"/>
      <c r="AB901" s="222"/>
    </row>
    <row r="902" spans="1:28" ht="16">
      <c r="A902" s="222"/>
      <c r="B902" s="222"/>
      <c r="C902" s="222"/>
      <c r="D902" s="222"/>
      <c r="E902" s="222"/>
      <c r="F902" s="222"/>
      <c r="G902" s="222"/>
      <c r="H902" s="222"/>
      <c r="I902" s="222"/>
      <c r="J902" s="222"/>
      <c r="K902" s="222"/>
      <c r="L902" s="223"/>
      <c r="M902" s="222"/>
      <c r="N902" s="222"/>
      <c r="O902" s="222"/>
      <c r="P902" s="222"/>
      <c r="Q902" s="222"/>
      <c r="R902" s="222"/>
      <c r="S902" s="222"/>
      <c r="T902" s="222"/>
      <c r="U902" s="222"/>
      <c r="V902" s="222"/>
      <c r="W902" s="222"/>
      <c r="X902" s="222"/>
      <c r="Y902" s="222"/>
      <c r="Z902" s="222"/>
      <c r="AA902" s="222"/>
      <c r="AB902" s="222"/>
    </row>
    <row r="903" spans="1:28" ht="16">
      <c r="A903" s="222"/>
      <c r="B903" s="222"/>
      <c r="C903" s="222"/>
      <c r="D903" s="222"/>
      <c r="E903" s="222"/>
      <c r="F903" s="222"/>
      <c r="G903" s="222"/>
      <c r="H903" s="222"/>
      <c r="I903" s="222"/>
      <c r="J903" s="222"/>
      <c r="K903" s="222"/>
      <c r="L903" s="223"/>
      <c r="M903" s="222"/>
      <c r="N903" s="222"/>
      <c r="O903" s="222"/>
      <c r="P903" s="222"/>
      <c r="Q903" s="222"/>
      <c r="R903" s="222"/>
      <c r="S903" s="222"/>
      <c r="T903" s="222"/>
      <c r="U903" s="222"/>
      <c r="V903" s="222"/>
      <c r="W903" s="222"/>
      <c r="X903" s="222"/>
      <c r="Y903" s="222"/>
      <c r="Z903" s="222"/>
      <c r="AA903" s="222"/>
      <c r="AB903" s="222"/>
    </row>
    <row r="904" spans="1:28" ht="16">
      <c r="A904" s="222"/>
      <c r="B904" s="222"/>
      <c r="C904" s="222"/>
      <c r="D904" s="222"/>
      <c r="E904" s="222"/>
      <c r="F904" s="222"/>
      <c r="G904" s="222"/>
      <c r="H904" s="222"/>
      <c r="I904" s="222"/>
      <c r="J904" s="222"/>
      <c r="K904" s="222"/>
      <c r="L904" s="223"/>
      <c r="M904" s="222"/>
      <c r="N904" s="222"/>
      <c r="O904" s="222"/>
      <c r="P904" s="222"/>
      <c r="Q904" s="222"/>
      <c r="R904" s="222"/>
      <c r="S904" s="222"/>
      <c r="T904" s="222"/>
      <c r="U904" s="222"/>
      <c r="V904" s="222"/>
      <c r="W904" s="222"/>
      <c r="X904" s="222"/>
      <c r="Y904" s="222"/>
      <c r="Z904" s="222"/>
      <c r="AA904" s="222"/>
      <c r="AB904" s="222"/>
    </row>
    <row r="905" spans="1:28" ht="16">
      <c r="A905" s="222"/>
      <c r="B905" s="222"/>
      <c r="C905" s="222"/>
      <c r="D905" s="222"/>
      <c r="E905" s="222"/>
      <c r="F905" s="222"/>
      <c r="G905" s="222"/>
      <c r="H905" s="222"/>
      <c r="I905" s="222"/>
      <c r="J905" s="222"/>
      <c r="K905" s="222"/>
      <c r="L905" s="223"/>
      <c r="M905" s="222"/>
      <c r="N905" s="222"/>
      <c r="O905" s="222"/>
      <c r="P905" s="222"/>
      <c r="Q905" s="222"/>
      <c r="R905" s="222"/>
      <c r="S905" s="222"/>
      <c r="T905" s="222"/>
      <c r="U905" s="222"/>
      <c r="V905" s="222"/>
      <c r="W905" s="222"/>
      <c r="X905" s="222"/>
      <c r="Y905" s="222"/>
      <c r="Z905" s="222"/>
      <c r="AA905" s="222"/>
      <c r="AB905" s="222"/>
    </row>
    <row r="906" spans="1:28" ht="16">
      <c r="A906" s="222"/>
      <c r="B906" s="222"/>
      <c r="C906" s="222"/>
      <c r="D906" s="222"/>
      <c r="E906" s="222"/>
      <c r="F906" s="222"/>
      <c r="G906" s="222"/>
      <c r="H906" s="222"/>
      <c r="I906" s="222"/>
      <c r="J906" s="222"/>
      <c r="K906" s="222"/>
      <c r="L906" s="223"/>
      <c r="M906" s="222"/>
      <c r="N906" s="222"/>
      <c r="O906" s="222"/>
      <c r="P906" s="222"/>
      <c r="Q906" s="222"/>
      <c r="R906" s="222"/>
      <c r="S906" s="222"/>
      <c r="T906" s="222"/>
      <c r="U906" s="222"/>
      <c r="V906" s="222"/>
      <c r="W906" s="222"/>
      <c r="X906" s="222"/>
      <c r="Y906" s="222"/>
      <c r="Z906" s="222"/>
      <c r="AA906" s="222"/>
      <c r="AB906" s="222"/>
    </row>
    <row r="907" spans="1:28" ht="16">
      <c r="A907" s="222"/>
      <c r="B907" s="222"/>
      <c r="C907" s="222"/>
      <c r="D907" s="222"/>
      <c r="E907" s="222"/>
      <c r="F907" s="222"/>
      <c r="G907" s="222"/>
      <c r="H907" s="222"/>
      <c r="I907" s="222"/>
      <c r="J907" s="222"/>
      <c r="K907" s="222"/>
      <c r="L907" s="223"/>
      <c r="M907" s="222"/>
      <c r="N907" s="222"/>
      <c r="O907" s="222"/>
      <c r="P907" s="222"/>
      <c r="Q907" s="222"/>
      <c r="R907" s="222"/>
      <c r="S907" s="222"/>
      <c r="T907" s="222"/>
      <c r="U907" s="222"/>
      <c r="V907" s="222"/>
      <c r="W907" s="222"/>
      <c r="X907" s="222"/>
      <c r="Y907" s="222"/>
      <c r="Z907" s="222"/>
      <c r="AA907" s="222"/>
      <c r="AB907" s="222"/>
    </row>
    <row r="908" spans="1:28" ht="16">
      <c r="A908" s="222"/>
      <c r="B908" s="222"/>
      <c r="C908" s="222"/>
      <c r="D908" s="222"/>
      <c r="E908" s="222"/>
      <c r="F908" s="222"/>
      <c r="G908" s="222"/>
      <c r="H908" s="222"/>
      <c r="I908" s="222"/>
      <c r="J908" s="222"/>
      <c r="K908" s="222"/>
      <c r="L908" s="223"/>
      <c r="M908" s="222"/>
      <c r="N908" s="222"/>
      <c r="O908" s="222"/>
      <c r="P908" s="222"/>
      <c r="Q908" s="222"/>
      <c r="R908" s="222"/>
      <c r="S908" s="222"/>
      <c r="T908" s="222"/>
      <c r="U908" s="222"/>
      <c r="V908" s="222"/>
      <c r="W908" s="222"/>
      <c r="X908" s="222"/>
      <c r="Y908" s="222"/>
      <c r="Z908" s="222"/>
      <c r="AA908" s="222"/>
      <c r="AB908" s="222"/>
    </row>
    <row r="909" spans="1:28" ht="16">
      <c r="A909" s="222"/>
      <c r="B909" s="222"/>
      <c r="C909" s="222"/>
      <c r="D909" s="222"/>
      <c r="E909" s="222"/>
      <c r="F909" s="222"/>
      <c r="G909" s="222"/>
      <c r="H909" s="222"/>
      <c r="I909" s="222"/>
      <c r="J909" s="222"/>
      <c r="K909" s="222"/>
      <c r="L909" s="223"/>
      <c r="M909" s="222"/>
      <c r="N909" s="222"/>
      <c r="O909" s="222"/>
      <c r="P909" s="222"/>
      <c r="Q909" s="222"/>
      <c r="R909" s="222"/>
      <c r="S909" s="222"/>
      <c r="T909" s="222"/>
      <c r="U909" s="222"/>
      <c r="V909" s="222"/>
      <c r="W909" s="222"/>
      <c r="X909" s="222"/>
      <c r="Y909" s="222"/>
      <c r="Z909" s="222"/>
      <c r="AA909" s="222"/>
      <c r="AB909" s="222"/>
    </row>
    <row r="910" spans="1:28" ht="16">
      <c r="A910" s="222"/>
      <c r="B910" s="222"/>
      <c r="C910" s="222"/>
      <c r="D910" s="222"/>
      <c r="E910" s="222"/>
      <c r="F910" s="222"/>
      <c r="G910" s="222"/>
      <c r="H910" s="222"/>
      <c r="I910" s="222"/>
      <c r="J910" s="222"/>
      <c r="K910" s="222"/>
      <c r="L910" s="223"/>
      <c r="M910" s="222"/>
      <c r="N910" s="222"/>
      <c r="O910" s="222"/>
      <c r="P910" s="222"/>
      <c r="Q910" s="222"/>
      <c r="R910" s="222"/>
      <c r="S910" s="222"/>
      <c r="T910" s="222"/>
      <c r="U910" s="222"/>
      <c r="V910" s="222"/>
      <c r="W910" s="222"/>
      <c r="X910" s="222"/>
      <c r="Y910" s="222"/>
      <c r="Z910" s="222"/>
      <c r="AA910" s="222"/>
      <c r="AB910" s="222"/>
    </row>
    <row r="911" spans="1:28" ht="16">
      <c r="A911" s="222"/>
      <c r="B911" s="222"/>
      <c r="C911" s="222"/>
      <c r="D911" s="222"/>
      <c r="E911" s="222"/>
      <c r="F911" s="222"/>
      <c r="G911" s="222"/>
      <c r="H911" s="222"/>
      <c r="I911" s="222"/>
      <c r="J911" s="222"/>
      <c r="K911" s="222"/>
      <c r="L911" s="223"/>
      <c r="M911" s="222"/>
      <c r="N911" s="222"/>
      <c r="O911" s="222"/>
      <c r="P911" s="222"/>
      <c r="Q911" s="222"/>
      <c r="R911" s="222"/>
      <c r="S911" s="222"/>
      <c r="T911" s="222"/>
      <c r="U911" s="222"/>
      <c r="V911" s="222"/>
      <c r="W911" s="222"/>
      <c r="X911" s="222"/>
      <c r="Y911" s="222"/>
      <c r="Z911" s="222"/>
      <c r="AA911" s="222"/>
      <c r="AB911" s="222"/>
    </row>
    <row r="912" spans="1:28" ht="16">
      <c r="A912" s="222"/>
      <c r="B912" s="222"/>
      <c r="C912" s="222"/>
      <c r="D912" s="222"/>
      <c r="E912" s="222"/>
      <c r="F912" s="222"/>
      <c r="G912" s="222"/>
      <c r="H912" s="222"/>
      <c r="I912" s="222"/>
      <c r="J912" s="222"/>
      <c r="K912" s="222"/>
      <c r="L912" s="223"/>
      <c r="M912" s="222"/>
      <c r="N912" s="222"/>
      <c r="O912" s="222"/>
      <c r="P912" s="222"/>
      <c r="Q912" s="222"/>
      <c r="R912" s="222"/>
      <c r="S912" s="222"/>
      <c r="T912" s="222"/>
      <c r="U912" s="222"/>
      <c r="V912" s="222"/>
      <c r="W912" s="222"/>
      <c r="X912" s="222"/>
      <c r="Y912" s="222"/>
      <c r="Z912" s="222"/>
      <c r="AA912" s="222"/>
      <c r="AB912" s="222"/>
    </row>
    <row r="913" spans="1:28" ht="16">
      <c r="A913" s="222"/>
      <c r="B913" s="222"/>
      <c r="C913" s="222"/>
      <c r="D913" s="222"/>
      <c r="E913" s="222"/>
      <c r="F913" s="222"/>
      <c r="G913" s="222"/>
      <c r="H913" s="222"/>
      <c r="I913" s="222"/>
      <c r="J913" s="222"/>
      <c r="K913" s="222"/>
      <c r="L913" s="223"/>
      <c r="M913" s="222"/>
      <c r="N913" s="222"/>
      <c r="O913" s="222"/>
      <c r="P913" s="222"/>
      <c r="Q913" s="222"/>
      <c r="R913" s="222"/>
      <c r="S913" s="222"/>
      <c r="T913" s="222"/>
      <c r="U913" s="222"/>
      <c r="V913" s="222"/>
      <c r="W913" s="222"/>
      <c r="X913" s="222"/>
      <c r="Y913" s="222"/>
      <c r="Z913" s="222"/>
      <c r="AA913" s="222"/>
      <c r="AB913" s="222"/>
    </row>
    <row r="914" spans="1:28" ht="16">
      <c r="A914" s="222"/>
      <c r="B914" s="222"/>
      <c r="C914" s="222"/>
      <c r="D914" s="222"/>
      <c r="E914" s="222"/>
      <c r="F914" s="222"/>
      <c r="G914" s="222"/>
      <c r="H914" s="222"/>
      <c r="I914" s="222"/>
      <c r="J914" s="222"/>
      <c r="K914" s="222"/>
      <c r="L914" s="223"/>
      <c r="M914" s="222"/>
      <c r="N914" s="222"/>
      <c r="O914" s="222"/>
      <c r="P914" s="222"/>
      <c r="Q914" s="222"/>
      <c r="R914" s="222"/>
      <c r="S914" s="222"/>
      <c r="T914" s="222"/>
      <c r="U914" s="222"/>
      <c r="V914" s="222"/>
      <c r="W914" s="222"/>
      <c r="X914" s="222"/>
      <c r="Y914" s="222"/>
      <c r="Z914" s="222"/>
      <c r="AA914" s="222"/>
      <c r="AB914" s="222"/>
    </row>
    <row r="915" spans="1:28" ht="16">
      <c r="A915" s="222"/>
      <c r="B915" s="222"/>
      <c r="C915" s="222"/>
      <c r="D915" s="222"/>
      <c r="E915" s="222"/>
      <c r="F915" s="222"/>
      <c r="G915" s="222"/>
      <c r="H915" s="222"/>
      <c r="I915" s="222"/>
      <c r="J915" s="222"/>
      <c r="K915" s="222"/>
      <c r="L915" s="223"/>
      <c r="M915" s="222"/>
      <c r="N915" s="222"/>
      <c r="O915" s="222"/>
      <c r="P915" s="222"/>
      <c r="Q915" s="222"/>
      <c r="R915" s="222"/>
      <c r="S915" s="222"/>
      <c r="T915" s="222"/>
      <c r="U915" s="222"/>
      <c r="V915" s="222"/>
      <c r="W915" s="222"/>
      <c r="X915" s="222"/>
      <c r="Y915" s="222"/>
      <c r="Z915" s="222"/>
      <c r="AA915" s="222"/>
      <c r="AB915" s="222"/>
    </row>
    <row r="916" spans="1:28" ht="16">
      <c r="A916" s="222"/>
      <c r="B916" s="222"/>
      <c r="C916" s="222"/>
      <c r="D916" s="222"/>
      <c r="E916" s="222"/>
      <c r="F916" s="222"/>
      <c r="G916" s="222"/>
      <c r="H916" s="222"/>
      <c r="I916" s="222"/>
      <c r="J916" s="222"/>
      <c r="K916" s="222"/>
      <c r="L916" s="223"/>
      <c r="M916" s="222"/>
      <c r="N916" s="222"/>
      <c r="O916" s="222"/>
      <c r="P916" s="222"/>
      <c r="Q916" s="222"/>
      <c r="R916" s="222"/>
      <c r="S916" s="222"/>
      <c r="T916" s="222"/>
      <c r="U916" s="222"/>
      <c r="V916" s="222"/>
      <c r="W916" s="222"/>
      <c r="X916" s="222"/>
      <c r="Y916" s="222"/>
      <c r="Z916" s="222"/>
      <c r="AA916" s="222"/>
      <c r="AB916" s="222"/>
    </row>
    <row r="917" spans="1:28" ht="16">
      <c r="A917" s="222"/>
      <c r="B917" s="222"/>
      <c r="C917" s="222"/>
      <c r="D917" s="222"/>
      <c r="E917" s="222"/>
      <c r="F917" s="222"/>
      <c r="G917" s="222"/>
      <c r="H917" s="222"/>
      <c r="I917" s="222"/>
      <c r="J917" s="222"/>
      <c r="K917" s="222"/>
      <c r="L917" s="223"/>
      <c r="M917" s="222"/>
      <c r="N917" s="222"/>
      <c r="O917" s="222"/>
      <c r="P917" s="222"/>
      <c r="Q917" s="222"/>
      <c r="R917" s="222"/>
      <c r="S917" s="222"/>
      <c r="T917" s="222"/>
      <c r="U917" s="222"/>
      <c r="V917" s="222"/>
      <c r="W917" s="222"/>
      <c r="X917" s="222"/>
      <c r="Y917" s="222"/>
      <c r="Z917" s="222"/>
      <c r="AA917" s="222"/>
      <c r="AB917" s="222"/>
    </row>
    <row r="918" spans="1:28" ht="16">
      <c r="A918" s="222"/>
      <c r="B918" s="222"/>
      <c r="C918" s="222"/>
      <c r="D918" s="222"/>
      <c r="E918" s="222"/>
      <c r="F918" s="222"/>
      <c r="G918" s="222"/>
      <c r="H918" s="222"/>
      <c r="I918" s="222"/>
      <c r="J918" s="222"/>
      <c r="K918" s="222"/>
      <c r="L918" s="223"/>
      <c r="M918" s="222"/>
      <c r="N918" s="222"/>
      <c r="O918" s="222"/>
      <c r="P918" s="222"/>
      <c r="Q918" s="222"/>
      <c r="R918" s="222"/>
      <c r="S918" s="222"/>
      <c r="T918" s="222"/>
      <c r="U918" s="222"/>
      <c r="V918" s="222"/>
      <c r="W918" s="222"/>
      <c r="X918" s="222"/>
      <c r="Y918" s="222"/>
      <c r="Z918" s="222"/>
      <c r="AA918" s="222"/>
      <c r="AB918" s="222"/>
    </row>
    <row r="919" spans="1:28" ht="16">
      <c r="A919" s="222"/>
      <c r="B919" s="222"/>
      <c r="C919" s="222"/>
      <c r="D919" s="222"/>
      <c r="E919" s="222"/>
      <c r="F919" s="222"/>
      <c r="G919" s="222"/>
      <c r="H919" s="222"/>
      <c r="I919" s="222"/>
      <c r="J919" s="222"/>
      <c r="K919" s="222"/>
      <c r="L919" s="223"/>
      <c r="M919" s="222"/>
      <c r="N919" s="222"/>
      <c r="O919" s="222"/>
      <c r="P919" s="222"/>
      <c r="Q919" s="222"/>
      <c r="R919" s="222"/>
      <c r="S919" s="222"/>
      <c r="T919" s="222"/>
      <c r="U919" s="222"/>
      <c r="V919" s="222"/>
      <c r="W919" s="222"/>
      <c r="X919" s="222"/>
      <c r="Y919" s="222"/>
      <c r="Z919" s="222"/>
      <c r="AA919" s="222"/>
      <c r="AB919" s="222"/>
    </row>
    <row r="920" spans="1:28" ht="16">
      <c r="A920" s="222"/>
      <c r="B920" s="222"/>
      <c r="C920" s="222"/>
      <c r="D920" s="222"/>
      <c r="E920" s="222"/>
      <c r="F920" s="222"/>
      <c r="G920" s="222"/>
      <c r="H920" s="222"/>
      <c r="I920" s="222"/>
      <c r="J920" s="222"/>
      <c r="K920" s="222"/>
      <c r="L920" s="223"/>
      <c r="M920" s="222"/>
      <c r="N920" s="222"/>
      <c r="O920" s="222"/>
      <c r="P920" s="222"/>
      <c r="Q920" s="222"/>
      <c r="R920" s="222"/>
      <c r="S920" s="222"/>
      <c r="T920" s="222"/>
      <c r="U920" s="222"/>
      <c r="V920" s="222"/>
      <c r="W920" s="222"/>
      <c r="X920" s="222"/>
      <c r="Y920" s="222"/>
      <c r="Z920" s="222"/>
      <c r="AA920" s="222"/>
      <c r="AB920" s="222"/>
    </row>
    <row r="921" spans="1:28" ht="16">
      <c r="A921" s="222"/>
      <c r="B921" s="222"/>
      <c r="C921" s="222"/>
      <c r="D921" s="222"/>
      <c r="E921" s="222"/>
      <c r="F921" s="222"/>
      <c r="G921" s="222"/>
      <c r="H921" s="222"/>
      <c r="I921" s="222"/>
      <c r="J921" s="222"/>
      <c r="K921" s="222"/>
      <c r="L921" s="223"/>
      <c r="M921" s="222"/>
      <c r="N921" s="222"/>
      <c r="O921" s="222"/>
      <c r="P921" s="222"/>
      <c r="Q921" s="222"/>
      <c r="R921" s="222"/>
      <c r="S921" s="222"/>
      <c r="T921" s="222"/>
      <c r="U921" s="222"/>
      <c r="V921" s="222"/>
      <c r="W921" s="222"/>
      <c r="X921" s="222"/>
      <c r="Y921" s="222"/>
      <c r="Z921" s="222"/>
      <c r="AA921" s="222"/>
      <c r="AB921" s="222"/>
    </row>
    <row r="922" spans="1:28" ht="16">
      <c r="A922" s="222"/>
      <c r="B922" s="222"/>
      <c r="C922" s="222"/>
      <c r="D922" s="222"/>
      <c r="E922" s="222"/>
      <c r="F922" s="222"/>
      <c r="G922" s="222"/>
      <c r="H922" s="222"/>
      <c r="I922" s="222"/>
      <c r="J922" s="222"/>
      <c r="K922" s="222"/>
      <c r="L922" s="223"/>
      <c r="M922" s="222"/>
      <c r="N922" s="222"/>
      <c r="O922" s="222"/>
      <c r="P922" s="222"/>
      <c r="Q922" s="222"/>
      <c r="R922" s="222"/>
      <c r="S922" s="222"/>
      <c r="T922" s="222"/>
      <c r="U922" s="222"/>
      <c r="V922" s="222"/>
      <c r="W922" s="222"/>
      <c r="X922" s="222"/>
      <c r="Y922" s="222"/>
      <c r="Z922" s="222"/>
      <c r="AA922" s="222"/>
      <c r="AB922" s="222"/>
    </row>
    <row r="923" spans="1:28" ht="16">
      <c r="A923" s="222"/>
      <c r="B923" s="222"/>
      <c r="C923" s="222"/>
      <c r="D923" s="222"/>
      <c r="E923" s="222"/>
      <c r="F923" s="222"/>
      <c r="G923" s="222"/>
      <c r="H923" s="222"/>
      <c r="I923" s="222"/>
      <c r="J923" s="222"/>
      <c r="K923" s="222"/>
      <c r="L923" s="223"/>
      <c r="M923" s="222"/>
      <c r="N923" s="222"/>
      <c r="O923" s="222"/>
      <c r="P923" s="222"/>
      <c r="Q923" s="222"/>
      <c r="R923" s="222"/>
      <c r="S923" s="222"/>
      <c r="T923" s="222"/>
      <c r="U923" s="222"/>
      <c r="V923" s="222"/>
      <c r="W923" s="222"/>
      <c r="X923" s="222"/>
      <c r="Y923" s="222"/>
      <c r="Z923" s="222"/>
      <c r="AA923" s="222"/>
      <c r="AB923" s="222"/>
    </row>
    <row r="924" spans="1:28" ht="16">
      <c r="A924" s="222"/>
      <c r="B924" s="222"/>
      <c r="C924" s="222"/>
      <c r="D924" s="222"/>
      <c r="E924" s="222"/>
      <c r="F924" s="222"/>
      <c r="G924" s="222"/>
      <c r="H924" s="222"/>
      <c r="I924" s="222"/>
      <c r="J924" s="222"/>
      <c r="K924" s="222"/>
      <c r="L924" s="223"/>
      <c r="M924" s="222"/>
      <c r="N924" s="222"/>
      <c r="O924" s="222"/>
      <c r="P924" s="222"/>
      <c r="Q924" s="222"/>
      <c r="R924" s="222"/>
      <c r="S924" s="222"/>
      <c r="T924" s="222"/>
      <c r="U924" s="222"/>
      <c r="V924" s="222"/>
      <c r="W924" s="222"/>
      <c r="X924" s="222"/>
      <c r="Y924" s="222"/>
      <c r="Z924" s="222"/>
      <c r="AA924" s="222"/>
      <c r="AB924" s="222"/>
    </row>
    <row r="925" spans="1:28" ht="16">
      <c r="A925" s="222"/>
      <c r="B925" s="222"/>
      <c r="C925" s="222"/>
      <c r="D925" s="222"/>
      <c r="E925" s="222"/>
      <c r="F925" s="222"/>
      <c r="G925" s="222"/>
      <c r="H925" s="222"/>
      <c r="I925" s="222"/>
      <c r="J925" s="222"/>
      <c r="K925" s="222"/>
      <c r="L925" s="223"/>
      <c r="M925" s="222"/>
      <c r="N925" s="222"/>
      <c r="O925" s="222"/>
      <c r="P925" s="222"/>
      <c r="Q925" s="222"/>
      <c r="R925" s="222"/>
      <c r="S925" s="222"/>
      <c r="T925" s="222"/>
      <c r="U925" s="222"/>
      <c r="V925" s="222"/>
      <c r="W925" s="222"/>
      <c r="X925" s="222"/>
      <c r="Y925" s="222"/>
      <c r="Z925" s="222"/>
      <c r="AA925" s="222"/>
      <c r="AB925" s="222"/>
    </row>
    <row r="926" spans="1:28" ht="16">
      <c r="A926" s="222"/>
      <c r="B926" s="222"/>
      <c r="C926" s="222"/>
      <c r="D926" s="222"/>
      <c r="E926" s="222"/>
      <c r="F926" s="222"/>
      <c r="G926" s="222"/>
      <c r="H926" s="222"/>
      <c r="I926" s="222"/>
      <c r="J926" s="222"/>
      <c r="K926" s="222"/>
      <c r="L926" s="223"/>
      <c r="M926" s="222"/>
      <c r="N926" s="222"/>
      <c r="O926" s="222"/>
      <c r="P926" s="222"/>
      <c r="Q926" s="222"/>
      <c r="R926" s="222"/>
      <c r="S926" s="222"/>
      <c r="T926" s="222"/>
      <c r="U926" s="222"/>
      <c r="V926" s="222"/>
      <c r="W926" s="222"/>
      <c r="X926" s="222"/>
      <c r="Y926" s="222"/>
      <c r="Z926" s="222"/>
      <c r="AA926" s="222"/>
      <c r="AB926" s="222"/>
    </row>
    <row r="927" spans="1:28" ht="16">
      <c r="A927" s="222"/>
      <c r="B927" s="222"/>
      <c r="C927" s="222"/>
      <c r="D927" s="222"/>
      <c r="E927" s="222"/>
      <c r="F927" s="222"/>
      <c r="G927" s="222"/>
      <c r="H927" s="222"/>
      <c r="I927" s="222"/>
      <c r="J927" s="222"/>
      <c r="K927" s="222"/>
      <c r="L927" s="223"/>
      <c r="M927" s="222"/>
      <c r="N927" s="222"/>
      <c r="O927" s="222"/>
      <c r="P927" s="222"/>
      <c r="Q927" s="222"/>
      <c r="R927" s="222"/>
      <c r="S927" s="222"/>
      <c r="T927" s="222"/>
      <c r="U927" s="222"/>
      <c r="V927" s="222"/>
      <c r="W927" s="222"/>
      <c r="X927" s="222"/>
      <c r="Y927" s="222"/>
      <c r="Z927" s="222"/>
      <c r="AA927" s="222"/>
      <c r="AB927" s="222"/>
    </row>
    <row r="928" spans="1:28" ht="16">
      <c r="A928" s="222"/>
      <c r="B928" s="222"/>
      <c r="C928" s="222"/>
      <c r="D928" s="222"/>
      <c r="E928" s="222"/>
      <c r="F928" s="222"/>
      <c r="G928" s="222"/>
      <c r="H928" s="222"/>
      <c r="I928" s="222"/>
      <c r="J928" s="222"/>
      <c r="K928" s="222"/>
      <c r="L928" s="223"/>
      <c r="M928" s="222"/>
      <c r="N928" s="222"/>
      <c r="O928" s="222"/>
      <c r="P928" s="222"/>
      <c r="Q928" s="222"/>
      <c r="R928" s="222"/>
      <c r="S928" s="222"/>
      <c r="T928" s="222"/>
      <c r="U928" s="222"/>
      <c r="V928" s="222"/>
      <c r="W928" s="222"/>
      <c r="X928" s="222"/>
      <c r="Y928" s="222"/>
      <c r="Z928" s="222"/>
      <c r="AA928" s="222"/>
      <c r="AB928" s="222"/>
    </row>
    <row r="929" spans="1:28" ht="16">
      <c r="A929" s="222"/>
      <c r="B929" s="222"/>
      <c r="C929" s="222"/>
      <c r="D929" s="222"/>
      <c r="E929" s="222"/>
      <c r="F929" s="222"/>
      <c r="G929" s="222"/>
      <c r="H929" s="222"/>
      <c r="I929" s="222"/>
      <c r="J929" s="222"/>
      <c r="K929" s="222"/>
      <c r="L929" s="223"/>
      <c r="M929" s="222"/>
      <c r="N929" s="222"/>
      <c r="O929" s="222"/>
      <c r="P929" s="222"/>
      <c r="Q929" s="222"/>
      <c r="R929" s="222"/>
      <c r="S929" s="222"/>
      <c r="T929" s="222"/>
      <c r="U929" s="222"/>
      <c r="V929" s="222"/>
      <c r="W929" s="222"/>
      <c r="X929" s="222"/>
      <c r="Y929" s="222"/>
      <c r="Z929" s="222"/>
      <c r="AA929" s="222"/>
      <c r="AB929" s="222"/>
    </row>
    <row r="930" spans="1:28" ht="16">
      <c r="A930" s="222"/>
      <c r="B930" s="222"/>
      <c r="C930" s="222"/>
      <c r="D930" s="222"/>
      <c r="E930" s="222"/>
      <c r="F930" s="222"/>
      <c r="G930" s="222"/>
      <c r="H930" s="222"/>
      <c r="I930" s="222"/>
      <c r="J930" s="222"/>
      <c r="K930" s="222"/>
      <c r="L930" s="223"/>
      <c r="M930" s="222"/>
      <c r="N930" s="222"/>
      <c r="O930" s="222"/>
      <c r="P930" s="222"/>
      <c r="Q930" s="222"/>
      <c r="R930" s="222"/>
      <c r="S930" s="222"/>
      <c r="T930" s="222"/>
      <c r="U930" s="222"/>
      <c r="V930" s="222"/>
      <c r="W930" s="222"/>
      <c r="X930" s="222"/>
      <c r="Y930" s="222"/>
      <c r="Z930" s="222"/>
      <c r="AA930" s="222"/>
      <c r="AB930" s="222"/>
    </row>
    <row r="931" spans="1:28" ht="16">
      <c r="A931" s="222"/>
      <c r="B931" s="222"/>
      <c r="C931" s="222"/>
      <c r="D931" s="222"/>
      <c r="E931" s="222"/>
      <c r="F931" s="222"/>
      <c r="G931" s="222"/>
      <c r="H931" s="222"/>
      <c r="I931" s="222"/>
      <c r="J931" s="222"/>
      <c r="K931" s="222"/>
      <c r="L931" s="223"/>
      <c r="M931" s="222"/>
      <c r="N931" s="222"/>
      <c r="O931" s="222"/>
      <c r="P931" s="222"/>
      <c r="Q931" s="222"/>
      <c r="R931" s="222"/>
      <c r="S931" s="222"/>
      <c r="T931" s="222"/>
      <c r="U931" s="222"/>
      <c r="V931" s="222"/>
      <c r="W931" s="222"/>
      <c r="X931" s="222"/>
      <c r="Y931" s="222"/>
      <c r="Z931" s="222"/>
      <c r="AA931" s="222"/>
      <c r="AB931" s="222"/>
    </row>
    <row r="932" spans="1:28" ht="16">
      <c r="A932" s="222"/>
      <c r="B932" s="222"/>
      <c r="C932" s="222"/>
      <c r="D932" s="222"/>
      <c r="E932" s="222"/>
      <c r="F932" s="222"/>
      <c r="G932" s="222"/>
      <c r="H932" s="222"/>
      <c r="I932" s="222"/>
      <c r="J932" s="222"/>
      <c r="K932" s="222"/>
      <c r="L932" s="223"/>
      <c r="M932" s="222"/>
      <c r="N932" s="222"/>
      <c r="O932" s="222"/>
      <c r="P932" s="222"/>
      <c r="Q932" s="222"/>
      <c r="R932" s="222"/>
      <c r="S932" s="222"/>
      <c r="T932" s="222"/>
      <c r="U932" s="222"/>
      <c r="V932" s="222"/>
      <c r="W932" s="222"/>
      <c r="X932" s="222"/>
      <c r="Y932" s="222"/>
      <c r="Z932" s="222"/>
      <c r="AA932" s="222"/>
      <c r="AB932" s="222"/>
    </row>
    <row r="933" spans="1:28" ht="16">
      <c r="A933" s="222"/>
      <c r="B933" s="222"/>
      <c r="C933" s="222"/>
      <c r="D933" s="222"/>
      <c r="E933" s="222"/>
      <c r="F933" s="222"/>
      <c r="G933" s="222"/>
      <c r="H933" s="222"/>
      <c r="I933" s="222"/>
      <c r="J933" s="222"/>
      <c r="K933" s="222"/>
      <c r="L933" s="223"/>
      <c r="M933" s="222"/>
      <c r="N933" s="222"/>
      <c r="O933" s="222"/>
      <c r="P933" s="222"/>
      <c r="Q933" s="222"/>
      <c r="R933" s="222"/>
      <c r="S933" s="222"/>
      <c r="T933" s="222"/>
      <c r="U933" s="222"/>
      <c r="V933" s="222"/>
      <c r="W933" s="222"/>
      <c r="X933" s="222"/>
      <c r="Y933" s="222"/>
      <c r="Z933" s="222"/>
      <c r="AA933" s="222"/>
      <c r="AB933" s="222"/>
    </row>
    <row r="934" spans="1:28" ht="16">
      <c r="A934" s="222"/>
      <c r="B934" s="222"/>
      <c r="C934" s="222"/>
      <c r="D934" s="222"/>
      <c r="E934" s="222"/>
      <c r="F934" s="222"/>
      <c r="G934" s="222"/>
      <c r="H934" s="222"/>
      <c r="I934" s="222"/>
      <c r="J934" s="222"/>
      <c r="K934" s="222"/>
      <c r="L934" s="223"/>
      <c r="M934" s="222"/>
      <c r="N934" s="222"/>
      <c r="O934" s="222"/>
      <c r="P934" s="222"/>
      <c r="Q934" s="222"/>
      <c r="R934" s="222"/>
      <c r="S934" s="222"/>
      <c r="T934" s="222"/>
      <c r="U934" s="222"/>
      <c r="V934" s="222"/>
      <c r="W934" s="222"/>
      <c r="X934" s="222"/>
      <c r="Y934" s="222"/>
      <c r="Z934" s="222"/>
      <c r="AA934" s="222"/>
      <c r="AB934" s="222"/>
    </row>
    <row r="935" spans="1:28" ht="16">
      <c r="A935" s="222"/>
      <c r="B935" s="222"/>
      <c r="C935" s="222"/>
      <c r="D935" s="222"/>
      <c r="E935" s="222"/>
      <c r="F935" s="222"/>
      <c r="G935" s="222"/>
      <c r="H935" s="222"/>
      <c r="I935" s="222"/>
      <c r="J935" s="222"/>
      <c r="K935" s="222"/>
      <c r="L935" s="223"/>
      <c r="M935" s="222"/>
      <c r="N935" s="222"/>
      <c r="O935" s="222"/>
      <c r="P935" s="222"/>
      <c r="Q935" s="222"/>
      <c r="R935" s="222"/>
      <c r="S935" s="222"/>
      <c r="T935" s="222"/>
      <c r="U935" s="222"/>
      <c r="V935" s="222"/>
      <c r="W935" s="222"/>
      <c r="X935" s="222"/>
      <c r="Y935" s="222"/>
      <c r="Z935" s="222"/>
      <c r="AA935" s="222"/>
      <c r="AB935" s="222"/>
    </row>
    <row r="936" spans="1:28" ht="16">
      <c r="A936" s="222"/>
      <c r="B936" s="222"/>
      <c r="C936" s="222"/>
      <c r="D936" s="222"/>
      <c r="E936" s="222"/>
      <c r="F936" s="222"/>
      <c r="G936" s="222"/>
      <c r="H936" s="222"/>
      <c r="I936" s="222"/>
      <c r="J936" s="222"/>
      <c r="K936" s="222"/>
      <c r="L936" s="223"/>
      <c r="M936" s="222"/>
      <c r="N936" s="222"/>
      <c r="O936" s="222"/>
      <c r="P936" s="222"/>
      <c r="Q936" s="222"/>
      <c r="R936" s="222"/>
      <c r="S936" s="222"/>
      <c r="T936" s="222"/>
      <c r="U936" s="222"/>
      <c r="V936" s="222"/>
      <c r="W936" s="222"/>
      <c r="X936" s="222"/>
      <c r="Y936" s="222"/>
      <c r="Z936" s="222"/>
      <c r="AA936" s="222"/>
      <c r="AB936" s="222"/>
    </row>
    <row r="937" spans="1:28" ht="16">
      <c r="A937" s="222"/>
      <c r="B937" s="222"/>
      <c r="C937" s="222"/>
      <c r="D937" s="222"/>
      <c r="E937" s="222"/>
      <c r="F937" s="222"/>
      <c r="G937" s="222"/>
      <c r="H937" s="222"/>
      <c r="I937" s="222"/>
      <c r="J937" s="222"/>
      <c r="K937" s="222"/>
      <c r="L937" s="223"/>
      <c r="M937" s="222"/>
      <c r="N937" s="222"/>
      <c r="O937" s="222"/>
      <c r="P937" s="222"/>
      <c r="Q937" s="222"/>
      <c r="R937" s="222"/>
      <c r="S937" s="222"/>
      <c r="T937" s="222"/>
      <c r="U937" s="222"/>
      <c r="V937" s="222"/>
      <c r="W937" s="222"/>
      <c r="X937" s="222"/>
      <c r="Y937" s="222"/>
      <c r="Z937" s="222"/>
      <c r="AA937" s="222"/>
      <c r="AB937" s="222"/>
    </row>
    <row r="938" spans="1:28" ht="16">
      <c r="A938" s="222"/>
      <c r="B938" s="222"/>
      <c r="C938" s="222"/>
      <c r="D938" s="222"/>
      <c r="E938" s="222"/>
      <c r="F938" s="222"/>
      <c r="G938" s="222"/>
      <c r="H938" s="222"/>
      <c r="I938" s="222"/>
      <c r="J938" s="222"/>
      <c r="K938" s="222"/>
      <c r="L938" s="223"/>
      <c r="M938" s="222"/>
      <c r="N938" s="222"/>
      <c r="O938" s="222"/>
      <c r="P938" s="222"/>
      <c r="Q938" s="222"/>
      <c r="R938" s="222"/>
      <c r="S938" s="222"/>
      <c r="T938" s="222"/>
      <c r="U938" s="222"/>
      <c r="V938" s="222"/>
      <c r="W938" s="222"/>
      <c r="X938" s="222"/>
      <c r="Y938" s="222"/>
      <c r="Z938" s="222"/>
      <c r="AA938" s="222"/>
      <c r="AB938" s="222"/>
    </row>
    <row r="939" spans="1:28" ht="16">
      <c r="A939" s="222"/>
      <c r="B939" s="222"/>
      <c r="C939" s="222"/>
      <c r="D939" s="222"/>
      <c r="E939" s="222"/>
      <c r="F939" s="222"/>
      <c r="G939" s="222"/>
      <c r="H939" s="222"/>
      <c r="I939" s="222"/>
      <c r="J939" s="222"/>
      <c r="K939" s="222"/>
      <c r="L939" s="223"/>
      <c r="M939" s="222"/>
      <c r="N939" s="222"/>
      <c r="O939" s="222"/>
      <c r="P939" s="222"/>
      <c r="Q939" s="222"/>
      <c r="R939" s="222"/>
      <c r="S939" s="222"/>
      <c r="T939" s="222"/>
      <c r="U939" s="222"/>
      <c r="V939" s="222"/>
      <c r="W939" s="222"/>
      <c r="X939" s="222"/>
      <c r="Y939" s="222"/>
      <c r="Z939" s="222"/>
      <c r="AA939" s="222"/>
      <c r="AB939" s="222"/>
    </row>
    <row r="940" spans="1:28" ht="16">
      <c r="A940" s="222"/>
      <c r="B940" s="222"/>
      <c r="C940" s="222"/>
      <c r="D940" s="222"/>
      <c r="E940" s="222"/>
      <c r="F940" s="222"/>
      <c r="G940" s="222"/>
      <c r="H940" s="222"/>
      <c r="I940" s="222"/>
      <c r="J940" s="222"/>
      <c r="K940" s="222"/>
      <c r="L940" s="223"/>
      <c r="M940" s="222"/>
      <c r="N940" s="222"/>
      <c r="O940" s="222"/>
      <c r="P940" s="222"/>
      <c r="Q940" s="222"/>
      <c r="R940" s="222"/>
      <c r="S940" s="222"/>
      <c r="T940" s="222"/>
      <c r="U940" s="222"/>
      <c r="V940" s="222"/>
      <c r="W940" s="222"/>
      <c r="X940" s="222"/>
      <c r="Y940" s="222"/>
      <c r="Z940" s="222"/>
      <c r="AA940" s="222"/>
      <c r="AB940" s="222"/>
    </row>
    <row r="941" spans="1:28" ht="16">
      <c r="A941" s="222"/>
      <c r="B941" s="222"/>
      <c r="C941" s="222"/>
      <c r="D941" s="222"/>
      <c r="E941" s="222"/>
      <c r="F941" s="222"/>
      <c r="G941" s="222"/>
      <c r="H941" s="222"/>
      <c r="I941" s="222"/>
      <c r="J941" s="222"/>
      <c r="K941" s="222"/>
      <c r="L941" s="223"/>
      <c r="M941" s="222"/>
      <c r="N941" s="222"/>
      <c r="O941" s="222"/>
      <c r="P941" s="222"/>
      <c r="Q941" s="222"/>
      <c r="R941" s="222"/>
      <c r="S941" s="222"/>
      <c r="T941" s="222"/>
      <c r="U941" s="222"/>
      <c r="V941" s="222"/>
      <c r="W941" s="222"/>
      <c r="X941" s="222"/>
      <c r="Y941" s="222"/>
      <c r="Z941" s="222"/>
      <c r="AA941" s="222"/>
      <c r="AB941" s="222"/>
    </row>
    <row r="942" spans="1:28" ht="16">
      <c r="A942" s="222"/>
      <c r="B942" s="222"/>
      <c r="C942" s="222"/>
      <c r="D942" s="222"/>
      <c r="E942" s="222"/>
      <c r="F942" s="222"/>
      <c r="G942" s="222"/>
      <c r="H942" s="222"/>
      <c r="I942" s="222"/>
      <c r="J942" s="222"/>
      <c r="K942" s="222"/>
      <c r="L942" s="223"/>
      <c r="M942" s="222"/>
      <c r="N942" s="222"/>
      <c r="O942" s="222"/>
      <c r="P942" s="222"/>
      <c r="Q942" s="222"/>
      <c r="R942" s="222"/>
      <c r="S942" s="222"/>
      <c r="T942" s="222"/>
      <c r="U942" s="222"/>
      <c r="V942" s="222"/>
      <c r="W942" s="222"/>
      <c r="X942" s="222"/>
      <c r="Y942" s="222"/>
      <c r="Z942" s="222"/>
      <c r="AA942" s="222"/>
      <c r="AB942" s="222"/>
    </row>
    <row r="943" spans="1:28" ht="16">
      <c r="A943" s="222"/>
      <c r="B943" s="222"/>
      <c r="C943" s="222"/>
      <c r="D943" s="222"/>
      <c r="E943" s="222"/>
      <c r="F943" s="222"/>
      <c r="G943" s="222"/>
      <c r="H943" s="222"/>
      <c r="I943" s="222"/>
      <c r="J943" s="222"/>
      <c r="K943" s="222"/>
      <c r="L943" s="223"/>
      <c r="M943" s="222"/>
      <c r="N943" s="222"/>
      <c r="O943" s="222"/>
      <c r="P943" s="222"/>
      <c r="Q943" s="222"/>
      <c r="R943" s="222"/>
      <c r="S943" s="222"/>
      <c r="T943" s="222"/>
      <c r="U943" s="222"/>
      <c r="V943" s="222"/>
      <c r="W943" s="222"/>
      <c r="X943" s="222"/>
      <c r="Y943" s="222"/>
      <c r="Z943" s="222"/>
      <c r="AA943" s="222"/>
      <c r="AB943" s="222"/>
    </row>
    <row r="944" spans="1:28" ht="16">
      <c r="A944" s="222"/>
      <c r="B944" s="222"/>
      <c r="C944" s="222"/>
      <c r="D944" s="222"/>
      <c r="E944" s="222"/>
      <c r="F944" s="222"/>
      <c r="G944" s="222"/>
      <c r="H944" s="222"/>
      <c r="I944" s="222"/>
      <c r="J944" s="222"/>
      <c r="K944" s="222"/>
      <c r="L944" s="223"/>
      <c r="M944" s="222"/>
      <c r="N944" s="222"/>
      <c r="O944" s="222"/>
      <c r="P944" s="222"/>
      <c r="Q944" s="222"/>
      <c r="R944" s="222"/>
      <c r="S944" s="222"/>
      <c r="T944" s="222"/>
      <c r="U944" s="222"/>
      <c r="V944" s="222"/>
      <c r="W944" s="222"/>
      <c r="X944" s="222"/>
      <c r="Y944" s="222"/>
      <c r="Z944" s="222"/>
      <c r="AA944" s="222"/>
      <c r="AB944" s="222"/>
    </row>
    <row r="945" spans="1:28" ht="16">
      <c r="A945" s="222"/>
      <c r="B945" s="222"/>
      <c r="C945" s="222"/>
      <c r="D945" s="222"/>
      <c r="E945" s="222"/>
      <c r="F945" s="222"/>
      <c r="G945" s="222"/>
      <c r="H945" s="222"/>
      <c r="I945" s="222"/>
      <c r="J945" s="222"/>
      <c r="K945" s="222"/>
      <c r="L945" s="223"/>
      <c r="M945" s="222"/>
      <c r="N945" s="222"/>
      <c r="O945" s="222"/>
      <c r="P945" s="222"/>
      <c r="Q945" s="222"/>
      <c r="R945" s="222"/>
      <c r="S945" s="222"/>
      <c r="T945" s="222"/>
      <c r="U945" s="222"/>
      <c r="V945" s="222"/>
      <c r="W945" s="222"/>
      <c r="X945" s="222"/>
      <c r="Y945" s="222"/>
      <c r="Z945" s="222"/>
      <c r="AA945" s="222"/>
      <c r="AB945" s="222"/>
    </row>
    <row r="946" spans="1:28" ht="16">
      <c r="A946" s="222"/>
      <c r="B946" s="222"/>
      <c r="C946" s="222"/>
      <c r="D946" s="222"/>
      <c r="E946" s="222"/>
      <c r="F946" s="222"/>
      <c r="G946" s="222"/>
      <c r="H946" s="222"/>
      <c r="I946" s="222"/>
      <c r="J946" s="222"/>
      <c r="K946" s="222"/>
      <c r="L946" s="223"/>
      <c r="M946" s="222"/>
      <c r="N946" s="222"/>
      <c r="O946" s="222"/>
      <c r="P946" s="222"/>
      <c r="Q946" s="222"/>
      <c r="R946" s="222"/>
      <c r="S946" s="222"/>
      <c r="T946" s="222"/>
      <c r="U946" s="222"/>
      <c r="V946" s="222"/>
      <c r="W946" s="222"/>
      <c r="X946" s="222"/>
      <c r="Y946" s="222"/>
      <c r="Z946" s="222"/>
      <c r="AA946" s="222"/>
      <c r="AB946" s="222"/>
    </row>
    <row r="947" spans="1:28" ht="16">
      <c r="A947" s="222"/>
      <c r="B947" s="222"/>
      <c r="C947" s="222"/>
      <c r="D947" s="222"/>
      <c r="E947" s="222"/>
      <c r="F947" s="222"/>
      <c r="G947" s="222"/>
      <c r="H947" s="222"/>
      <c r="I947" s="222"/>
      <c r="J947" s="222"/>
      <c r="K947" s="222"/>
      <c r="L947" s="223"/>
      <c r="M947" s="222"/>
      <c r="N947" s="222"/>
      <c r="O947" s="222"/>
      <c r="P947" s="222"/>
      <c r="Q947" s="222"/>
      <c r="R947" s="222"/>
      <c r="S947" s="222"/>
      <c r="T947" s="222"/>
      <c r="U947" s="222"/>
      <c r="V947" s="222"/>
      <c r="W947" s="222"/>
      <c r="X947" s="222"/>
      <c r="Y947" s="222"/>
      <c r="Z947" s="222"/>
      <c r="AA947" s="222"/>
      <c r="AB947" s="222"/>
    </row>
    <row r="948" spans="1:28" ht="16">
      <c r="A948" s="222"/>
      <c r="B948" s="222"/>
      <c r="C948" s="222"/>
      <c r="D948" s="222"/>
      <c r="E948" s="222"/>
      <c r="F948" s="222"/>
      <c r="G948" s="222"/>
      <c r="H948" s="222"/>
      <c r="I948" s="222"/>
      <c r="J948" s="222"/>
      <c r="K948" s="222"/>
      <c r="L948" s="223"/>
      <c r="M948" s="222"/>
      <c r="N948" s="222"/>
      <c r="O948" s="222"/>
      <c r="P948" s="222"/>
      <c r="Q948" s="222"/>
      <c r="R948" s="222"/>
      <c r="S948" s="222"/>
      <c r="T948" s="222"/>
      <c r="U948" s="222"/>
      <c r="V948" s="222"/>
      <c r="W948" s="222"/>
      <c r="X948" s="222"/>
      <c r="Y948" s="222"/>
      <c r="Z948" s="222"/>
      <c r="AA948" s="222"/>
      <c r="AB948" s="222"/>
    </row>
    <row r="949" spans="1:28" ht="16">
      <c r="A949" s="222"/>
      <c r="B949" s="222"/>
      <c r="C949" s="222"/>
      <c r="D949" s="222"/>
      <c r="E949" s="222"/>
      <c r="F949" s="222"/>
      <c r="G949" s="222"/>
      <c r="H949" s="222"/>
      <c r="I949" s="222"/>
      <c r="J949" s="222"/>
      <c r="K949" s="222"/>
      <c r="L949" s="223"/>
      <c r="M949" s="222"/>
      <c r="N949" s="222"/>
      <c r="O949" s="222"/>
      <c r="P949" s="222"/>
      <c r="Q949" s="222"/>
      <c r="R949" s="222"/>
      <c r="S949" s="222"/>
      <c r="T949" s="222"/>
      <c r="U949" s="222"/>
      <c r="V949" s="222"/>
      <c r="W949" s="222"/>
      <c r="X949" s="222"/>
      <c r="Y949" s="222"/>
      <c r="Z949" s="222"/>
      <c r="AA949" s="222"/>
      <c r="AB949" s="222"/>
    </row>
    <row r="950" spans="1:28" ht="16">
      <c r="A950" s="222"/>
      <c r="B950" s="222"/>
      <c r="C950" s="222"/>
      <c r="D950" s="222"/>
      <c r="E950" s="222"/>
      <c r="F950" s="222"/>
      <c r="G950" s="222"/>
      <c r="H950" s="222"/>
      <c r="I950" s="222"/>
      <c r="J950" s="222"/>
      <c r="K950" s="222"/>
      <c r="L950" s="223"/>
      <c r="M950" s="222"/>
      <c r="N950" s="222"/>
      <c r="O950" s="222"/>
      <c r="P950" s="222"/>
      <c r="Q950" s="222"/>
      <c r="R950" s="222"/>
      <c r="S950" s="222"/>
      <c r="T950" s="222"/>
      <c r="U950" s="222"/>
      <c r="V950" s="222"/>
      <c r="W950" s="222"/>
      <c r="X950" s="222"/>
      <c r="Y950" s="222"/>
      <c r="Z950" s="222"/>
      <c r="AA950" s="222"/>
      <c r="AB950" s="222"/>
    </row>
    <row r="951" spans="1:28" ht="16">
      <c r="A951" s="222"/>
      <c r="B951" s="222"/>
      <c r="C951" s="222"/>
      <c r="D951" s="222"/>
      <c r="E951" s="222"/>
      <c r="F951" s="222"/>
      <c r="G951" s="222"/>
      <c r="H951" s="222"/>
      <c r="I951" s="222"/>
      <c r="J951" s="222"/>
      <c r="K951" s="222"/>
      <c r="L951" s="223"/>
      <c r="M951" s="222"/>
      <c r="N951" s="222"/>
      <c r="O951" s="222"/>
      <c r="P951" s="222"/>
      <c r="Q951" s="222"/>
      <c r="R951" s="222"/>
      <c r="S951" s="222"/>
      <c r="T951" s="222"/>
      <c r="U951" s="222"/>
      <c r="V951" s="222"/>
      <c r="W951" s="222"/>
      <c r="X951" s="222"/>
      <c r="Y951" s="222"/>
      <c r="Z951" s="222"/>
      <c r="AA951" s="222"/>
      <c r="AB951" s="222"/>
    </row>
    <row r="952" spans="1:28" ht="16">
      <c r="A952" s="222"/>
      <c r="B952" s="222"/>
      <c r="C952" s="222"/>
      <c r="D952" s="222"/>
      <c r="E952" s="222"/>
      <c r="F952" s="222"/>
      <c r="G952" s="222"/>
      <c r="H952" s="222"/>
      <c r="I952" s="222"/>
      <c r="J952" s="222"/>
      <c r="K952" s="222"/>
      <c r="L952" s="223"/>
      <c r="M952" s="222"/>
      <c r="N952" s="222"/>
      <c r="O952" s="222"/>
      <c r="P952" s="222"/>
      <c r="Q952" s="222"/>
      <c r="R952" s="222"/>
      <c r="S952" s="222"/>
      <c r="T952" s="222"/>
      <c r="U952" s="222"/>
      <c r="V952" s="222"/>
      <c r="W952" s="222"/>
      <c r="X952" s="222"/>
      <c r="Y952" s="222"/>
      <c r="Z952" s="222"/>
      <c r="AA952" s="222"/>
      <c r="AB952" s="222"/>
    </row>
    <row r="953" spans="1:28" ht="16">
      <c r="A953" s="222"/>
      <c r="B953" s="222"/>
      <c r="C953" s="222"/>
      <c r="D953" s="222"/>
      <c r="E953" s="222"/>
      <c r="F953" s="222"/>
      <c r="G953" s="222"/>
      <c r="H953" s="222"/>
      <c r="I953" s="222"/>
      <c r="J953" s="222"/>
      <c r="K953" s="222"/>
      <c r="L953" s="223"/>
      <c r="M953" s="222"/>
      <c r="N953" s="222"/>
      <c r="O953" s="222"/>
      <c r="P953" s="222"/>
      <c r="Q953" s="222"/>
      <c r="R953" s="222"/>
      <c r="S953" s="222"/>
      <c r="T953" s="222"/>
      <c r="U953" s="222"/>
      <c r="V953" s="222"/>
      <c r="W953" s="222"/>
      <c r="X953" s="222"/>
      <c r="Y953" s="222"/>
      <c r="Z953" s="222"/>
      <c r="AA953" s="222"/>
      <c r="AB953" s="222"/>
    </row>
    <row r="954" spans="1:28" ht="16">
      <c r="A954" s="222"/>
      <c r="B954" s="222"/>
      <c r="C954" s="222"/>
      <c r="D954" s="222"/>
      <c r="E954" s="222"/>
      <c r="F954" s="222"/>
      <c r="G954" s="222"/>
      <c r="H954" s="222"/>
      <c r="I954" s="222"/>
      <c r="J954" s="222"/>
      <c r="K954" s="222"/>
      <c r="L954" s="223"/>
      <c r="M954" s="222"/>
      <c r="N954" s="222"/>
      <c r="O954" s="222"/>
      <c r="P954" s="222"/>
      <c r="Q954" s="222"/>
      <c r="R954" s="222"/>
      <c r="S954" s="222"/>
      <c r="T954" s="222"/>
      <c r="U954" s="222"/>
      <c r="V954" s="222"/>
      <c r="W954" s="222"/>
      <c r="X954" s="222"/>
      <c r="Y954" s="222"/>
      <c r="Z954" s="222"/>
      <c r="AA954" s="222"/>
      <c r="AB954" s="222"/>
    </row>
    <row r="955" spans="1:28" ht="16">
      <c r="A955" s="222"/>
      <c r="B955" s="222"/>
      <c r="C955" s="222"/>
      <c r="D955" s="222"/>
      <c r="E955" s="222"/>
      <c r="F955" s="222"/>
      <c r="G955" s="222"/>
      <c r="H955" s="222"/>
      <c r="I955" s="222"/>
      <c r="J955" s="222"/>
      <c r="K955" s="222"/>
      <c r="L955" s="223"/>
      <c r="M955" s="222"/>
      <c r="N955" s="222"/>
      <c r="O955" s="222"/>
      <c r="P955" s="222"/>
      <c r="Q955" s="222"/>
      <c r="R955" s="222"/>
      <c r="S955" s="222"/>
      <c r="T955" s="222"/>
      <c r="U955" s="222"/>
      <c r="V955" s="222"/>
      <c r="W955" s="222"/>
      <c r="X955" s="222"/>
      <c r="Y955" s="222"/>
      <c r="Z955" s="222"/>
      <c r="AA955" s="222"/>
      <c r="AB955" s="222"/>
    </row>
    <row r="956" spans="1:28" ht="16">
      <c r="A956" s="222"/>
      <c r="B956" s="222"/>
      <c r="C956" s="222"/>
      <c r="D956" s="222"/>
      <c r="E956" s="222"/>
      <c r="F956" s="222"/>
      <c r="G956" s="222"/>
      <c r="H956" s="222"/>
      <c r="I956" s="222"/>
      <c r="J956" s="222"/>
      <c r="K956" s="222"/>
      <c r="L956" s="223"/>
      <c r="M956" s="222"/>
      <c r="N956" s="222"/>
      <c r="O956" s="222"/>
      <c r="P956" s="222"/>
      <c r="Q956" s="222"/>
      <c r="R956" s="222"/>
      <c r="S956" s="222"/>
      <c r="T956" s="222"/>
      <c r="U956" s="222"/>
      <c r="V956" s="222"/>
      <c r="W956" s="222"/>
      <c r="X956" s="222"/>
      <c r="Y956" s="222"/>
      <c r="Z956" s="222"/>
      <c r="AA956" s="222"/>
      <c r="AB956" s="222"/>
    </row>
    <row r="957" spans="1:28" ht="16">
      <c r="A957" s="222"/>
      <c r="B957" s="222"/>
      <c r="C957" s="222"/>
      <c r="D957" s="222"/>
      <c r="E957" s="222"/>
      <c r="F957" s="222"/>
      <c r="G957" s="222"/>
      <c r="H957" s="222"/>
      <c r="I957" s="222"/>
      <c r="J957" s="222"/>
      <c r="K957" s="222"/>
      <c r="L957" s="223"/>
      <c r="M957" s="222"/>
      <c r="N957" s="222"/>
      <c r="O957" s="222"/>
      <c r="P957" s="222"/>
      <c r="Q957" s="222"/>
      <c r="R957" s="222"/>
      <c r="S957" s="222"/>
      <c r="T957" s="222"/>
      <c r="U957" s="222"/>
      <c r="V957" s="222"/>
      <c r="W957" s="222"/>
      <c r="X957" s="222"/>
      <c r="Y957" s="222"/>
      <c r="Z957" s="222"/>
      <c r="AA957" s="222"/>
      <c r="AB957" s="222"/>
    </row>
    <row r="958" spans="1:28" ht="16">
      <c r="A958" s="222"/>
      <c r="B958" s="222"/>
      <c r="C958" s="222"/>
      <c r="D958" s="222"/>
      <c r="E958" s="222"/>
      <c r="F958" s="222"/>
      <c r="G958" s="222"/>
      <c r="H958" s="222"/>
      <c r="I958" s="222"/>
      <c r="J958" s="222"/>
      <c r="K958" s="222"/>
      <c r="L958" s="223"/>
      <c r="M958" s="222"/>
      <c r="N958" s="222"/>
      <c r="O958" s="222"/>
      <c r="P958" s="222"/>
      <c r="Q958" s="222"/>
      <c r="R958" s="222"/>
      <c r="S958" s="222"/>
      <c r="T958" s="222"/>
      <c r="U958" s="222"/>
      <c r="V958" s="222"/>
      <c r="W958" s="222"/>
      <c r="X958" s="222"/>
      <c r="Y958" s="222"/>
      <c r="Z958" s="222"/>
      <c r="AA958" s="222"/>
      <c r="AB958" s="222"/>
    </row>
    <row r="959" spans="1:28" ht="16">
      <c r="A959" s="222"/>
      <c r="B959" s="222"/>
      <c r="C959" s="222"/>
      <c r="D959" s="222"/>
      <c r="E959" s="222"/>
      <c r="F959" s="222"/>
      <c r="G959" s="222"/>
      <c r="H959" s="222"/>
      <c r="I959" s="222"/>
      <c r="J959" s="222"/>
      <c r="K959" s="222"/>
      <c r="L959" s="223"/>
      <c r="M959" s="222"/>
      <c r="N959" s="222"/>
      <c r="O959" s="222"/>
      <c r="P959" s="222"/>
      <c r="Q959" s="222"/>
      <c r="R959" s="222"/>
      <c r="S959" s="222"/>
      <c r="T959" s="222"/>
      <c r="U959" s="222"/>
      <c r="V959" s="222"/>
      <c r="W959" s="222"/>
      <c r="X959" s="222"/>
      <c r="Y959" s="222"/>
      <c r="Z959" s="222"/>
      <c r="AA959" s="222"/>
      <c r="AB959" s="222"/>
    </row>
    <row r="960" spans="1:28" ht="16">
      <c r="A960" s="222"/>
      <c r="B960" s="222"/>
      <c r="C960" s="222"/>
      <c r="D960" s="222"/>
      <c r="E960" s="222"/>
      <c r="F960" s="222"/>
      <c r="G960" s="222"/>
      <c r="H960" s="222"/>
      <c r="I960" s="222"/>
      <c r="J960" s="222"/>
      <c r="K960" s="222"/>
      <c r="L960" s="223"/>
      <c r="M960" s="222"/>
      <c r="N960" s="222"/>
      <c r="O960" s="222"/>
      <c r="P960" s="222"/>
      <c r="Q960" s="222"/>
      <c r="R960" s="222"/>
      <c r="S960" s="222"/>
      <c r="T960" s="222"/>
      <c r="U960" s="222"/>
      <c r="V960" s="222"/>
      <c r="W960" s="222"/>
      <c r="X960" s="222"/>
      <c r="Y960" s="222"/>
      <c r="Z960" s="222"/>
      <c r="AA960" s="222"/>
      <c r="AB960" s="222"/>
    </row>
    <row r="961" spans="1:28" ht="16">
      <c r="A961" s="222"/>
      <c r="B961" s="222"/>
      <c r="C961" s="222"/>
      <c r="D961" s="222"/>
      <c r="E961" s="222"/>
      <c r="F961" s="222"/>
      <c r="G961" s="222"/>
      <c r="H961" s="222"/>
      <c r="I961" s="222"/>
      <c r="J961" s="222"/>
      <c r="K961" s="222"/>
      <c r="L961" s="223"/>
      <c r="M961" s="222"/>
      <c r="N961" s="222"/>
      <c r="O961" s="222"/>
      <c r="P961" s="222"/>
      <c r="Q961" s="222"/>
      <c r="R961" s="222"/>
      <c r="S961" s="222"/>
      <c r="T961" s="222"/>
      <c r="U961" s="222"/>
      <c r="V961" s="222"/>
      <c r="W961" s="222"/>
      <c r="X961" s="222"/>
      <c r="Y961" s="222"/>
      <c r="Z961" s="222"/>
      <c r="AA961" s="222"/>
      <c r="AB961" s="222"/>
    </row>
    <row r="962" spans="1:28" ht="16">
      <c r="A962" s="222"/>
      <c r="B962" s="222"/>
      <c r="C962" s="222"/>
      <c r="D962" s="222"/>
      <c r="E962" s="222"/>
      <c r="F962" s="222"/>
      <c r="G962" s="222"/>
      <c r="H962" s="222"/>
      <c r="I962" s="222"/>
      <c r="J962" s="222"/>
      <c r="K962" s="222"/>
      <c r="L962" s="223"/>
      <c r="M962" s="222"/>
      <c r="N962" s="222"/>
      <c r="O962" s="222"/>
      <c r="P962" s="222"/>
      <c r="Q962" s="222"/>
      <c r="R962" s="222"/>
      <c r="S962" s="222"/>
      <c r="T962" s="222"/>
      <c r="U962" s="222"/>
      <c r="V962" s="222"/>
      <c r="W962" s="222"/>
      <c r="X962" s="222"/>
      <c r="Y962" s="222"/>
      <c r="Z962" s="222"/>
      <c r="AA962" s="222"/>
      <c r="AB962" s="222"/>
    </row>
    <row r="963" spans="1:28" ht="16">
      <c r="A963" s="222"/>
      <c r="B963" s="222"/>
      <c r="C963" s="222"/>
      <c r="D963" s="222"/>
      <c r="E963" s="222"/>
      <c r="F963" s="222"/>
      <c r="G963" s="222"/>
      <c r="H963" s="222"/>
      <c r="I963" s="222"/>
      <c r="J963" s="222"/>
      <c r="K963" s="222"/>
      <c r="L963" s="223"/>
      <c r="M963" s="222"/>
      <c r="N963" s="222"/>
      <c r="O963" s="222"/>
      <c r="P963" s="222"/>
      <c r="Q963" s="222"/>
      <c r="R963" s="222"/>
      <c r="S963" s="222"/>
      <c r="T963" s="222"/>
      <c r="U963" s="222"/>
      <c r="V963" s="222"/>
      <c r="W963" s="222"/>
      <c r="X963" s="222"/>
      <c r="Y963" s="222"/>
      <c r="Z963" s="222"/>
      <c r="AA963" s="222"/>
      <c r="AB963" s="222"/>
    </row>
    <row r="964" spans="1:28" ht="16">
      <c r="A964" s="222"/>
      <c r="B964" s="222"/>
      <c r="C964" s="222"/>
      <c r="D964" s="222"/>
      <c r="E964" s="222"/>
      <c r="F964" s="222"/>
      <c r="G964" s="222"/>
      <c r="H964" s="222"/>
      <c r="I964" s="222"/>
      <c r="J964" s="222"/>
      <c r="K964" s="222"/>
      <c r="L964" s="223"/>
      <c r="M964" s="222"/>
      <c r="N964" s="222"/>
      <c r="O964" s="222"/>
      <c r="P964" s="222"/>
      <c r="Q964" s="222"/>
      <c r="R964" s="222"/>
      <c r="S964" s="222"/>
      <c r="T964" s="222"/>
      <c r="U964" s="222"/>
      <c r="V964" s="222"/>
      <c r="W964" s="222"/>
      <c r="X964" s="222"/>
      <c r="Y964" s="222"/>
      <c r="Z964" s="222"/>
      <c r="AA964" s="222"/>
      <c r="AB964" s="222"/>
    </row>
    <row r="965" spans="1:28" ht="16">
      <c r="A965" s="222"/>
      <c r="B965" s="222"/>
      <c r="C965" s="222"/>
      <c r="D965" s="222"/>
      <c r="E965" s="222"/>
      <c r="F965" s="222"/>
      <c r="G965" s="222"/>
      <c r="H965" s="222"/>
      <c r="I965" s="222"/>
      <c r="J965" s="222"/>
      <c r="K965" s="222"/>
      <c r="L965" s="223"/>
      <c r="M965" s="222"/>
      <c r="N965" s="222"/>
      <c r="O965" s="222"/>
      <c r="P965" s="222"/>
      <c r="Q965" s="222"/>
      <c r="R965" s="222"/>
      <c r="S965" s="222"/>
      <c r="T965" s="222"/>
      <c r="U965" s="222"/>
      <c r="V965" s="222"/>
      <c r="W965" s="222"/>
      <c r="X965" s="222"/>
      <c r="Y965" s="222"/>
      <c r="Z965" s="222"/>
      <c r="AA965" s="222"/>
      <c r="AB965" s="222"/>
    </row>
    <row r="966" spans="1:28" ht="16">
      <c r="A966" s="222"/>
      <c r="B966" s="222"/>
      <c r="C966" s="222"/>
      <c r="D966" s="222"/>
      <c r="E966" s="222"/>
      <c r="F966" s="222"/>
      <c r="G966" s="222"/>
      <c r="H966" s="222"/>
      <c r="I966" s="222"/>
      <c r="J966" s="222"/>
      <c r="K966" s="222"/>
      <c r="L966" s="223"/>
      <c r="M966" s="222"/>
      <c r="N966" s="222"/>
      <c r="O966" s="222"/>
      <c r="P966" s="222"/>
      <c r="Q966" s="222"/>
      <c r="R966" s="222"/>
      <c r="S966" s="222"/>
      <c r="T966" s="222"/>
      <c r="U966" s="222"/>
      <c r="V966" s="222"/>
      <c r="W966" s="222"/>
      <c r="X966" s="222"/>
      <c r="Y966" s="222"/>
      <c r="Z966" s="222"/>
      <c r="AA966" s="222"/>
      <c r="AB966" s="222"/>
    </row>
    <row r="967" spans="1:28" ht="16">
      <c r="A967" s="222"/>
      <c r="B967" s="222"/>
      <c r="C967" s="222"/>
      <c r="D967" s="222"/>
      <c r="E967" s="222"/>
      <c r="F967" s="222"/>
      <c r="G967" s="222"/>
      <c r="H967" s="222"/>
      <c r="I967" s="222"/>
      <c r="J967" s="222"/>
      <c r="K967" s="222"/>
      <c r="L967" s="223"/>
      <c r="M967" s="222"/>
      <c r="N967" s="222"/>
      <c r="O967" s="222"/>
      <c r="P967" s="222"/>
      <c r="Q967" s="222"/>
      <c r="R967" s="222"/>
      <c r="S967" s="222"/>
      <c r="T967" s="222"/>
      <c r="U967" s="222"/>
      <c r="V967" s="222"/>
      <c r="W967" s="222"/>
      <c r="X967" s="222"/>
      <c r="Y967" s="222"/>
      <c r="Z967" s="222"/>
      <c r="AA967" s="222"/>
      <c r="AB967" s="222"/>
    </row>
    <row r="968" spans="1:28" ht="16">
      <c r="A968" s="222"/>
      <c r="B968" s="222"/>
      <c r="C968" s="222"/>
      <c r="D968" s="222"/>
      <c r="E968" s="222"/>
      <c r="F968" s="222"/>
      <c r="G968" s="222"/>
      <c r="H968" s="222"/>
      <c r="I968" s="222"/>
      <c r="J968" s="222"/>
      <c r="K968" s="222"/>
      <c r="L968" s="223"/>
      <c r="M968" s="222"/>
      <c r="N968" s="222"/>
      <c r="O968" s="222"/>
      <c r="P968" s="222"/>
      <c r="Q968" s="222"/>
      <c r="R968" s="222"/>
      <c r="S968" s="222"/>
      <c r="T968" s="222"/>
      <c r="U968" s="222"/>
      <c r="V968" s="222"/>
      <c r="W968" s="222"/>
      <c r="X968" s="222"/>
      <c r="Y968" s="222"/>
      <c r="Z968" s="222"/>
      <c r="AA968" s="222"/>
      <c r="AB968" s="222"/>
    </row>
    <row r="969" spans="1:28" ht="16">
      <c r="A969" s="222"/>
      <c r="B969" s="222"/>
      <c r="C969" s="222"/>
      <c r="D969" s="222"/>
      <c r="E969" s="222"/>
      <c r="F969" s="222"/>
      <c r="G969" s="222"/>
      <c r="H969" s="222"/>
      <c r="I969" s="222"/>
      <c r="J969" s="222"/>
      <c r="K969" s="222"/>
      <c r="L969" s="223"/>
      <c r="M969" s="222"/>
      <c r="N969" s="222"/>
      <c r="O969" s="222"/>
      <c r="P969" s="222"/>
      <c r="Q969" s="222"/>
      <c r="R969" s="222"/>
      <c r="S969" s="222"/>
      <c r="T969" s="222"/>
      <c r="U969" s="222"/>
      <c r="V969" s="222"/>
      <c r="W969" s="222"/>
      <c r="X969" s="222"/>
      <c r="Y969" s="222"/>
      <c r="Z969" s="222"/>
      <c r="AA969" s="222"/>
      <c r="AB969" s="222"/>
    </row>
    <row r="970" spans="1:28" ht="16">
      <c r="A970" s="222"/>
      <c r="B970" s="222"/>
      <c r="C970" s="222"/>
      <c r="D970" s="222"/>
      <c r="E970" s="222"/>
      <c r="F970" s="222"/>
      <c r="G970" s="222"/>
      <c r="H970" s="222"/>
      <c r="I970" s="222"/>
      <c r="J970" s="222"/>
      <c r="K970" s="222"/>
      <c r="L970" s="223"/>
      <c r="M970" s="222"/>
      <c r="N970" s="222"/>
      <c r="O970" s="222"/>
      <c r="P970" s="222"/>
      <c r="Q970" s="222"/>
      <c r="R970" s="222"/>
      <c r="S970" s="222"/>
      <c r="T970" s="222"/>
      <c r="U970" s="222"/>
      <c r="V970" s="222"/>
      <c r="W970" s="222"/>
      <c r="X970" s="222"/>
      <c r="Y970" s="222"/>
      <c r="Z970" s="222"/>
      <c r="AA970" s="222"/>
      <c r="AB970" s="222"/>
    </row>
    <row r="971" spans="1:28" ht="16">
      <c r="A971" s="222"/>
      <c r="B971" s="222"/>
      <c r="C971" s="222"/>
      <c r="D971" s="222"/>
      <c r="E971" s="222"/>
      <c r="F971" s="222"/>
      <c r="G971" s="222"/>
      <c r="H971" s="222"/>
      <c r="I971" s="222"/>
      <c r="J971" s="222"/>
      <c r="K971" s="222"/>
      <c r="L971" s="223"/>
      <c r="M971" s="222"/>
      <c r="N971" s="222"/>
      <c r="O971" s="222"/>
      <c r="P971" s="222"/>
      <c r="Q971" s="222"/>
      <c r="R971" s="222"/>
      <c r="S971" s="222"/>
      <c r="T971" s="222"/>
      <c r="U971" s="222"/>
      <c r="V971" s="222"/>
      <c r="W971" s="222"/>
      <c r="X971" s="222"/>
      <c r="Y971" s="222"/>
      <c r="Z971" s="222"/>
      <c r="AA971" s="222"/>
      <c r="AB971" s="222"/>
    </row>
    <row r="972" spans="1:28" ht="16">
      <c r="A972" s="222"/>
      <c r="B972" s="222"/>
      <c r="C972" s="222"/>
      <c r="D972" s="222"/>
      <c r="E972" s="222"/>
      <c r="F972" s="222"/>
      <c r="G972" s="222"/>
      <c r="H972" s="222"/>
      <c r="I972" s="222"/>
      <c r="J972" s="222"/>
      <c r="K972" s="222"/>
      <c r="L972" s="223"/>
      <c r="M972" s="222"/>
      <c r="N972" s="222"/>
      <c r="O972" s="222"/>
      <c r="P972" s="222"/>
      <c r="Q972" s="222"/>
      <c r="R972" s="222"/>
      <c r="S972" s="222"/>
      <c r="T972" s="222"/>
      <c r="U972" s="222"/>
      <c r="V972" s="222"/>
      <c r="W972" s="222"/>
      <c r="X972" s="222"/>
      <c r="Y972" s="222"/>
      <c r="Z972" s="222"/>
      <c r="AA972" s="222"/>
      <c r="AB972" s="222"/>
    </row>
    <row r="973" spans="1:28" ht="16">
      <c r="A973" s="222"/>
      <c r="B973" s="222"/>
      <c r="C973" s="222"/>
      <c r="D973" s="222"/>
      <c r="E973" s="222"/>
      <c r="F973" s="222"/>
      <c r="G973" s="222"/>
      <c r="H973" s="222"/>
      <c r="I973" s="222"/>
      <c r="J973" s="222"/>
      <c r="K973" s="222"/>
      <c r="L973" s="223"/>
      <c r="M973" s="222"/>
      <c r="N973" s="222"/>
      <c r="O973" s="222"/>
      <c r="P973" s="222"/>
      <c r="Q973" s="222"/>
      <c r="R973" s="222"/>
      <c r="S973" s="222"/>
      <c r="T973" s="222"/>
      <c r="U973" s="222"/>
      <c r="V973" s="222"/>
      <c r="W973" s="222"/>
      <c r="X973" s="222"/>
      <c r="Y973" s="222"/>
      <c r="Z973" s="222"/>
      <c r="AA973" s="222"/>
      <c r="AB973" s="222"/>
    </row>
    <row r="974" spans="1:28" ht="16">
      <c r="A974" s="222"/>
      <c r="B974" s="222"/>
      <c r="C974" s="222"/>
      <c r="D974" s="222"/>
      <c r="E974" s="222"/>
      <c r="F974" s="222"/>
      <c r="G974" s="222"/>
      <c r="H974" s="222"/>
      <c r="I974" s="222"/>
      <c r="J974" s="222"/>
      <c r="K974" s="222"/>
      <c r="L974" s="223"/>
      <c r="M974" s="222"/>
      <c r="N974" s="222"/>
      <c r="O974" s="222"/>
      <c r="P974" s="222"/>
      <c r="Q974" s="222"/>
      <c r="R974" s="222"/>
      <c r="S974" s="222"/>
      <c r="T974" s="222"/>
      <c r="U974" s="222"/>
      <c r="V974" s="222"/>
      <c r="W974" s="222"/>
      <c r="X974" s="222"/>
      <c r="Y974" s="222"/>
      <c r="Z974" s="222"/>
      <c r="AA974" s="222"/>
      <c r="AB974" s="222"/>
    </row>
    <row r="975" spans="1:28" ht="16">
      <c r="A975" s="222"/>
      <c r="B975" s="222"/>
      <c r="C975" s="222"/>
      <c r="D975" s="222"/>
      <c r="E975" s="222"/>
      <c r="F975" s="222"/>
      <c r="G975" s="222"/>
      <c r="H975" s="222"/>
      <c r="I975" s="222"/>
      <c r="J975" s="222"/>
      <c r="K975" s="222"/>
      <c r="L975" s="223"/>
      <c r="M975" s="222"/>
      <c r="N975" s="222"/>
      <c r="O975" s="222"/>
      <c r="P975" s="222"/>
      <c r="Q975" s="222"/>
      <c r="R975" s="222"/>
      <c r="S975" s="222"/>
      <c r="T975" s="222"/>
      <c r="U975" s="222"/>
      <c r="V975" s="222"/>
      <c r="W975" s="222"/>
      <c r="X975" s="222"/>
      <c r="Y975" s="222"/>
      <c r="Z975" s="222"/>
      <c r="AA975" s="222"/>
      <c r="AB975" s="222"/>
    </row>
    <row r="976" spans="1:28" ht="16">
      <c r="A976" s="222"/>
      <c r="B976" s="222"/>
      <c r="C976" s="222"/>
      <c r="D976" s="222"/>
      <c r="E976" s="222"/>
      <c r="F976" s="222"/>
      <c r="G976" s="222"/>
      <c r="H976" s="222"/>
      <c r="I976" s="222"/>
      <c r="J976" s="222"/>
      <c r="K976" s="222"/>
      <c r="L976" s="223"/>
      <c r="M976" s="222"/>
      <c r="N976" s="222"/>
      <c r="O976" s="222"/>
      <c r="P976" s="222"/>
      <c r="Q976" s="222"/>
      <c r="R976" s="222"/>
      <c r="S976" s="222"/>
      <c r="T976" s="222"/>
      <c r="U976" s="222"/>
      <c r="V976" s="222"/>
      <c r="W976" s="222"/>
      <c r="X976" s="222"/>
      <c r="Y976" s="222"/>
      <c r="Z976" s="222"/>
      <c r="AA976" s="222"/>
      <c r="AB976" s="222"/>
    </row>
    <row r="977" spans="1:28" ht="16">
      <c r="A977" s="222"/>
      <c r="B977" s="222"/>
      <c r="C977" s="222"/>
      <c r="D977" s="222"/>
      <c r="E977" s="222"/>
      <c r="F977" s="222"/>
      <c r="G977" s="222"/>
      <c r="H977" s="222"/>
      <c r="I977" s="222"/>
      <c r="J977" s="222"/>
      <c r="K977" s="222"/>
      <c r="L977" s="223"/>
      <c r="M977" s="222"/>
      <c r="N977" s="222"/>
      <c r="O977" s="222"/>
      <c r="P977" s="222"/>
      <c r="Q977" s="222"/>
      <c r="R977" s="222"/>
      <c r="S977" s="222"/>
      <c r="T977" s="222"/>
      <c r="U977" s="222"/>
      <c r="V977" s="222"/>
      <c r="W977" s="222"/>
      <c r="X977" s="222"/>
      <c r="Y977" s="222"/>
      <c r="Z977" s="222"/>
      <c r="AA977" s="222"/>
      <c r="AB977" s="222"/>
    </row>
    <row r="978" spans="1:28" ht="16">
      <c r="A978" s="222"/>
      <c r="B978" s="222"/>
      <c r="C978" s="222"/>
      <c r="D978" s="222"/>
      <c r="E978" s="222"/>
      <c r="F978" s="222"/>
      <c r="G978" s="222"/>
      <c r="H978" s="222"/>
      <c r="I978" s="222"/>
      <c r="J978" s="222"/>
      <c r="K978" s="222"/>
      <c r="L978" s="223"/>
      <c r="M978" s="222"/>
      <c r="N978" s="222"/>
      <c r="O978" s="222"/>
      <c r="P978" s="222"/>
      <c r="Q978" s="222"/>
      <c r="R978" s="222"/>
      <c r="S978" s="222"/>
      <c r="T978" s="222"/>
      <c r="U978" s="222"/>
      <c r="V978" s="222"/>
      <c r="W978" s="222"/>
      <c r="X978" s="222"/>
      <c r="Y978" s="222"/>
      <c r="Z978" s="222"/>
      <c r="AA978" s="222"/>
      <c r="AB978" s="222"/>
    </row>
    <row r="979" spans="1:28" ht="16">
      <c r="A979" s="222"/>
      <c r="B979" s="222"/>
      <c r="C979" s="222"/>
      <c r="D979" s="222"/>
      <c r="E979" s="222"/>
      <c r="F979" s="222"/>
      <c r="G979" s="222"/>
      <c r="H979" s="222"/>
      <c r="I979" s="222"/>
      <c r="J979" s="222"/>
      <c r="K979" s="222"/>
      <c r="L979" s="223"/>
      <c r="M979" s="222"/>
      <c r="N979" s="222"/>
      <c r="O979" s="222"/>
      <c r="P979" s="222"/>
      <c r="Q979" s="222"/>
      <c r="R979" s="222"/>
      <c r="S979" s="222"/>
      <c r="T979" s="222"/>
      <c r="U979" s="222"/>
      <c r="V979" s="222"/>
      <c r="W979" s="222"/>
      <c r="X979" s="222"/>
      <c r="Y979" s="222"/>
      <c r="Z979" s="222"/>
      <c r="AA979" s="222"/>
      <c r="AB979" s="222"/>
    </row>
    <row r="980" spans="1:28" ht="16">
      <c r="A980" s="222"/>
      <c r="B980" s="222"/>
      <c r="C980" s="222"/>
      <c r="D980" s="222"/>
      <c r="E980" s="222"/>
      <c r="F980" s="222"/>
      <c r="G980" s="222"/>
      <c r="H980" s="222"/>
      <c r="I980" s="222"/>
      <c r="J980" s="222"/>
      <c r="K980" s="222"/>
      <c r="L980" s="223"/>
      <c r="M980" s="222"/>
      <c r="N980" s="222"/>
      <c r="O980" s="222"/>
      <c r="P980" s="222"/>
      <c r="Q980" s="222"/>
      <c r="R980" s="222"/>
      <c r="S980" s="222"/>
      <c r="T980" s="222"/>
      <c r="U980" s="222"/>
      <c r="V980" s="222"/>
      <c r="W980" s="222"/>
      <c r="X980" s="222"/>
      <c r="Y980" s="222"/>
      <c r="Z980" s="222"/>
      <c r="AA980" s="222"/>
      <c r="AB980" s="222"/>
    </row>
    <row r="981" spans="1:28" ht="16">
      <c r="A981" s="222"/>
      <c r="B981" s="222"/>
      <c r="C981" s="222"/>
      <c r="D981" s="222"/>
      <c r="E981" s="222"/>
      <c r="F981" s="222"/>
      <c r="G981" s="222"/>
      <c r="H981" s="222"/>
      <c r="I981" s="222"/>
      <c r="J981" s="222"/>
      <c r="K981" s="222"/>
      <c r="L981" s="223"/>
      <c r="M981" s="222"/>
      <c r="N981" s="222"/>
      <c r="O981" s="222"/>
      <c r="P981" s="222"/>
      <c r="Q981" s="222"/>
      <c r="R981" s="222"/>
      <c r="S981" s="222"/>
      <c r="T981" s="222"/>
      <c r="U981" s="222"/>
      <c r="V981" s="222"/>
      <c r="W981" s="222"/>
      <c r="X981" s="222"/>
      <c r="Y981" s="222"/>
      <c r="Z981" s="222"/>
      <c r="AA981" s="222"/>
      <c r="AB981" s="222"/>
    </row>
    <row r="982" spans="1:28" ht="16">
      <c r="A982" s="222"/>
      <c r="B982" s="222"/>
      <c r="C982" s="222"/>
      <c r="D982" s="222"/>
      <c r="E982" s="222"/>
      <c r="F982" s="222"/>
      <c r="G982" s="222"/>
      <c r="H982" s="222"/>
      <c r="I982" s="222"/>
      <c r="J982" s="222"/>
      <c r="K982" s="222"/>
      <c r="L982" s="223"/>
      <c r="M982" s="222"/>
      <c r="N982" s="222"/>
      <c r="O982" s="222"/>
      <c r="P982" s="222"/>
      <c r="Q982" s="222"/>
      <c r="R982" s="222"/>
      <c r="S982" s="222"/>
      <c r="T982" s="222"/>
      <c r="U982" s="222"/>
      <c r="V982" s="222"/>
      <c r="W982" s="222"/>
      <c r="X982" s="222"/>
      <c r="Y982" s="222"/>
      <c r="Z982" s="222"/>
      <c r="AA982" s="222"/>
      <c r="AB982" s="222"/>
    </row>
    <row r="983" spans="1:28" ht="16">
      <c r="A983" s="222"/>
      <c r="B983" s="222"/>
      <c r="C983" s="222"/>
      <c r="D983" s="222"/>
      <c r="E983" s="222"/>
      <c r="F983" s="222"/>
      <c r="G983" s="222"/>
      <c r="H983" s="222"/>
      <c r="I983" s="222"/>
      <c r="J983" s="222"/>
      <c r="K983" s="222"/>
      <c r="L983" s="223"/>
      <c r="M983" s="222"/>
      <c r="N983" s="222"/>
      <c r="O983" s="222"/>
      <c r="P983" s="222"/>
      <c r="Q983" s="222"/>
      <c r="R983" s="222"/>
      <c r="S983" s="222"/>
      <c r="T983" s="222"/>
      <c r="U983" s="222"/>
      <c r="V983" s="222"/>
      <c r="W983" s="222"/>
      <c r="X983" s="222"/>
      <c r="Y983" s="222"/>
      <c r="Z983" s="222"/>
      <c r="AA983" s="222"/>
      <c r="AB983" s="222"/>
    </row>
    <row r="984" spans="1:28" ht="16">
      <c r="A984" s="222"/>
      <c r="B984" s="222"/>
      <c r="C984" s="222"/>
      <c r="D984" s="222"/>
      <c r="E984" s="222"/>
      <c r="F984" s="222"/>
      <c r="G984" s="222"/>
      <c r="H984" s="222"/>
      <c r="I984" s="222"/>
      <c r="J984" s="222"/>
      <c r="K984" s="222"/>
      <c r="L984" s="223"/>
      <c r="M984" s="222"/>
      <c r="N984" s="222"/>
      <c r="O984" s="222"/>
      <c r="P984" s="222"/>
      <c r="Q984" s="222"/>
      <c r="R984" s="222"/>
      <c r="S984" s="222"/>
      <c r="T984" s="222"/>
      <c r="U984" s="222"/>
      <c r="V984" s="222"/>
      <c r="W984" s="222"/>
      <c r="X984" s="222"/>
      <c r="Y984" s="222"/>
      <c r="Z984" s="222"/>
      <c r="AA984" s="222"/>
      <c r="AB984" s="222"/>
    </row>
    <row r="985" spans="1:28" ht="16">
      <c r="A985" s="222"/>
      <c r="B985" s="222"/>
      <c r="C985" s="222"/>
      <c r="D985" s="222"/>
      <c r="E985" s="222"/>
      <c r="F985" s="222"/>
      <c r="G985" s="222"/>
      <c r="H985" s="222"/>
      <c r="I985" s="222"/>
      <c r="J985" s="222"/>
      <c r="K985" s="222"/>
      <c r="L985" s="223"/>
      <c r="M985" s="222"/>
      <c r="N985" s="222"/>
      <c r="O985" s="222"/>
      <c r="P985" s="222"/>
      <c r="Q985" s="222"/>
      <c r="R985" s="222"/>
      <c r="S985" s="222"/>
      <c r="T985" s="222"/>
      <c r="U985" s="222"/>
      <c r="V985" s="222"/>
      <c r="W985" s="222"/>
      <c r="X985" s="222"/>
      <c r="Y985" s="222"/>
      <c r="Z985" s="222"/>
      <c r="AA985" s="222"/>
      <c r="AB985" s="222"/>
    </row>
    <row r="986" spans="1:28" ht="16">
      <c r="A986" s="222"/>
      <c r="B986" s="222"/>
      <c r="C986" s="222"/>
      <c r="D986" s="222"/>
      <c r="E986" s="222"/>
      <c r="F986" s="222"/>
      <c r="G986" s="222"/>
      <c r="H986" s="222"/>
      <c r="I986" s="222"/>
      <c r="J986" s="222"/>
      <c r="K986" s="222"/>
      <c r="L986" s="223"/>
      <c r="M986" s="222"/>
      <c r="N986" s="222"/>
      <c r="O986" s="222"/>
      <c r="P986" s="222"/>
      <c r="Q986" s="222"/>
      <c r="R986" s="222"/>
      <c r="S986" s="222"/>
      <c r="T986" s="222"/>
      <c r="U986" s="222"/>
      <c r="V986" s="222"/>
      <c r="W986" s="222"/>
      <c r="X986" s="222"/>
      <c r="Y986" s="222"/>
      <c r="Z986" s="222"/>
      <c r="AA986" s="222"/>
      <c r="AB986" s="222"/>
    </row>
    <row r="987" spans="1:28" ht="16">
      <c r="A987" s="222"/>
      <c r="B987" s="222"/>
      <c r="C987" s="222"/>
      <c r="D987" s="222"/>
      <c r="E987" s="222"/>
      <c r="F987" s="222"/>
      <c r="G987" s="222"/>
      <c r="H987" s="222"/>
      <c r="I987" s="222"/>
      <c r="J987" s="222"/>
      <c r="K987" s="222"/>
      <c r="L987" s="223"/>
      <c r="M987" s="222"/>
      <c r="N987" s="222"/>
      <c r="O987" s="222"/>
      <c r="P987" s="222"/>
      <c r="Q987" s="222"/>
      <c r="R987" s="222"/>
      <c r="S987" s="222"/>
      <c r="T987" s="222"/>
      <c r="U987" s="222"/>
      <c r="V987" s="222"/>
      <c r="W987" s="222"/>
      <c r="X987" s="222"/>
      <c r="Y987" s="222"/>
      <c r="Z987" s="222"/>
      <c r="AA987" s="222"/>
      <c r="AB987" s="222"/>
    </row>
    <row r="988" spans="1:28" ht="16">
      <c r="A988" s="222"/>
      <c r="B988" s="222"/>
      <c r="C988" s="222"/>
      <c r="D988" s="222"/>
      <c r="E988" s="222"/>
      <c r="F988" s="222"/>
      <c r="G988" s="222"/>
      <c r="H988" s="222"/>
      <c r="I988" s="222"/>
      <c r="J988" s="222"/>
      <c r="K988" s="222"/>
      <c r="L988" s="223"/>
      <c r="M988" s="222"/>
      <c r="N988" s="222"/>
      <c r="O988" s="222"/>
      <c r="P988" s="222"/>
      <c r="Q988" s="222"/>
      <c r="R988" s="222"/>
      <c r="S988" s="222"/>
      <c r="T988" s="222"/>
      <c r="U988" s="222"/>
      <c r="V988" s="222"/>
      <c r="W988" s="222"/>
      <c r="X988" s="222"/>
      <c r="Y988" s="222"/>
      <c r="Z988" s="222"/>
      <c r="AA988" s="222"/>
      <c r="AB988" s="222"/>
    </row>
    <row r="989" spans="1:28" ht="16">
      <c r="A989" s="222"/>
      <c r="B989" s="222"/>
      <c r="C989" s="222"/>
      <c r="D989" s="222"/>
      <c r="E989" s="222"/>
      <c r="F989" s="222"/>
      <c r="G989" s="222"/>
      <c r="H989" s="222"/>
      <c r="I989" s="222"/>
      <c r="J989" s="222"/>
      <c r="K989" s="222"/>
      <c r="L989" s="223"/>
      <c r="M989" s="222"/>
      <c r="N989" s="222"/>
      <c r="O989" s="222"/>
      <c r="P989" s="222"/>
      <c r="Q989" s="222"/>
      <c r="R989" s="222"/>
      <c r="S989" s="222"/>
      <c r="T989" s="222"/>
      <c r="U989" s="222"/>
      <c r="V989" s="222"/>
      <c r="W989" s="222"/>
      <c r="X989" s="222"/>
      <c r="Y989" s="222"/>
      <c r="Z989" s="222"/>
      <c r="AA989" s="222"/>
      <c r="AB989" s="222"/>
    </row>
    <row r="990" spans="1:28" ht="16">
      <c r="A990" s="222"/>
      <c r="B990" s="222"/>
      <c r="C990" s="222"/>
      <c r="D990" s="222"/>
      <c r="E990" s="222"/>
      <c r="F990" s="222"/>
      <c r="G990" s="222"/>
      <c r="H990" s="222"/>
      <c r="I990" s="222"/>
      <c r="J990" s="222"/>
      <c r="K990" s="222"/>
      <c r="L990" s="223"/>
      <c r="M990" s="222"/>
      <c r="N990" s="222"/>
      <c r="O990" s="222"/>
      <c r="P990" s="222"/>
      <c r="Q990" s="222"/>
      <c r="R990" s="222"/>
      <c r="S990" s="222"/>
      <c r="T990" s="222"/>
      <c r="U990" s="222"/>
      <c r="V990" s="222"/>
      <c r="W990" s="222"/>
      <c r="X990" s="222"/>
      <c r="Y990" s="222"/>
      <c r="Z990" s="222"/>
      <c r="AA990" s="222"/>
      <c r="AB990" s="222"/>
    </row>
    <row r="991" spans="1:28" ht="16">
      <c r="A991" s="222"/>
      <c r="B991" s="222"/>
      <c r="C991" s="222"/>
      <c r="D991" s="222"/>
      <c r="E991" s="222"/>
      <c r="F991" s="222"/>
      <c r="G991" s="222"/>
      <c r="H991" s="222"/>
      <c r="I991" s="222"/>
      <c r="J991" s="222"/>
      <c r="K991" s="222"/>
      <c r="L991" s="223"/>
      <c r="M991" s="222"/>
      <c r="N991" s="222"/>
      <c r="O991" s="222"/>
      <c r="P991" s="222"/>
      <c r="Q991" s="222"/>
      <c r="R991" s="222"/>
      <c r="S991" s="222"/>
      <c r="T991" s="222"/>
      <c r="U991" s="222"/>
      <c r="V991" s="222"/>
      <c r="W991" s="222"/>
      <c r="X991" s="222"/>
      <c r="Y991" s="222"/>
      <c r="Z991" s="222"/>
      <c r="AA991" s="222"/>
      <c r="AB991" s="222"/>
    </row>
    <row r="992" spans="1:28" ht="16">
      <c r="A992" s="222"/>
      <c r="B992" s="222"/>
      <c r="C992" s="222"/>
      <c r="D992" s="222"/>
      <c r="E992" s="222"/>
      <c r="F992" s="222"/>
      <c r="G992" s="222"/>
      <c r="H992" s="222"/>
      <c r="I992" s="222"/>
      <c r="J992" s="222"/>
      <c r="K992" s="222"/>
      <c r="L992" s="223"/>
      <c r="M992" s="222"/>
      <c r="N992" s="222"/>
      <c r="O992" s="222"/>
      <c r="P992" s="222"/>
      <c r="Q992" s="222"/>
      <c r="R992" s="222"/>
      <c r="S992" s="222"/>
      <c r="T992" s="222"/>
      <c r="U992" s="222"/>
      <c r="V992" s="222"/>
      <c r="W992" s="222"/>
      <c r="X992" s="222"/>
      <c r="Y992" s="222"/>
      <c r="Z992" s="222"/>
      <c r="AA992" s="222"/>
      <c r="AB992" s="222"/>
    </row>
    <row r="993" spans="1:28" ht="16">
      <c r="A993" s="222"/>
      <c r="B993" s="222"/>
      <c r="C993" s="222"/>
      <c r="D993" s="222"/>
      <c r="E993" s="222"/>
      <c r="F993" s="222"/>
      <c r="G993" s="222"/>
      <c r="H993" s="222"/>
      <c r="I993" s="222"/>
      <c r="J993" s="222"/>
      <c r="K993" s="222"/>
      <c r="L993" s="223"/>
      <c r="M993" s="222"/>
      <c r="N993" s="222"/>
      <c r="O993" s="222"/>
      <c r="P993" s="222"/>
      <c r="Q993" s="222"/>
      <c r="R993" s="222"/>
      <c r="S993" s="222"/>
      <c r="T993" s="222"/>
      <c r="U993" s="222"/>
      <c r="V993" s="222"/>
      <c r="W993" s="222"/>
      <c r="X993" s="222"/>
      <c r="Y993" s="222"/>
      <c r="Z993" s="222"/>
      <c r="AA993" s="222"/>
      <c r="AB993" s="222"/>
    </row>
    <row r="994" spans="1:28" ht="16">
      <c r="A994" s="222"/>
      <c r="B994" s="222"/>
      <c r="C994" s="222"/>
      <c r="D994" s="222"/>
      <c r="E994" s="222"/>
      <c r="F994" s="222"/>
      <c r="G994" s="222"/>
      <c r="H994" s="222"/>
      <c r="I994" s="222"/>
      <c r="J994" s="222"/>
      <c r="K994" s="222"/>
      <c r="L994" s="223"/>
      <c r="M994" s="222"/>
      <c r="N994" s="222"/>
      <c r="O994" s="222"/>
      <c r="P994" s="222"/>
      <c r="Q994" s="222"/>
      <c r="R994" s="222"/>
      <c r="S994" s="222"/>
      <c r="T994" s="222"/>
      <c r="U994" s="222"/>
      <c r="V994" s="222"/>
      <c r="W994" s="222"/>
      <c r="X994" s="222"/>
      <c r="Y994" s="222"/>
      <c r="Z994" s="222"/>
      <c r="AA994" s="222"/>
      <c r="AB994" s="222"/>
    </row>
    <row r="995" spans="1:28" ht="16">
      <c r="A995" s="222"/>
      <c r="B995" s="222"/>
      <c r="C995" s="222"/>
      <c r="D995" s="222"/>
      <c r="E995" s="222"/>
      <c r="F995" s="222"/>
      <c r="G995" s="222"/>
      <c r="H995" s="222"/>
      <c r="I995" s="222"/>
      <c r="J995" s="222"/>
      <c r="K995" s="222"/>
      <c r="L995" s="223"/>
      <c r="M995" s="222"/>
      <c r="N995" s="222"/>
      <c r="O995" s="222"/>
      <c r="P995" s="222"/>
      <c r="Q995" s="222"/>
      <c r="R995" s="222"/>
      <c r="S995" s="222"/>
      <c r="T995" s="222"/>
      <c r="U995" s="222"/>
      <c r="V995" s="222"/>
      <c r="W995" s="222"/>
      <c r="X995" s="222"/>
      <c r="Y995" s="222"/>
      <c r="Z995" s="222"/>
      <c r="AA995" s="222"/>
      <c r="AB995" s="222"/>
    </row>
    <row r="996" spans="1:28" ht="16">
      <c r="A996" s="222"/>
      <c r="B996" s="222"/>
      <c r="C996" s="222"/>
      <c r="D996" s="222"/>
      <c r="E996" s="222"/>
      <c r="F996" s="222"/>
      <c r="G996" s="222"/>
      <c r="H996" s="222"/>
      <c r="I996" s="222"/>
      <c r="J996" s="222"/>
      <c r="K996" s="222"/>
      <c r="L996" s="223"/>
      <c r="M996" s="222"/>
      <c r="N996" s="222"/>
      <c r="O996" s="222"/>
      <c r="P996" s="222"/>
      <c r="Q996" s="222"/>
      <c r="R996" s="222"/>
      <c r="S996" s="222"/>
      <c r="T996" s="222"/>
      <c r="U996" s="222"/>
      <c r="V996" s="222"/>
      <c r="W996" s="222"/>
      <c r="X996" s="222"/>
      <c r="Y996" s="222"/>
      <c r="Z996" s="222"/>
      <c r="AA996" s="222"/>
      <c r="AB996" s="222"/>
    </row>
    <row r="997" spans="1:28" ht="16">
      <c r="A997" s="222"/>
      <c r="B997" s="222"/>
      <c r="C997" s="222"/>
      <c r="D997" s="222"/>
      <c r="E997" s="222"/>
      <c r="F997" s="222"/>
      <c r="G997" s="222"/>
      <c r="H997" s="222"/>
      <c r="I997" s="222"/>
      <c r="J997" s="222"/>
      <c r="K997" s="222"/>
      <c r="L997" s="223"/>
      <c r="M997" s="222"/>
      <c r="N997" s="222"/>
      <c r="O997" s="222"/>
      <c r="P997" s="222"/>
      <c r="Q997" s="222"/>
      <c r="R997" s="222"/>
      <c r="S997" s="222"/>
      <c r="T997" s="222"/>
      <c r="U997" s="222"/>
      <c r="V997" s="222"/>
      <c r="W997" s="222"/>
      <c r="X997" s="222"/>
      <c r="Y997" s="222"/>
      <c r="Z997" s="222"/>
      <c r="AA997" s="222"/>
      <c r="AB997" s="222"/>
    </row>
    <row r="998" spans="1:28" ht="16">
      <c r="A998" s="222"/>
      <c r="B998" s="222"/>
      <c r="C998" s="222"/>
      <c r="D998" s="222"/>
      <c r="E998" s="222"/>
      <c r="F998" s="222"/>
      <c r="G998" s="222"/>
      <c r="H998" s="222"/>
      <c r="I998" s="222"/>
      <c r="J998" s="222"/>
      <c r="K998" s="222"/>
      <c r="L998" s="223"/>
      <c r="M998" s="222"/>
      <c r="N998" s="222"/>
      <c r="O998" s="222"/>
      <c r="P998" s="222"/>
      <c r="Q998" s="222"/>
      <c r="R998" s="222"/>
      <c r="S998" s="222"/>
      <c r="T998" s="222"/>
      <c r="U998" s="222"/>
      <c r="V998" s="222"/>
      <c r="W998" s="222"/>
      <c r="X998" s="222"/>
      <c r="Y998" s="222"/>
      <c r="Z998" s="222"/>
      <c r="AA998" s="222"/>
      <c r="AB998" s="222"/>
    </row>
    <row r="999" spans="1:28" ht="16">
      <c r="A999" s="222"/>
      <c r="B999" s="222"/>
      <c r="C999" s="222"/>
      <c r="D999" s="222"/>
      <c r="E999" s="222"/>
      <c r="F999" s="222"/>
      <c r="G999" s="222"/>
      <c r="H999" s="222"/>
      <c r="I999" s="222"/>
      <c r="J999" s="222"/>
      <c r="K999" s="222"/>
      <c r="L999" s="223"/>
      <c r="M999" s="222"/>
      <c r="N999" s="222"/>
      <c r="O999" s="222"/>
      <c r="P999" s="222"/>
      <c r="Q999" s="222"/>
      <c r="R999" s="222"/>
      <c r="S999" s="222"/>
      <c r="T999" s="222"/>
      <c r="U999" s="222"/>
      <c r="V999" s="222"/>
      <c r="W999" s="222"/>
      <c r="X999" s="222"/>
      <c r="Y999" s="222"/>
      <c r="Z999" s="222"/>
      <c r="AA999" s="222"/>
      <c r="AB999" s="222"/>
    </row>
    <row r="1000" spans="1:28" ht="16">
      <c r="A1000" s="222"/>
      <c r="B1000" s="222"/>
      <c r="C1000" s="222"/>
      <c r="D1000" s="222"/>
      <c r="E1000" s="222"/>
      <c r="F1000" s="222"/>
      <c r="G1000" s="222"/>
      <c r="H1000" s="222"/>
      <c r="I1000" s="222"/>
      <c r="J1000" s="222"/>
      <c r="K1000" s="222"/>
      <c r="L1000" s="223"/>
      <c r="M1000" s="222"/>
      <c r="N1000" s="222"/>
      <c r="O1000" s="222"/>
      <c r="P1000" s="222"/>
      <c r="Q1000" s="222"/>
      <c r="R1000" s="222"/>
      <c r="S1000" s="222"/>
      <c r="T1000" s="222"/>
      <c r="U1000" s="222"/>
      <c r="V1000" s="222"/>
      <c r="W1000" s="222"/>
      <c r="X1000" s="222"/>
      <c r="Y1000" s="222"/>
      <c r="Z1000" s="222"/>
      <c r="AA1000" s="222"/>
      <c r="AB1000" s="222"/>
    </row>
    <row r="1001" spans="1:28" ht="16">
      <c r="A1001" s="222"/>
      <c r="B1001" s="222"/>
      <c r="C1001" s="222"/>
      <c r="D1001" s="222"/>
      <c r="E1001" s="222"/>
      <c r="F1001" s="222"/>
      <c r="G1001" s="222"/>
      <c r="H1001" s="222"/>
      <c r="I1001" s="222"/>
      <c r="J1001" s="222"/>
      <c r="K1001" s="222"/>
      <c r="L1001" s="223"/>
      <c r="M1001" s="222"/>
      <c r="N1001" s="222"/>
      <c r="O1001" s="222"/>
      <c r="P1001" s="222"/>
      <c r="Q1001" s="222"/>
      <c r="R1001" s="222"/>
      <c r="S1001" s="222"/>
      <c r="T1001" s="222"/>
      <c r="U1001" s="222"/>
      <c r="V1001" s="222"/>
      <c r="W1001" s="222"/>
      <c r="X1001" s="222"/>
      <c r="Y1001" s="222"/>
      <c r="Z1001" s="222"/>
      <c r="AA1001" s="222"/>
      <c r="AB1001" s="222"/>
    </row>
    <row r="1002" spans="1:28" ht="16">
      <c r="A1002" s="222"/>
      <c r="B1002" s="222"/>
      <c r="C1002" s="222"/>
      <c r="D1002" s="222"/>
      <c r="E1002" s="222"/>
      <c r="F1002" s="222"/>
      <c r="G1002" s="222"/>
      <c r="H1002" s="222"/>
      <c r="I1002" s="222"/>
      <c r="J1002" s="222"/>
      <c r="K1002" s="222"/>
      <c r="L1002" s="223"/>
      <c r="M1002" s="222"/>
      <c r="N1002" s="222"/>
      <c r="O1002" s="222"/>
      <c r="P1002" s="222"/>
      <c r="Q1002" s="222"/>
      <c r="R1002" s="222"/>
      <c r="S1002" s="222"/>
      <c r="T1002" s="222"/>
      <c r="U1002" s="222"/>
      <c r="V1002" s="222"/>
      <c r="W1002" s="222"/>
      <c r="X1002" s="222"/>
      <c r="Y1002" s="222"/>
      <c r="Z1002" s="222"/>
      <c r="AA1002" s="222"/>
      <c r="AB1002" s="222"/>
    </row>
    <row r="1003" spans="1:28" ht="16">
      <c r="A1003" s="222"/>
      <c r="B1003" s="222"/>
      <c r="C1003" s="222"/>
      <c r="D1003" s="222"/>
      <c r="E1003" s="222"/>
      <c r="F1003" s="222"/>
      <c r="G1003" s="222"/>
      <c r="H1003" s="222"/>
      <c r="I1003" s="222"/>
      <c r="J1003" s="222"/>
      <c r="K1003" s="222"/>
      <c r="L1003" s="223"/>
      <c r="M1003" s="222"/>
      <c r="N1003" s="222"/>
      <c r="O1003" s="222"/>
      <c r="P1003" s="222"/>
      <c r="Q1003" s="222"/>
      <c r="R1003" s="222"/>
      <c r="S1003" s="222"/>
      <c r="T1003" s="222"/>
      <c r="U1003" s="222"/>
      <c r="V1003" s="222"/>
      <c r="W1003" s="222"/>
      <c r="X1003" s="222"/>
      <c r="Y1003" s="222"/>
      <c r="Z1003" s="222"/>
      <c r="AA1003" s="222"/>
      <c r="AB1003" s="222"/>
    </row>
    <row r="1004" spans="1:28" ht="16">
      <c r="A1004" s="222"/>
      <c r="B1004" s="222"/>
      <c r="C1004" s="222"/>
      <c r="D1004" s="222"/>
      <c r="E1004" s="222"/>
      <c r="F1004" s="222"/>
      <c r="G1004" s="222"/>
      <c r="H1004" s="222"/>
      <c r="I1004" s="222"/>
      <c r="J1004" s="222"/>
      <c r="K1004" s="222"/>
      <c r="L1004" s="223"/>
      <c r="M1004" s="222"/>
      <c r="N1004" s="222"/>
      <c r="O1004" s="222"/>
      <c r="P1004" s="222"/>
      <c r="Q1004" s="222"/>
      <c r="R1004" s="222"/>
      <c r="S1004" s="222"/>
      <c r="T1004" s="222"/>
      <c r="U1004" s="222"/>
      <c r="V1004" s="222"/>
      <c r="W1004" s="222"/>
      <c r="X1004" s="222"/>
      <c r="Y1004" s="222"/>
      <c r="Z1004" s="222"/>
      <c r="AA1004" s="222"/>
      <c r="AB1004" s="222"/>
    </row>
    <row r="1005" spans="1:28" ht="16">
      <c r="A1005" s="222"/>
      <c r="B1005" s="222"/>
      <c r="C1005" s="222"/>
      <c r="D1005" s="222"/>
      <c r="E1005" s="222"/>
      <c r="F1005" s="222"/>
      <c r="G1005" s="222"/>
      <c r="H1005" s="222"/>
      <c r="I1005" s="222"/>
      <c r="J1005" s="222"/>
      <c r="K1005" s="222"/>
      <c r="L1005" s="223"/>
      <c r="M1005" s="222"/>
      <c r="N1005" s="222"/>
      <c r="O1005" s="222"/>
      <c r="P1005" s="222"/>
      <c r="Q1005" s="222"/>
      <c r="R1005" s="222"/>
      <c r="S1005" s="222"/>
      <c r="T1005" s="222"/>
      <c r="U1005" s="222"/>
      <c r="V1005" s="222"/>
      <c r="W1005" s="222"/>
      <c r="X1005" s="222"/>
      <c r="Y1005" s="222"/>
      <c r="Z1005" s="222"/>
      <c r="AA1005" s="222"/>
      <c r="AB1005" s="222"/>
    </row>
  </sheetData>
  <mergeCells count="4">
    <mergeCell ref="B2:H2"/>
    <mergeCell ref="K2:R2"/>
    <mergeCell ref="C18:D18"/>
    <mergeCell ref="G23:H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01"/>
  <sheetViews>
    <sheetView showGridLines="0" workbookViewId="0">
      <selection activeCell="D15" sqref="D15"/>
    </sheetView>
  </sheetViews>
  <sheetFormatPr baseColWidth="10" defaultColWidth="12.6640625" defaultRowHeight="15.75" customHeight="1"/>
  <cols>
    <col min="1" max="1" width="12.6640625" style="63"/>
    <col min="2" max="2" width="48.6640625" style="63" customWidth="1"/>
    <col min="3" max="3" width="17.1640625" style="63" customWidth="1"/>
    <col min="4" max="4" width="11.83203125" style="63" customWidth="1"/>
    <col min="5" max="5" width="7.6640625" style="63" customWidth="1"/>
    <col min="6" max="6" width="19" style="63" customWidth="1"/>
    <col min="7" max="7" width="34.6640625" style="63" customWidth="1"/>
    <col min="8" max="8" width="14.83203125" style="63" customWidth="1"/>
    <col min="9" max="16384" width="12.6640625" style="63"/>
  </cols>
  <sheetData>
    <row r="1" spans="1:27" ht="15.75" customHeight="1">
      <c r="A1" s="68"/>
      <c r="B1" s="68"/>
      <c r="C1" s="68"/>
      <c r="D1" s="68"/>
      <c r="E1" s="68"/>
      <c r="F1" s="68"/>
      <c r="G1" s="68"/>
      <c r="H1" s="68"/>
      <c r="I1" s="68"/>
      <c r="J1" s="68"/>
      <c r="K1" s="68"/>
      <c r="L1" s="68"/>
      <c r="M1" s="68"/>
      <c r="N1" s="68"/>
      <c r="O1" s="68"/>
      <c r="P1" s="68"/>
      <c r="Q1" s="68"/>
      <c r="R1" s="68"/>
      <c r="S1" s="68"/>
      <c r="T1" s="68"/>
      <c r="U1" s="68"/>
      <c r="V1" s="68"/>
      <c r="W1" s="68"/>
      <c r="X1" s="68"/>
      <c r="Y1" s="68"/>
      <c r="Z1" s="68"/>
      <c r="AA1" s="68"/>
    </row>
    <row r="2" spans="1:27" ht="17">
      <c r="A2" s="68"/>
      <c r="B2" s="253" t="s">
        <v>206</v>
      </c>
      <c r="C2" s="177"/>
      <c r="D2" s="107"/>
      <c r="E2" s="97"/>
      <c r="F2" s="254" t="s">
        <v>207</v>
      </c>
      <c r="G2" s="255" t="s">
        <v>208</v>
      </c>
      <c r="H2" s="255" t="s">
        <v>200</v>
      </c>
      <c r="I2" s="68"/>
      <c r="J2" s="68"/>
      <c r="K2" s="68"/>
      <c r="L2" s="68"/>
      <c r="M2" s="68"/>
      <c r="N2" s="68"/>
      <c r="O2" s="68"/>
      <c r="P2" s="68"/>
      <c r="Q2" s="68"/>
      <c r="R2" s="68"/>
      <c r="S2" s="68"/>
      <c r="T2" s="68"/>
      <c r="U2" s="68"/>
      <c r="V2" s="68"/>
      <c r="W2" s="68"/>
      <c r="X2" s="68"/>
      <c r="Y2" s="68"/>
      <c r="Z2" s="68"/>
      <c r="AA2" s="68"/>
    </row>
    <row r="3" spans="1:27" ht="17">
      <c r="A3" s="68"/>
      <c r="B3" s="114" t="s">
        <v>209</v>
      </c>
      <c r="C3" s="183" t="s">
        <v>169</v>
      </c>
      <c r="D3" s="183" t="s">
        <v>170</v>
      </c>
      <c r="E3" s="68"/>
      <c r="F3" s="114" t="s">
        <v>210</v>
      </c>
      <c r="G3" s="114" t="s">
        <v>211</v>
      </c>
      <c r="H3" s="256">
        <f ca="1">C11/('7. Human capital &amp; pension valu'!C17+'7. Human capital &amp; pension valu'!C30)</f>
        <v>1.1603749085157117E-2</v>
      </c>
      <c r="I3" s="68"/>
      <c r="J3" s="68"/>
      <c r="K3" s="68"/>
      <c r="L3" s="68"/>
      <c r="M3" s="68"/>
      <c r="N3" s="68"/>
      <c r="O3" s="68"/>
      <c r="P3" s="68"/>
      <c r="Q3" s="68"/>
      <c r="R3" s="68"/>
      <c r="S3" s="68"/>
      <c r="T3" s="68"/>
      <c r="U3" s="68"/>
      <c r="V3" s="68"/>
      <c r="W3" s="68"/>
      <c r="X3" s="68"/>
      <c r="Y3" s="68"/>
      <c r="Z3" s="68"/>
      <c r="AA3" s="68"/>
    </row>
    <row r="4" spans="1:27" ht="17">
      <c r="A4" s="68"/>
      <c r="B4" s="114" t="s">
        <v>212</v>
      </c>
      <c r="C4" s="257">
        <f>'7. Human capital &amp; pension valu'!C12</f>
        <v>179400000</v>
      </c>
      <c r="D4" s="256">
        <f ca="1">C4/C7</f>
        <v>0.47420173398181431</v>
      </c>
      <c r="E4" s="68"/>
      <c r="I4" s="68"/>
      <c r="J4" s="68"/>
      <c r="K4" s="68"/>
      <c r="L4" s="68"/>
      <c r="M4" s="68"/>
      <c r="N4" s="68"/>
      <c r="O4" s="68"/>
      <c r="P4" s="68"/>
      <c r="Q4" s="68"/>
      <c r="R4" s="68"/>
      <c r="S4" s="68"/>
      <c r="T4" s="68"/>
      <c r="U4" s="68"/>
      <c r="V4" s="68"/>
      <c r="W4" s="68"/>
      <c r="X4" s="68"/>
      <c r="Y4" s="68"/>
      <c r="Z4" s="68"/>
      <c r="AA4" s="68"/>
    </row>
    <row r="5" spans="1:27" ht="17">
      <c r="A5" s="68"/>
      <c r="B5" s="114" t="s">
        <v>213</v>
      </c>
      <c r="C5" s="257">
        <f>'7. Human capital &amp; pension valu'!C25</f>
        <v>195000000</v>
      </c>
      <c r="D5" s="256">
        <f ca="1">C5/C7</f>
        <v>0.51543666737153737</v>
      </c>
      <c r="E5" s="207"/>
      <c r="F5" s="68"/>
      <c r="G5" s="68"/>
      <c r="H5" s="68"/>
      <c r="I5" s="68"/>
      <c r="J5" s="68"/>
      <c r="K5" s="68"/>
      <c r="L5" s="68"/>
      <c r="M5" s="68"/>
      <c r="N5" s="68"/>
      <c r="O5" s="68"/>
      <c r="P5" s="68"/>
      <c r="Q5" s="68"/>
      <c r="R5" s="68"/>
      <c r="S5" s="68"/>
      <c r="T5" s="68"/>
      <c r="U5" s="68"/>
      <c r="V5" s="68"/>
      <c r="W5" s="68"/>
      <c r="X5" s="68"/>
      <c r="Y5" s="68"/>
      <c r="Z5" s="68"/>
      <c r="AA5" s="68"/>
    </row>
    <row r="6" spans="1:27" ht="17">
      <c r="A6" s="68"/>
      <c r="B6" s="114" t="s">
        <v>214</v>
      </c>
      <c r="C6" s="257">
        <f ca="1">'8. Budget Estimate'!C13</f>
        <v>3920000</v>
      </c>
      <c r="D6" s="256">
        <f ca="1">C6/C7</f>
        <v>1.036159864664834E-2</v>
      </c>
      <c r="E6" s="207"/>
      <c r="F6" s="68"/>
      <c r="G6" s="68"/>
      <c r="H6" s="68"/>
      <c r="I6" s="68"/>
      <c r="J6" s="68"/>
      <c r="K6" s="68"/>
      <c r="L6" s="68"/>
      <c r="M6" s="68"/>
      <c r="N6" s="68"/>
      <c r="O6" s="68"/>
      <c r="P6" s="68"/>
      <c r="Q6" s="68"/>
      <c r="R6" s="68"/>
      <c r="S6" s="68"/>
      <c r="T6" s="68"/>
      <c r="U6" s="68"/>
      <c r="V6" s="68"/>
      <c r="W6" s="68"/>
      <c r="X6" s="68"/>
      <c r="Y6" s="68"/>
      <c r="Z6" s="68"/>
      <c r="AA6" s="68"/>
    </row>
    <row r="7" spans="1:27" ht="17">
      <c r="A7" s="68"/>
      <c r="B7" s="258" t="s">
        <v>215</v>
      </c>
      <c r="C7" s="257">
        <f ca="1">SUM(C4:C6)</f>
        <v>378320000</v>
      </c>
      <c r="D7" s="256"/>
      <c r="E7" s="207"/>
      <c r="F7" s="68"/>
      <c r="G7" s="68"/>
      <c r="H7" s="68"/>
      <c r="I7" s="68"/>
      <c r="J7" s="68"/>
      <c r="K7" s="68"/>
      <c r="L7" s="68"/>
      <c r="M7" s="68"/>
      <c r="N7" s="68"/>
      <c r="O7" s="68"/>
      <c r="P7" s="68"/>
      <c r="Q7" s="68"/>
      <c r="R7" s="68"/>
      <c r="S7" s="68"/>
      <c r="T7" s="68"/>
      <c r="U7" s="68"/>
      <c r="V7" s="68"/>
      <c r="W7" s="68"/>
      <c r="X7" s="68"/>
      <c r="Y7" s="68"/>
      <c r="Z7" s="68"/>
      <c r="AA7" s="68"/>
    </row>
    <row r="8" spans="1:27" ht="17">
      <c r="A8" s="68"/>
      <c r="B8" s="114" t="s">
        <v>216</v>
      </c>
      <c r="C8" s="114"/>
      <c r="D8" s="256"/>
      <c r="E8" s="207"/>
      <c r="F8" s="68"/>
      <c r="G8" s="68"/>
      <c r="H8" s="68"/>
      <c r="I8" s="68"/>
      <c r="J8" s="68"/>
      <c r="K8" s="68"/>
      <c r="L8" s="68"/>
      <c r="M8" s="68"/>
      <c r="N8" s="68"/>
      <c r="O8" s="68"/>
      <c r="P8" s="68"/>
      <c r="Q8" s="68"/>
      <c r="R8" s="68"/>
      <c r="S8" s="68"/>
      <c r="T8" s="68"/>
      <c r="U8" s="68"/>
      <c r="V8" s="68"/>
      <c r="W8" s="68"/>
      <c r="X8" s="68"/>
      <c r="Y8" s="68"/>
      <c r="Z8" s="68"/>
      <c r="AA8" s="68"/>
    </row>
    <row r="9" spans="1:27" ht="17">
      <c r="A9" s="68"/>
      <c r="B9" s="114" t="s">
        <v>217</v>
      </c>
      <c r="C9" s="257">
        <f>'8. Budget Estimate'!C39</f>
        <v>374388000</v>
      </c>
      <c r="D9" s="256">
        <f>C9/C10</f>
        <v>1</v>
      </c>
      <c r="E9" s="207"/>
      <c r="F9" s="68"/>
      <c r="G9" s="68"/>
      <c r="H9" s="68"/>
      <c r="I9" s="68"/>
      <c r="J9" s="68"/>
      <c r="K9" s="68"/>
      <c r="L9" s="68"/>
      <c r="M9" s="68"/>
      <c r="N9" s="68"/>
      <c r="O9" s="68"/>
      <c r="P9" s="68"/>
      <c r="Q9" s="68"/>
      <c r="R9" s="68"/>
      <c r="S9" s="68"/>
      <c r="T9" s="68"/>
      <c r="U9" s="68"/>
      <c r="V9" s="68"/>
      <c r="W9" s="68"/>
      <c r="X9" s="68"/>
      <c r="Y9" s="68"/>
      <c r="Z9" s="68"/>
      <c r="AA9" s="68"/>
    </row>
    <row r="10" spans="1:27" ht="17">
      <c r="A10" s="68"/>
      <c r="B10" s="258" t="s">
        <v>218</v>
      </c>
      <c r="C10" s="257">
        <f>C9</f>
        <v>374388000</v>
      </c>
      <c r="D10" s="256"/>
      <c r="E10" s="207"/>
      <c r="F10" s="68"/>
      <c r="G10" s="68"/>
      <c r="H10" s="68"/>
      <c r="I10" s="68"/>
      <c r="J10" s="68"/>
      <c r="K10" s="68"/>
      <c r="L10" s="68"/>
      <c r="M10" s="68"/>
      <c r="N10" s="68"/>
      <c r="O10" s="68"/>
      <c r="P10" s="68"/>
      <c r="Q10" s="68"/>
      <c r="R10" s="68"/>
      <c r="S10" s="68"/>
      <c r="T10" s="68"/>
      <c r="U10" s="68"/>
      <c r="V10" s="68"/>
      <c r="W10" s="68"/>
      <c r="X10" s="68"/>
      <c r="Y10" s="68"/>
      <c r="Z10" s="68"/>
      <c r="AA10" s="68"/>
    </row>
    <row r="11" spans="1:27" ht="17">
      <c r="A11" s="68"/>
      <c r="B11" s="258" t="s">
        <v>219</v>
      </c>
      <c r="C11" s="257">
        <f ca="1">C7-C10</f>
        <v>3932000</v>
      </c>
      <c r="D11" s="256"/>
      <c r="E11" s="207"/>
      <c r="F11" s="68"/>
      <c r="G11" s="68"/>
      <c r="H11" s="68"/>
      <c r="I11" s="68"/>
      <c r="J11" s="68"/>
      <c r="K11" s="68"/>
      <c r="L11" s="68"/>
      <c r="M11" s="68"/>
      <c r="N11" s="68"/>
      <c r="O11" s="68"/>
      <c r="P11" s="68"/>
      <c r="Q11" s="68"/>
      <c r="R11" s="68"/>
      <c r="S11" s="68"/>
      <c r="T11" s="68"/>
      <c r="U11" s="68"/>
      <c r="V11" s="68"/>
      <c r="W11" s="68"/>
      <c r="X11" s="68"/>
      <c r="Y11" s="68"/>
      <c r="Z11" s="68"/>
      <c r="AA11" s="68"/>
    </row>
    <row r="12" spans="1:27" ht="17">
      <c r="A12" s="68"/>
      <c r="E12" s="207"/>
      <c r="F12" s="68"/>
      <c r="G12" s="68"/>
      <c r="H12" s="68"/>
      <c r="I12" s="68"/>
      <c r="J12" s="68"/>
      <c r="K12" s="68"/>
      <c r="L12" s="68"/>
      <c r="M12" s="68"/>
      <c r="N12" s="68"/>
      <c r="O12" s="68"/>
      <c r="P12" s="68"/>
      <c r="Q12" s="68"/>
      <c r="R12" s="68"/>
      <c r="S12" s="68"/>
      <c r="T12" s="68"/>
      <c r="U12" s="68"/>
      <c r="V12" s="68"/>
      <c r="W12" s="68"/>
      <c r="X12" s="68"/>
      <c r="Y12" s="68"/>
      <c r="Z12" s="68"/>
      <c r="AA12" s="68"/>
    </row>
    <row r="13" spans="1:27" ht="17">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row>
    <row r="14" spans="1:27" ht="17">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row>
    <row r="15" spans="1:27" ht="17">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row>
    <row r="16" spans="1:27" ht="17">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c r="AA16" s="68"/>
    </row>
    <row r="17" spans="1:27" ht="17">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c r="AA17" s="68"/>
    </row>
    <row r="18" spans="1:27" ht="17">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row>
    <row r="19" spans="1:27" ht="17">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row>
    <row r="20" spans="1:27" ht="17">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row>
    <row r="21" spans="1:27" ht="17">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row>
    <row r="22" spans="1:27" ht="17">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row>
    <row r="23" spans="1:27" ht="17">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row>
    <row r="24" spans="1:27" ht="17">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row>
    <row r="25" spans="1:27" ht="17">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row>
    <row r="26" spans="1:27" ht="17">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row>
    <row r="27" spans="1:27" ht="17">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row>
    <row r="28" spans="1:27" ht="17">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row>
    <row r="29" spans="1:27" ht="17">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row>
    <row r="30" spans="1:27" ht="17">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row>
    <row r="31" spans="1:27" ht="17">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row>
    <row r="32" spans="1:27" ht="17">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row>
    <row r="33" spans="1:27" ht="17">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row>
    <row r="34" spans="1:27" ht="17">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row>
    <row r="35" spans="1:27" ht="17">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row>
    <row r="36" spans="1:27" ht="17">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row>
    <row r="37" spans="1:27" ht="17">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row>
    <row r="38" spans="1:27" ht="17">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row>
    <row r="39" spans="1:27" ht="17">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row>
    <row r="40" spans="1:27" ht="17">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row>
    <row r="41" spans="1:27" ht="17">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c r="AA41" s="68"/>
    </row>
    <row r="42" spans="1:27" ht="17">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c r="AA42" s="68"/>
    </row>
    <row r="43" spans="1:27" ht="17">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row>
    <row r="44" spans="1:27" ht="17">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row>
    <row r="45" spans="1:27" ht="17">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row>
    <row r="46" spans="1:27" ht="17">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row>
    <row r="47" spans="1:27" ht="1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row>
    <row r="48" spans="1:27" ht="17">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row>
    <row r="49" spans="1:27" ht="17">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row>
    <row r="50" spans="1:27" ht="17">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row>
    <row r="51" spans="1:27" ht="17">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row>
    <row r="52" spans="1:27" ht="17">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row>
    <row r="53" spans="1:27" ht="17">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row>
    <row r="54" spans="1:27" ht="17">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row>
    <row r="55" spans="1:27" ht="17">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row>
    <row r="56" spans="1:27" ht="17">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row>
    <row r="57" spans="1:27" ht="1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row>
    <row r="58" spans="1:27" ht="17">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row>
    <row r="59" spans="1:27" ht="17">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row>
    <row r="60" spans="1:27" ht="17">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row>
    <row r="61" spans="1:27" ht="17">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row>
    <row r="62" spans="1:27" ht="17">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row>
    <row r="63" spans="1:27" ht="17">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row>
    <row r="64" spans="1:27" ht="17">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row>
    <row r="65" spans="1:27" ht="17">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row>
    <row r="66" spans="1:27" ht="17">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row>
    <row r="67" spans="1:27" ht="1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row>
    <row r="68" spans="1:27" ht="17">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row>
    <row r="69" spans="1:27" ht="17">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row>
    <row r="70" spans="1:27" ht="17">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row>
    <row r="71" spans="1:27" ht="17">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row>
    <row r="72" spans="1:27" ht="17">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row>
    <row r="73" spans="1:27" ht="17">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row>
    <row r="74" spans="1:27" ht="17">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row>
    <row r="75" spans="1:27" ht="17">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row>
    <row r="76" spans="1:27" ht="17">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row>
    <row r="77" spans="1:27" ht="1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row>
    <row r="78" spans="1:27" ht="17">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row>
    <row r="79" spans="1:27" ht="17">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row>
    <row r="80" spans="1:27" ht="17">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row>
    <row r="81" spans="1:27" ht="17">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row>
    <row r="82" spans="1:27" ht="17">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row>
    <row r="83" spans="1:27" ht="17">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row>
    <row r="84" spans="1:27" ht="17">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row>
    <row r="85" spans="1:27" ht="17">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row>
    <row r="86" spans="1:27" ht="17">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row>
    <row r="87" spans="1:27" ht="1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row>
    <row r="88" spans="1:27" ht="17">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row>
    <row r="89" spans="1:27" ht="17">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row>
    <row r="90" spans="1:27" ht="17">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row>
    <row r="91" spans="1:27" ht="17">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row>
    <row r="92" spans="1:27" ht="17">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row>
    <row r="93" spans="1:27" ht="17">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row>
    <row r="94" spans="1:27" ht="17">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row>
    <row r="95" spans="1:27" ht="17">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row>
    <row r="96" spans="1:27" ht="17">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row>
    <row r="97" spans="1:27" ht="1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row>
    <row r="98" spans="1:27" ht="17">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row>
    <row r="99" spans="1:27" ht="17">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row>
    <row r="100" spans="1:27" ht="17">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row>
    <row r="101" spans="1:27" ht="17">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row>
    <row r="102" spans="1:27" ht="17">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row>
    <row r="103" spans="1:27" ht="17">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row>
    <row r="104" spans="1:27" ht="17">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row>
    <row r="105" spans="1:27" ht="17">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row>
    <row r="106" spans="1:27" ht="17">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row>
    <row r="107" spans="1:27" ht="1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row>
    <row r="108" spans="1:27" ht="17">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row>
    <row r="109" spans="1:27" ht="17">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row>
    <row r="110" spans="1:27" ht="17">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row>
    <row r="111" spans="1:27" ht="17">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row>
    <row r="112" spans="1:27" ht="17">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row>
    <row r="113" spans="1:27" ht="17">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row>
    <row r="114" spans="1:27" ht="17">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row>
    <row r="115" spans="1:27" ht="17">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row>
    <row r="116" spans="1:27" ht="17">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row>
    <row r="117" spans="1:27" ht="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row>
    <row r="118" spans="1:27" ht="17">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row>
    <row r="119" spans="1:27" ht="17">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row>
    <row r="120" spans="1:27" ht="17">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row>
    <row r="121" spans="1:27" ht="17">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row>
    <row r="122" spans="1:27" ht="17">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row>
    <row r="123" spans="1:27" ht="17">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row>
    <row r="124" spans="1:27" ht="17">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row>
    <row r="125" spans="1:27" ht="17">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row>
    <row r="126" spans="1:27" ht="17">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row>
    <row r="127" spans="1:27" ht="1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row>
    <row r="128" spans="1:27" ht="17">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row>
    <row r="129" spans="1:27" ht="17">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row>
    <row r="130" spans="1:27" ht="17">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row>
    <row r="131" spans="1:27" ht="17">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row>
    <row r="132" spans="1:27" ht="17">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row>
    <row r="133" spans="1:27" ht="17">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row>
    <row r="134" spans="1:27" ht="17">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row>
    <row r="135" spans="1:27" ht="17">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row>
    <row r="136" spans="1:27" ht="17">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row>
    <row r="137" spans="1:27" ht="1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row>
    <row r="138" spans="1:27" ht="17">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row>
    <row r="139" spans="1:27" ht="17">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row>
    <row r="140" spans="1:27" ht="17">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row>
    <row r="141" spans="1:27" ht="17">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row>
    <row r="142" spans="1:27" ht="17">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row>
    <row r="143" spans="1:27" ht="17">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row>
    <row r="144" spans="1:27" ht="17">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row>
    <row r="145" spans="1:27" ht="17">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row>
    <row r="146" spans="1:27" ht="17">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row>
    <row r="147" spans="1:27" ht="1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row>
    <row r="148" spans="1:27" ht="17">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row>
    <row r="149" spans="1:27" ht="17">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row>
    <row r="150" spans="1:27" ht="17">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row>
    <row r="151" spans="1:27" ht="17">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row>
    <row r="152" spans="1:27" ht="17">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row>
    <row r="153" spans="1:27" ht="17">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row>
    <row r="154" spans="1:27" ht="17">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row>
    <row r="155" spans="1:27" ht="17">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row>
    <row r="156" spans="1:27" ht="17">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row>
    <row r="157" spans="1:27" ht="1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row>
    <row r="158" spans="1:27" ht="17">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row>
    <row r="159" spans="1:27" ht="17">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row>
    <row r="160" spans="1:27" ht="17">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row>
    <row r="161" spans="1:27" ht="17">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row>
    <row r="162" spans="1:27" ht="17">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row>
    <row r="163" spans="1:27" ht="17">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row>
    <row r="164" spans="1:27" ht="17">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row>
    <row r="165" spans="1:27" ht="17">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row>
    <row r="166" spans="1:27" ht="17">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row>
    <row r="167" spans="1:27" ht="1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row>
    <row r="168" spans="1:27" ht="17">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row>
    <row r="169" spans="1:27" ht="17">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row>
    <row r="170" spans="1:27" ht="17">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row>
    <row r="171" spans="1:27" ht="17">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row>
    <row r="172" spans="1:27" ht="17">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row>
    <row r="173" spans="1:27" ht="17">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row>
    <row r="174" spans="1:27" ht="17">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row>
    <row r="175" spans="1:27" ht="17">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row>
    <row r="176" spans="1:27" ht="17">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row>
    <row r="177" spans="1:27" ht="1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row>
    <row r="178" spans="1:27" ht="17">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row>
    <row r="179" spans="1:27" ht="17">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row>
    <row r="180" spans="1:27" ht="17">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row>
    <row r="181" spans="1:27" ht="17">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row>
    <row r="182" spans="1:27" ht="17">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row>
    <row r="183" spans="1:27" ht="17">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row>
    <row r="184" spans="1:27" ht="17">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row>
    <row r="185" spans="1:27" ht="17">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row>
    <row r="186" spans="1:27" ht="17">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row>
    <row r="187" spans="1:27" ht="1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row>
    <row r="188" spans="1:27" ht="17">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row>
    <row r="189" spans="1:27" ht="17">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row>
    <row r="190" spans="1:27" ht="17">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row>
    <row r="191" spans="1:27" ht="17">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row>
    <row r="192" spans="1:27" ht="17">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row>
    <row r="193" spans="1:27" ht="17">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row>
    <row r="194" spans="1:27" ht="17">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row>
    <row r="195" spans="1:27" ht="17">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row>
    <row r="196" spans="1:27" ht="17">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row>
    <row r="197" spans="1:27" ht="1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row>
    <row r="198" spans="1:27" ht="17">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row>
    <row r="199" spans="1:27" ht="17">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row>
    <row r="200" spans="1:27" ht="17">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row>
    <row r="201" spans="1:27" ht="17">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row>
    <row r="202" spans="1:27" ht="17">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row>
    <row r="203" spans="1:27" ht="17">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row>
    <row r="204" spans="1:27" ht="17">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row>
    <row r="205" spans="1:27" ht="17">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row>
    <row r="206" spans="1:27" ht="17">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row>
    <row r="207" spans="1:27" ht="1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row>
    <row r="208" spans="1:27" ht="17">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row>
    <row r="209" spans="1:27" ht="17">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row>
    <row r="210" spans="1:27" ht="17">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row>
    <row r="211" spans="1:27" ht="17">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row>
    <row r="212" spans="1:27" ht="17">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row>
    <row r="213" spans="1:27" ht="17">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row>
    <row r="214" spans="1:27" ht="17">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row>
    <row r="215" spans="1:27" ht="17">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row>
    <row r="216" spans="1:27" ht="17">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row>
    <row r="217" spans="1:27" ht="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row>
    <row r="218" spans="1:27" ht="17">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row>
    <row r="219" spans="1:27" ht="17">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row>
    <row r="220" spans="1:27" ht="17">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row>
    <row r="221" spans="1:27" ht="17">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row>
    <row r="222" spans="1:27" ht="17">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row>
    <row r="223" spans="1:27" ht="17">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row>
    <row r="224" spans="1:27" ht="17">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row>
    <row r="225" spans="1:27" ht="17">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row>
    <row r="226" spans="1:27" ht="17">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row>
    <row r="227" spans="1:27" ht="1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row>
    <row r="228" spans="1:27" ht="17">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row>
    <row r="229" spans="1:27" ht="17">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row>
    <row r="230" spans="1:27" ht="17">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row>
    <row r="231" spans="1:27" ht="17">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row>
    <row r="232" spans="1:27" ht="17">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row>
    <row r="233" spans="1:27" ht="17">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row>
    <row r="234" spans="1:27" ht="17">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row>
    <row r="235" spans="1:27" ht="17">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row>
    <row r="236" spans="1:27" ht="17">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row>
    <row r="237" spans="1:27" ht="1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row>
    <row r="238" spans="1:27" ht="17">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row>
    <row r="239" spans="1:27" ht="17">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row>
    <row r="240" spans="1:27" ht="17">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row>
    <row r="241" spans="1:27" ht="17">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row>
    <row r="242" spans="1:27" ht="17">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row>
    <row r="243" spans="1:27" ht="17">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row>
    <row r="244" spans="1:27" ht="17">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row>
    <row r="245" spans="1:27" ht="17">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row>
    <row r="246" spans="1:27" ht="17">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row>
    <row r="247" spans="1:27" ht="1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row>
    <row r="248" spans="1:27" ht="17">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row>
    <row r="249" spans="1:27" ht="17">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row>
    <row r="250" spans="1:27" ht="17">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row>
    <row r="251" spans="1:27" ht="17">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row>
    <row r="252" spans="1:27" ht="17">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row>
    <row r="253" spans="1:27" ht="17">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row>
    <row r="254" spans="1:27" ht="17">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row>
    <row r="255" spans="1:27" ht="17">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row>
    <row r="256" spans="1:27" ht="17">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row>
    <row r="257" spans="1:27" ht="1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row>
    <row r="258" spans="1:27" ht="17">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row>
    <row r="259" spans="1:27" ht="17">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row>
    <row r="260" spans="1:27" ht="17">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row>
    <row r="261" spans="1:27" ht="17">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row>
    <row r="262" spans="1:27" ht="17">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row>
    <row r="263" spans="1:27" ht="17">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row>
    <row r="264" spans="1:27" ht="17">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row>
    <row r="265" spans="1:27" ht="17">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row>
    <row r="266" spans="1:27" ht="17">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row>
    <row r="267" spans="1:27" ht="1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row>
    <row r="268" spans="1:27" ht="17">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row>
    <row r="269" spans="1:27" ht="17">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row>
    <row r="270" spans="1:27" ht="17">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row>
    <row r="271" spans="1:27" ht="17">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row>
    <row r="272" spans="1:27" ht="17">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row>
    <row r="273" spans="1:27" ht="17">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row>
    <row r="274" spans="1:27" ht="17">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row>
    <row r="275" spans="1:27" ht="17">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row>
    <row r="276" spans="1:27" ht="17">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row>
    <row r="277" spans="1:27" ht="1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row>
    <row r="278" spans="1:27" ht="17">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row>
    <row r="279" spans="1:27" ht="17">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row>
    <row r="280" spans="1:27" ht="17">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row>
    <row r="281" spans="1:27" ht="17">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row>
    <row r="282" spans="1:27" ht="17">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row>
    <row r="283" spans="1:27" ht="17">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row>
    <row r="284" spans="1:27" ht="17">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row>
    <row r="285" spans="1:27" ht="17">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row>
    <row r="286" spans="1:27" ht="17">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row>
    <row r="287" spans="1:27" ht="1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row>
    <row r="288" spans="1:27" ht="17">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row>
    <row r="289" spans="1:27" ht="17">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row>
    <row r="290" spans="1:27" ht="17">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row>
    <row r="291" spans="1:27" ht="17">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row>
    <row r="292" spans="1:27" ht="17">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row>
    <row r="293" spans="1:27" ht="17">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row>
    <row r="294" spans="1:27" ht="17">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row>
    <row r="295" spans="1:27" ht="17">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row>
    <row r="296" spans="1:27" ht="17">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row>
    <row r="297" spans="1:27" ht="1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row>
    <row r="298" spans="1:27" ht="17">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row>
    <row r="299" spans="1:27" ht="17">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row>
    <row r="300" spans="1:27" ht="17">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row>
    <row r="301" spans="1:27" ht="17">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row>
    <row r="302" spans="1:27" ht="17">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row>
    <row r="303" spans="1:27" ht="17">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row>
    <row r="304" spans="1:27" ht="17">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row>
    <row r="305" spans="1:27" ht="17">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row>
    <row r="306" spans="1:27" ht="17">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row>
    <row r="307" spans="1:27" ht="1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row>
    <row r="308" spans="1:27" ht="17">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row>
    <row r="309" spans="1:27" ht="17">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row>
    <row r="310" spans="1:27" ht="17">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row>
    <row r="311" spans="1:27" ht="17">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row>
    <row r="312" spans="1:27" ht="17">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row>
    <row r="313" spans="1:27" ht="17">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row>
    <row r="314" spans="1:27" ht="17">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row>
    <row r="315" spans="1:27" ht="17">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row>
    <row r="316" spans="1:27" ht="17">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row>
    <row r="317" spans="1:27" ht="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row>
    <row r="318" spans="1:27" ht="17">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row>
    <row r="319" spans="1:27" ht="17">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row>
    <row r="320" spans="1:27" ht="17">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row>
    <row r="321" spans="1:27" ht="17">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row>
    <row r="322" spans="1:27" ht="17">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row>
    <row r="323" spans="1:27" ht="17">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row>
    <row r="324" spans="1:27" ht="17">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row>
    <row r="325" spans="1:27" ht="17">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row>
    <row r="326" spans="1:27" ht="17">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row>
    <row r="327" spans="1:27" ht="1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row>
    <row r="328" spans="1:27" ht="17">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row>
    <row r="329" spans="1:27" ht="17">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row>
    <row r="330" spans="1:27" ht="17">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row>
    <row r="331" spans="1:27" ht="17">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row>
    <row r="332" spans="1:27" ht="17">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row>
    <row r="333" spans="1:27" ht="17">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row>
    <row r="334" spans="1:27" ht="17">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row>
    <row r="335" spans="1:27" ht="17">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row>
    <row r="336" spans="1:27" ht="17">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row>
    <row r="337" spans="1:27" ht="1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row>
    <row r="338" spans="1:27" ht="17">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row>
    <row r="339" spans="1:27" ht="17">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row>
    <row r="340" spans="1:27" ht="17">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row>
    <row r="341" spans="1:27" ht="17">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row>
    <row r="342" spans="1:27" ht="17">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row>
    <row r="343" spans="1:27" ht="17">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row>
    <row r="344" spans="1:27" ht="17">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row>
    <row r="345" spans="1:27" ht="17">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row>
    <row r="346" spans="1:27" ht="17">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row>
    <row r="347" spans="1:27" ht="1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row>
    <row r="348" spans="1:27" ht="17">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row>
    <row r="349" spans="1:27" ht="17">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row>
    <row r="350" spans="1:27" ht="17">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row>
    <row r="351" spans="1:27" ht="17">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row>
    <row r="352" spans="1:27" ht="17">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row>
    <row r="353" spans="1:27" ht="17">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row>
    <row r="354" spans="1:27" ht="17">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row>
    <row r="355" spans="1:27" ht="17">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row>
    <row r="356" spans="1:27" ht="17">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row>
    <row r="357" spans="1:27" ht="1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row>
    <row r="358" spans="1:27" ht="17">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row>
    <row r="359" spans="1:27" ht="17">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row>
    <row r="360" spans="1:27" ht="17">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row>
    <row r="361" spans="1:27" ht="17">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row>
    <row r="362" spans="1:27" ht="17">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row>
    <row r="363" spans="1:27" ht="17">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row>
    <row r="364" spans="1:27" ht="17">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row>
    <row r="365" spans="1:27" ht="17">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row>
    <row r="366" spans="1:27" ht="17">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row>
    <row r="367" spans="1:27" ht="1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row>
    <row r="368" spans="1:27" ht="17">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row>
    <row r="369" spans="1:27" ht="17">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row>
    <row r="370" spans="1:27" ht="17">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row>
    <row r="371" spans="1:27" ht="17">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row>
    <row r="372" spans="1:27" ht="17">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row>
    <row r="373" spans="1:27" ht="17">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row>
    <row r="374" spans="1:27" ht="17">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row>
    <row r="375" spans="1:27" ht="17">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row>
    <row r="376" spans="1:27" ht="17">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row>
    <row r="377" spans="1:27" ht="1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row>
    <row r="378" spans="1:27" ht="17">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row>
    <row r="379" spans="1:27" ht="17">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row>
    <row r="380" spans="1:27" ht="17">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row>
    <row r="381" spans="1:27" ht="17">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row>
    <row r="382" spans="1:27" ht="17">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row>
    <row r="383" spans="1:27" ht="17">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row>
    <row r="384" spans="1:27" ht="17">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row>
    <row r="385" spans="1:27" ht="17">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row>
    <row r="386" spans="1:27" ht="17">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row>
    <row r="387" spans="1:27" ht="1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row>
    <row r="388" spans="1:27" ht="17">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row>
    <row r="389" spans="1:27" ht="17">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row>
    <row r="390" spans="1:27" ht="17">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row>
    <row r="391" spans="1:27" ht="17">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row>
    <row r="392" spans="1:27" ht="17">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row>
    <row r="393" spans="1:27" ht="17">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row>
    <row r="394" spans="1:27" ht="17">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row>
    <row r="395" spans="1:27" ht="17">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row>
    <row r="396" spans="1:27" ht="17">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row>
    <row r="397" spans="1:27" ht="1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row>
    <row r="398" spans="1:27" ht="17">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row>
    <row r="399" spans="1:27" ht="17">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row>
    <row r="400" spans="1:27" ht="17">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row>
    <row r="401" spans="1:27" ht="17">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row>
    <row r="402" spans="1:27" ht="17">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row>
    <row r="403" spans="1:27" ht="17">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row>
    <row r="404" spans="1:27" ht="17">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row>
    <row r="405" spans="1:27" ht="17">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row>
    <row r="406" spans="1:27" ht="17">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row>
    <row r="407" spans="1:27" ht="1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row>
    <row r="408" spans="1:27" ht="17">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row>
    <row r="409" spans="1:27" ht="17">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row>
    <row r="410" spans="1:27" ht="17">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row>
    <row r="411" spans="1:27" ht="17">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row>
    <row r="412" spans="1:27" ht="17">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row>
    <row r="413" spans="1:27" ht="17">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row>
    <row r="414" spans="1:27" ht="17">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row>
    <row r="415" spans="1:27" ht="17">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row>
    <row r="416" spans="1:27" ht="17">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row>
    <row r="417" spans="1:27" ht="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row>
    <row r="418" spans="1:27" ht="17">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row>
    <row r="419" spans="1:27" ht="17">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row>
    <row r="420" spans="1:27" ht="17">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row>
    <row r="421" spans="1:27" ht="17">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row>
    <row r="422" spans="1:27" ht="17">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row>
    <row r="423" spans="1:27" ht="17">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row>
    <row r="424" spans="1:27" ht="17">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row>
    <row r="425" spans="1:27" ht="17">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row>
    <row r="426" spans="1:27" ht="17">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row>
    <row r="427" spans="1:27" ht="1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row>
    <row r="428" spans="1:27" ht="17">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row>
    <row r="429" spans="1:27" ht="17">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row>
    <row r="430" spans="1:27" ht="17">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row>
    <row r="431" spans="1:27" ht="17">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row>
    <row r="432" spans="1:27" ht="17">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row>
    <row r="433" spans="1:27" ht="17">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row>
    <row r="434" spans="1:27" ht="17">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row>
    <row r="435" spans="1:27" ht="17">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row>
    <row r="436" spans="1:27" ht="17">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row>
    <row r="437" spans="1:27" ht="1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row>
    <row r="438" spans="1:27" ht="17">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row>
    <row r="439" spans="1:27" ht="17">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row>
    <row r="440" spans="1:27" ht="17">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row>
    <row r="441" spans="1:27" ht="17">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row>
    <row r="442" spans="1:27" ht="17">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row>
    <row r="443" spans="1:27" ht="17">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row>
    <row r="444" spans="1:27" ht="17">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row>
    <row r="445" spans="1:27" ht="17">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row>
    <row r="446" spans="1:27" ht="17">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row>
    <row r="447" spans="1:27" ht="1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row>
    <row r="448" spans="1:27" ht="17">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row>
    <row r="449" spans="1:27" ht="17">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row>
    <row r="450" spans="1:27" ht="17">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row>
    <row r="451" spans="1:27" ht="17">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row>
    <row r="452" spans="1:27" ht="17">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row>
    <row r="453" spans="1:27" ht="17">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row>
    <row r="454" spans="1:27" ht="17">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row>
    <row r="455" spans="1:27" ht="17">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row>
    <row r="456" spans="1:27" ht="17">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row>
    <row r="457" spans="1:27" ht="1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row>
    <row r="458" spans="1:27" ht="17">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row>
    <row r="459" spans="1:27" ht="17">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row>
    <row r="460" spans="1:27" ht="17">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row>
    <row r="461" spans="1:27" ht="17">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row>
    <row r="462" spans="1:27" ht="17">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row>
    <row r="463" spans="1:27" ht="17">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row>
    <row r="464" spans="1:27" ht="17">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row>
    <row r="465" spans="1:27" ht="17">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row>
    <row r="466" spans="1:27" ht="17">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row>
    <row r="467" spans="1:27" ht="1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row>
    <row r="468" spans="1:27" ht="17">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row>
    <row r="469" spans="1:27" ht="17">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row>
    <row r="470" spans="1:27" ht="17">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row>
    <row r="471" spans="1:27" ht="17">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row>
    <row r="472" spans="1:27" ht="17">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row>
    <row r="473" spans="1:27" ht="17">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row>
    <row r="474" spans="1:27" ht="17">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row>
    <row r="475" spans="1:27" ht="17">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row>
    <row r="476" spans="1:27" ht="17">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row>
    <row r="477" spans="1:27" ht="1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row>
    <row r="478" spans="1:27" ht="17">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row>
    <row r="479" spans="1:27" ht="17">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row>
    <row r="480" spans="1:27" ht="17">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row>
    <row r="481" spans="1:27" ht="17">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row>
    <row r="482" spans="1:27" ht="17">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row>
    <row r="483" spans="1:27" ht="17">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row>
    <row r="484" spans="1:27" ht="17">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row>
    <row r="485" spans="1:27" ht="17">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row>
    <row r="486" spans="1:27" ht="17">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row>
    <row r="487" spans="1:27" ht="1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row>
    <row r="488" spans="1:27" ht="17">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row>
    <row r="489" spans="1:27" ht="17">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row>
    <row r="490" spans="1:27" ht="17">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row>
    <row r="491" spans="1:27" ht="17">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row>
    <row r="492" spans="1:27" ht="17">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row>
    <row r="493" spans="1:27" ht="17">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row>
    <row r="494" spans="1:27" ht="17">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row>
    <row r="495" spans="1:27" ht="17">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row>
    <row r="496" spans="1:27" ht="17">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row>
    <row r="497" spans="1:27" ht="1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row>
    <row r="498" spans="1:27" ht="17">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row>
    <row r="499" spans="1:27" ht="17">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row>
    <row r="500" spans="1:27" ht="17">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row>
    <row r="501" spans="1:27" ht="17">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row>
    <row r="502" spans="1:27" ht="17">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row>
    <row r="503" spans="1:27" ht="17">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row>
    <row r="504" spans="1:27" ht="17">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row>
    <row r="505" spans="1:27" ht="17">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row>
    <row r="506" spans="1:27" ht="17">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row>
    <row r="507" spans="1:27" ht="1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row>
    <row r="508" spans="1:27" ht="17">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row>
    <row r="509" spans="1:27" ht="17">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row>
    <row r="510" spans="1:27" ht="17">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row>
    <row r="511" spans="1:27" ht="17">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row>
    <row r="512" spans="1:27" ht="17">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row>
    <row r="513" spans="1:27" ht="17">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row>
    <row r="514" spans="1:27" ht="17">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row>
    <row r="515" spans="1:27" ht="17">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row>
    <row r="516" spans="1:27" ht="17">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row>
    <row r="517" spans="1:27" ht="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row>
    <row r="518" spans="1:27" ht="17">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row>
    <row r="519" spans="1:27" ht="17">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row>
    <row r="520" spans="1:27" ht="17">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row>
    <row r="521" spans="1:27" ht="17">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row>
    <row r="522" spans="1:27" ht="17">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row>
    <row r="523" spans="1:27" ht="17">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row>
    <row r="524" spans="1:27" ht="17">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row>
    <row r="525" spans="1:27" ht="17">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row>
    <row r="526" spans="1:27" ht="17">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row>
    <row r="527" spans="1:27" ht="1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row>
    <row r="528" spans="1:27" ht="17">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row>
    <row r="529" spans="1:27" ht="17">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row>
    <row r="530" spans="1:27" ht="17">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row>
    <row r="531" spans="1:27" ht="17">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row>
    <row r="532" spans="1:27" ht="17">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row>
    <row r="533" spans="1:27" ht="17">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row>
    <row r="534" spans="1:27" ht="17">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row>
    <row r="535" spans="1:27" ht="17">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row>
    <row r="536" spans="1:27" ht="17">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row>
    <row r="537" spans="1:27" ht="1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row>
    <row r="538" spans="1:27" ht="17">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row>
    <row r="539" spans="1:27" ht="17">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row>
    <row r="540" spans="1:27" ht="17">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row>
    <row r="541" spans="1:27" ht="17">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row>
    <row r="542" spans="1:27" ht="17">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row>
    <row r="543" spans="1:27" ht="17">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row>
    <row r="544" spans="1:27" ht="17">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row>
    <row r="545" spans="1:27" ht="17">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row>
    <row r="546" spans="1:27" ht="17">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row>
    <row r="547" spans="1:27" ht="1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row>
    <row r="548" spans="1:27" ht="17">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row>
    <row r="549" spans="1:27" ht="17">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row>
    <row r="550" spans="1:27" ht="17">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row>
    <row r="551" spans="1:27" ht="17">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row>
    <row r="552" spans="1:27" ht="17">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row>
    <row r="553" spans="1:27" ht="17">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row>
    <row r="554" spans="1:27" ht="17">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row>
    <row r="555" spans="1:27" ht="17">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row>
    <row r="556" spans="1:27" ht="17">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row>
    <row r="557" spans="1:27" ht="1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row>
    <row r="558" spans="1:27" ht="17">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row>
    <row r="559" spans="1:27" ht="17">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row>
    <row r="560" spans="1:27" ht="17">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row>
    <row r="561" spans="1:27" ht="17">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row>
    <row r="562" spans="1:27" ht="17">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row>
    <row r="563" spans="1:27" ht="17">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row>
    <row r="564" spans="1:27" ht="17">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row>
    <row r="565" spans="1:27" ht="17">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row>
    <row r="566" spans="1:27" ht="17">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row>
    <row r="567" spans="1:27" ht="1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row>
    <row r="568" spans="1:27" ht="17">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row>
    <row r="569" spans="1:27" ht="17">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row>
    <row r="570" spans="1:27" ht="17">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row>
    <row r="571" spans="1:27" ht="17">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row>
    <row r="572" spans="1:27" ht="17">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row>
    <row r="573" spans="1:27" ht="17">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row>
    <row r="574" spans="1:27" ht="17">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row>
    <row r="575" spans="1:27" ht="17">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row>
    <row r="576" spans="1:27" ht="17">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row>
    <row r="577" spans="1:27" ht="1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row>
    <row r="578" spans="1:27" ht="17">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row>
    <row r="579" spans="1:27" ht="17">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row>
    <row r="580" spans="1:27" ht="17">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row>
    <row r="581" spans="1:27" ht="17">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row>
    <row r="582" spans="1:27" ht="17">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row>
    <row r="583" spans="1:27" ht="17">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row>
    <row r="584" spans="1:27" ht="17">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row>
    <row r="585" spans="1:27" ht="17">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row>
    <row r="586" spans="1:27" ht="17">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row>
    <row r="587" spans="1:27" ht="1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row>
    <row r="588" spans="1:27" ht="17">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row>
    <row r="589" spans="1:27" ht="17">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row>
    <row r="590" spans="1:27" ht="17">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row>
    <row r="591" spans="1:27" ht="17">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row>
    <row r="592" spans="1:27" ht="17">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row>
    <row r="593" spans="1:27" ht="17">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row>
    <row r="594" spans="1:27" ht="17">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row>
    <row r="595" spans="1:27" ht="17">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row>
    <row r="596" spans="1:27" ht="17">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row>
    <row r="597" spans="1:27" ht="1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row>
    <row r="598" spans="1:27" ht="17">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row>
    <row r="599" spans="1:27" ht="17">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row>
    <row r="600" spans="1:27" ht="17">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row>
    <row r="601" spans="1:27" ht="17">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row>
    <row r="602" spans="1:27" ht="17">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row>
    <row r="603" spans="1:27" ht="17">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row>
    <row r="604" spans="1:27" ht="17">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row>
    <row r="605" spans="1:27" ht="17">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row>
    <row r="606" spans="1:27" ht="17">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row>
    <row r="607" spans="1:27" ht="1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row>
    <row r="608" spans="1:27" ht="17">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row>
    <row r="609" spans="1:27" ht="17">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row>
    <row r="610" spans="1:27" ht="17">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row>
    <row r="611" spans="1:27" ht="17">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row>
    <row r="612" spans="1:27" ht="17">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row>
    <row r="613" spans="1:27" ht="17">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row>
    <row r="614" spans="1:27" ht="17">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row>
    <row r="615" spans="1:27" ht="17">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row>
    <row r="616" spans="1:27" ht="17">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row>
    <row r="617" spans="1:27" ht="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row>
    <row r="618" spans="1:27" ht="17">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row>
    <row r="619" spans="1:27" ht="17">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row>
    <row r="620" spans="1:27" ht="17">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row>
    <row r="621" spans="1:27" ht="17">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row>
    <row r="622" spans="1:27" ht="17">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row>
    <row r="623" spans="1:27" ht="17">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row>
    <row r="624" spans="1:27" ht="17">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row>
    <row r="625" spans="1:27" ht="17">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row>
    <row r="626" spans="1:27" ht="17">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row>
    <row r="627" spans="1:27" ht="1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row>
    <row r="628" spans="1:27" ht="17">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row>
    <row r="629" spans="1:27" ht="17">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row>
    <row r="630" spans="1:27" ht="17">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row>
    <row r="631" spans="1:27" ht="17">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row>
    <row r="632" spans="1:27" ht="17">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row>
    <row r="633" spans="1:27" ht="17">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row>
    <row r="634" spans="1:27" ht="17">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row>
    <row r="635" spans="1:27" ht="17">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row>
    <row r="636" spans="1:27" ht="17">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row>
    <row r="637" spans="1:27" ht="1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row>
    <row r="638" spans="1:27" ht="17">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row>
    <row r="639" spans="1:27" ht="17">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row>
    <row r="640" spans="1:27" ht="17">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row>
    <row r="641" spans="1:27" ht="17">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row>
    <row r="642" spans="1:27" ht="17">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row>
    <row r="643" spans="1:27" ht="17">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row>
    <row r="644" spans="1:27" ht="17">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row>
    <row r="645" spans="1:27" ht="17">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row>
    <row r="646" spans="1:27" ht="17">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row>
    <row r="647" spans="1:27" ht="1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row>
    <row r="648" spans="1:27" ht="17">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row>
    <row r="649" spans="1:27" ht="17">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row>
    <row r="650" spans="1:27" ht="17">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row>
    <row r="651" spans="1:27" ht="17">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row>
    <row r="652" spans="1:27" ht="17">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row>
    <row r="653" spans="1:27" ht="17">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row>
    <row r="654" spans="1:27" ht="17">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row>
    <row r="655" spans="1:27" ht="17">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row>
    <row r="656" spans="1:27" ht="17">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row>
    <row r="657" spans="1:27" ht="1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row>
    <row r="658" spans="1:27" ht="17">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row>
    <row r="659" spans="1:27" ht="17">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row>
    <row r="660" spans="1:27" ht="17">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row>
    <row r="661" spans="1:27" ht="17">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row>
    <row r="662" spans="1:27" ht="17">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row>
    <row r="663" spans="1:27" ht="17">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row>
    <row r="664" spans="1:27" ht="17">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row>
    <row r="665" spans="1:27" ht="17">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row>
    <row r="666" spans="1:27" ht="17">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row>
    <row r="667" spans="1:27" ht="1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row>
    <row r="668" spans="1:27" ht="17">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row>
    <row r="669" spans="1:27" ht="17">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row>
    <row r="670" spans="1:27" ht="17">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row>
    <row r="671" spans="1:27" ht="17">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row>
    <row r="672" spans="1:27" ht="17">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row>
    <row r="673" spans="1:27" ht="17">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row>
    <row r="674" spans="1:27" ht="17">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row>
    <row r="675" spans="1:27" ht="17">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row>
    <row r="676" spans="1:27" ht="17">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row>
    <row r="677" spans="1:27" ht="1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row>
    <row r="678" spans="1:27" ht="17">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row>
    <row r="679" spans="1:27" ht="17">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row>
    <row r="680" spans="1:27" ht="17">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row>
    <row r="681" spans="1:27" ht="17">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row>
    <row r="682" spans="1:27" ht="17">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row>
    <row r="683" spans="1:27" ht="17">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row>
    <row r="684" spans="1:27" ht="17">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row>
    <row r="685" spans="1:27" ht="17">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row>
    <row r="686" spans="1:27" ht="17">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row>
    <row r="687" spans="1:27" ht="1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row>
    <row r="688" spans="1:27" ht="17">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row>
    <row r="689" spans="1:27" ht="17">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row>
    <row r="690" spans="1:27" ht="17">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row>
    <row r="691" spans="1:27" ht="17">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row>
    <row r="692" spans="1:27" ht="17">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row>
    <row r="693" spans="1:27" ht="17">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row>
    <row r="694" spans="1:27" ht="17">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row>
    <row r="695" spans="1:27" ht="17">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row>
    <row r="696" spans="1:27" ht="17">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row>
    <row r="697" spans="1:27" ht="1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row>
    <row r="698" spans="1:27" ht="17">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row>
    <row r="699" spans="1:27" ht="17">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row>
    <row r="700" spans="1:27" ht="17">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row>
    <row r="701" spans="1:27" ht="17">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row>
    <row r="702" spans="1:27" ht="17">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row>
    <row r="703" spans="1:27" ht="17">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row>
    <row r="704" spans="1:27" ht="17">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row>
    <row r="705" spans="1:27" ht="17">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row>
    <row r="706" spans="1:27" ht="17">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row>
    <row r="707" spans="1:27" ht="1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row>
    <row r="708" spans="1:27" ht="17">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row>
    <row r="709" spans="1:27" ht="17">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row>
    <row r="710" spans="1:27" ht="17">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row>
    <row r="711" spans="1:27" ht="17">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row>
    <row r="712" spans="1:27" ht="17">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row>
    <row r="713" spans="1:27" ht="17">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row>
    <row r="714" spans="1:27" ht="17">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row>
    <row r="715" spans="1:27" ht="17">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row>
    <row r="716" spans="1:27" ht="17">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row>
    <row r="717" spans="1:27" ht="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row>
    <row r="718" spans="1:27" ht="17">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row>
    <row r="719" spans="1:27" ht="17">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row>
    <row r="720" spans="1:27" ht="17">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row>
    <row r="721" spans="1:27" ht="17">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row>
    <row r="722" spans="1:27" ht="17">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row>
    <row r="723" spans="1:27" ht="17">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row>
    <row r="724" spans="1:27" ht="17">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row>
    <row r="725" spans="1:27" ht="17">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row>
    <row r="726" spans="1:27" ht="17">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row>
    <row r="727" spans="1:27" ht="1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row>
    <row r="728" spans="1:27" ht="17">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row>
    <row r="729" spans="1:27" ht="17">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row>
    <row r="730" spans="1:27" ht="17">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row>
    <row r="731" spans="1:27" ht="17">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row>
    <row r="732" spans="1:27" ht="17">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row>
    <row r="733" spans="1:27" ht="17">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row>
    <row r="734" spans="1:27" ht="17">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row>
    <row r="735" spans="1:27" ht="17">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row>
    <row r="736" spans="1:27" ht="17">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row>
    <row r="737" spans="1:27" ht="1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row>
    <row r="738" spans="1:27" ht="17">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row>
    <row r="739" spans="1:27" ht="17">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row>
    <row r="740" spans="1:27" ht="17">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row>
    <row r="741" spans="1:27" ht="17">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row>
    <row r="742" spans="1:27" ht="17">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row>
    <row r="743" spans="1:27" ht="17">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row>
    <row r="744" spans="1:27" ht="17">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row>
    <row r="745" spans="1:27" ht="17">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row>
    <row r="746" spans="1:27" ht="17">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row>
    <row r="747" spans="1:27" ht="1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row>
    <row r="748" spans="1:27" ht="17">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row>
    <row r="749" spans="1:27" ht="17">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row>
    <row r="750" spans="1:27" ht="17">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row>
    <row r="751" spans="1:27" ht="17">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row>
    <row r="752" spans="1:27" ht="17">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row>
    <row r="753" spans="1:27" ht="17">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row>
    <row r="754" spans="1:27" ht="17">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row>
    <row r="755" spans="1:27" ht="17">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row>
    <row r="756" spans="1:27" ht="17">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row>
    <row r="757" spans="1:27" ht="1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row>
    <row r="758" spans="1:27" ht="17">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row>
    <row r="759" spans="1:27" ht="17">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row>
    <row r="760" spans="1:27" ht="17">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row>
    <row r="761" spans="1:27" ht="17">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row>
    <row r="762" spans="1:27" ht="17">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row>
    <row r="763" spans="1:27" ht="17">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row>
    <row r="764" spans="1:27" ht="17">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row>
    <row r="765" spans="1:27" ht="17">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row>
    <row r="766" spans="1:27" ht="17">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row>
    <row r="767" spans="1:27" ht="1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row>
    <row r="768" spans="1:27" ht="17">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row>
    <row r="769" spans="1:27" ht="17">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row>
    <row r="770" spans="1:27" ht="17">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row>
    <row r="771" spans="1:27" ht="17">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row>
    <row r="772" spans="1:27" ht="17">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row>
    <row r="773" spans="1:27" ht="17">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row>
    <row r="774" spans="1:27" ht="17">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row>
    <row r="775" spans="1:27" ht="17">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row>
    <row r="776" spans="1:27" ht="17">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row>
    <row r="777" spans="1:27" ht="1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row>
    <row r="778" spans="1:27" ht="17">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row>
    <row r="779" spans="1:27" ht="17">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row>
    <row r="780" spans="1:27" ht="17">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row>
    <row r="781" spans="1:27" ht="17">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row>
    <row r="782" spans="1:27" ht="17">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row>
    <row r="783" spans="1:27" ht="17">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row>
    <row r="784" spans="1:27" ht="17">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row>
    <row r="785" spans="1:27" ht="17">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row>
    <row r="786" spans="1:27" ht="17">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row>
    <row r="787" spans="1:27" ht="1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row>
    <row r="788" spans="1:27" ht="17">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row>
    <row r="789" spans="1:27" ht="17">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row>
    <row r="790" spans="1:27" ht="17">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row>
    <row r="791" spans="1:27" ht="17">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row>
    <row r="792" spans="1:27" ht="17">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row>
    <row r="793" spans="1:27" ht="17">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row>
    <row r="794" spans="1:27" ht="17">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row>
    <row r="795" spans="1:27" ht="17">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row>
    <row r="796" spans="1:27" ht="17">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row>
    <row r="797" spans="1:27" ht="1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row>
    <row r="798" spans="1:27" ht="17">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row>
    <row r="799" spans="1:27" ht="17">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row>
    <row r="800" spans="1:27" ht="17">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row>
    <row r="801" spans="1:27" ht="17">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row>
    <row r="802" spans="1:27" ht="17">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row>
    <row r="803" spans="1:27" ht="17">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row>
    <row r="804" spans="1:27" ht="17">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row>
    <row r="805" spans="1:27" ht="17">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row>
    <row r="806" spans="1:27" ht="17">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row>
    <row r="807" spans="1:27" ht="1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row>
    <row r="808" spans="1:27" ht="17">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row>
    <row r="809" spans="1:27" ht="17">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row>
    <row r="810" spans="1:27" ht="17">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row>
    <row r="811" spans="1:27" ht="17">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row>
    <row r="812" spans="1:27" ht="17">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row>
    <row r="813" spans="1:27" ht="17">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row>
    <row r="814" spans="1:27" ht="17">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row>
    <row r="815" spans="1:27" ht="17">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row>
    <row r="816" spans="1:27" ht="17">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row>
    <row r="817" spans="1:27" ht="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row>
    <row r="818" spans="1:27" ht="17">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row>
    <row r="819" spans="1:27" ht="17">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row>
    <row r="820" spans="1:27" ht="17">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row>
    <row r="821" spans="1:27" ht="17">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row>
    <row r="822" spans="1:27" ht="17">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row>
    <row r="823" spans="1:27" ht="17">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row>
    <row r="824" spans="1:27" ht="17">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row>
    <row r="825" spans="1:27" ht="17">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row>
    <row r="826" spans="1:27" ht="17">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row>
    <row r="827" spans="1:27" ht="1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row>
    <row r="828" spans="1:27" ht="17">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row>
    <row r="829" spans="1:27" ht="17">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row>
    <row r="830" spans="1:27" ht="17">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row>
    <row r="831" spans="1:27" ht="17">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row>
    <row r="832" spans="1:27" ht="17">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row>
    <row r="833" spans="1:27" ht="17">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row>
    <row r="834" spans="1:27" ht="17">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row>
    <row r="835" spans="1:27" ht="17">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row>
    <row r="836" spans="1:27" ht="17">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row>
    <row r="837" spans="1:27" ht="1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row>
    <row r="838" spans="1:27" ht="17">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row>
    <row r="839" spans="1:27" ht="17">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row>
    <row r="840" spans="1:27" ht="17">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row>
    <row r="841" spans="1:27" ht="17">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row>
    <row r="842" spans="1:27" ht="17">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row>
    <row r="843" spans="1:27" ht="17">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row>
    <row r="844" spans="1:27" ht="17">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row>
    <row r="845" spans="1:27" ht="17">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row>
    <row r="846" spans="1:27" ht="17">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row>
    <row r="847" spans="1:27" ht="1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row>
    <row r="848" spans="1:27" ht="17">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row>
    <row r="849" spans="1:27" ht="17">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row>
    <row r="850" spans="1:27" ht="17">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row>
    <row r="851" spans="1:27" ht="17">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row>
    <row r="852" spans="1:27" ht="17">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row>
    <row r="853" spans="1:27" ht="17">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row>
    <row r="854" spans="1:27" ht="17">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row>
    <row r="855" spans="1:27" ht="17">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row>
    <row r="856" spans="1:27" ht="17">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row>
    <row r="857" spans="1:27" ht="1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row>
    <row r="858" spans="1:27" ht="17">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row>
    <row r="859" spans="1:27" ht="17">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row>
    <row r="860" spans="1:27" ht="17">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row>
    <row r="861" spans="1:27" ht="17">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row>
    <row r="862" spans="1:27" ht="17">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row>
    <row r="863" spans="1:27" ht="17">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row>
    <row r="864" spans="1:27" ht="17">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row>
    <row r="865" spans="1:27" ht="17">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row>
    <row r="866" spans="1:27" ht="17">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row>
    <row r="867" spans="1:27" ht="1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row>
    <row r="868" spans="1:27" ht="17">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row>
    <row r="869" spans="1:27" ht="17">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row>
    <row r="870" spans="1:27" ht="17">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row>
    <row r="871" spans="1:27" ht="17">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row>
    <row r="872" spans="1:27" ht="17">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row>
    <row r="873" spans="1:27" ht="17">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row>
    <row r="874" spans="1:27" ht="17">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row>
    <row r="875" spans="1:27" ht="17">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row>
    <row r="876" spans="1:27" ht="17">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row>
    <row r="877" spans="1:27" ht="1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row>
    <row r="878" spans="1:27" ht="17">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row>
    <row r="879" spans="1:27" ht="17">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row>
    <row r="880" spans="1:27" ht="17">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row>
    <row r="881" spans="1:27" ht="17">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row>
    <row r="882" spans="1:27" ht="17">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row>
    <row r="883" spans="1:27" ht="17">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row>
    <row r="884" spans="1:27" ht="17">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row>
    <row r="885" spans="1:27" ht="17">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row>
    <row r="886" spans="1:27" ht="17">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row>
    <row r="887" spans="1:27" ht="1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row>
    <row r="888" spans="1:27" ht="17">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row>
    <row r="889" spans="1:27" ht="17">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row>
    <row r="890" spans="1:27" ht="17">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row>
    <row r="891" spans="1:27" ht="17">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row>
    <row r="892" spans="1:27" ht="17">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row>
    <row r="893" spans="1:27" ht="17">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row>
    <row r="894" spans="1:27" ht="17">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row>
    <row r="895" spans="1:27" ht="17">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row>
    <row r="896" spans="1:27" ht="17">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row>
    <row r="897" spans="1:27" ht="1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row>
    <row r="898" spans="1:27" ht="17">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row>
    <row r="899" spans="1:27" ht="17">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row>
    <row r="900" spans="1:27" ht="17">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row>
    <row r="901" spans="1:27" ht="17">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row>
    <row r="902" spans="1:27" ht="17">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row>
    <row r="903" spans="1:27" ht="17">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row>
    <row r="904" spans="1:27" ht="17">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row>
    <row r="905" spans="1:27" ht="17">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row>
    <row r="906" spans="1:27" ht="17">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row>
    <row r="907" spans="1:27" ht="1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row>
    <row r="908" spans="1:27" ht="17">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row>
    <row r="909" spans="1:27" ht="17">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row>
    <row r="910" spans="1:27" ht="17">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row>
    <row r="911" spans="1:27" ht="17">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row>
    <row r="912" spans="1:27" ht="17">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row>
    <row r="913" spans="1:27" ht="17">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row>
    <row r="914" spans="1:27" ht="17">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row>
    <row r="915" spans="1:27" ht="17">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row>
    <row r="916" spans="1:27" ht="17">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row>
    <row r="917" spans="1:27" ht="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row>
    <row r="918" spans="1:27" ht="17">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row>
    <row r="919" spans="1:27" ht="17">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row>
    <row r="920" spans="1:27" ht="17">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row>
    <row r="921" spans="1:27" ht="17">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row>
    <row r="922" spans="1:27" ht="17">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row>
    <row r="923" spans="1:27" ht="17">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row>
    <row r="924" spans="1:27" ht="17">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row>
    <row r="925" spans="1:27" ht="17">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row>
    <row r="926" spans="1:27" ht="17">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row>
    <row r="927" spans="1:27" ht="1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row>
    <row r="928" spans="1:27" ht="17">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row>
    <row r="929" spans="1:27" ht="17">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row>
    <row r="930" spans="1:27" ht="17">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row>
    <row r="931" spans="1:27" ht="17">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row>
    <row r="932" spans="1:27" ht="17">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row>
    <row r="933" spans="1:27" ht="17">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row>
    <row r="934" spans="1:27" ht="17">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row>
    <row r="935" spans="1:27" ht="17">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row>
    <row r="936" spans="1:27" ht="17">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row>
    <row r="937" spans="1:27" ht="1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row>
    <row r="938" spans="1:27" ht="17">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row>
    <row r="939" spans="1:27" ht="17">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row>
    <row r="940" spans="1:27" ht="17">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row>
    <row r="941" spans="1:27" ht="17">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row>
    <row r="942" spans="1:27" ht="17">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row>
    <row r="943" spans="1:27" ht="17">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row>
    <row r="944" spans="1:27" ht="17">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row>
    <row r="945" spans="1:27" ht="17">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row>
    <row r="946" spans="1:27" ht="17">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row>
    <row r="947" spans="1:27" ht="1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row>
    <row r="948" spans="1:27" ht="17">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row>
    <row r="949" spans="1:27" ht="17">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row>
    <row r="950" spans="1:27" ht="17">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row>
    <row r="951" spans="1:27" ht="17">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row>
    <row r="952" spans="1:27" ht="17">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row>
    <row r="953" spans="1:27" ht="17">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row>
    <row r="954" spans="1:27" ht="17">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row>
    <row r="955" spans="1:27" ht="17">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row>
    <row r="956" spans="1:27" ht="17">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row>
    <row r="957" spans="1:27" ht="1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row>
    <row r="958" spans="1:27" ht="17">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row>
    <row r="959" spans="1:27" ht="17">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row>
    <row r="960" spans="1:27" ht="17">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row>
    <row r="961" spans="1:27" ht="17">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row>
    <row r="962" spans="1:27" ht="17">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row>
    <row r="963" spans="1:27" ht="17">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row>
    <row r="964" spans="1:27" ht="17">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row>
    <row r="965" spans="1:27" ht="17">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row>
    <row r="966" spans="1:27" ht="17">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row>
    <row r="967" spans="1:27" ht="1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row>
    <row r="968" spans="1:27" ht="17">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row>
    <row r="969" spans="1:27" ht="17">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row>
    <row r="970" spans="1:27" ht="17">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row>
    <row r="971" spans="1:27" ht="17">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row>
    <row r="972" spans="1:27" ht="17">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row>
    <row r="973" spans="1:27" ht="17">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row>
    <row r="974" spans="1:27" ht="17">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row>
    <row r="975" spans="1:27" ht="17">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row>
    <row r="976" spans="1:27" ht="17">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row>
    <row r="977" spans="1:27" ht="1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row>
    <row r="978" spans="1:27" ht="17">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row>
    <row r="979" spans="1:27" ht="17">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row>
    <row r="980" spans="1:27" ht="17">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row>
    <row r="981" spans="1:27" ht="17">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row>
    <row r="982" spans="1:27" ht="17">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row>
    <row r="983" spans="1:27" ht="17">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row>
    <row r="984" spans="1:27" ht="17">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row>
    <row r="985" spans="1:27" ht="17">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row>
    <row r="986" spans="1:27" ht="17">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row>
    <row r="987" spans="1:27" ht="1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row>
    <row r="988" spans="1:27" ht="17">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row>
    <row r="989" spans="1:27" ht="17">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row>
    <row r="990" spans="1:27" ht="17">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row>
    <row r="991" spans="1:27" ht="17">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row>
    <row r="992" spans="1:27" ht="17">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row>
    <row r="993" spans="1:27" ht="17">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row>
    <row r="994" spans="1:27" ht="17">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row>
    <row r="995" spans="1:27" ht="17">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row>
    <row r="996" spans="1:27" ht="17">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row>
    <row r="997" spans="1:27" ht="1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row>
    <row r="998" spans="1:27" ht="17">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row>
    <row r="999" spans="1:27" ht="17">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c r="AA999" s="68"/>
    </row>
    <row r="1000" spans="1:27" ht="17">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row>
    <row r="1001" spans="1:27" ht="17">
      <c r="A1001" s="68"/>
      <c r="B1001" s="68"/>
      <c r="C1001" s="68"/>
      <c r="D1001" s="68"/>
      <c r="E1001" s="68"/>
      <c r="F1001" s="68"/>
      <c r="G1001" s="68"/>
      <c r="H1001" s="68"/>
      <c r="I1001" s="68"/>
      <c r="J1001" s="68"/>
      <c r="K1001" s="68"/>
      <c r="L1001" s="68"/>
      <c r="M1001" s="68"/>
      <c r="N1001" s="68"/>
      <c r="O1001" s="68"/>
      <c r="P1001" s="68"/>
      <c r="Q1001" s="68"/>
      <c r="R1001" s="68"/>
      <c r="S1001" s="68"/>
      <c r="T1001" s="68"/>
      <c r="U1001" s="68"/>
      <c r="V1001" s="68"/>
      <c r="W1001" s="68"/>
      <c r="X1001" s="68"/>
      <c r="Y1001" s="68"/>
      <c r="Z1001" s="68"/>
      <c r="AA1001" s="68"/>
    </row>
  </sheetData>
  <mergeCells count="1">
    <mergeCell ref="B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1:O1000"/>
  <sheetViews>
    <sheetView showGridLines="0" topLeftCell="G1" workbookViewId="0">
      <selection activeCell="R5" sqref="R5"/>
    </sheetView>
  </sheetViews>
  <sheetFormatPr baseColWidth="10" defaultColWidth="12.6640625" defaultRowHeight="15.75" customHeight="1"/>
  <cols>
    <col min="1" max="1" width="12.6640625" style="63"/>
    <col min="2" max="2" width="8.83203125" style="63" customWidth="1"/>
    <col min="3" max="3" width="10.6640625" style="63" customWidth="1"/>
    <col min="4" max="4" width="34.83203125" style="63" bestFit="1" customWidth="1"/>
    <col min="5" max="5" width="17.5" style="63" customWidth="1"/>
    <col min="6" max="6" width="16.83203125" style="63" customWidth="1"/>
    <col min="7" max="7" width="16" style="63" bestFit="1" customWidth="1"/>
    <col min="8" max="8" width="15.83203125" style="63" customWidth="1"/>
    <col min="9" max="9" width="13.33203125" style="63" customWidth="1"/>
    <col min="10" max="10" width="10.6640625" style="63" customWidth="1"/>
    <col min="11" max="11" width="26.6640625" style="63" bestFit="1" customWidth="1"/>
    <col min="12" max="12" width="17.5" style="63" customWidth="1"/>
    <col min="13" max="13" width="15.83203125" style="63" customWidth="1"/>
    <col min="14" max="14" width="16" style="63" bestFit="1" customWidth="1"/>
    <col min="15" max="15" width="5.83203125" style="63" bestFit="1" customWidth="1"/>
    <col min="16" max="16384" width="12.6640625" style="63"/>
  </cols>
  <sheetData>
    <row r="1" spans="2:15" ht="15.75" customHeight="1">
      <c r="D1" s="97"/>
    </row>
    <row r="2" spans="2:15" ht="15.75" customHeight="1">
      <c r="D2" s="97"/>
    </row>
    <row r="3" spans="2:15" ht="17">
      <c r="B3" s="259" t="s">
        <v>220</v>
      </c>
      <c r="C3" s="133"/>
      <c r="D3" s="133"/>
      <c r="E3" s="133"/>
      <c r="F3" s="133"/>
      <c r="G3" s="133"/>
      <c r="H3" s="80"/>
      <c r="I3" s="259" t="s">
        <v>221</v>
      </c>
      <c r="J3" s="133"/>
      <c r="K3" s="133"/>
      <c r="L3" s="133"/>
      <c r="M3" s="133"/>
      <c r="N3" s="133"/>
    </row>
    <row r="4" spans="2:15" ht="17">
      <c r="B4" s="260" t="s">
        <v>152</v>
      </c>
      <c r="C4" s="261" t="s">
        <v>63</v>
      </c>
      <c r="D4" s="261" t="s">
        <v>76</v>
      </c>
      <c r="E4" s="261" t="s">
        <v>222</v>
      </c>
      <c r="F4" s="261" t="s">
        <v>223</v>
      </c>
      <c r="G4" s="261" t="s">
        <v>224</v>
      </c>
      <c r="H4" s="262"/>
      <c r="I4" s="260" t="s">
        <v>152</v>
      </c>
      <c r="J4" s="261" t="s">
        <v>63</v>
      </c>
      <c r="K4" s="261" t="s">
        <v>76</v>
      </c>
      <c r="L4" s="261" t="s">
        <v>222</v>
      </c>
      <c r="M4" s="261" t="s">
        <v>223</v>
      </c>
      <c r="N4" s="261" t="s">
        <v>224</v>
      </c>
      <c r="O4" s="263"/>
    </row>
    <row r="5" spans="2:15" ht="17">
      <c r="B5" s="264">
        <v>2025</v>
      </c>
      <c r="C5" s="265">
        <v>22</v>
      </c>
      <c r="D5" s="266" t="s">
        <v>225</v>
      </c>
      <c r="E5" s="267">
        <v>13800000</v>
      </c>
      <c r="F5" s="267">
        <f t="shared" ref="F5:F43" si="0">E5</f>
        <v>13800000</v>
      </c>
      <c r="G5" s="267">
        <f t="shared" ref="G5:G43" si="1">E5+F5/12</f>
        <v>14950000</v>
      </c>
      <c r="H5" s="268" t="s">
        <v>78</v>
      </c>
      <c r="I5" s="264">
        <v>2025</v>
      </c>
      <c r="J5" s="265">
        <v>22</v>
      </c>
      <c r="K5" s="269" t="s">
        <v>226</v>
      </c>
      <c r="L5" s="267">
        <v>15000000</v>
      </c>
      <c r="M5" s="267">
        <f t="shared" ref="M5:M45" si="2">L5</f>
        <v>15000000</v>
      </c>
      <c r="N5" s="267">
        <f t="shared" ref="N5:N45" si="3">L5+M5/12</f>
        <v>16250000</v>
      </c>
      <c r="O5" s="270" t="s">
        <v>78</v>
      </c>
    </row>
    <row r="6" spans="2:15" ht="17">
      <c r="B6" s="271">
        <f t="shared" ref="B6:C6" si="4">B5+1</f>
        <v>2026</v>
      </c>
      <c r="C6" s="272">
        <f t="shared" si="4"/>
        <v>23</v>
      </c>
      <c r="D6" s="148"/>
      <c r="E6" s="267">
        <v>13800000</v>
      </c>
      <c r="F6" s="267">
        <f t="shared" si="0"/>
        <v>13800000</v>
      </c>
      <c r="G6" s="267">
        <f t="shared" si="1"/>
        <v>14950000</v>
      </c>
      <c r="H6" s="268" t="s">
        <v>78</v>
      </c>
      <c r="I6" s="271">
        <f t="shared" ref="I6:J6" si="5">I5+1</f>
        <v>2026</v>
      </c>
      <c r="J6" s="272">
        <f t="shared" si="5"/>
        <v>23</v>
      </c>
      <c r="K6" s="148"/>
      <c r="L6" s="267">
        <v>15000000</v>
      </c>
      <c r="M6" s="267">
        <f t="shared" si="2"/>
        <v>15000000</v>
      </c>
      <c r="N6" s="267">
        <f t="shared" si="3"/>
        <v>16250000</v>
      </c>
      <c r="O6" s="270" t="s">
        <v>78</v>
      </c>
    </row>
    <row r="7" spans="2:15" ht="17">
      <c r="B7" s="271">
        <f t="shared" ref="B7:C7" si="6">B6+1</f>
        <v>2027</v>
      </c>
      <c r="C7" s="272">
        <f t="shared" si="6"/>
        <v>24</v>
      </c>
      <c r="D7" s="149"/>
      <c r="E7" s="267">
        <v>13800000</v>
      </c>
      <c r="F7" s="267">
        <f t="shared" si="0"/>
        <v>13800000</v>
      </c>
      <c r="G7" s="267">
        <f t="shared" si="1"/>
        <v>14950000</v>
      </c>
      <c r="H7" s="268" t="s">
        <v>78</v>
      </c>
      <c r="I7" s="271">
        <f t="shared" ref="I7:J7" si="7">I6+1</f>
        <v>2027</v>
      </c>
      <c r="J7" s="272">
        <f t="shared" si="7"/>
        <v>24</v>
      </c>
      <c r="K7" s="149"/>
      <c r="L7" s="267">
        <v>15000000</v>
      </c>
      <c r="M7" s="267">
        <f t="shared" si="2"/>
        <v>15000000</v>
      </c>
      <c r="N7" s="267">
        <f t="shared" si="3"/>
        <v>16250000</v>
      </c>
      <c r="O7" s="263"/>
    </row>
    <row r="8" spans="2:15" ht="17">
      <c r="B8" s="264">
        <f t="shared" ref="B8:C8" si="8">B7+1</f>
        <v>2028</v>
      </c>
      <c r="C8" s="265">
        <f t="shared" si="8"/>
        <v>25</v>
      </c>
      <c r="D8" s="266" t="s">
        <v>227</v>
      </c>
      <c r="E8" s="267">
        <v>17600000</v>
      </c>
      <c r="F8" s="267">
        <f t="shared" si="0"/>
        <v>17600000</v>
      </c>
      <c r="G8" s="267">
        <f t="shared" si="1"/>
        <v>19066666.666666668</v>
      </c>
      <c r="H8" s="273"/>
      <c r="I8" s="264">
        <f t="shared" ref="I8:J8" si="9">I7+1</f>
        <v>2028</v>
      </c>
      <c r="J8" s="265">
        <f t="shared" si="9"/>
        <v>25</v>
      </c>
      <c r="K8" s="274" t="s">
        <v>228</v>
      </c>
      <c r="L8" s="267">
        <v>20000000</v>
      </c>
      <c r="M8" s="267">
        <f t="shared" si="2"/>
        <v>20000000</v>
      </c>
      <c r="N8" s="267">
        <f t="shared" si="3"/>
        <v>21666666.666666668</v>
      </c>
      <c r="O8" s="263"/>
    </row>
    <row r="9" spans="2:15" ht="17">
      <c r="B9" s="271">
        <f t="shared" ref="B9:C9" si="10">B8+1</f>
        <v>2029</v>
      </c>
      <c r="C9" s="272">
        <f t="shared" si="10"/>
        <v>26</v>
      </c>
      <c r="D9" s="149"/>
      <c r="E9" s="267">
        <v>17600000</v>
      </c>
      <c r="F9" s="267">
        <f t="shared" si="0"/>
        <v>17600000</v>
      </c>
      <c r="G9" s="267">
        <f t="shared" si="1"/>
        <v>19066666.666666668</v>
      </c>
      <c r="H9" s="273"/>
      <c r="I9" s="271">
        <f t="shared" ref="I9:J9" si="11">I8+1</f>
        <v>2029</v>
      </c>
      <c r="J9" s="272">
        <f t="shared" si="11"/>
        <v>26</v>
      </c>
      <c r="K9" s="148"/>
      <c r="L9" s="267">
        <v>20000000</v>
      </c>
      <c r="M9" s="267">
        <f t="shared" si="2"/>
        <v>20000000</v>
      </c>
      <c r="N9" s="267">
        <f t="shared" si="3"/>
        <v>21666666.666666668</v>
      </c>
    </row>
    <row r="10" spans="2:15" ht="17">
      <c r="B10" s="264">
        <f t="shared" ref="B10:C10" si="12">B9+1</f>
        <v>2030</v>
      </c>
      <c r="C10" s="265">
        <f t="shared" si="12"/>
        <v>27</v>
      </c>
      <c r="D10" s="274" t="s">
        <v>229</v>
      </c>
      <c r="E10" s="267">
        <v>20000000</v>
      </c>
      <c r="F10" s="267">
        <f t="shared" si="0"/>
        <v>20000000</v>
      </c>
      <c r="G10" s="267">
        <f t="shared" si="1"/>
        <v>21666666.666666668</v>
      </c>
      <c r="H10" s="275"/>
      <c r="I10" s="271">
        <f t="shared" ref="I10:J10" si="13">I9+1</f>
        <v>2030</v>
      </c>
      <c r="J10" s="272">
        <f t="shared" si="13"/>
        <v>27</v>
      </c>
      <c r="K10" s="149"/>
      <c r="L10" s="267">
        <v>20000000</v>
      </c>
      <c r="M10" s="267">
        <f t="shared" si="2"/>
        <v>20000000</v>
      </c>
      <c r="N10" s="267">
        <f t="shared" si="3"/>
        <v>21666666.666666668</v>
      </c>
    </row>
    <row r="11" spans="2:15" ht="17">
      <c r="B11" s="271">
        <f t="shared" ref="B11:C11" si="14">B10+1</f>
        <v>2031</v>
      </c>
      <c r="C11" s="272">
        <f t="shared" si="14"/>
        <v>28</v>
      </c>
      <c r="D11" s="148"/>
      <c r="E11" s="267">
        <v>20000000</v>
      </c>
      <c r="F11" s="267">
        <f t="shared" si="0"/>
        <v>20000000</v>
      </c>
      <c r="G11" s="267">
        <f t="shared" si="1"/>
        <v>21666666.666666668</v>
      </c>
      <c r="H11" s="275"/>
      <c r="I11" s="271">
        <f t="shared" ref="I11:J11" si="15">I10+1</f>
        <v>2031</v>
      </c>
      <c r="J11" s="272">
        <f t="shared" si="15"/>
        <v>28</v>
      </c>
      <c r="K11" s="269" t="s">
        <v>230</v>
      </c>
      <c r="L11" s="267">
        <v>25000000</v>
      </c>
      <c r="M11" s="267">
        <f t="shared" si="2"/>
        <v>25000000</v>
      </c>
      <c r="N11" s="267">
        <f t="shared" si="3"/>
        <v>27083333.333333332</v>
      </c>
    </row>
    <row r="12" spans="2:15" ht="17">
      <c r="B12" s="271">
        <f t="shared" ref="B12:C12" si="16">B11+1</f>
        <v>2032</v>
      </c>
      <c r="C12" s="272">
        <f t="shared" si="16"/>
        <v>29</v>
      </c>
      <c r="D12" s="148"/>
      <c r="E12" s="267">
        <v>20000000</v>
      </c>
      <c r="F12" s="267">
        <f t="shared" si="0"/>
        <v>20000000</v>
      </c>
      <c r="G12" s="267">
        <f t="shared" si="1"/>
        <v>21666666.666666668</v>
      </c>
      <c r="H12" s="275"/>
      <c r="I12" s="271">
        <f t="shared" ref="I12:J12" si="17">I11+1</f>
        <v>2032</v>
      </c>
      <c r="J12" s="272">
        <f t="shared" si="17"/>
        <v>29</v>
      </c>
      <c r="K12" s="149"/>
      <c r="L12" s="267">
        <v>25000000</v>
      </c>
      <c r="M12" s="267">
        <f t="shared" si="2"/>
        <v>25000000</v>
      </c>
      <c r="N12" s="267">
        <f t="shared" si="3"/>
        <v>27083333.333333332</v>
      </c>
    </row>
    <row r="13" spans="2:15" ht="17">
      <c r="B13" s="271">
        <f t="shared" ref="B13:C13" si="18">B12+1</f>
        <v>2033</v>
      </c>
      <c r="C13" s="272">
        <f t="shared" si="18"/>
        <v>30</v>
      </c>
      <c r="D13" s="149"/>
      <c r="E13" s="267">
        <v>20000000</v>
      </c>
      <c r="F13" s="267">
        <f t="shared" si="0"/>
        <v>20000000</v>
      </c>
      <c r="G13" s="267">
        <f t="shared" si="1"/>
        <v>21666666.666666668</v>
      </c>
      <c r="H13" s="275"/>
      <c r="I13" s="264">
        <f t="shared" ref="I13:J13" si="19">I12+1</f>
        <v>2033</v>
      </c>
      <c r="J13" s="265">
        <f t="shared" si="19"/>
        <v>30</v>
      </c>
      <c r="K13" s="269" t="s">
        <v>231</v>
      </c>
      <c r="L13" s="267">
        <v>35000000</v>
      </c>
      <c r="M13" s="267">
        <f t="shared" si="2"/>
        <v>35000000</v>
      </c>
      <c r="N13" s="267">
        <f t="shared" si="3"/>
        <v>37916666.666666664</v>
      </c>
    </row>
    <row r="14" spans="2:15" ht="17">
      <c r="B14" s="264">
        <f t="shared" ref="B14:C14" si="20">B13+1</f>
        <v>2034</v>
      </c>
      <c r="C14" s="265">
        <f t="shared" si="20"/>
        <v>31</v>
      </c>
      <c r="D14" s="274" t="s">
        <v>232</v>
      </c>
      <c r="E14" s="267">
        <v>25000000</v>
      </c>
      <c r="F14" s="267">
        <f t="shared" si="0"/>
        <v>25000000</v>
      </c>
      <c r="G14" s="267">
        <f t="shared" si="1"/>
        <v>27083333.333333332</v>
      </c>
      <c r="H14" s="275"/>
      <c r="I14" s="271">
        <f t="shared" ref="I14:J14" si="21">I13+1</f>
        <v>2034</v>
      </c>
      <c r="J14" s="272">
        <f t="shared" si="21"/>
        <v>31</v>
      </c>
      <c r="K14" s="148"/>
      <c r="L14" s="267">
        <v>35000000</v>
      </c>
      <c r="M14" s="267">
        <f t="shared" si="2"/>
        <v>35000000</v>
      </c>
      <c r="N14" s="267">
        <f t="shared" si="3"/>
        <v>37916666.666666664</v>
      </c>
    </row>
    <row r="15" spans="2:15" ht="17">
      <c r="B15" s="271">
        <f t="shared" ref="B15:C15" si="22">B14+1</f>
        <v>2035</v>
      </c>
      <c r="C15" s="272">
        <f t="shared" si="22"/>
        <v>32</v>
      </c>
      <c r="D15" s="148"/>
      <c r="E15" s="267">
        <v>25000000</v>
      </c>
      <c r="F15" s="267">
        <f t="shared" si="0"/>
        <v>25000000</v>
      </c>
      <c r="G15" s="267">
        <f t="shared" si="1"/>
        <v>27083333.333333332</v>
      </c>
      <c r="H15" s="275"/>
      <c r="I15" s="271">
        <f t="shared" ref="I15:J15" si="23">I14+1</f>
        <v>2035</v>
      </c>
      <c r="J15" s="272">
        <f t="shared" si="23"/>
        <v>32</v>
      </c>
      <c r="K15" s="148"/>
      <c r="L15" s="267">
        <v>35000000</v>
      </c>
      <c r="M15" s="267">
        <f t="shared" si="2"/>
        <v>35000000</v>
      </c>
      <c r="N15" s="267">
        <f t="shared" si="3"/>
        <v>37916666.666666664</v>
      </c>
    </row>
    <row r="16" spans="2:15" ht="17">
      <c r="B16" s="271">
        <f t="shared" ref="B16:C16" si="24">B15+1</f>
        <v>2036</v>
      </c>
      <c r="C16" s="272">
        <f t="shared" si="24"/>
        <v>33</v>
      </c>
      <c r="D16" s="149"/>
      <c r="E16" s="267">
        <v>25000000</v>
      </c>
      <c r="F16" s="267">
        <f t="shared" si="0"/>
        <v>25000000</v>
      </c>
      <c r="G16" s="267">
        <f t="shared" si="1"/>
        <v>27083333.333333332</v>
      </c>
      <c r="H16" s="275"/>
      <c r="I16" s="271">
        <f t="shared" ref="I16:J16" si="25">I15+1</f>
        <v>2036</v>
      </c>
      <c r="J16" s="272">
        <f t="shared" si="25"/>
        <v>33</v>
      </c>
      <c r="K16" s="148"/>
      <c r="L16" s="267">
        <v>35000000</v>
      </c>
      <c r="M16" s="267">
        <f t="shared" si="2"/>
        <v>35000000</v>
      </c>
      <c r="N16" s="267">
        <f t="shared" si="3"/>
        <v>37916666.666666664</v>
      </c>
    </row>
    <row r="17" spans="2:14" ht="17">
      <c r="B17" s="264">
        <f t="shared" ref="B17:C17" si="26">B16+1</f>
        <v>2037</v>
      </c>
      <c r="C17" s="265">
        <f t="shared" si="26"/>
        <v>34</v>
      </c>
      <c r="D17" s="276" t="s">
        <v>233</v>
      </c>
      <c r="E17" s="267">
        <v>40000000</v>
      </c>
      <c r="F17" s="267">
        <f t="shared" si="0"/>
        <v>40000000</v>
      </c>
      <c r="G17" s="267">
        <f t="shared" si="1"/>
        <v>43333333.333333336</v>
      </c>
      <c r="H17" s="275"/>
      <c r="I17" s="271">
        <f t="shared" ref="I17:J17" si="27">I16+1</f>
        <v>2037</v>
      </c>
      <c r="J17" s="272">
        <f t="shared" si="27"/>
        <v>34</v>
      </c>
      <c r="K17" s="149"/>
      <c r="L17" s="267">
        <v>35000000</v>
      </c>
      <c r="M17" s="267">
        <f t="shared" si="2"/>
        <v>35000000</v>
      </c>
      <c r="N17" s="267">
        <f t="shared" si="3"/>
        <v>37916666.666666664</v>
      </c>
    </row>
    <row r="18" spans="2:14" ht="17">
      <c r="B18" s="271">
        <f t="shared" ref="B18:C18" si="28">B17+1</f>
        <v>2038</v>
      </c>
      <c r="C18" s="272">
        <f t="shared" si="28"/>
        <v>35</v>
      </c>
      <c r="D18" s="148"/>
      <c r="E18" s="267">
        <v>40000000</v>
      </c>
      <c r="F18" s="267">
        <f t="shared" si="0"/>
        <v>40000000</v>
      </c>
      <c r="G18" s="267">
        <f t="shared" si="1"/>
        <v>43333333.333333336</v>
      </c>
      <c r="H18" s="275"/>
      <c r="I18" s="264">
        <f t="shared" ref="I18:J18" si="29">I17+1</f>
        <v>2038</v>
      </c>
      <c r="J18" s="265">
        <f t="shared" si="29"/>
        <v>35</v>
      </c>
      <c r="K18" s="274" t="s">
        <v>234</v>
      </c>
      <c r="L18" s="267">
        <v>45000000</v>
      </c>
      <c r="M18" s="267">
        <f t="shared" si="2"/>
        <v>45000000</v>
      </c>
      <c r="N18" s="267">
        <f t="shared" si="3"/>
        <v>48750000</v>
      </c>
    </row>
    <row r="19" spans="2:14" ht="17">
      <c r="B19" s="271">
        <f t="shared" ref="B19:C19" si="30">B18+1</f>
        <v>2039</v>
      </c>
      <c r="C19" s="272">
        <f t="shared" si="30"/>
        <v>36</v>
      </c>
      <c r="D19" s="149"/>
      <c r="E19" s="267">
        <v>40000000</v>
      </c>
      <c r="F19" s="267">
        <f t="shared" si="0"/>
        <v>40000000</v>
      </c>
      <c r="G19" s="267">
        <f t="shared" si="1"/>
        <v>43333333.333333336</v>
      </c>
      <c r="H19" s="275"/>
      <c r="I19" s="271">
        <f t="shared" ref="I19:J19" si="31">I18+1</f>
        <v>2039</v>
      </c>
      <c r="J19" s="272">
        <f t="shared" si="31"/>
        <v>36</v>
      </c>
      <c r="K19" s="148"/>
      <c r="L19" s="267">
        <v>45000000</v>
      </c>
      <c r="M19" s="267">
        <f t="shared" si="2"/>
        <v>45000000</v>
      </c>
      <c r="N19" s="267">
        <f t="shared" si="3"/>
        <v>48750000</v>
      </c>
    </row>
    <row r="20" spans="2:14" ht="17">
      <c r="B20" s="264">
        <f t="shared" ref="B20:C20" si="32">B19+1</f>
        <v>2040</v>
      </c>
      <c r="C20" s="265">
        <f t="shared" si="32"/>
        <v>37</v>
      </c>
      <c r="D20" s="266" t="s">
        <v>235</v>
      </c>
      <c r="E20" s="267">
        <v>70000000</v>
      </c>
      <c r="F20" s="267">
        <f t="shared" si="0"/>
        <v>70000000</v>
      </c>
      <c r="G20" s="267">
        <f t="shared" si="1"/>
        <v>75833333.333333328</v>
      </c>
      <c r="H20" s="275"/>
      <c r="I20" s="271">
        <f t="shared" ref="I20:J20" si="33">I19+1</f>
        <v>2040</v>
      </c>
      <c r="J20" s="272">
        <f t="shared" si="33"/>
        <v>37</v>
      </c>
      <c r="K20" s="148"/>
      <c r="L20" s="267">
        <v>45000000</v>
      </c>
      <c r="M20" s="267">
        <f t="shared" si="2"/>
        <v>45000000</v>
      </c>
      <c r="N20" s="267">
        <f t="shared" si="3"/>
        <v>48750000</v>
      </c>
    </row>
    <row r="21" spans="2:14" ht="17">
      <c r="B21" s="271">
        <f t="shared" ref="B21:C21" si="34">B20+1</f>
        <v>2041</v>
      </c>
      <c r="C21" s="272">
        <f t="shared" si="34"/>
        <v>38</v>
      </c>
      <c r="D21" s="148"/>
      <c r="E21" s="267">
        <v>70000000</v>
      </c>
      <c r="F21" s="267">
        <f t="shared" si="0"/>
        <v>70000000</v>
      </c>
      <c r="G21" s="267">
        <f t="shared" si="1"/>
        <v>75833333.333333328</v>
      </c>
      <c r="H21" s="275"/>
      <c r="I21" s="271">
        <f t="shared" ref="I21:J21" si="35">I20+1</f>
        <v>2041</v>
      </c>
      <c r="J21" s="272">
        <f t="shared" si="35"/>
        <v>38</v>
      </c>
      <c r="K21" s="149"/>
      <c r="L21" s="267">
        <v>45000000</v>
      </c>
      <c r="M21" s="267">
        <f t="shared" si="2"/>
        <v>45000000</v>
      </c>
      <c r="N21" s="267">
        <f t="shared" si="3"/>
        <v>48750000</v>
      </c>
    </row>
    <row r="22" spans="2:14" ht="17">
      <c r="B22" s="271">
        <f t="shared" ref="B22:C22" si="36">B21+1</f>
        <v>2042</v>
      </c>
      <c r="C22" s="272">
        <f t="shared" si="36"/>
        <v>39</v>
      </c>
      <c r="D22" s="148"/>
      <c r="E22" s="267">
        <v>70000000</v>
      </c>
      <c r="F22" s="267">
        <f t="shared" si="0"/>
        <v>70000000</v>
      </c>
      <c r="G22" s="267">
        <f t="shared" si="1"/>
        <v>75833333.333333328</v>
      </c>
      <c r="H22" s="275"/>
      <c r="I22" s="264">
        <f t="shared" ref="I22:J22" si="37">I21+1</f>
        <v>2042</v>
      </c>
      <c r="J22" s="265">
        <f t="shared" si="37"/>
        <v>39</v>
      </c>
      <c r="K22" s="266" t="s">
        <v>236</v>
      </c>
      <c r="L22" s="267">
        <v>80000000</v>
      </c>
      <c r="M22" s="267">
        <f t="shared" si="2"/>
        <v>80000000</v>
      </c>
      <c r="N22" s="267">
        <f t="shared" si="3"/>
        <v>86666666.666666672</v>
      </c>
    </row>
    <row r="23" spans="2:14" ht="17">
      <c r="B23" s="271">
        <f t="shared" ref="B23:C23" si="38">B22+1</f>
        <v>2043</v>
      </c>
      <c r="C23" s="272">
        <f t="shared" si="38"/>
        <v>40</v>
      </c>
      <c r="D23" s="148"/>
      <c r="E23" s="267">
        <v>70000000</v>
      </c>
      <c r="F23" s="267">
        <f t="shared" si="0"/>
        <v>70000000</v>
      </c>
      <c r="G23" s="267">
        <f t="shared" si="1"/>
        <v>75833333.333333328</v>
      </c>
      <c r="H23" s="275"/>
      <c r="I23" s="271">
        <f t="shared" ref="I23:J23" si="39">I22+1</f>
        <v>2043</v>
      </c>
      <c r="J23" s="272">
        <f t="shared" si="39"/>
        <v>40</v>
      </c>
      <c r="K23" s="148"/>
      <c r="L23" s="267">
        <v>80000000</v>
      </c>
      <c r="M23" s="267">
        <f t="shared" si="2"/>
        <v>80000000</v>
      </c>
      <c r="N23" s="267">
        <f t="shared" si="3"/>
        <v>86666666.666666672</v>
      </c>
    </row>
    <row r="24" spans="2:14" ht="17">
      <c r="B24" s="271">
        <f t="shared" ref="B24:C24" si="40">B23+1</f>
        <v>2044</v>
      </c>
      <c r="C24" s="272">
        <f t="shared" si="40"/>
        <v>41</v>
      </c>
      <c r="D24" s="148"/>
      <c r="E24" s="267">
        <v>70000000</v>
      </c>
      <c r="F24" s="267">
        <f t="shared" si="0"/>
        <v>70000000</v>
      </c>
      <c r="G24" s="267">
        <f t="shared" si="1"/>
        <v>75833333.333333328</v>
      </c>
      <c r="H24" s="275"/>
      <c r="I24" s="271">
        <f t="shared" ref="I24:J24" si="41">I23+1</f>
        <v>2044</v>
      </c>
      <c r="J24" s="272">
        <f t="shared" si="41"/>
        <v>41</v>
      </c>
      <c r="K24" s="148"/>
      <c r="L24" s="267">
        <v>80000000</v>
      </c>
      <c r="M24" s="267">
        <f t="shared" si="2"/>
        <v>80000000</v>
      </c>
      <c r="N24" s="267">
        <f t="shared" si="3"/>
        <v>86666666.666666672</v>
      </c>
    </row>
    <row r="25" spans="2:14" ht="17">
      <c r="B25" s="271">
        <f t="shared" ref="B25:C25" si="42">B24+1</f>
        <v>2045</v>
      </c>
      <c r="C25" s="272">
        <f t="shared" si="42"/>
        <v>42</v>
      </c>
      <c r="D25" s="148"/>
      <c r="E25" s="267">
        <v>70000000</v>
      </c>
      <c r="F25" s="267">
        <f t="shared" si="0"/>
        <v>70000000</v>
      </c>
      <c r="G25" s="267">
        <f t="shared" si="1"/>
        <v>75833333.333333328</v>
      </c>
      <c r="H25" s="275"/>
      <c r="I25" s="271">
        <f t="shared" ref="I25:J25" si="43">I24+1</f>
        <v>2045</v>
      </c>
      <c r="J25" s="272">
        <f t="shared" si="43"/>
        <v>42</v>
      </c>
      <c r="K25" s="148"/>
      <c r="L25" s="267">
        <v>80000000</v>
      </c>
      <c r="M25" s="267">
        <f t="shared" si="2"/>
        <v>80000000</v>
      </c>
      <c r="N25" s="267">
        <f t="shared" si="3"/>
        <v>86666666.666666672</v>
      </c>
    </row>
    <row r="26" spans="2:14" ht="17">
      <c r="B26" s="271">
        <f t="shared" ref="B26:C26" si="44">B25+1</f>
        <v>2046</v>
      </c>
      <c r="C26" s="272">
        <f t="shared" si="44"/>
        <v>43</v>
      </c>
      <c r="D26" s="148"/>
      <c r="E26" s="267">
        <v>70000000</v>
      </c>
      <c r="F26" s="267">
        <f t="shared" si="0"/>
        <v>70000000</v>
      </c>
      <c r="G26" s="267">
        <f t="shared" si="1"/>
        <v>75833333.333333328</v>
      </c>
      <c r="H26" s="275"/>
      <c r="I26" s="271">
        <f t="shared" ref="I26:J26" si="45">I25+1</f>
        <v>2046</v>
      </c>
      <c r="J26" s="272">
        <f t="shared" si="45"/>
        <v>43</v>
      </c>
      <c r="K26" s="148"/>
      <c r="L26" s="267">
        <v>80000000</v>
      </c>
      <c r="M26" s="267">
        <f t="shared" si="2"/>
        <v>80000000</v>
      </c>
      <c r="N26" s="267">
        <f t="shared" si="3"/>
        <v>86666666.666666672</v>
      </c>
    </row>
    <row r="27" spans="2:14" ht="17">
      <c r="B27" s="271">
        <f t="shared" ref="B27:C27" si="46">B26+1</f>
        <v>2047</v>
      </c>
      <c r="C27" s="272">
        <f t="shared" si="46"/>
        <v>44</v>
      </c>
      <c r="D27" s="148"/>
      <c r="E27" s="267">
        <v>70000000</v>
      </c>
      <c r="F27" s="267">
        <f t="shared" si="0"/>
        <v>70000000</v>
      </c>
      <c r="G27" s="267">
        <f t="shared" si="1"/>
        <v>75833333.333333328</v>
      </c>
      <c r="H27" s="275"/>
      <c r="I27" s="271">
        <f t="shared" ref="I27:J27" si="47">I26+1</f>
        <v>2047</v>
      </c>
      <c r="J27" s="272">
        <f t="shared" si="47"/>
        <v>44</v>
      </c>
      <c r="K27" s="148"/>
      <c r="L27" s="267">
        <v>80000000</v>
      </c>
      <c r="M27" s="267">
        <f t="shared" si="2"/>
        <v>80000000</v>
      </c>
      <c r="N27" s="267">
        <f t="shared" si="3"/>
        <v>86666666.666666672</v>
      </c>
    </row>
    <row r="28" spans="2:14" ht="17">
      <c r="B28" s="271">
        <f t="shared" ref="B28:C28" si="48">B27+1</f>
        <v>2048</v>
      </c>
      <c r="C28" s="272">
        <f t="shared" si="48"/>
        <v>45</v>
      </c>
      <c r="D28" s="148"/>
      <c r="E28" s="267">
        <v>70000000</v>
      </c>
      <c r="F28" s="267">
        <f t="shared" si="0"/>
        <v>70000000</v>
      </c>
      <c r="G28" s="267">
        <f t="shared" si="1"/>
        <v>75833333.333333328</v>
      </c>
      <c r="H28" s="275"/>
      <c r="I28" s="271">
        <f t="shared" ref="I28:J28" si="49">I27+1</f>
        <v>2048</v>
      </c>
      <c r="J28" s="272">
        <f t="shared" si="49"/>
        <v>45</v>
      </c>
      <c r="K28" s="148"/>
      <c r="L28" s="267">
        <v>80000000</v>
      </c>
      <c r="M28" s="267">
        <f t="shared" si="2"/>
        <v>80000000</v>
      </c>
      <c r="N28" s="267">
        <f t="shared" si="3"/>
        <v>86666666.666666672</v>
      </c>
    </row>
    <row r="29" spans="2:14" ht="17">
      <c r="B29" s="271">
        <f t="shared" ref="B29:C29" si="50">B28+1</f>
        <v>2049</v>
      </c>
      <c r="C29" s="272">
        <f t="shared" si="50"/>
        <v>46</v>
      </c>
      <c r="D29" s="148"/>
      <c r="E29" s="267">
        <v>70000000</v>
      </c>
      <c r="F29" s="267">
        <f t="shared" si="0"/>
        <v>70000000</v>
      </c>
      <c r="G29" s="267">
        <f t="shared" si="1"/>
        <v>75833333.333333328</v>
      </c>
      <c r="H29" s="275"/>
      <c r="I29" s="271">
        <f t="shared" ref="I29:J29" si="51">I28+1</f>
        <v>2049</v>
      </c>
      <c r="J29" s="272">
        <f t="shared" si="51"/>
        <v>46</v>
      </c>
      <c r="K29" s="148"/>
      <c r="L29" s="267">
        <v>80000000</v>
      </c>
      <c r="M29" s="267">
        <f t="shared" si="2"/>
        <v>80000000</v>
      </c>
      <c r="N29" s="267">
        <f t="shared" si="3"/>
        <v>86666666.666666672</v>
      </c>
    </row>
    <row r="30" spans="2:14" ht="17">
      <c r="B30" s="271">
        <f t="shared" ref="B30:C30" si="52">B29+1</f>
        <v>2050</v>
      </c>
      <c r="C30" s="272">
        <f t="shared" si="52"/>
        <v>47</v>
      </c>
      <c r="D30" s="148"/>
      <c r="E30" s="267">
        <v>70000000</v>
      </c>
      <c r="F30" s="267">
        <f t="shared" si="0"/>
        <v>70000000</v>
      </c>
      <c r="G30" s="267">
        <f t="shared" si="1"/>
        <v>75833333.333333328</v>
      </c>
      <c r="H30" s="275"/>
      <c r="I30" s="271">
        <f t="shared" ref="I30:J30" si="53">I29+1</f>
        <v>2050</v>
      </c>
      <c r="J30" s="272">
        <f t="shared" si="53"/>
        <v>47</v>
      </c>
      <c r="K30" s="148"/>
      <c r="L30" s="267">
        <v>80000000</v>
      </c>
      <c r="M30" s="267">
        <f t="shared" si="2"/>
        <v>80000000</v>
      </c>
      <c r="N30" s="267">
        <f t="shared" si="3"/>
        <v>86666666.666666672</v>
      </c>
    </row>
    <row r="31" spans="2:14" ht="17">
      <c r="B31" s="271">
        <f t="shared" ref="B31:C31" si="54">B30+1</f>
        <v>2051</v>
      </c>
      <c r="C31" s="272">
        <f t="shared" si="54"/>
        <v>48</v>
      </c>
      <c r="D31" s="148"/>
      <c r="E31" s="267">
        <v>70000000</v>
      </c>
      <c r="F31" s="267">
        <f t="shared" si="0"/>
        <v>70000000</v>
      </c>
      <c r="G31" s="267">
        <f t="shared" si="1"/>
        <v>75833333.333333328</v>
      </c>
      <c r="H31" s="275"/>
      <c r="I31" s="271">
        <f t="shared" ref="I31:J31" si="55">I30+1</f>
        <v>2051</v>
      </c>
      <c r="J31" s="272">
        <f t="shared" si="55"/>
        <v>48</v>
      </c>
      <c r="K31" s="148"/>
      <c r="L31" s="267">
        <v>80000000</v>
      </c>
      <c r="M31" s="267">
        <f t="shared" si="2"/>
        <v>80000000</v>
      </c>
      <c r="N31" s="267">
        <f t="shared" si="3"/>
        <v>86666666.666666672</v>
      </c>
    </row>
    <row r="32" spans="2:14" ht="17">
      <c r="B32" s="271">
        <f t="shared" ref="B32:C32" si="56">B31+1</f>
        <v>2052</v>
      </c>
      <c r="C32" s="272">
        <f t="shared" si="56"/>
        <v>49</v>
      </c>
      <c r="D32" s="148"/>
      <c r="E32" s="267">
        <v>70000000</v>
      </c>
      <c r="F32" s="267">
        <f t="shared" si="0"/>
        <v>70000000</v>
      </c>
      <c r="G32" s="267">
        <f t="shared" si="1"/>
        <v>75833333.333333328</v>
      </c>
      <c r="H32" s="275"/>
      <c r="I32" s="271">
        <f t="shared" ref="I32:J32" si="57">I31+1</f>
        <v>2052</v>
      </c>
      <c r="J32" s="272">
        <f t="shared" si="57"/>
        <v>49</v>
      </c>
      <c r="K32" s="148"/>
      <c r="L32" s="267">
        <v>80000000</v>
      </c>
      <c r="M32" s="267">
        <f t="shared" si="2"/>
        <v>80000000</v>
      </c>
      <c r="N32" s="267">
        <f t="shared" si="3"/>
        <v>86666666.666666672</v>
      </c>
    </row>
    <row r="33" spans="2:14" ht="17">
      <c r="B33" s="271">
        <f t="shared" ref="B33:C33" si="58">B32+1</f>
        <v>2053</v>
      </c>
      <c r="C33" s="272">
        <f t="shared" si="58"/>
        <v>50</v>
      </c>
      <c r="D33" s="148"/>
      <c r="E33" s="267">
        <v>70000000</v>
      </c>
      <c r="F33" s="267">
        <f t="shared" si="0"/>
        <v>70000000</v>
      </c>
      <c r="G33" s="267">
        <f t="shared" si="1"/>
        <v>75833333.333333328</v>
      </c>
      <c r="H33" s="275"/>
      <c r="I33" s="271">
        <f t="shared" ref="I33:J33" si="59">I32+1</f>
        <v>2053</v>
      </c>
      <c r="J33" s="272">
        <f t="shared" si="59"/>
        <v>50</v>
      </c>
      <c r="K33" s="148"/>
      <c r="L33" s="267">
        <v>80000000</v>
      </c>
      <c r="M33" s="267">
        <f t="shared" si="2"/>
        <v>80000000</v>
      </c>
      <c r="N33" s="267">
        <f t="shared" si="3"/>
        <v>86666666.666666672</v>
      </c>
    </row>
    <row r="34" spans="2:14" ht="17">
      <c r="B34" s="271">
        <f t="shared" ref="B34:C34" si="60">B33+1</f>
        <v>2054</v>
      </c>
      <c r="C34" s="272">
        <f t="shared" si="60"/>
        <v>51</v>
      </c>
      <c r="D34" s="148"/>
      <c r="E34" s="267">
        <v>70000000</v>
      </c>
      <c r="F34" s="267">
        <f t="shared" si="0"/>
        <v>70000000</v>
      </c>
      <c r="G34" s="267">
        <f t="shared" si="1"/>
        <v>75833333.333333328</v>
      </c>
      <c r="H34" s="275"/>
      <c r="I34" s="271">
        <f t="shared" ref="I34:J34" si="61">I33+1</f>
        <v>2054</v>
      </c>
      <c r="J34" s="272">
        <f t="shared" si="61"/>
        <v>51</v>
      </c>
      <c r="K34" s="148"/>
      <c r="L34" s="267">
        <v>80000000</v>
      </c>
      <c r="M34" s="267">
        <f t="shared" si="2"/>
        <v>80000000</v>
      </c>
      <c r="N34" s="267">
        <f t="shared" si="3"/>
        <v>86666666.666666672</v>
      </c>
    </row>
    <row r="35" spans="2:14" ht="17">
      <c r="B35" s="271">
        <f t="shared" ref="B35:C35" si="62">B34+1</f>
        <v>2055</v>
      </c>
      <c r="C35" s="272">
        <f t="shared" si="62"/>
        <v>52</v>
      </c>
      <c r="D35" s="148"/>
      <c r="E35" s="267">
        <v>70000000</v>
      </c>
      <c r="F35" s="267">
        <f t="shared" si="0"/>
        <v>70000000</v>
      </c>
      <c r="G35" s="267">
        <f t="shared" si="1"/>
        <v>75833333.333333328</v>
      </c>
      <c r="H35" s="275"/>
      <c r="I35" s="271">
        <f t="shared" ref="I35:J35" si="63">I34+1</f>
        <v>2055</v>
      </c>
      <c r="J35" s="272">
        <f t="shared" si="63"/>
        <v>52</v>
      </c>
      <c r="K35" s="148"/>
      <c r="L35" s="267">
        <v>80000000</v>
      </c>
      <c r="M35" s="267">
        <f t="shared" si="2"/>
        <v>80000000</v>
      </c>
      <c r="N35" s="267">
        <f t="shared" si="3"/>
        <v>86666666.666666672</v>
      </c>
    </row>
    <row r="36" spans="2:14" ht="17">
      <c r="B36" s="271">
        <f t="shared" ref="B36:C36" si="64">B35+1</f>
        <v>2056</v>
      </c>
      <c r="C36" s="272">
        <f t="shared" si="64"/>
        <v>53</v>
      </c>
      <c r="D36" s="148"/>
      <c r="E36" s="267">
        <v>70000000</v>
      </c>
      <c r="F36" s="267">
        <f t="shared" si="0"/>
        <v>70000000</v>
      </c>
      <c r="G36" s="267">
        <f t="shared" si="1"/>
        <v>75833333.333333328</v>
      </c>
      <c r="H36" s="275"/>
      <c r="I36" s="271">
        <f t="shared" ref="I36:J36" si="65">I35+1</f>
        <v>2056</v>
      </c>
      <c r="J36" s="272">
        <f t="shared" si="65"/>
        <v>53</v>
      </c>
      <c r="K36" s="148"/>
      <c r="L36" s="267">
        <v>80000000</v>
      </c>
      <c r="M36" s="267">
        <f t="shared" si="2"/>
        <v>80000000</v>
      </c>
      <c r="N36" s="267">
        <f t="shared" si="3"/>
        <v>86666666.666666672</v>
      </c>
    </row>
    <row r="37" spans="2:14" ht="17">
      <c r="B37" s="271">
        <f t="shared" ref="B37:C37" si="66">B36+1</f>
        <v>2057</v>
      </c>
      <c r="C37" s="272">
        <f t="shared" si="66"/>
        <v>54</v>
      </c>
      <c r="D37" s="148"/>
      <c r="E37" s="267">
        <v>70000000</v>
      </c>
      <c r="F37" s="267">
        <f t="shared" si="0"/>
        <v>70000000</v>
      </c>
      <c r="G37" s="267">
        <f t="shared" si="1"/>
        <v>75833333.333333328</v>
      </c>
      <c r="H37" s="275"/>
      <c r="I37" s="271">
        <f t="shared" ref="I37:J37" si="67">I36+1</f>
        <v>2057</v>
      </c>
      <c r="J37" s="272">
        <f t="shared" si="67"/>
        <v>54</v>
      </c>
      <c r="K37" s="148"/>
      <c r="L37" s="267">
        <v>80000000</v>
      </c>
      <c r="M37" s="267">
        <f t="shared" si="2"/>
        <v>80000000</v>
      </c>
      <c r="N37" s="267">
        <f t="shared" si="3"/>
        <v>86666666.666666672</v>
      </c>
    </row>
    <row r="38" spans="2:14" ht="17">
      <c r="B38" s="271">
        <f t="shared" ref="B38:C38" si="68">B37+1</f>
        <v>2058</v>
      </c>
      <c r="C38" s="272">
        <f t="shared" si="68"/>
        <v>55</v>
      </c>
      <c r="D38" s="148"/>
      <c r="E38" s="267">
        <v>70000000</v>
      </c>
      <c r="F38" s="267">
        <f t="shared" si="0"/>
        <v>70000000</v>
      </c>
      <c r="G38" s="267">
        <f t="shared" si="1"/>
        <v>75833333.333333328</v>
      </c>
      <c r="H38" s="277"/>
      <c r="I38" s="271">
        <f t="shared" ref="I38:J38" si="69">I37+1</f>
        <v>2058</v>
      </c>
      <c r="J38" s="272">
        <f t="shared" si="69"/>
        <v>55</v>
      </c>
      <c r="K38" s="148"/>
      <c r="L38" s="267">
        <v>80000000</v>
      </c>
      <c r="M38" s="267">
        <f t="shared" si="2"/>
        <v>80000000</v>
      </c>
      <c r="N38" s="278">
        <f t="shared" si="3"/>
        <v>86666666.666666672</v>
      </c>
    </row>
    <row r="39" spans="2:14" ht="17">
      <c r="B39" s="271">
        <f t="shared" ref="B39:C39" si="70">B38+1</f>
        <v>2059</v>
      </c>
      <c r="C39" s="272">
        <f t="shared" si="70"/>
        <v>56</v>
      </c>
      <c r="D39" s="148"/>
      <c r="E39" s="267">
        <v>70000000</v>
      </c>
      <c r="F39" s="267">
        <f t="shared" si="0"/>
        <v>70000000</v>
      </c>
      <c r="G39" s="267">
        <f t="shared" si="1"/>
        <v>75833333.333333328</v>
      </c>
      <c r="H39" s="277"/>
      <c r="I39" s="271">
        <f t="shared" ref="I39:J39" si="71">I38+1</f>
        <v>2059</v>
      </c>
      <c r="J39" s="272">
        <f t="shared" si="71"/>
        <v>56</v>
      </c>
      <c r="K39" s="148"/>
      <c r="L39" s="267">
        <v>80000000</v>
      </c>
      <c r="M39" s="267">
        <f t="shared" si="2"/>
        <v>80000000</v>
      </c>
      <c r="N39" s="278">
        <f t="shared" si="3"/>
        <v>86666666.666666672</v>
      </c>
    </row>
    <row r="40" spans="2:14" ht="17">
      <c r="B40" s="271">
        <f t="shared" ref="B40:C40" si="72">B39+1</f>
        <v>2060</v>
      </c>
      <c r="C40" s="272">
        <f t="shared" si="72"/>
        <v>57</v>
      </c>
      <c r="D40" s="148"/>
      <c r="E40" s="267">
        <v>70000000</v>
      </c>
      <c r="F40" s="267">
        <f t="shared" si="0"/>
        <v>70000000</v>
      </c>
      <c r="G40" s="267">
        <f t="shared" si="1"/>
        <v>75833333.333333328</v>
      </c>
      <c r="H40" s="277"/>
      <c r="I40" s="271">
        <f t="shared" ref="I40:J40" si="73">I39+1</f>
        <v>2060</v>
      </c>
      <c r="J40" s="272">
        <f t="shared" si="73"/>
        <v>57</v>
      </c>
      <c r="K40" s="148"/>
      <c r="L40" s="267">
        <v>80000000</v>
      </c>
      <c r="M40" s="267">
        <f t="shared" si="2"/>
        <v>80000000</v>
      </c>
      <c r="N40" s="278">
        <f t="shared" si="3"/>
        <v>86666666.666666672</v>
      </c>
    </row>
    <row r="41" spans="2:14" ht="17">
      <c r="B41" s="271">
        <f t="shared" ref="B41:C41" si="74">B40+1</f>
        <v>2061</v>
      </c>
      <c r="C41" s="272">
        <f t="shared" si="74"/>
        <v>58</v>
      </c>
      <c r="D41" s="148"/>
      <c r="E41" s="267">
        <v>70000000</v>
      </c>
      <c r="F41" s="267">
        <f t="shared" si="0"/>
        <v>70000000</v>
      </c>
      <c r="G41" s="267">
        <f t="shared" si="1"/>
        <v>75833333.333333328</v>
      </c>
      <c r="H41" s="277"/>
      <c r="I41" s="271">
        <f t="shared" ref="I41:J41" si="75">I40+1</f>
        <v>2061</v>
      </c>
      <c r="J41" s="272">
        <f t="shared" si="75"/>
        <v>58</v>
      </c>
      <c r="K41" s="148"/>
      <c r="L41" s="267">
        <v>80000000</v>
      </c>
      <c r="M41" s="267">
        <f t="shared" si="2"/>
        <v>80000000</v>
      </c>
      <c r="N41" s="278">
        <f t="shared" si="3"/>
        <v>86666666.666666672</v>
      </c>
    </row>
    <row r="42" spans="2:14" ht="17">
      <c r="B42" s="271">
        <f t="shared" ref="B42:C42" si="76">B41+1</f>
        <v>2062</v>
      </c>
      <c r="C42" s="272">
        <f t="shared" si="76"/>
        <v>59</v>
      </c>
      <c r="D42" s="148"/>
      <c r="E42" s="267">
        <v>70000000</v>
      </c>
      <c r="F42" s="267">
        <f t="shared" si="0"/>
        <v>70000000</v>
      </c>
      <c r="G42" s="267">
        <f t="shared" si="1"/>
        <v>75833333.333333328</v>
      </c>
      <c r="I42" s="271">
        <f t="shared" ref="I42:J42" si="77">I41+1</f>
        <v>2062</v>
      </c>
      <c r="J42" s="272">
        <f t="shared" si="77"/>
        <v>59</v>
      </c>
      <c r="K42" s="148"/>
      <c r="L42" s="267">
        <v>80000000</v>
      </c>
      <c r="M42" s="267">
        <f t="shared" si="2"/>
        <v>80000000</v>
      </c>
      <c r="N42" s="278">
        <f t="shared" si="3"/>
        <v>86666666.666666672</v>
      </c>
    </row>
    <row r="43" spans="2:14" ht="17">
      <c r="B43" s="271">
        <f t="shared" ref="B43:C43" si="78">B42+1</f>
        <v>2063</v>
      </c>
      <c r="C43" s="272">
        <f t="shared" si="78"/>
        <v>60</v>
      </c>
      <c r="D43" s="149"/>
      <c r="E43" s="267">
        <v>70000000</v>
      </c>
      <c r="F43" s="267">
        <f t="shared" si="0"/>
        <v>70000000</v>
      </c>
      <c r="G43" s="267">
        <f t="shared" si="1"/>
        <v>75833333.333333328</v>
      </c>
      <c r="I43" s="271">
        <f t="shared" ref="I43:J43" si="79">I42+1</f>
        <v>2063</v>
      </c>
      <c r="J43" s="272">
        <f t="shared" si="79"/>
        <v>60</v>
      </c>
      <c r="K43" s="148"/>
      <c r="L43" s="267">
        <v>80000000</v>
      </c>
      <c r="M43" s="267">
        <f t="shared" si="2"/>
        <v>80000000</v>
      </c>
      <c r="N43" s="278">
        <f t="shared" si="3"/>
        <v>86666666.666666672</v>
      </c>
    </row>
    <row r="44" spans="2:14" ht="17">
      <c r="D44" s="97"/>
      <c r="I44" s="271">
        <f t="shared" ref="I44:J44" si="80">I43+1</f>
        <v>2064</v>
      </c>
      <c r="J44" s="272">
        <f t="shared" si="80"/>
        <v>61</v>
      </c>
      <c r="K44" s="148"/>
      <c r="L44" s="267">
        <v>80000000</v>
      </c>
      <c r="M44" s="267">
        <f t="shared" si="2"/>
        <v>80000000</v>
      </c>
      <c r="N44" s="278">
        <f t="shared" si="3"/>
        <v>86666666.666666672</v>
      </c>
    </row>
    <row r="45" spans="2:14" ht="17">
      <c r="D45" s="97"/>
      <c r="I45" s="271">
        <f t="shared" ref="I45:J45" si="81">I44+1</f>
        <v>2065</v>
      </c>
      <c r="J45" s="272">
        <f t="shared" si="81"/>
        <v>62</v>
      </c>
      <c r="K45" s="149"/>
      <c r="L45" s="267">
        <v>80000000</v>
      </c>
      <c r="M45" s="267">
        <f t="shared" si="2"/>
        <v>80000000</v>
      </c>
      <c r="N45" s="278">
        <f t="shared" si="3"/>
        <v>86666666.666666672</v>
      </c>
    </row>
    <row r="46" spans="2:14" ht="15.75" customHeight="1">
      <c r="D46" s="97"/>
    </row>
    <row r="47" spans="2:14" ht="15.75" customHeight="1">
      <c r="D47" s="97"/>
    </row>
    <row r="48" spans="2:14" ht="15.75" customHeight="1">
      <c r="D48" s="97"/>
    </row>
    <row r="49" spans="4:4" ht="15.75" customHeight="1">
      <c r="D49" s="97"/>
    </row>
    <row r="50" spans="4:4" ht="15.75" customHeight="1">
      <c r="D50" s="97"/>
    </row>
    <row r="51" spans="4:4" ht="17">
      <c r="D51" s="97"/>
    </row>
    <row r="52" spans="4:4" ht="17">
      <c r="D52" s="97"/>
    </row>
    <row r="53" spans="4:4" ht="17">
      <c r="D53" s="97"/>
    </row>
    <row r="54" spans="4:4" ht="17">
      <c r="D54" s="97"/>
    </row>
    <row r="55" spans="4:4" ht="17">
      <c r="D55" s="97"/>
    </row>
    <row r="56" spans="4:4" ht="17">
      <c r="D56" s="97"/>
    </row>
    <row r="57" spans="4:4" ht="17">
      <c r="D57" s="97"/>
    </row>
    <row r="58" spans="4:4" ht="17">
      <c r="D58" s="97"/>
    </row>
    <row r="59" spans="4:4" ht="17">
      <c r="D59" s="97"/>
    </row>
    <row r="60" spans="4:4" ht="17">
      <c r="D60" s="97"/>
    </row>
    <row r="61" spans="4:4" ht="17">
      <c r="D61" s="97"/>
    </row>
    <row r="62" spans="4:4" ht="17">
      <c r="D62" s="97"/>
    </row>
    <row r="63" spans="4:4" ht="17">
      <c r="D63" s="97"/>
    </row>
    <row r="64" spans="4:4" ht="17">
      <c r="D64" s="97"/>
    </row>
    <row r="65" spans="4:4" ht="17">
      <c r="D65" s="97"/>
    </row>
    <row r="66" spans="4:4" ht="17">
      <c r="D66" s="97"/>
    </row>
    <row r="67" spans="4:4" ht="17">
      <c r="D67" s="97"/>
    </row>
    <row r="68" spans="4:4" ht="17">
      <c r="D68" s="97"/>
    </row>
    <row r="69" spans="4:4" ht="17">
      <c r="D69" s="97"/>
    </row>
    <row r="70" spans="4:4" ht="17">
      <c r="D70" s="97"/>
    </row>
    <row r="71" spans="4:4" ht="17">
      <c r="D71" s="97"/>
    </row>
    <row r="72" spans="4:4" ht="17">
      <c r="D72" s="97"/>
    </row>
    <row r="73" spans="4:4" ht="17">
      <c r="D73" s="97"/>
    </row>
    <row r="74" spans="4:4" ht="17">
      <c r="D74" s="97"/>
    </row>
    <row r="75" spans="4:4" ht="17">
      <c r="D75" s="97"/>
    </row>
    <row r="76" spans="4:4" ht="17">
      <c r="D76" s="97"/>
    </row>
    <row r="77" spans="4:4" ht="17">
      <c r="D77" s="97"/>
    </row>
    <row r="78" spans="4:4" ht="17">
      <c r="D78" s="97"/>
    </row>
    <row r="79" spans="4:4" ht="17">
      <c r="D79" s="97"/>
    </row>
    <row r="80" spans="4:4" ht="17">
      <c r="D80" s="97"/>
    </row>
    <row r="81" spans="4:4" ht="17">
      <c r="D81" s="97"/>
    </row>
    <row r="82" spans="4:4" ht="17">
      <c r="D82" s="97"/>
    </row>
    <row r="83" spans="4:4" ht="17">
      <c r="D83" s="97"/>
    </row>
    <row r="84" spans="4:4" ht="17">
      <c r="D84" s="97"/>
    </row>
    <row r="85" spans="4:4" ht="17">
      <c r="D85" s="97"/>
    </row>
    <row r="86" spans="4:4" ht="17">
      <c r="D86" s="97"/>
    </row>
    <row r="87" spans="4:4" ht="17">
      <c r="D87" s="97"/>
    </row>
    <row r="88" spans="4:4" ht="17">
      <c r="D88" s="97"/>
    </row>
    <row r="89" spans="4:4" ht="17">
      <c r="D89" s="97"/>
    </row>
    <row r="90" spans="4:4" ht="17">
      <c r="D90" s="97"/>
    </row>
    <row r="91" spans="4:4" ht="17">
      <c r="D91" s="97"/>
    </row>
    <row r="92" spans="4:4" ht="17">
      <c r="D92" s="97"/>
    </row>
    <row r="93" spans="4:4" ht="17">
      <c r="D93" s="97"/>
    </row>
    <row r="94" spans="4:4" ht="17">
      <c r="D94" s="97"/>
    </row>
    <row r="95" spans="4:4" ht="17">
      <c r="D95" s="97"/>
    </row>
    <row r="96" spans="4:4" ht="17">
      <c r="D96" s="97"/>
    </row>
    <row r="97" spans="4:4" ht="17">
      <c r="D97" s="97"/>
    </row>
    <row r="98" spans="4:4" ht="17">
      <c r="D98" s="97"/>
    </row>
    <row r="99" spans="4:4" ht="17">
      <c r="D99" s="97"/>
    </row>
    <row r="100" spans="4:4" ht="17">
      <c r="D100" s="97"/>
    </row>
    <row r="101" spans="4:4" ht="17">
      <c r="D101" s="97"/>
    </row>
    <row r="102" spans="4:4" ht="17">
      <c r="D102" s="97"/>
    </row>
    <row r="103" spans="4:4" ht="17">
      <c r="D103" s="97"/>
    </row>
    <row r="104" spans="4:4" ht="17">
      <c r="D104" s="97"/>
    </row>
    <row r="105" spans="4:4" ht="17">
      <c r="D105" s="97"/>
    </row>
    <row r="106" spans="4:4" ht="17">
      <c r="D106" s="97"/>
    </row>
    <row r="107" spans="4:4" ht="17">
      <c r="D107" s="97"/>
    </row>
    <row r="108" spans="4:4" ht="17">
      <c r="D108" s="97"/>
    </row>
    <row r="109" spans="4:4" ht="17">
      <c r="D109" s="97"/>
    </row>
    <row r="110" spans="4:4" ht="17">
      <c r="D110" s="97"/>
    </row>
    <row r="111" spans="4:4" ht="17">
      <c r="D111" s="97"/>
    </row>
    <row r="112" spans="4:4" ht="17">
      <c r="D112" s="97"/>
    </row>
    <row r="113" spans="4:4" ht="17">
      <c r="D113" s="97"/>
    </row>
    <row r="114" spans="4:4" ht="17">
      <c r="D114" s="97"/>
    </row>
    <row r="115" spans="4:4" ht="17">
      <c r="D115" s="97"/>
    </row>
    <row r="116" spans="4:4" ht="17">
      <c r="D116" s="97"/>
    </row>
    <row r="117" spans="4:4" ht="17">
      <c r="D117" s="97"/>
    </row>
    <row r="118" spans="4:4" ht="17">
      <c r="D118" s="97"/>
    </row>
    <row r="119" spans="4:4" ht="17">
      <c r="D119" s="97"/>
    </row>
    <row r="120" spans="4:4" ht="17">
      <c r="D120" s="97"/>
    </row>
    <row r="121" spans="4:4" ht="17">
      <c r="D121" s="97"/>
    </row>
    <row r="122" spans="4:4" ht="17">
      <c r="D122" s="97"/>
    </row>
    <row r="123" spans="4:4" ht="17">
      <c r="D123" s="97"/>
    </row>
    <row r="124" spans="4:4" ht="17">
      <c r="D124" s="97"/>
    </row>
    <row r="125" spans="4:4" ht="17">
      <c r="D125" s="97"/>
    </row>
    <row r="126" spans="4:4" ht="17">
      <c r="D126" s="97"/>
    </row>
    <row r="127" spans="4:4" ht="17">
      <c r="D127" s="97"/>
    </row>
    <row r="128" spans="4:4" ht="17">
      <c r="D128" s="97"/>
    </row>
    <row r="129" spans="4:4" ht="17">
      <c r="D129" s="97"/>
    </row>
    <row r="130" spans="4:4" ht="17">
      <c r="D130" s="97"/>
    </row>
    <row r="131" spans="4:4" ht="17">
      <c r="D131" s="97"/>
    </row>
    <row r="132" spans="4:4" ht="17">
      <c r="D132" s="97"/>
    </row>
    <row r="133" spans="4:4" ht="17">
      <c r="D133" s="97"/>
    </row>
    <row r="134" spans="4:4" ht="17">
      <c r="D134" s="97"/>
    </row>
    <row r="135" spans="4:4" ht="17">
      <c r="D135" s="97"/>
    </row>
    <row r="136" spans="4:4" ht="17">
      <c r="D136" s="97"/>
    </row>
    <row r="137" spans="4:4" ht="17">
      <c r="D137" s="97"/>
    </row>
    <row r="138" spans="4:4" ht="17">
      <c r="D138" s="97"/>
    </row>
    <row r="139" spans="4:4" ht="17">
      <c r="D139" s="97"/>
    </row>
    <row r="140" spans="4:4" ht="17">
      <c r="D140" s="97"/>
    </row>
    <row r="141" spans="4:4" ht="17">
      <c r="D141" s="97"/>
    </row>
    <row r="142" spans="4:4" ht="17">
      <c r="D142" s="97"/>
    </row>
    <row r="143" spans="4:4" ht="17">
      <c r="D143" s="97"/>
    </row>
    <row r="144" spans="4:4" ht="17">
      <c r="D144" s="97"/>
    </row>
    <row r="145" spans="4:4" ht="17">
      <c r="D145" s="97"/>
    </row>
    <row r="146" spans="4:4" ht="17">
      <c r="D146" s="97"/>
    </row>
    <row r="147" spans="4:4" ht="17">
      <c r="D147" s="97"/>
    </row>
    <row r="148" spans="4:4" ht="17">
      <c r="D148" s="97"/>
    </row>
    <row r="149" spans="4:4" ht="17">
      <c r="D149" s="97"/>
    </row>
    <row r="150" spans="4:4" ht="17">
      <c r="D150" s="97"/>
    </row>
    <row r="151" spans="4:4" ht="17">
      <c r="D151" s="97"/>
    </row>
    <row r="152" spans="4:4" ht="17">
      <c r="D152" s="97"/>
    </row>
    <row r="153" spans="4:4" ht="17">
      <c r="D153" s="97"/>
    </row>
    <row r="154" spans="4:4" ht="17">
      <c r="D154" s="97"/>
    </row>
    <row r="155" spans="4:4" ht="17">
      <c r="D155" s="97"/>
    </row>
    <row r="156" spans="4:4" ht="17">
      <c r="D156" s="97"/>
    </row>
    <row r="157" spans="4:4" ht="17">
      <c r="D157" s="97"/>
    </row>
    <row r="158" spans="4:4" ht="17">
      <c r="D158" s="97"/>
    </row>
    <row r="159" spans="4:4" ht="17">
      <c r="D159" s="97"/>
    </row>
    <row r="160" spans="4:4" ht="17">
      <c r="D160" s="97"/>
    </row>
    <row r="161" spans="4:4" ht="17">
      <c r="D161" s="97"/>
    </row>
    <row r="162" spans="4:4" ht="17">
      <c r="D162" s="97"/>
    </row>
    <row r="163" spans="4:4" ht="17">
      <c r="D163" s="97"/>
    </row>
    <row r="164" spans="4:4" ht="17">
      <c r="D164" s="97"/>
    </row>
    <row r="165" spans="4:4" ht="17">
      <c r="D165" s="97"/>
    </row>
    <row r="166" spans="4:4" ht="17">
      <c r="D166" s="97"/>
    </row>
    <row r="167" spans="4:4" ht="17">
      <c r="D167" s="97"/>
    </row>
    <row r="168" spans="4:4" ht="17">
      <c r="D168" s="97"/>
    </row>
    <row r="169" spans="4:4" ht="17">
      <c r="D169" s="97"/>
    </row>
    <row r="170" spans="4:4" ht="17">
      <c r="D170" s="97"/>
    </row>
    <row r="171" spans="4:4" ht="17">
      <c r="D171" s="97"/>
    </row>
    <row r="172" spans="4:4" ht="17">
      <c r="D172" s="97"/>
    </row>
    <row r="173" spans="4:4" ht="17">
      <c r="D173" s="97"/>
    </row>
    <row r="174" spans="4:4" ht="17">
      <c r="D174" s="97"/>
    </row>
    <row r="175" spans="4:4" ht="17">
      <c r="D175" s="97"/>
    </row>
    <row r="176" spans="4:4" ht="17">
      <c r="D176" s="97"/>
    </row>
    <row r="177" spans="4:4" ht="17">
      <c r="D177" s="97"/>
    </row>
    <row r="178" spans="4:4" ht="17">
      <c r="D178" s="97"/>
    </row>
    <row r="179" spans="4:4" ht="17">
      <c r="D179" s="97"/>
    </row>
    <row r="180" spans="4:4" ht="17">
      <c r="D180" s="97"/>
    </row>
    <row r="181" spans="4:4" ht="17">
      <c r="D181" s="97"/>
    </row>
    <row r="182" spans="4:4" ht="17">
      <c r="D182" s="97"/>
    </row>
    <row r="183" spans="4:4" ht="17">
      <c r="D183" s="97"/>
    </row>
    <row r="184" spans="4:4" ht="17">
      <c r="D184" s="97"/>
    </row>
    <row r="185" spans="4:4" ht="17">
      <c r="D185" s="97"/>
    </row>
    <row r="186" spans="4:4" ht="17">
      <c r="D186" s="97"/>
    </row>
    <row r="187" spans="4:4" ht="17">
      <c r="D187" s="97"/>
    </row>
    <row r="188" spans="4:4" ht="17">
      <c r="D188" s="97"/>
    </row>
    <row r="189" spans="4:4" ht="17">
      <c r="D189" s="97"/>
    </row>
    <row r="190" spans="4:4" ht="17">
      <c r="D190" s="97"/>
    </row>
    <row r="191" spans="4:4" ht="17">
      <c r="D191" s="97"/>
    </row>
    <row r="192" spans="4:4" ht="17">
      <c r="D192" s="97"/>
    </row>
    <row r="193" spans="4:4" ht="17">
      <c r="D193" s="97"/>
    </row>
    <row r="194" spans="4:4" ht="17">
      <c r="D194" s="97"/>
    </row>
    <row r="195" spans="4:4" ht="17">
      <c r="D195" s="97"/>
    </row>
    <row r="196" spans="4:4" ht="17">
      <c r="D196" s="97"/>
    </row>
    <row r="197" spans="4:4" ht="17">
      <c r="D197" s="97"/>
    </row>
    <row r="198" spans="4:4" ht="17">
      <c r="D198" s="97"/>
    </row>
    <row r="199" spans="4:4" ht="17">
      <c r="D199" s="97"/>
    </row>
    <row r="200" spans="4:4" ht="17">
      <c r="D200" s="97"/>
    </row>
    <row r="201" spans="4:4" ht="17">
      <c r="D201" s="97"/>
    </row>
    <row r="202" spans="4:4" ht="17">
      <c r="D202" s="97"/>
    </row>
    <row r="203" spans="4:4" ht="17">
      <c r="D203" s="97"/>
    </row>
    <row r="204" spans="4:4" ht="17">
      <c r="D204" s="97"/>
    </row>
    <row r="205" spans="4:4" ht="17">
      <c r="D205" s="97"/>
    </row>
    <row r="206" spans="4:4" ht="17">
      <c r="D206" s="97"/>
    </row>
    <row r="207" spans="4:4" ht="17">
      <c r="D207" s="97"/>
    </row>
    <row r="208" spans="4:4" ht="17">
      <c r="D208" s="97"/>
    </row>
    <row r="209" spans="4:4" ht="17">
      <c r="D209" s="97"/>
    </row>
    <row r="210" spans="4:4" ht="17">
      <c r="D210" s="97"/>
    </row>
    <row r="211" spans="4:4" ht="17">
      <c r="D211" s="97"/>
    </row>
    <row r="212" spans="4:4" ht="17">
      <c r="D212" s="97"/>
    </row>
    <row r="213" spans="4:4" ht="17">
      <c r="D213" s="97"/>
    </row>
    <row r="214" spans="4:4" ht="17">
      <c r="D214" s="97"/>
    </row>
    <row r="215" spans="4:4" ht="17">
      <c r="D215" s="97"/>
    </row>
    <row r="216" spans="4:4" ht="17">
      <c r="D216" s="97"/>
    </row>
    <row r="217" spans="4:4" ht="17">
      <c r="D217" s="97"/>
    </row>
    <row r="218" spans="4:4" ht="17">
      <c r="D218" s="97"/>
    </row>
    <row r="219" spans="4:4" ht="17">
      <c r="D219" s="97"/>
    </row>
    <row r="220" spans="4:4" ht="17">
      <c r="D220" s="97"/>
    </row>
    <row r="221" spans="4:4" ht="17">
      <c r="D221" s="97"/>
    </row>
    <row r="222" spans="4:4" ht="17">
      <c r="D222" s="97"/>
    </row>
    <row r="223" spans="4:4" ht="17">
      <c r="D223" s="97"/>
    </row>
    <row r="224" spans="4:4" ht="17">
      <c r="D224" s="97"/>
    </row>
    <row r="225" spans="4:4" ht="17">
      <c r="D225" s="97"/>
    </row>
    <row r="226" spans="4:4" ht="17">
      <c r="D226" s="97"/>
    </row>
    <row r="227" spans="4:4" ht="17">
      <c r="D227" s="97"/>
    </row>
    <row r="228" spans="4:4" ht="17">
      <c r="D228" s="97"/>
    </row>
    <row r="229" spans="4:4" ht="17">
      <c r="D229" s="97"/>
    </row>
    <row r="230" spans="4:4" ht="17">
      <c r="D230" s="97"/>
    </row>
    <row r="231" spans="4:4" ht="17">
      <c r="D231" s="97"/>
    </row>
    <row r="232" spans="4:4" ht="17">
      <c r="D232" s="97"/>
    </row>
    <row r="233" spans="4:4" ht="17">
      <c r="D233" s="97"/>
    </row>
    <row r="234" spans="4:4" ht="17">
      <c r="D234" s="97"/>
    </row>
    <row r="235" spans="4:4" ht="17">
      <c r="D235" s="97"/>
    </row>
    <row r="236" spans="4:4" ht="17">
      <c r="D236" s="97"/>
    </row>
    <row r="237" spans="4:4" ht="17">
      <c r="D237" s="97"/>
    </row>
    <row r="238" spans="4:4" ht="17">
      <c r="D238" s="97"/>
    </row>
    <row r="239" spans="4:4" ht="17">
      <c r="D239" s="97"/>
    </row>
    <row r="240" spans="4:4" ht="17">
      <c r="D240" s="97"/>
    </row>
    <row r="241" spans="4:4" ht="17">
      <c r="D241" s="97"/>
    </row>
    <row r="242" spans="4:4" ht="17">
      <c r="D242" s="97"/>
    </row>
    <row r="243" spans="4:4" ht="17">
      <c r="D243" s="97"/>
    </row>
    <row r="244" spans="4:4" ht="17">
      <c r="D244" s="97"/>
    </row>
    <row r="245" spans="4:4" ht="17">
      <c r="D245" s="97"/>
    </row>
    <row r="246" spans="4:4" ht="17">
      <c r="D246" s="97"/>
    </row>
    <row r="247" spans="4:4" ht="17">
      <c r="D247" s="97"/>
    </row>
    <row r="248" spans="4:4" ht="17">
      <c r="D248" s="97"/>
    </row>
    <row r="249" spans="4:4" ht="17">
      <c r="D249" s="97"/>
    </row>
    <row r="250" spans="4:4" ht="17">
      <c r="D250" s="97"/>
    </row>
    <row r="251" spans="4:4" ht="17">
      <c r="D251" s="97"/>
    </row>
    <row r="252" spans="4:4" ht="17">
      <c r="D252" s="97"/>
    </row>
    <row r="253" spans="4:4" ht="17">
      <c r="D253" s="97"/>
    </row>
    <row r="254" spans="4:4" ht="17">
      <c r="D254" s="97"/>
    </row>
    <row r="255" spans="4:4" ht="17">
      <c r="D255" s="97"/>
    </row>
    <row r="256" spans="4:4" ht="17">
      <c r="D256" s="97"/>
    </row>
    <row r="257" spans="4:4" ht="17">
      <c r="D257" s="97"/>
    </row>
    <row r="258" spans="4:4" ht="17">
      <c r="D258" s="97"/>
    </row>
    <row r="259" spans="4:4" ht="17">
      <c r="D259" s="97"/>
    </row>
    <row r="260" spans="4:4" ht="17">
      <c r="D260" s="97"/>
    </row>
    <row r="261" spans="4:4" ht="17">
      <c r="D261" s="97"/>
    </row>
    <row r="262" spans="4:4" ht="17">
      <c r="D262" s="97"/>
    </row>
    <row r="263" spans="4:4" ht="17">
      <c r="D263" s="97"/>
    </row>
    <row r="264" spans="4:4" ht="17">
      <c r="D264" s="97"/>
    </row>
    <row r="265" spans="4:4" ht="17">
      <c r="D265" s="97"/>
    </row>
    <row r="266" spans="4:4" ht="17">
      <c r="D266" s="97"/>
    </row>
    <row r="267" spans="4:4" ht="17">
      <c r="D267" s="97"/>
    </row>
    <row r="268" spans="4:4" ht="17">
      <c r="D268" s="97"/>
    </row>
    <row r="269" spans="4:4" ht="17">
      <c r="D269" s="97"/>
    </row>
    <row r="270" spans="4:4" ht="17">
      <c r="D270" s="97"/>
    </row>
    <row r="271" spans="4:4" ht="17">
      <c r="D271" s="97"/>
    </row>
    <row r="272" spans="4:4" ht="17">
      <c r="D272" s="97"/>
    </row>
    <row r="273" spans="4:4" ht="17">
      <c r="D273" s="97"/>
    </row>
    <row r="274" spans="4:4" ht="17">
      <c r="D274" s="97"/>
    </row>
    <row r="275" spans="4:4" ht="17">
      <c r="D275" s="97"/>
    </row>
    <row r="276" spans="4:4" ht="17">
      <c r="D276" s="97"/>
    </row>
    <row r="277" spans="4:4" ht="17">
      <c r="D277" s="97"/>
    </row>
    <row r="278" spans="4:4" ht="17">
      <c r="D278" s="97"/>
    </row>
    <row r="279" spans="4:4" ht="17">
      <c r="D279" s="97"/>
    </row>
    <row r="280" spans="4:4" ht="17">
      <c r="D280" s="97"/>
    </row>
    <row r="281" spans="4:4" ht="17">
      <c r="D281" s="97"/>
    </row>
    <row r="282" spans="4:4" ht="17">
      <c r="D282" s="97"/>
    </row>
    <row r="283" spans="4:4" ht="17">
      <c r="D283" s="97"/>
    </row>
    <row r="284" spans="4:4" ht="17">
      <c r="D284" s="97"/>
    </row>
    <row r="285" spans="4:4" ht="17">
      <c r="D285" s="97"/>
    </row>
    <row r="286" spans="4:4" ht="17">
      <c r="D286" s="97"/>
    </row>
    <row r="287" spans="4:4" ht="17">
      <c r="D287" s="97"/>
    </row>
    <row r="288" spans="4:4" ht="17">
      <c r="D288" s="97"/>
    </row>
    <row r="289" spans="4:4" ht="17">
      <c r="D289" s="97"/>
    </row>
    <row r="290" spans="4:4" ht="17">
      <c r="D290" s="97"/>
    </row>
    <row r="291" spans="4:4" ht="17">
      <c r="D291" s="97"/>
    </row>
    <row r="292" spans="4:4" ht="17">
      <c r="D292" s="97"/>
    </row>
    <row r="293" spans="4:4" ht="17">
      <c r="D293" s="97"/>
    </row>
    <row r="294" spans="4:4" ht="17">
      <c r="D294" s="97"/>
    </row>
    <row r="295" spans="4:4" ht="17">
      <c r="D295" s="97"/>
    </row>
    <row r="296" spans="4:4" ht="17">
      <c r="D296" s="97"/>
    </row>
    <row r="297" spans="4:4" ht="17">
      <c r="D297" s="97"/>
    </row>
    <row r="298" spans="4:4" ht="17">
      <c r="D298" s="97"/>
    </row>
    <row r="299" spans="4:4" ht="17">
      <c r="D299" s="97"/>
    </row>
    <row r="300" spans="4:4" ht="17">
      <c r="D300" s="97"/>
    </row>
    <row r="301" spans="4:4" ht="17">
      <c r="D301" s="97"/>
    </row>
    <row r="302" spans="4:4" ht="17">
      <c r="D302" s="97"/>
    </row>
    <row r="303" spans="4:4" ht="17">
      <c r="D303" s="97"/>
    </row>
    <row r="304" spans="4:4" ht="17">
      <c r="D304" s="97"/>
    </row>
    <row r="305" spans="4:4" ht="17">
      <c r="D305" s="97"/>
    </row>
    <row r="306" spans="4:4" ht="17">
      <c r="D306" s="97"/>
    </row>
    <row r="307" spans="4:4" ht="17">
      <c r="D307" s="97"/>
    </row>
    <row r="308" spans="4:4" ht="17">
      <c r="D308" s="97"/>
    </row>
    <row r="309" spans="4:4" ht="17">
      <c r="D309" s="97"/>
    </row>
    <row r="310" spans="4:4" ht="17">
      <c r="D310" s="97"/>
    </row>
    <row r="311" spans="4:4" ht="17">
      <c r="D311" s="97"/>
    </row>
    <row r="312" spans="4:4" ht="17">
      <c r="D312" s="97"/>
    </row>
    <row r="313" spans="4:4" ht="17">
      <c r="D313" s="97"/>
    </row>
    <row r="314" spans="4:4" ht="17">
      <c r="D314" s="97"/>
    </row>
    <row r="315" spans="4:4" ht="17">
      <c r="D315" s="97"/>
    </row>
    <row r="316" spans="4:4" ht="17">
      <c r="D316" s="97"/>
    </row>
    <row r="317" spans="4:4" ht="17">
      <c r="D317" s="97"/>
    </row>
    <row r="318" spans="4:4" ht="17">
      <c r="D318" s="97"/>
    </row>
    <row r="319" spans="4:4" ht="17">
      <c r="D319" s="97"/>
    </row>
    <row r="320" spans="4:4" ht="17">
      <c r="D320" s="97"/>
    </row>
    <row r="321" spans="4:4" ht="17">
      <c r="D321" s="97"/>
    </row>
    <row r="322" spans="4:4" ht="17">
      <c r="D322" s="97"/>
    </row>
    <row r="323" spans="4:4" ht="17">
      <c r="D323" s="97"/>
    </row>
    <row r="324" spans="4:4" ht="17">
      <c r="D324" s="97"/>
    </row>
    <row r="325" spans="4:4" ht="17">
      <c r="D325" s="97"/>
    </row>
    <row r="326" spans="4:4" ht="17">
      <c r="D326" s="97"/>
    </row>
    <row r="327" spans="4:4" ht="17">
      <c r="D327" s="97"/>
    </row>
    <row r="328" spans="4:4" ht="17">
      <c r="D328" s="97"/>
    </row>
    <row r="329" spans="4:4" ht="17">
      <c r="D329" s="97"/>
    </row>
    <row r="330" spans="4:4" ht="17">
      <c r="D330" s="97"/>
    </row>
    <row r="331" spans="4:4" ht="17">
      <c r="D331" s="97"/>
    </row>
    <row r="332" spans="4:4" ht="17">
      <c r="D332" s="97"/>
    </row>
    <row r="333" spans="4:4" ht="17">
      <c r="D333" s="97"/>
    </row>
    <row r="334" spans="4:4" ht="17">
      <c r="D334" s="97"/>
    </row>
    <row r="335" spans="4:4" ht="17">
      <c r="D335" s="97"/>
    </row>
    <row r="336" spans="4:4" ht="17">
      <c r="D336" s="97"/>
    </row>
    <row r="337" spans="4:4" ht="17">
      <c r="D337" s="97"/>
    </row>
    <row r="338" spans="4:4" ht="17">
      <c r="D338" s="97"/>
    </row>
    <row r="339" spans="4:4" ht="17">
      <c r="D339" s="97"/>
    </row>
    <row r="340" spans="4:4" ht="17">
      <c r="D340" s="97"/>
    </row>
    <row r="341" spans="4:4" ht="17">
      <c r="D341" s="97"/>
    </row>
    <row r="342" spans="4:4" ht="17">
      <c r="D342" s="97"/>
    </row>
    <row r="343" spans="4:4" ht="17">
      <c r="D343" s="97"/>
    </row>
    <row r="344" spans="4:4" ht="17">
      <c r="D344" s="97"/>
    </row>
    <row r="345" spans="4:4" ht="17">
      <c r="D345" s="97"/>
    </row>
    <row r="346" spans="4:4" ht="17">
      <c r="D346" s="97"/>
    </row>
    <row r="347" spans="4:4" ht="17">
      <c r="D347" s="97"/>
    </row>
    <row r="348" spans="4:4" ht="17">
      <c r="D348" s="97"/>
    </row>
    <row r="349" spans="4:4" ht="17">
      <c r="D349" s="97"/>
    </row>
    <row r="350" spans="4:4" ht="17">
      <c r="D350" s="97"/>
    </row>
    <row r="351" spans="4:4" ht="17">
      <c r="D351" s="97"/>
    </row>
    <row r="352" spans="4:4" ht="17">
      <c r="D352" s="97"/>
    </row>
    <row r="353" spans="4:4" ht="17">
      <c r="D353" s="97"/>
    </row>
    <row r="354" spans="4:4" ht="17">
      <c r="D354" s="97"/>
    </row>
    <row r="355" spans="4:4" ht="17">
      <c r="D355" s="97"/>
    </row>
    <row r="356" spans="4:4" ht="17">
      <c r="D356" s="97"/>
    </row>
    <row r="357" spans="4:4" ht="17">
      <c r="D357" s="97"/>
    </row>
    <row r="358" spans="4:4" ht="17">
      <c r="D358" s="97"/>
    </row>
    <row r="359" spans="4:4" ht="17">
      <c r="D359" s="97"/>
    </row>
    <row r="360" spans="4:4" ht="17">
      <c r="D360" s="97"/>
    </row>
    <row r="361" spans="4:4" ht="17">
      <c r="D361" s="97"/>
    </row>
    <row r="362" spans="4:4" ht="17">
      <c r="D362" s="97"/>
    </row>
    <row r="363" spans="4:4" ht="17">
      <c r="D363" s="97"/>
    </row>
    <row r="364" spans="4:4" ht="17">
      <c r="D364" s="97"/>
    </row>
    <row r="365" spans="4:4" ht="17">
      <c r="D365" s="97"/>
    </row>
    <row r="366" spans="4:4" ht="17">
      <c r="D366" s="97"/>
    </row>
    <row r="367" spans="4:4" ht="17">
      <c r="D367" s="97"/>
    </row>
    <row r="368" spans="4:4" ht="17">
      <c r="D368" s="97"/>
    </row>
    <row r="369" spans="4:4" ht="17">
      <c r="D369" s="97"/>
    </row>
    <row r="370" spans="4:4" ht="17">
      <c r="D370" s="97"/>
    </row>
    <row r="371" spans="4:4" ht="17">
      <c r="D371" s="97"/>
    </row>
    <row r="372" spans="4:4" ht="17">
      <c r="D372" s="97"/>
    </row>
    <row r="373" spans="4:4" ht="17">
      <c r="D373" s="97"/>
    </row>
    <row r="374" spans="4:4" ht="17">
      <c r="D374" s="97"/>
    </row>
    <row r="375" spans="4:4" ht="17">
      <c r="D375" s="97"/>
    </row>
    <row r="376" spans="4:4" ht="17">
      <c r="D376" s="97"/>
    </row>
    <row r="377" spans="4:4" ht="17">
      <c r="D377" s="97"/>
    </row>
    <row r="378" spans="4:4" ht="17">
      <c r="D378" s="97"/>
    </row>
    <row r="379" spans="4:4" ht="17">
      <c r="D379" s="97"/>
    </row>
    <row r="380" spans="4:4" ht="17">
      <c r="D380" s="97"/>
    </row>
    <row r="381" spans="4:4" ht="17">
      <c r="D381" s="97"/>
    </row>
    <row r="382" spans="4:4" ht="17">
      <c r="D382" s="97"/>
    </row>
    <row r="383" spans="4:4" ht="17">
      <c r="D383" s="97"/>
    </row>
    <row r="384" spans="4:4" ht="17">
      <c r="D384" s="97"/>
    </row>
    <row r="385" spans="4:4" ht="17">
      <c r="D385" s="97"/>
    </row>
    <row r="386" spans="4:4" ht="17">
      <c r="D386" s="97"/>
    </row>
    <row r="387" spans="4:4" ht="17">
      <c r="D387" s="97"/>
    </row>
    <row r="388" spans="4:4" ht="17">
      <c r="D388" s="97"/>
    </row>
    <row r="389" spans="4:4" ht="17">
      <c r="D389" s="97"/>
    </row>
    <row r="390" spans="4:4" ht="17">
      <c r="D390" s="97"/>
    </row>
    <row r="391" spans="4:4" ht="17">
      <c r="D391" s="97"/>
    </row>
    <row r="392" spans="4:4" ht="17">
      <c r="D392" s="97"/>
    </row>
    <row r="393" spans="4:4" ht="17">
      <c r="D393" s="97"/>
    </row>
    <row r="394" spans="4:4" ht="17">
      <c r="D394" s="97"/>
    </row>
    <row r="395" spans="4:4" ht="17">
      <c r="D395" s="97"/>
    </row>
    <row r="396" spans="4:4" ht="17">
      <c r="D396" s="97"/>
    </row>
    <row r="397" spans="4:4" ht="17">
      <c r="D397" s="97"/>
    </row>
    <row r="398" spans="4:4" ht="17">
      <c r="D398" s="97"/>
    </row>
    <row r="399" spans="4:4" ht="17">
      <c r="D399" s="97"/>
    </row>
    <row r="400" spans="4:4" ht="17">
      <c r="D400" s="97"/>
    </row>
    <row r="401" spans="4:4" ht="17">
      <c r="D401" s="97"/>
    </row>
    <row r="402" spans="4:4" ht="17">
      <c r="D402" s="97"/>
    </row>
    <row r="403" spans="4:4" ht="17">
      <c r="D403" s="97"/>
    </row>
    <row r="404" spans="4:4" ht="17">
      <c r="D404" s="97"/>
    </row>
    <row r="405" spans="4:4" ht="17">
      <c r="D405" s="97"/>
    </row>
    <row r="406" spans="4:4" ht="17">
      <c r="D406" s="97"/>
    </row>
    <row r="407" spans="4:4" ht="17">
      <c r="D407" s="97"/>
    </row>
    <row r="408" spans="4:4" ht="17">
      <c r="D408" s="97"/>
    </row>
    <row r="409" spans="4:4" ht="17">
      <c r="D409" s="97"/>
    </row>
    <row r="410" spans="4:4" ht="17">
      <c r="D410" s="97"/>
    </row>
    <row r="411" spans="4:4" ht="17">
      <c r="D411" s="97"/>
    </row>
    <row r="412" spans="4:4" ht="17">
      <c r="D412" s="97"/>
    </row>
    <row r="413" spans="4:4" ht="17">
      <c r="D413" s="97"/>
    </row>
    <row r="414" spans="4:4" ht="17">
      <c r="D414" s="97"/>
    </row>
    <row r="415" spans="4:4" ht="17">
      <c r="D415" s="97"/>
    </row>
    <row r="416" spans="4:4" ht="17">
      <c r="D416" s="97"/>
    </row>
    <row r="417" spans="4:4" ht="17">
      <c r="D417" s="97"/>
    </row>
    <row r="418" spans="4:4" ht="17">
      <c r="D418" s="97"/>
    </row>
    <row r="419" spans="4:4" ht="17">
      <c r="D419" s="97"/>
    </row>
    <row r="420" spans="4:4" ht="17">
      <c r="D420" s="97"/>
    </row>
    <row r="421" spans="4:4" ht="17">
      <c r="D421" s="97"/>
    </row>
    <row r="422" spans="4:4" ht="17">
      <c r="D422" s="97"/>
    </row>
    <row r="423" spans="4:4" ht="17">
      <c r="D423" s="97"/>
    </row>
    <row r="424" spans="4:4" ht="17">
      <c r="D424" s="97"/>
    </row>
    <row r="425" spans="4:4" ht="17">
      <c r="D425" s="97"/>
    </row>
    <row r="426" spans="4:4" ht="17">
      <c r="D426" s="97"/>
    </row>
    <row r="427" spans="4:4" ht="17">
      <c r="D427" s="97"/>
    </row>
    <row r="428" spans="4:4" ht="17">
      <c r="D428" s="97"/>
    </row>
    <row r="429" spans="4:4" ht="17">
      <c r="D429" s="97"/>
    </row>
    <row r="430" spans="4:4" ht="17">
      <c r="D430" s="97"/>
    </row>
    <row r="431" spans="4:4" ht="17">
      <c r="D431" s="97"/>
    </row>
    <row r="432" spans="4:4" ht="17">
      <c r="D432" s="97"/>
    </row>
    <row r="433" spans="4:4" ht="17">
      <c r="D433" s="97"/>
    </row>
    <row r="434" spans="4:4" ht="17">
      <c r="D434" s="97"/>
    </row>
    <row r="435" spans="4:4" ht="17">
      <c r="D435" s="97"/>
    </row>
    <row r="436" spans="4:4" ht="17">
      <c r="D436" s="97"/>
    </row>
    <row r="437" spans="4:4" ht="17">
      <c r="D437" s="97"/>
    </row>
    <row r="438" spans="4:4" ht="17">
      <c r="D438" s="97"/>
    </row>
    <row r="439" spans="4:4" ht="17">
      <c r="D439" s="97"/>
    </row>
    <row r="440" spans="4:4" ht="17">
      <c r="D440" s="97"/>
    </row>
    <row r="441" spans="4:4" ht="17">
      <c r="D441" s="97"/>
    </row>
    <row r="442" spans="4:4" ht="17">
      <c r="D442" s="97"/>
    </row>
    <row r="443" spans="4:4" ht="17">
      <c r="D443" s="97"/>
    </row>
    <row r="444" spans="4:4" ht="17">
      <c r="D444" s="97"/>
    </row>
    <row r="445" spans="4:4" ht="17">
      <c r="D445" s="97"/>
    </row>
    <row r="446" spans="4:4" ht="17">
      <c r="D446" s="97"/>
    </row>
    <row r="447" spans="4:4" ht="17">
      <c r="D447" s="97"/>
    </row>
    <row r="448" spans="4:4" ht="17">
      <c r="D448" s="97"/>
    </row>
    <row r="449" spans="4:4" ht="17">
      <c r="D449" s="97"/>
    </row>
    <row r="450" spans="4:4" ht="17">
      <c r="D450" s="97"/>
    </row>
    <row r="451" spans="4:4" ht="17">
      <c r="D451" s="97"/>
    </row>
    <row r="452" spans="4:4" ht="17">
      <c r="D452" s="97"/>
    </row>
    <row r="453" spans="4:4" ht="17">
      <c r="D453" s="97"/>
    </row>
    <row r="454" spans="4:4" ht="17">
      <c r="D454" s="97"/>
    </row>
    <row r="455" spans="4:4" ht="17">
      <c r="D455" s="97"/>
    </row>
    <row r="456" spans="4:4" ht="17">
      <c r="D456" s="97"/>
    </row>
    <row r="457" spans="4:4" ht="17">
      <c r="D457" s="97"/>
    </row>
    <row r="458" spans="4:4" ht="17">
      <c r="D458" s="97"/>
    </row>
    <row r="459" spans="4:4" ht="17">
      <c r="D459" s="97"/>
    </row>
    <row r="460" spans="4:4" ht="17">
      <c r="D460" s="97"/>
    </row>
    <row r="461" spans="4:4" ht="17">
      <c r="D461" s="97"/>
    </row>
    <row r="462" spans="4:4" ht="17">
      <c r="D462" s="97"/>
    </row>
    <row r="463" spans="4:4" ht="17">
      <c r="D463" s="97"/>
    </row>
    <row r="464" spans="4:4" ht="17">
      <c r="D464" s="97"/>
    </row>
    <row r="465" spans="4:4" ht="17">
      <c r="D465" s="97"/>
    </row>
    <row r="466" spans="4:4" ht="17">
      <c r="D466" s="97"/>
    </row>
    <row r="467" spans="4:4" ht="17">
      <c r="D467" s="97"/>
    </row>
    <row r="468" spans="4:4" ht="17">
      <c r="D468" s="97"/>
    </row>
    <row r="469" spans="4:4" ht="17">
      <c r="D469" s="97"/>
    </row>
    <row r="470" spans="4:4" ht="17">
      <c r="D470" s="97"/>
    </row>
    <row r="471" spans="4:4" ht="17">
      <c r="D471" s="97"/>
    </row>
    <row r="472" spans="4:4" ht="17">
      <c r="D472" s="97"/>
    </row>
    <row r="473" spans="4:4" ht="17">
      <c r="D473" s="97"/>
    </row>
    <row r="474" spans="4:4" ht="17">
      <c r="D474" s="97"/>
    </row>
    <row r="475" spans="4:4" ht="17">
      <c r="D475" s="97"/>
    </row>
    <row r="476" spans="4:4" ht="17">
      <c r="D476" s="97"/>
    </row>
    <row r="477" spans="4:4" ht="17">
      <c r="D477" s="97"/>
    </row>
    <row r="478" spans="4:4" ht="17">
      <c r="D478" s="97"/>
    </row>
    <row r="479" spans="4:4" ht="17">
      <c r="D479" s="97"/>
    </row>
    <row r="480" spans="4:4" ht="17">
      <c r="D480" s="97"/>
    </row>
    <row r="481" spans="4:4" ht="17">
      <c r="D481" s="97"/>
    </row>
    <row r="482" spans="4:4" ht="17">
      <c r="D482" s="97"/>
    </row>
    <row r="483" spans="4:4" ht="17">
      <c r="D483" s="97"/>
    </row>
    <row r="484" spans="4:4" ht="17">
      <c r="D484" s="97"/>
    </row>
    <row r="485" spans="4:4" ht="17">
      <c r="D485" s="97"/>
    </row>
    <row r="486" spans="4:4" ht="17">
      <c r="D486" s="97"/>
    </row>
    <row r="487" spans="4:4" ht="17">
      <c r="D487" s="97"/>
    </row>
    <row r="488" spans="4:4" ht="17">
      <c r="D488" s="97"/>
    </row>
    <row r="489" spans="4:4" ht="17">
      <c r="D489" s="97"/>
    </row>
    <row r="490" spans="4:4" ht="17">
      <c r="D490" s="97"/>
    </row>
    <row r="491" spans="4:4" ht="17">
      <c r="D491" s="97"/>
    </row>
    <row r="492" spans="4:4" ht="17">
      <c r="D492" s="97"/>
    </row>
    <row r="493" spans="4:4" ht="17">
      <c r="D493" s="97"/>
    </row>
    <row r="494" spans="4:4" ht="17">
      <c r="D494" s="97"/>
    </row>
    <row r="495" spans="4:4" ht="17">
      <c r="D495" s="97"/>
    </row>
    <row r="496" spans="4:4" ht="17">
      <c r="D496" s="97"/>
    </row>
    <row r="497" spans="4:4" ht="17">
      <c r="D497" s="97"/>
    </row>
    <row r="498" spans="4:4" ht="17">
      <c r="D498" s="97"/>
    </row>
    <row r="499" spans="4:4" ht="17">
      <c r="D499" s="97"/>
    </row>
    <row r="500" spans="4:4" ht="17">
      <c r="D500" s="97"/>
    </row>
    <row r="501" spans="4:4" ht="17">
      <c r="D501" s="97"/>
    </row>
    <row r="502" spans="4:4" ht="17">
      <c r="D502" s="97"/>
    </row>
    <row r="503" spans="4:4" ht="17">
      <c r="D503" s="97"/>
    </row>
    <row r="504" spans="4:4" ht="17">
      <c r="D504" s="97"/>
    </row>
    <row r="505" spans="4:4" ht="17">
      <c r="D505" s="97"/>
    </row>
    <row r="506" spans="4:4" ht="17">
      <c r="D506" s="97"/>
    </row>
    <row r="507" spans="4:4" ht="17">
      <c r="D507" s="97"/>
    </row>
    <row r="508" spans="4:4" ht="17">
      <c r="D508" s="97"/>
    </row>
    <row r="509" spans="4:4" ht="17">
      <c r="D509" s="97"/>
    </row>
    <row r="510" spans="4:4" ht="17">
      <c r="D510" s="97"/>
    </row>
    <row r="511" spans="4:4" ht="17">
      <c r="D511" s="97"/>
    </row>
    <row r="512" spans="4:4" ht="17">
      <c r="D512" s="97"/>
    </row>
    <row r="513" spans="4:4" ht="17">
      <c r="D513" s="97"/>
    </row>
    <row r="514" spans="4:4" ht="17">
      <c r="D514" s="97"/>
    </row>
    <row r="515" spans="4:4" ht="17">
      <c r="D515" s="97"/>
    </row>
    <row r="516" spans="4:4" ht="17">
      <c r="D516" s="97"/>
    </row>
    <row r="517" spans="4:4" ht="17">
      <c r="D517" s="97"/>
    </row>
    <row r="518" spans="4:4" ht="17">
      <c r="D518" s="97"/>
    </row>
    <row r="519" spans="4:4" ht="17">
      <c r="D519" s="97"/>
    </row>
    <row r="520" spans="4:4" ht="17">
      <c r="D520" s="97"/>
    </row>
    <row r="521" spans="4:4" ht="17">
      <c r="D521" s="97"/>
    </row>
    <row r="522" spans="4:4" ht="17">
      <c r="D522" s="97"/>
    </row>
    <row r="523" spans="4:4" ht="17">
      <c r="D523" s="97"/>
    </row>
    <row r="524" spans="4:4" ht="17">
      <c r="D524" s="97"/>
    </row>
    <row r="525" spans="4:4" ht="17">
      <c r="D525" s="97"/>
    </row>
    <row r="526" spans="4:4" ht="17">
      <c r="D526" s="97"/>
    </row>
    <row r="527" spans="4:4" ht="17">
      <c r="D527" s="97"/>
    </row>
    <row r="528" spans="4:4" ht="17">
      <c r="D528" s="97"/>
    </row>
    <row r="529" spans="4:4" ht="17">
      <c r="D529" s="97"/>
    </row>
    <row r="530" spans="4:4" ht="17">
      <c r="D530" s="97"/>
    </row>
    <row r="531" spans="4:4" ht="17">
      <c r="D531" s="97"/>
    </row>
    <row r="532" spans="4:4" ht="17">
      <c r="D532" s="97"/>
    </row>
    <row r="533" spans="4:4" ht="17">
      <c r="D533" s="97"/>
    </row>
    <row r="534" spans="4:4" ht="17">
      <c r="D534" s="97"/>
    </row>
    <row r="535" spans="4:4" ht="17">
      <c r="D535" s="97"/>
    </row>
    <row r="536" spans="4:4" ht="17">
      <c r="D536" s="97"/>
    </row>
    <row r="537" spans="4:4" ht="17">
      <c r="D537" s="97"/>
    </row>
    <row r="538" spans="4:4" ht="17">
      <c r="D538" s="97"/>
    </row>
    <row r="539" spans="4:4" ht="17">
      <c r="D539" s="97"/>
    </row>
    <row r="540" spans="4:4" ht="17">
      <c r="D540" s="97"/>
    </row>
    <row r="541" spans="4:4" ht="17">
      <c r="D541" s="97"/>
    </row>
    <row r="542" spans="4:4" ht="17">
      <c r="D542" s="97"/>
    </row>
    <row r="543" spans="4:4" ht="17">
      <c r="D543" s="97"/>
    </row>
    <row r="544" spans="4:4" ht="17">
      <c r="D544" s="97"/>
    </row>
    <row r="545" spans="4:4" ht="17">
      <c r="D545" s="97"/>
    </row>
    <row r="546" spans="4:4" ht="17">
      <c r="D546" s="97"/>
    </row>
    <row r="547" spans="4:4" ht="17">
      <c r="D547" s="97"/>
    </row>
    <row r="548" spans="4:4" ht="17">
      <c r="D548" s="97"/>
    </row>
    <row r="549" spans="4:4" ht="17">
      <c r="D549" s="97"/>
    </row>
    <row r="550" spans="4:4" ht="17">
      <c r="D550" s="97"/>
    </row>
    <row r="551" spans="4:4" ht="17">
      <c r="D551" s="97"/>
    </row>
    <row r="552" spans="4:4" ht="17">
      <c r="D552" s="97"/>
    </row>
    <row r="553" spans="4:4" ht="17">
      <c r="D553" s="97"/>
    </row>
    <row r="554" spans="4:4" ht="17">
      <c r="D554" s="97"/>
    </row>
    <row r="555" spans="4:4" ht="17">
      <c r="D555" s="97"/>
    </row>
    <row r="556" spans="4:4" ht="17">
      <c r="D556" s="97"/>
    </row>
    <row r="557" spans="4:4" ht="17">
      <c r="D557" s="97"/>
    </row>
    <row r="558" spans="4:4" ht="17">
      <c r="D558" s="97"/>
    </row>
    <row r="559" spans="4:4" ht="17">
      <c r="D559" s="97"/>
    </row>
    <row r="560" spans="4:4" ht="17">
      <c r="D560" s="97"/>
    </row>
    <row r="561" spans="4:4" ht="17">
      <c r="D561" s="97"/>
    </row>
    <row r="562" spans="4:4" ht="17">
      <c r="D562" s="97"/>
    </row>
    <row r="563" spans="4:4" ht="17">
      <c r="D563" s="97"/>
    </row>
    <row r="564" spans="4:4" ht="17">
      <c r="D564" s="97"/>
    </row>
    <row r="565" spans="4:4" ht="17">
      <c r="D565" s="97"/>
    </row>
    <row r="566" spans="4:4" ht="17">
      <c r="D566" s="97"/>
    </row>
    <row r="567" spans="4:4" ht="17">
      <c r="D567" s="97"/>
    </row>
    <row r="568" spans="4:4" ht="17">
      <c r="D568" s="97"/>
    </row>
    <row r="569" spans="4:4" ht="17">
      <c r="D569" s="97"/>
    </row>
    <row r="570" spans="4:4" ht="17">
      <c r="D570" s="97"/>
    </row>
    <row r="571" spans="4:4" ht="17">
      <c r="D571" s="97"/>
    </row>
    <row r="572" spans="4:4" ht="17">
      <c r="D572" s="97"/>
    </row>
    <row r="573" spans="4:4" ht="17">
      <c r="D573" s="97"/>
    </row>
    <row r="574" spans="4:4" ht="17">
      <c r="D574" s="97"/>
    </row>
    <row r="575" spans="4:4" ht="17">
      <c r="D575" s="97"/>
    </row>
    <row r="576" spans="4:4" ht="17">
      <c r="D576" s="97"/>
    </row>
    <row r="577" spans="4:4" ht="17">
      <c r="D577" s="97"/>
    </row>
    <row r="578" spans="4:4" ht="17">
      <c r="D578" s="97"/>
    </row>
    <row r="579" spans="4:4" ht="17">
      <c r="D579" s="97"/>
    </row>
    <row r="580" spans="4:4" ht="17">
      <c r="D580" s="97"/>
    </row>
    <row r="581" spans="4:4" ht="17">
      <c r="D581" s="97"/>
    </row>
    <row r="582" spans="4:4" ht="17">
      <c r="D582" s="97"/>
    </row>
    <row r="583" spans="4:4" ht="17">
      <c r="D583" s="97"/>
    </row>
    <row r="584" spans="4:4" ht="17">
      <c r="D584" s="97"/>
    </row>
    <row r="585" spans="4:4" ht="17">
      <c r="D585" s="97"/>
    </row>
    <row r="586" spans="4:4" ht="17">
      <c r="D586" s="97"/>
    </row>
    <row r="587" spans="4:4" ht="17">
      <c r="D587" s="97"/>
    </row>
    <row r="588" spans="4:4" ht="17">
      <c r="D588" s="97"/>
    </row>
    <row r="589" spans="4:4" ht="17">
      <c r="D589" s="97"/>
    </row>
    <row r="590" spans="4:4" ht="17">
      <c r="D590" s="97"/>
    </row>
    <row r="591" spans="4:4" ht="17">
      <c r="D591" s="97"/>
    </row>
    <row r="592" spans="4:4" ht="17">
      <c r="D592" s="97"/>
    </row>
    <row r="593" spans="4:4" ht="17">
      <c r="D593" s="97"/>
    </row>
    <row r="594" spans="4:4" ht="17">
      <c r="D594" s="97"/>
    </row>
    <row r="595" spans="4:4" ht="17">
      <c r="D595" s="97"/>
    </row>
    <row r="596" spans="4:4" ht="17">
      <c r="D596" s="97"/>
    </row>
    <row r="597" spans="4:4" ht="17">
      <c r="D597" s="97"/>
    </row>
    <row r="598" spans="4:4" ht="17">
      <c r="D598" s="97"/>
    </row>
    <row r="599" spans="4:4" ht="17">
      <c r="D599" s="97"/>
    </row>
    <row r="600" spans="4:4" ht="17">
      <c r="D600" s="97"/>
    </row>
    <row r="601" spans="4:4" ht="17">
      <c r="D601" s="97"/>
    </row>
    <row r="602" spans="4:4" ht="17">
      <c r="D602" s="97"/>
    </row>
    <row r="603" spans="4:4" ht="17">
      <c r="D603" s="97"/>
    </row>
    <row r="604" spans="4:4" ht="17">
      <c r="D604" s="97"/>
    </row>
    <row r="605" spans="4:4" ht="17">
      <c r="D605" s="97"/>
    </row>
    <row r="606" spans="4:4" ht="17">
      <c r="D606" s="97"/>
    </row>
    <row r="607" spans="4:4" ht="17">
      <c r="D607" s="97"/>
    </row>
    <row r="608" spans="4:4" ht="17">
      <c r="D608" s="97"/>
    </row>
    <row r="609" spans="4:4" ht="17">
      <c r="D609" s="97"/>
    </row>
    <row r="610" spans="4:4" ht="17">
      <c r="D610" s="97"/>
    </row>
    <row r="611" spans="4:4" ht="17">
      <c r="D611" s="97"/>
    </row>
    <row r="612" spans="4:4" ht="17">
      <c r="D612" s="97"/>
    </row>
    <row r="613" spans="4:4" ht="17">
      <c r="D613" s="97"/>
    </row>
    <row r="614" spans="4:4" ht="17">
      <c r="D614" s="97"/>
    </row>
    <row r="615" spans="4:4" ht="17">
      <c r="D615" s="97"/>
    </row>
    <row r="616" spans="4:4" ht="17">
      <c r="D616" s="97"/>
    </row>
    <row r="617" spans="4:4" ht="17">
      <c r="D617" s="97"/>
    </row>
    <row r="618" spans="4:4" ht="17">
      <c r="D618" s="97"/>
    </row>
    <row r="619" spans="4:4" ht="17">
      <c r="D619" s="97"/>
    </row>
    <row r="620" spans="4:4" ht="17">
      <c r="D620" s="97"/>
    </row>
    <row r="621" spans="4:4" ht="17">
      <c r="D621" s="97"/>
    </row>
    <row r="622" spans="4:4" ht="17">
      <c r="D622" s="97"/>
    </row>
    <row r="623" spans="4:4" ht="17">
      <c r="D623" s="97"/>
    </row>
    <row r="624" spans="4:4" ht="17">
      <c r="D624" s="97"/>
    </row>
    <row r="625" spans="4:4" ht="17">
      <c r="D625" s="97"/>
    </row>
    <row r="626" spans="4:4" ht="17">
      <c r="D626" s="97"/>
    </row>
    <row r="627" spans="4:4" ht="17">
      <c r="D627" s="97"/>
    </row>
    <row r="628" spans="4:4" ht="17">
      <c r="D628" s="97"/>
    </row>
    <row r="629" spans="4:4" ht="17">
      <c r="D629" s="97"/>
    </row>
    <row r="630" spans="4:4" ht="17">
      <c r="D630" s="97"/>
    </row>
    <row r="631" spans="4:4" ht="17">
      <c r="D631" s="97"/>
    </row>
    <row r="632" spans="4:4" ht="17">
      <c r="D632" s="97"/>
    </row>
    <row r="633" spans="4:4" ht="17">
      <c r="D633" s="97"/>
    </row>
    <row r="634" spans="4:4" ht="17">
      <c r="D634" s="97"/>
    </row>
    <row r="635" spans="4:4" ht="17">
      <c r="D635" s="97"/>
    </row>
    <row r="636" spans="4:4" ht="17">
      <c r="D636" s="97"/>
    </row>
    <row r="637" spans="4:4" ht="17">
      <c r="D637" s="97"/>
    </row>
    <row r="638" spans="4:4" ht="17">
      <c r="D638" s="97"/>
    </row>
    <row r="639" spans="4:4" ht="17">
      <c r="D639" s="97"/>
    </row>
    <row r="640" spans="4:4" ht="17">
      <c r="D640" s="97"/>
    </row>
    <row r="641" spans="4:4" ht="17">
      <c r="D641" s="97"/>
    </row>
    <row r="642" spans="4:4" ht="17">
      <c r="D642" s="97"/>
    </row>
    <row r="643" spans="4:4" ht="17">
      <c r="D643" s="97"/>
    </row>
    <row r="644" spans="4:4" ht="17">
      <c r="D644" s="97"/>
    </row>
    <row r="645" spans="4:4" ht="17">
      <c r="D645" s="97"/>
    </row>
    <row r="646" spans="4:4" ht="17">
      <c r="D646" s="97"/>
    </row>
    <row r="647" spans="4:4" ht="17">
      <c r="D647" s="97"/>
    </row>
    <row r="648" spans="4:4" ht="17">
      <c r="D648" s="97"/>
    </row>
    <row r="649" spans="4:4" ht="17">
      <c r="D649" s="97"/>
    </row>
    <row r="650" spans="4:4" ht="17">
      <c r="D650" s="97"/>
    </row>
    <row r="651" spans="4:4" ht="17">
      <c r="D651" s="97"/>
    </row>
    <row r="652" spans="4:4" ht="17">
      <c r="D652" s="97"/>
    </row>
    <row r="653" spans="4:4" ht="17">
      <c r="D653" s="97"/>
    </row>
    <row r="654" spans="4:4" ht="17">
      <c r="D654" s="97"/>
    </row>
    <row r="655" spans="4:4" ht="17">
      <c r="D655" s="97"/>
    </row>
    <row r="656" spans="4:4" ht="17">
      <c r="D656" s="97"/>
    </row>
    <row r="657" spans="4:4" ht="17">
      <c r="D657" s="97"/>
    </row>
    <row r="658" spans="4:4" ht="17">
      <c r="D658" s="97"/>
    </row>
    <row r="659" spans="4:4" ht="17">
      <c r="D659" s="97"/>
    </row>
    <row r="660" spans="4:4" ht="17">
      <c r="D660" s="97"/>
    </row>
    <row r="661" spans="4:4" ht="17">
      <c r="D661" s="97"/>
    </row>
    <row r="662" spans="4:4" ht="17">
      <c r="D662" s="97"/>
    </row>
    <row r="663" spans="4:4" ht="17">
      <c r="D663" s="97"/>
    </row>
    <row r="664" spans="4:4" ht="17">
      <c r="D664" s="97"/>
    </row>
    <row r="665" spans="4:4" ht="17">
      <c r="D665" s="97"/>
    </row>
    <row r="666" spans="4:4" ht="17">
      <c r="D666" s="97"/>
    </row>
    <row r="667" spans="4:4" ht="17">
      <c r="D667" s="97"/>
    </row>
    <row r="668" spans="4:4" ht="17">
      <c r="D668" s="97"/>
    </row>
    <row r="669" spans="4:4" ht="17">
      <c r="D669" s="97"/>
    </row>
    <row r="670" spans="4:4" ht="17">
      <c r="D670" s="97"/>
    </row>
    <row r="671" spans="4:4" ht="17">
      <c r="D671" s="97"/>
    </row>
    <row r="672" spans="4:4" ht="17">
      <c r="D672" s="97"/>
    </row>
    <row r="673" spans="4:4" ht="17">
      <c r="D673" s="97"/>
    </row>
    <row r="674" spans="4:4" ht="17">
      <c r="D674" s="97"/>
    </row>
    <row r="675" spans="4:4" ht="17">
      <c r="D675" s="97"/>
    </row>
    <row r="676" spans="4:4" ht="17">
      <c r="D676" s="97"/>
    </row>
    <row r="677" spans="4:4" ht="17">
      <c r="D677" s="97"/>
    </row>
    <row r="678" spans="4:4" ht="17">
      <c r="D678" s="97"/>
    </row>
    <row r="679" spans="4:4" ht="17">
      <c r="D679" s="97"/>
    </row>
    <row r="680" spans="4:4" ht="17">
      <c r="D680" s="97"/>
    </row>
    <row r="681" spans="4:4" ht="17">
      <c r="D681" s="97"/>
    </row>
    <row r="682" spans="4:4" ht="17">
      <c r="D682" s="97"/>
    </row>
    <row r="683" spans="4:4" ht="17">
      <c r="D683" s="97"/>
    </row>
    <row r="684" spans="4:4" ht="17">
      <c r="D684" s="97"/>
    </row>
    <row r="685" spans="4:4" ht="17">
      <c r="D685" s="97"/>
    </row>
    <row r="686" spans="4:4" ht="17">
      <c r="D686" s="97"/>
    </row>
    <row r="687" spans="4:4" ht="17">
      <c r="D687" s="97"/>
    </row>
    <row r="688" spans="4:4" ht="17">
      <c r="D688" s="97"/>
    </row>
    <row r="689" spans="4:4" ht="17">
      <c r="D689" s="97"/>
    </row>
    <row r="690" spans="4:4" ht="17">
      <c r="D690" s="97"/>
    </row>
    <row r="691" spans="4:4" ht="17">
      <c r="D691" s="97"/>
    </row>
    <row r="692" spans="4:4" ht="17">
      <c r="D692" s="97"/>
    </row>
    <row r="693" spans="4:4" ht="17">
      <c r="D693" s="97"/>
    </row>
    <row r="694" spans="4:4" ht="17">
      <c r="D694" s="97"/>
    </row>
    <row r="695" spans="4:4" ht="17">
      <c r="D695" s="97"/>
    </row>
    <row r="696" spans="4:4" ht="17">
      <c r="D696" s="97"/>
    </row>
    <row r="697" spans="4:4" ht="17">
      <c r="D697" s="97"/>
    </row>
    <row r="698" spans="4:4" ht="17">
      <c r="D698" s="97"/>
    </row>
    <row r="699" spans="4:4" ht="17">
      <c r="D699" s="97"/>
    </row>
    <row r="700" spans="4:4" ht="17">
      <c r="D700" s="97"/>
    </row>
    <row r="701" spans="4:4" ht="17">
      <c r="D701" s="97"/>
    </row>
    <row r="702" spans="4:4" ht="17">
      <c r="D702" s="97"/>
    </row>
    <row r="703" spans="4:4" ht="17">
      <c r="D703" s="97"/>
    </row>
    <row r="704" spans="4:4" ht="17">
      <c r="D704" s="97"/>
    </row>
    <row r="705" spans="4:4" ht="17">
      <c r="D705" s="97"/>
    </row>
    <row r="706" spans="4:4" ht="17">
      <c r="D706" s="97"/>
    </row>
    <row r="707" spans="4:4" ht="17">
      <c r="D707" s="97"/>
    </row>
    <row r="708" spans="4:4" ht="17">
      <c r="D708" s="97"/>
    </row>
    <row r="709" spans="4:4" ht="17">
      <c r="D709" s="97"/>
    </row>
    <row r="710" spans="4:4" ht="17">
      <c r="D710" s="97"/>
    </row>
    <row r="711" spans="4:4" ht="17">
      <c r="D711" s="97"/>
    </row>
    <row r="712" spans="4:4" ht="17">
      <c r="D712" s="97"/>
    </row>
    <row r="713" spans="4:4" ht="17">
      <c r="D713" s="97"/>
    </row>
    <row r="714" spans="4:4" ht="17">
      <c r="D714" s="97"/>
    </row>
    <row r="715" spans="4:4" ht="17">
      <c r="D715" s="97"/>
    </row>
    <row r="716" spans="4:4" ht="17">
      <c r="D716" s="97"/>
    </row>
    <row r="717" spans="4:4" ht="17">
      <c r="D717" s="97"/>
    </row>
    <row r="718" spans="4:4" ht="17">
      <c r="D718" s="97"/>
    </row>
    <row r="719" spans="4:4" ht="17">
      <c r="D719" s="97"/>
    </row>
    <row r="720" spans="4:4" ht="17">
      <c r="D720" s="97"/>
    </row>
    <row r="721" spans="4:4" ht="17">
      <c r="D721" s="97"/>
    </row>
    <row r="722" spans="4:4" ht="17">
      <c r="D722" s="97"/>
    </row>
    <row r="723" spans="4:4" ht="17">
      <c r="D723" s="97"/>
    </row>
    <row r="724" spans="4:4" ht="17">
      <c r="D724" s="97"/>
    </row>
    <row r="725" spans="4:4" ht="17">
      <c r="D725" s="97"/>
    </row>
    <row r="726" spans="4:4" ht="17">
      <c r="D726" s="97"/>
    </row>
    <row r="727" spans="4:4" ht="17">
      <c r="D727" s="97"/>
    </row>
    <row r="728" spans="4:4" ht="17">
      <c r="D728" s="97"/>
    </row>
    <row r="729" spans="4:4" ht="17">
      <c r="D729" s="97"/>
    </row>
    <row r="730" spans="4:4" ht="17">
      <c r="D730" s="97"/>
    </row>
    <row r="731" spans="4:4" ht="17">
      <c r="D731" s="97"/>
    </row>
    <row r="732" spans="4:4" ht="17">
      <c r="D732" s="97"/>
    </row>
    <row r="733" spans="4:4" ht="17">
      <c r="D733" s="97"/>
    </row>
    <row r="734" spans="4:4" ht="17">
      <c r="D734" s="97"/>
    </row>
    <row r="735" spans="4:4" ht="17">
      <c r="D735" s="97"/>
    </row>
    <row r="736" spans="4:4" ht="17">
      <c r="D736" s="97"/>
    </row>
    <row r="737" spans="4:4" ht="17">
      <c r="D737" s="97"/>
    </row>
    <row r="738" spans="4:4" ht="17">
      <c r="D738" s="97"/>
    </row>
    <row r="739" spans="4:4" ht="17">
      <c r="D739" s="97"/>
    </row>
    <row r="740" spans="4:4" ht="17">
      <c r="D740" s="97"/>
    </row>
    <row r="741" spans="4:4" ht="17">
      <c r="D741" s="97"/>
    </row>
    <row r="742" spans="4:4" ht="17">
      <c r="D742" s="97"/>
    </row>
    <row r="743" spans="4:4" ht="17">
      <c r="D743" s="97"/>
    </row>
    <row r="744" spans="4:4" ht="17">
      <c r="D744" s="97"/>
    </row>
    <row r="745" spans="4:4" ht="17">
      <c r="D745" s="97"/>
    </row>
    <row r="746" spans="4:4" ht="17">
      <c r="D746" s="97"/>
    </row>
    <row r="747" spans="4:4" ht="17">
      <c r="D747" s="97"/>
    </row>
    <row r="748" spans="4:4" ht="17">
      <c r="D748" s="97"/>
    </row>
    <row r="749" spans="4:4" ht="17">
      <c r="D749" s="97"/>
    </row>
    <row r="750" spans="4:4" ht="17">
      <c r="D750" s="97"/>
    </row>
    <row r="751" spans="4:4" ht="17">
      <c r="D751" s="97"/>
    </row>
    <row r="752" spans="4:4" ht="17">
      <c r="D752" s="97"/>
    </row>
    <row r="753" spans="4:4" ht="17">
      <c r="D753" s="97"/>
    </row>
    <row r="754" spans="4:4" ht="17">
      <c r="D754" s="97"/>
    </row>
    <row r="755" spans="4:4" ht="17">
      <c r="D755" s="97"/>
    </row>
    <row r="756" spans="4:4" ht="17">
      <c r="D756" s="97"/>
    </row>
    <row r="757" spans="4:4" ht="17">
      <c r="D757" s="97"/>
    </row>
    <row r="758" spans="4:4" ht="17">
      <c r="D758" s="97"/>
    </row>
    <row r="759" spans="4:4" ht="17">
      <c r="D759" s="97"/>
    </row>
    <row r="760" spans="4:4" ht="17">
      <c r="D760" s="97"/>
    </row>
    <row r="761" spans="4:4" ht="17">
      <c r="D761" s="97"/>
    </row>
    <row r="762" spans="4:4" ht="17">
      <c r="D762" s="97"/>
    </row>
    <row r="763" spans="4:4" ht="17">
      <c r="D763" s="97"/>
    </row>
    <row r="764" spans="4:4" ht="17">
      <c r="D764" s="97"/>
    </row>
    <row r="765" spans="4:4" ht="17">
      <c r="D765" s="97"/>
    </row>
    <row r="766" spans="4:4" ht="17">
      <c r="D766" s="97"/>
    </row>
    <row r="767" spans="4:4" ht="17">
      <c r="D767" s="97"/>
    </row>
    <row r="768" spans="4:4" ht="17">
      <c r="D768" s="97"/>
    </row>
    <row r="769" spans="4:4" ht="17">
      <c r="D769" s="97"/>
    </row>
    <row r="770" spans="4:4" ht="17">
      <c r="D770" s="97"/>
    </row>
    <row r="771" spans="4:4" ht="17">
      <c r="D771" s="97"/>
    </row>
    <row r="772" spans="4:4" ht="17">
      <c r="D772" s="97"/>
    </row>
    <row r="773" spans="4:4" ht="17">
      <c r="D773" s="97"/>
    </row>
    <row r="774" spans="4:4" ht="17">
      <c r="D774" s="97"/>
    </row>
    <row r="775" spans="4:4" ht="17">
      <c r="D775" s="97"/>
    </row>
    <row r="776" spans="4:4" ht="17">
      <c r="D776" s="97"/>
    </row>
    <row r="777" spans="4:4" ht="17">
      <c r="D777" s="97"/>
    </row>
    <row r="778" spans="4:4" ht="17">
      <c r="D778" s="97"/>
    </row>
    <row r="779" spans="4:4" ht="17">
      <c r="D779" s="97"/>
    </row>
    <row r="780" spans="4:4" ht="17">
      <c r="D780" s="97"/>
    </row>
    <row r="781" spans="4:4" ht="17">
      <c r="D781" s="97"/>
    </row>
    <row r="782" spans="4:4" ht="17">
      <c r="D782" s="97"/>
    </row>
    <row r="783" spans="4:4" ht="17">
      <c r="D783" s="97"/>
    </row>
    <row r="784" spans="4:4" ht="17">
      <c r="D784" s="97"/>
    </row>
    <row r="785" spans="4:4" ht="17">
      <c r="D785" s="97"/>
    </row>
    <row r="786" spans="4:4" ht="17">
      <c r="D786" s="97"/>
    </row>
    <row r="787" spans="4:4" ht="17">
      <c r="D787" s="97"/>
    </row>
    <row r="788" spans="4:4" ht="17">
      <c r="D788" s="97"/>
    </row>
    <row r="789" spans="4:4" ht="17">
      <c r="D789" s="97"/>
    </row>
    <row r="790" spans="4:4" ht="17">
      <c r="D790" s="97"/>
    </row>
    <row r="791" spans="4:4" ht="17">
      <c r="D791" s="97"/>
    </row>
    <row r="792" spans="4:4" ht="17">
      <c r="D792" s="97"/>
    </row>
    <row r="793" spans="4:4" ht="17">
      <c r="D793" s="97"/>
    </row>
    <row r="794" spans="4:4" ht="17">
      <c r="D794" s="97"/>
    </row>
    <row r="795" spans="4:4" ht="17">
      <c r="D795" s="97"/>
    </row>
    <row r="796" spans="4:4" ht="17">
      <c r="D796" s="97"/>
    </row>
    <row r="797" spans="4:4" ht="17">
      <c r="D797" s="97"/>
    </row>
    <row r="798" spans="4:4" ht="17">
      <c r="D798" s="97"/>
    </row>
    <row r="799" spans="4:4" ht="17">
      <c r="D799" s="97"/>
    </row>
    <row r="800" spans="4:4" ht="17">
      <c r="D800" s="97"/>
    </row>
    <row r="801" spans="4:4" ht="17">
      <c r="D801" s="97"/>
    </row>
    <row r="802" spans="4:4" ht="17">
      <c r="D802" s="97"/>
    </row>
    <row r="803" spans="4:4" ht="17">
      <c r="D803" s="97"/>
    </row>
    <row r="804" spans="4:4" ht="17">
      <c r="D804" s="97"/>
    </row>
    <row r="805" spans="4:4" ht="17">
      <c r="D805" s="97"/>
    </row>
    <row r="806" spans="4:4" ht="17">
      <c r="D806" s="97"/>
    </row>
    <row r="807" spans="4:4" ht="17">
      <c r="D807" s="97"/>
    </row>
    <row r="808" spans="4:4" ht="17">
      <c r="D808" s="97"/>
    </row>
    <row r="809" spans="4:4" ht="17">
      <c r="D809" s="97"/>
    </row>
    <row r="810" spans="4:4" ht="17">
      <c r="D810" s="97"/>
    </row>
    <row r="811" spans="4:4" ht="17">
      <c r="D811" s="97"/>
    </row>
    <row r="812" spans="4:4" ht="17">
      <c r="D812" s="97"/>
    </row>
    <row r="813" spans="4:4" ht="17">
      <c r="D813" s="97"/>
    </row>
    <row r="814" spans="4:4" ht="17">
      <c r="D814" s="97"/>
    </row>
    <row r="815" spans="4:4" ht="17">
      <c r="D815" s="97"/>
    </row>
    <row r="816" spans="4:4" ht="17">
      <c r="D816" s="97"/>
    </row>
    <row r="817" spans="4:4" ht="17">
      <c r="D817" s="97"/>
    </row>
    <row r="818" spans="4:4" ht="17">
      <c r="D818" s="97"/>
    </row>
    <row r="819" spans="4:4" ht="17">
      <c r="D819" s="97"/>
    </row>
    <row r="820" spans="4:4" ht="17">
      <c r="D820" s="97"/>
    </row>
    <row r="821" spans="4:4" ht="17">
      <c r="D821" s="97"/>
    </row>
    <row r="822" spans="4:4" ht="17">
      <c r="D822" s="97"/>
    </row>
    <row r="823" spans="4:4" ht="17">
      <c r="D823" s="97"/>
    </row>
    <row r="824" spans="4:4" ht="17">
      <c r="D824" s="97"/>
    </row>
    <row r="825" spans="4:4" ht="17">
      <c r="D825" s="97"/>
    </row>
    <row r="826" spans="4:4" ht="17">
      <c r="D826" s="97"/>
    </row>
    <row r="827" spans="4:4" ht="17">
      <c r="D827" s="97"/>
    </row>
    <row r="828" spans="4:4" ht="17">
      <c r="D828" s="97"/>
    </row>
    <row r="829" spans="4:4" ht="17">
      <c r="D829" s="97"/>
    </row>
    <row r="830" spans="4:4" ht="17">
      <c r="D830" s="97"/>
    </row>
    <row r="831" spans="4:4" ht="17">
      <c r="D831" s="97"/>
    </row>
    <row r="832" spans="4:4" ht="17">
      <c r="D832" s="97"/>
    </row>
    <row r="833" spans="4:4" ht="17">
      <c r="D833" s="97"/>
    </row>
    <row r="834" spans="4:4" ht="17">
      <c r="D834" s="97"/>
    </row>
    <row r="835" spans="4:4" ht="17">
      <c r="D835" s="97"/>
    </row>
    <row r="836" spans="4:4" ht="17">
      <c r="D836" s="97"/>
    </row>
    <row r="837" spans="4:4" ht="17">
      <c r="D837" s="97"/>
    </row>
    <row r="838" spans="4:4" ht="17">
      <c r="D838" s="97"/>
    </row>
    <row r="839" spans="4:4" ht="17">
      <c r="D839" s="97"/>
    </row>
    <row r="840" spans="4:4" ht="17">
      <c r="D840" s="97"/>
    </row>
    <row r="841" spans="4:4" ht="17">
      <c r="D841" s="97"/>
    </row>
    <row r="842" spans="4:4" ht="17">
      <c r="D842" s="97"/>
    </row>
    <row r="843" spans="4:4" ht="17">
      <c r="D843" s="97"/>
    </row>
    <row r="844" spans="4:4" ht="17">
      <c r="D844" s="97"/>
    </row>
    <row r="845" spans="4:4" ht="17">
      <c r="D845" s="97"/>
    </row>
    <row r="846" spans="4:4" ht="17">
      <c r="D846" s="97"/>
    </row>
    <row r="847" spans="4:4" ht="17">
      <c r="D847" s="97"/>
    </row>
    <row r="848" spans="4:4" ht="17">
      <c r="D848" s="97"/>
    </row>
    <row r="849" spans="4:4" ht="17">
      <c r="D849" s="97"/>
    </row>
    <row r="850" spans="4:4" ht="17">
      <c r="D850" s="97"/>
    </row>
    <row r="851" spans="4:4" ht="17">
      <c r="D851" s="97"/>
    </row>
    <row r="852" spans="4:4" ht="17">
      <c r="D852" s="97"/>
    </row>
    <row r="853" spans="4:4" ht="17">
      <c r="D853" s="97"/>
    </row>
    <row r="854" spans="4:4" ht="17">
      <c r="D854" s="97"/>
    </row>
    <row r="855" spans="4:4" ht="17">
      <c r="D855" s="97"/>
    </row>
    <row r="856" spans="4:4" ht="17">
      <c r="D856" s="97"/>
    </row>
    <row r="857" spans="4:4" ht="17">
      <c r="D857" s="97"/>
    </row>
    <row r="858" spans="4:4" ht="17">
      <c r="D858" s="97"/>
    </row>
    <row r="859" spans="4:4" ht="17">
      <c r="D859" s="97"/>
    </row>
    <row r="860" spans="4:4" ht="17">
      <c r="D860" s="97"/>
    </row>
    <row r="861" spans="4:4" ht="17">
      <c r="D861" s="97"/>
    </row>
    <row r="862" spans="4:4" ht="17">
      <c r="D862" s="97"/>
    </row>
    <row r="863" spans="4:4" ht="17">
      <c r="D863" s="97"/>
    </row>
    <row r="864" spans="4:4" ht="17">
      <c r="D864" s="97"/>
    </row>
    <row r="865" spans="4:4" ht="17">
      <c r="D865" s="97"/>
    </row>
    <row r="866" spans="4:4" ht="17">
      <c r="D866" s="97"/>
    </row>
    <row r="867" spans="4:4" ht="17">
      <c r="D867" s="97"/>
    </row>
    <row r="868" spans="4:4" ht="17">
      <c r="D868" s="97"/>
    </row>
    <row r="869" spans="4:4" ht="17">
      <c r="D869" s="97"/>
    </row>
    <row r="870" spans="4:4" ht="17">
      <c r="D870" s="97"/>
    </row>
    <row r="871" spans="4:4" ht="17">
      <c r="D871" s="97"/>
    </row>
    <row r="872" spans="4:4" ht="17">
      <c r="D872" s="97"/>
    </row>
    <row r="873" spans="4:4" ht="17">
      <c r="D873" s="97"/>
    </row>
    <row r="874" spans="4:4" ht="17">
      <c r="D874" s="97"/>
    </row>
    <row r="875" spans="4:4" ht="17">
      <c r="D875" s="97"/>
    </row>
    <row r="876" spans="4:4" ht="17">
      <c r="D876" s="97"/>
    </row>
    <row r="877" spans="4:4" ht="17">
      <c r="D877" s="97"/>
    </row>
    <row r="878" spans="4:4" ht="17">
      <c r="D878" s="97"/>
    </row>
    <row r="879" spans="4:4" ht="17">
      <c r="D879" s="97"/>
    </row>
    <row r="880" spans="4:4" ht="17">
      <c r="D880" s="97"/>
    </row>
    <row r="881" spans="4:4" ht="17">
      <c r="D881" s="97"/>
    </row>
    <row r="882" spans="4:4" ht="17">
      <c r="D882" s="97"/>
    </row>
    <row r="883" spans="4:4" ht="17">
      <c r="D883" s="97"/>
    </row>
    <row r="884" spans="4:4" ht="17">
      <c r="D884" s="97"/>
    </row>
    <row r="885" spans="4:4" ht="17">
      <c r="D885" s="97"/>
    </row>
    <row r="886" spans="4:4" ht="17">
      <c r="D886" s="97"/>
    </row>
    <row r="887" spans="4:4" ht="17">
      <c r="D887" s="97"/>
    </row>
    <row r="888" spans="4:4" ht="17">
      <c r="D888" s="97"/>
    </row>
    <row r="889" spans="4:4" ht="17">
      <c r="D889" s="97"/>
    </row>
    <row r="890" spans="4:4" ht="17">
      <c r="D890" s="97"/>
    </row>
    <row r="891" spans="4:4" ht="17">
      <c r="D891" s="97"/>
    </row>
    <row r="892" spans="4:4" ht="17">
      <c r="D892" s="97"/>
    </row>
    <row r="893" spans="4:4" ht="17">
      <c r="D893" s="97"/>
    </row>
    <row r="894" spans="4:4" ht="17">
      <c r="D894" s="97"/>
    </row>
    <row r="895" spans="4:4" ht="17">
      <c r="D895" s="97"/>
    </row>
    <row r="896" spans="4:4" ht="17">
      <c r="D896" s="97"/>
    </row>
    <row r="897" spans="4:4" ht="17">
      <c r="D897" s="97"/>
    </row>
    <row r="898" spans="4:4" ht="17">
      <c r="D898" s="97"/>
    </row>
    <row r="899" spans="4:4" ht="17">
      <c r="D899" s="97"/>
    </row>
    <row r="900" spans="4:4" ht="17">
      <c r="D900" s="97"/>
    </row>
    <row r="901" spans="4:4" ht="17">
      <c r="D901" s="97"/>
    </row>
    <row r="902" spans="4:4" ht="17">
      <c r="D902" s="97"/>
    </row>
    <row r="903" spans="4:4" ht="17">
      <c r="D903" s="97"/>
    </row>
    <row r="904" spans="4:4" ht="17">
      <c r="D904" s="97"/>
    </row>
    <row r="905" spans="4:4" ht="17">
      <c r="D905" s="97"/>
    </row>
    <row r="906" spans="4:4" ht="17">
      <c r="D906" s="97"/>
    </row>
    <row r="907" spans="4:4" ht="17">
      <c r="D907" s="97"/>
    </row>
    <row r="908" spans="4:4" ht="17">
      <c r="D908" s="97"/>
    </row>
    <row r="909" spans="4:4" ht="17">
      <c r="D909" s="97"/>
    </row>
    <row r="910" spans="4:4" ht="17">
      <c r="D910" s="97"/>
    </row>
    <row r="911" spans="4:4" ht="17">
      <c r="D911" s="97"/>
    </row>
    <row r="912" spans="4:4" ht="17">
      <c r="D912" s="97"/>
    </row>
    <row r="913" spans="4:4" ht="17">
      <c r="D913" s="97"/>
    </row>
    <row r="914" spans="4:4" ht="17">
      <c r="D914" s="97"/>
    </row>
    <row r="915" spans="4:4" ht="17">
      <c r="D915" s="97"/>
    </row>
    <row r="916" spans="4:4" ht="17">
      <c r="D916" s="97"/>
    </row>
    <row r="917" spans="4:4" ht="17">
      <c r="D917" s="97"/>
    </row>
    <row r="918" spans="4:4" ht="17">
      <c r="D918" s="97"/>
    </row>
    <row r="919" spans="4:4" ht="17">
      <c r="D919" s="97"/>
    </row>
    <row r="920" spans="4:4" ht="17">
      <c r="D920" s="97"/>
    </row>
    <row r="921" spans="4:4" ht="17">
      <c r="D921" s="97"/>
    </row>
    <row r="922" spans="4:4" ht="17">
      <c r="D922" s="97"/>
    </row>
    <row r="923" spans="4:4" ht="17">
      <c r="D923" s="97"/>
    </row>
    <row r="924" spans="4:4" ht="17">
      <c r="D924" s="97"/>
    </row>
    <row r="925" spans="4:4" ht="17">
      <c r="D925" s="97"/>
    </row>
    <row r="926" spans="4:4" ht="17">
      <c r="D926" s="97"/>
    </row>
    <row r="927" spans="4:4" ht="17">
      <c r="D927" s="97"/>
    </row>
    <row r="928" spans="4:4" ht="17">
      <c r="D928" s="97"/>
    </row>
    <row r="929" spans="4:4" ht="17">
      <c r="D929" s="97"/>
    </row>
    <row r="930" spans="4:4" ht="17">
      <c r="D930" s="97"/>
    </row>
    <row r="931" spans="4:4" ht="17">
      <c r="D931" s="97"/>
    </row>
    <row r="932" spans="4:4" ht="17">
      <c r="D932" s="97"/>
    </row>
    <row r="933" spans="4:4" ht="17">
      <c r="D933" s="97"/>
    </row>
    <row r="934" spans="4:4" ht="17">
      <c r="D934" s="97"/>
    </row>
    <row r="935" spans="4:4" ht="17">
      <c r="D935" s="97"/>
    </row>
    <row r="936" spans="4:4" ht="17">
      <c r="D936" s="97"/>
    </row>
    <row r="937" spans="4:4" ht="17">
      <c r="D937" s="97"/>
    </row>
    <row r="938" spans="4:4" ht="17">
      <c r="D938" s="97"/>
    </row>
    <row r="939" spans="4:4" ht="17">
      <c r="D939" s="97"/>
    </row>
    <row r="940" spans="4:4" ht="17">
      <c r="D940" s="97"/>
    </row>
    <row r="941" spans="4:4" ht="17">
      <c r="D941" s="97"/>
    </row>
    <row r="942" spans="4:4" ht="17">
      <c r="D942" s="97"/>
    </row>
    <row r="943" spans="4:4" ht="17">
      <c r="D943" s="97"/>
    </row>
    <row r="944" spans="4:4" ht="17">
      <c r="D944" s="97"/>
    </row>
    <row r="945" spans="4:4" ht="17">
      <c r="D945" s="97"/>
    </row>
    <row r="946" spans="4:4" ht="17">
      <c r="D946" s="97"/>
    </row>
    <row r="947" spans="4:4" ht="17">
      <c r="D947" s="97"/>
    </row>
    <row r="948" spans="4:4" ht="17">
      <c r="D948" s="97"/>
    </row>
    <row r="949" spans="4:4" ht="17">
      <c r="D949" s="97"/>
    </row>
    <row r="950" spans="4:4" ht="17">
      <c r="D950" s="97"/>
    </row>
    <row r="951" spans="4:4" ht="17">
      <c r="D951" s="97"/>
    </row>
    <row r="952" spans="4:4" ht="17">
      <c r="D952" s="97"/>
    </row>
    <row r="953" spans="4:4" ht="17">
      <c r="D953" s="97"/>
    </row>
    <row r="954" spans="4:4" ht="17">
      <c r="D954" s="97"/>
    </row>
    <row r="955" spans="4:4" ht="17">
      <c r="D955" s="97"/>
    </row>
    <row r="956" spans="4:4" ht="17">
      <c r="D956" s="97"/>
    </row>
    <row r="957" spans="4:4" ht="17">
      <c r="D957" s="97"/>
    </row>
    <row r="958" spans="4:4" ht="17">
      <c r="D958" s="97"/>
    </row>
    <row r="959" spans="4:4" ht="17">
      <c r="D959" s="97"/>
    </row>
    <row r="960" spans="4:4" ht="17">
      <c r="D960" s="97"/>
    </row>
    <row r="961" spans="4:4" ht="17">
      <c r="D961" s="97"/>
    </row>
    <row r="962" spans="4:4" ht="17">
      <c r="D962" s="97"/>
    </row>
    <row r="963" spans="4:4" ht="17">
      <c r="D963" s="97"/>
    </row>
    <row r="964" spans="4:4" ht="17">
      <c r="D964" s="97"/>
    </row>
    <row r="965" spans="4:4" ht="17">
      <c r="D965" s="97"/>
    </row>
    <row r="966" spans="4:4" ht="17">
      <c r="D966" s="97"/>
    </row>
    <row r="967" spans="4:4" ht="17">
      <c r="D967" s="97"/>
    </row>
    <row r="968" spans="4:4" ht="17">
      <c r="D968" s="97"/>
    </row>
    <row r="969" spans="4:4" ht="17">
      <c r="D969" s="97"/>
    </row>
    <row r="970" spans="4:4" ht="17">
      <c r="D970" s="97"/>
    </row>
    <row r="971" spans="4:4" ht="17">
      <c r="D971" s="97"/>
    </row>
    <row r="972" spans="4:4" ht="17">
      <c r="D972" s="97"/>
    </row>
    <row r="973" spans="4:4" ht="17">
      <c r="D973" s="97"/>
    </row>
    <row r="974" spans="4:4" ht="17">
      <c r="D974" s="97"/>
    </row>
    <row r="975" spans="4:4" ht="17">
      <c r="D975" s="97"/>
    </row>
    <row r="976" spans="4:4" ht="17">
      <c r="D976" s="97"/>
    </row>
    <row r="977" spans="4:4" ht="17">
      <c r="D977" s="97"/>
    </row>
    <row r="978" spans="4:4" ht="17">
      <c r="D978" s="97"/>
    </row>
    <row r="979" spans="4:4" ht="17">
      <c r="D979" s="97"/>
    </row>
    <row r="980" spans="4:4" ht="17">
      <c r="D980" s="97"/>
    </row>
    <row r="981" spans="4:4" ht="17">
      <c r="D981" s="97"/>
    </row>
    <row r="982" spans="4:4" ht="17">
      <c r="D982" s="97"/>
    </row>
    <row r="983" spans="4:4" ht="17">
      <c r="D983" s="97"/>
    </row>
    <row r="984" spans="4:4" ht="17">
      <c r="D984" s="97"/>
    </row>
    <row r="985" spans="4:4" ht="17">
      <c r="D985" s="97"/>
    </row>
    <row r="986" spans="4:4" ht="17">
      <c r="D986" s="97"/>
    </row>
    <row r="987" spans="4:4" ht="17">
      <c r="D987" s="97"/>
    </row>
    <row r="988" spans="4:4" ht="17">
      <c r="D988" s="97"/>
    </row>
    <row r="989" spans="4:4" ht="17">
      <c r="D989" s="97"/>
    </row>
    <row r="990" spans="4:4" ht="17">
      <c r="D990" s="97"/>
    </row>
    <row r="991" spans="4:4" ht="17">
      <c r="D991" s="97"/>
    </row>
    <row r="992" spans="4:4" ht="17">
      <c r="D992" s="97"/>
    </row>
    <row r="993" spans="4:4" ht="17">
      <c r="D993" s="97"/>
    </row>
    <row r="994" spans="4:4" ht="17">
      <c r="D994" s="97"/>
    </row>
    <row r="995" spans="4:4" ht="17">
      <c r="D995" s="97"/>
    </row>
    <row r="996" spans="4:4" ht="17">
      <c r="D996" s="97"/>
    </row>
    <row r="997" spans="4:4" ht="17">
      <c r="D997" s="97"/>
    </row>
    <row r="998" spans="4:4" ht="17">
      <c r="D998" s="97"/>
    </row>
    <row r="999" spans="4:4" ht="17">
      <c r="D999" s="97"/>
    </row>
    <row r="1000" spans="4:4" ht="17">
      <c r="D1000" s="97"/>
    </row>
  </sheetData>
  <mergeCells count="14">
    <mergeCell ref="K18:K21"/>
    <mergeCell ref="K22:K45"/>
    <mergeCell ref="D14:D16"/>
    <mergeCell ref="D17:D19"/>
    <mergeCell ref="D20:D43"/>
    <mergeCell ref="B3:G3"/>
    <mergeCell ref="I3:N3"/>
    <mergeCell ref="D5:D7"/>
    <mergeCell ref="K5:K7"/>
    <mergeCell ref="D8:D9"/>
    <mergeCell ref="K8:K10"/>
    <mergeCell ref="D10:D13"/>
    <mergeCell ref="K11:K12"/>
    <mergeCell ref="K13:K17"/>
  </mergeCells>
  <hyperlinks>
    <hyperlink ref="H5" r:id="rId1" xr:uid="{00000000-0004-0000-0500-000000000000}"/>
    <hyperlink ref="O5" r:id="rId2" xr:uid="{00000000-0004-0000-0500-000001000000}"/>
    <hyperlink ref="H6" r:id="rId3" xr:uid="{00000000-0004-0000-0500-000002000000}"/>
    <hyperlink ref="O6" r:id="rId4" xr:uid="{00000000-0004-0000-0500-000003000000}"/>
    <hyperlink ref="H7" r:id="rId5" xr:uid="{00000000-0004-0000-0500-00000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N1003"/>
  <sheetViews>
    <sheetView showGridLines="0" topLeftCell="A2" zoomScale="86" workbookViewId="0">
      <pane xSplit="1" topLeftCell="B1" activePane="topRight" state="frozen"/>
      <selection activeCell="A2" sqref="A2"/>
      <selection pane="topRight" activeCell="B18" sqref="B18"/>
    </sheetView>
  </sheetViews>
  <sheetFormatPr baseColWidth="10" defaultColWidth="12.6640625" defaultRowHeight="15.75" customHeight="1"/>
  <cols>
    <col min="1" max="1" width="30.1640625" style="63" customWidth="1"/>
    <col min="2" max="2" width="51" style="63" customWidth="1"/>
    <col min="3" max="3" width="18.5" style="63" customWidth="1"/>
    <col min="4" max="7" width="13.6640625" style="63" bestFit="1" customWidth="1"/>
    <col min="8" max="8" width="15" style="63" customWidth="1"/>
    <col min="9" max="12" width="13.6640625" style="63" bestFit="1" customWidth="1"/>
    <col min="13" max="13" width="14.6640625" style="63" customWidth="1"/>
    <col min="14" max="14" width="13.6640625" style="63" bestFit="1" customWidth="1"/>
    <col min="15" max="26" width="15.33203125" style="63" bestFit="1" customWidth="1"/>
    <col min="27" max="28" width="14.5" style="63" customWidth="1"/>
    <col min="29" max="29" width="14.33203125" style="63" customWidth="1"/>
    <col min="30" max="30" width="20" style="63" customWidth="1"/>
    <col min="31" max="66" width="14.5" style="63" customWidth="1"/>
    <col min="67" max="16384" width="12.6640625" style="63"/>
  </cols>
  <sheetData>
    <row r="1" spans="1:66" ht="15.75" customHeight="1">
      <c r="A1" s="51" t="s">
        <v>237</v>
      </c>
      <c r="B1" s="279">
        <v>2024</v>
      </c>
      <c r="C1" s="53">
        <v>2025</v>
      </c>
      <c r="D1" s="53">
        <f t="shared" ref="D1:BN1" si="0">C1+1</f>
        <v>2026</v>
      </c>
      <c r="E1" s="53">
        <f t="shared" si="0"/>
        <v>2027</v>
      </c>
      <c r="F1" s="53">
        <f t="shared" si="0"/>
        <v>2028</v>
      </c>
      <c r="G1" s="53">
        <f t="shared" si="0"/>
        <v>2029</v>
      </c>
      <c r="H1" s="53">
        <f t="shared" si="0"/>
        <v>2030</v>
      </c>
      <c r="I1" s="53">
        <f t="shared" si="0"/>
        <v>2031</v>
      </c>
      <c r="J1" s="53">
        <f t="shared" si="0"/>
        <v>2032</v>
      </c>
      <c r="K1" s="53">
        <f t="shared" si="0"/>
        <v>2033</v>
      </c>
      <c r="L1" s="53">
        <f t="shared" si="0"/>
        <v>2034</v>
      </c>
      <c r="M1" s="53">
        <f t="shared" si="0"/>
        <v>2035</v>
      </c>
      <c r="N1" s="53">
        <f t="shared" si="0"/>
        <v>2036</v>
      </c>
      <c r="O1" s="53">
        <f t="shared" si="0"/>
        <v>2037</v>
      </c>
      <c r="P1" s="53">
        <f t="shared" si="0"/>
        <v>2038</v>
      </c>
      <c r="Q1" s="53">
        <f t="shared" si="0"/>
        <v>2039</v>
      </c>
      <c r="R1" s="53">
        <f t="shared" si="0"/>
        <v>2040</v>
      </c>
      <c r="S1" s="53">
        <f t="shared" si="0"/>
        <v>2041</v>
      </c>
      <c r="T1" s="53">
        <f t="shared" si="0"/>
        <v>2042</v>
      </c>
      <c r="U1" s="53">
        <f t="shared" si="0"/>
        <v>2043</v>
      </c>
      <c r="V1" s="53">
        <f t="shared" si="0"/>
        <v>2044</v>
      </c>
      <c r="W1" s="53">
        <f t="shared" si="0"/>
        <v>2045</v>
      </c>
      <c r="X1" s="57">
        <f t="shared" si="0"/>
        <v>2046</v>
      </c>
      <c r="Y1" s="57">
        <f t="shared" si="0"/>
        <v>2047</v>
      </c>
      <c r="Z1" s="57">
        <f t="shared" si="0"/>
        <v>2048</v>
      </c>
      <c r="AA1" s="57">
        <f t="shared" si="0"/>
        <v>2049</v>
      </c>
      <c r="AB1" s="57">
        <f t="shared" si="0"/>
        <v>2050</v>
      </c>
      <c r="AC1" s="57">
        <f t="shared" si="0"/>
        <v>2051</v>
      </c>
      <c r="AD1" s="57">
        <f t="shared" si="0"/>
        <v>2052</v>
      </c>
      <c r="AE1" s="57">
        <f t="shared" si="0"/>
        <v>2053</v>
      </c>
      <c r="AF1" s="57">
        <f t="shared" si="0"/>
        <v>2054</v>
      </c>
      <c r="AG1" s="57">
        <f t="shared" si="0"/>
        <v>2055</v>
      </c>
      <c r="AH1" s="57">
        <f t="shared" si="0"/>
        <v>2056</v>
      </c>
      <c r="AI1" s="57">
        <f t="shared" si="0"/>
        <v>2057</v>
      </c>
      <c r="AJ1" s="57">
        <f t="shared" si="0"/>
        <v>2058</v>
      </c>
      <c r="AK1" s="57">
        <f t="shared" si="0"/>
        <v>2059</v>
      </c>
      <c r="AL1" s="57">
        <f t="shared" si="0"/>
        <v>2060</v>
      </c>
      <c r="AM1" s="57">
        <f t="shared" si="0"/>
        <v>2061</v>
      </c>
      <c r="AN1" s="57">
        <f t="shared" si="0"/>
        <v>2062</v>
      </c>
      <c r="AO1" s="57">
        <f t="shared" si="0"/>
        <v>2063</v>
      </c>
      <c r="AP1" s="57">
        <f t="shared" si="0"/>
        <v>2064</v>
      </c>
      <c r="AQ1" s="57">
        <f t="shared" si="0"/>
        <v>2065</v>
      </c>
      <c r="AR1" s="57">
        <f t="shared" si="0"/>
        <v>2066</v>
      </c>
      <c r="AS1" s="57">
        <f t="shared" si="0"/>
        <v>2067</v>
      </c>
      <c r="AT1" s="57">
        <f t="shared" si="0"/>
        <v>2068</v>
      </c>
      <c r="AU1" s="57">
        <f t="shared" si="0"/>
        <v>2069</v>
      </c>
      <c r="AV1" s="57">
        <f t="shared" si="0"/>
        <v>2070</v>
      </c>
      <c r="AW1" s="57">
        <f t="shared" si="0"/>
        <v>2071</v>
      </c>
      <c r="AX1" s="57">
        <f t="shared" si="0"/>
        <v>2072</v>
      </c>
      <c r="AY1" s="59">
        <f t="shared" si="0"/>
        <v>2073</v>
      </c>
      <c r="AZ1" s="280">
        <f t="shared" si="0"/>
        <v>2074</v>
      </c>
      <c r="BA1" s="62">
        <f t="shared" si="0"/>
        <v>2075</v>
      </c>
      <c r="BB1" s="62">
        <f t="shared" si="0"/>
        <v>2076</v>
      </c>
      <c r="BC1" s="62">
        <f t="shared" si="0"/>
        <v>2077</v>
      </c>
      <c r="BD1" s="62">
        <f t="shared" si="0"/>
        <v>2078</v>
      </c>
      <c r="BE1" s="62">
        <f t="shared" si="0"/>
        <v>2079</v>
      </c>
      <c r="BF1" s="62">
        <f t="shared" si="0"/>
        <v>2080</v>
      </c>
      <c r="BG1" s="62">
        <f t="shared" si="0"/>
        <v>2081</v>
      </c>
      <c r="BH1" s="62">
        <f t="shared" si="0"/>
        <v>2082</v>
      </c>
      <c r="BI1" s="62">
        <f t="shared" si="0"/>
        <v>2083</v>
      </c>
      <c r="BJ1" s="62">
        <f t="shared" si="0"/>
        <v>2084</v>
      </c>
      <c r="BK1" s="62">
        <f t="shared" si="0"/>
        <v>2085</v>
      </c>
      <c r="BL1" s="62">
        <f t="shared" si="0"/>
        <v>2086</v>
      </c>
      <c r="BM1" s="62">
        <f t="shared" si="0"/>
        <v>2087</v>
      </c>
      <c r="BN1" s="62">
        <f t="shared" si="0"/>
        <v>2088</v>
      </c>
    </row>
    <row r="2" spans="1:66" ht="15.75" customHeight="1">
      <c r="A2" s="64" t="s">
        <v>238</v>
      </c>
      <c r="B2" s="65">
        <v>0</v>
      </c>
      <c r="C2" s="66">
        <v>1</v>
      </c>
      <c r="D2" s="66">
        <v>2</v>
      </c>
      <c r="E2" s="66">
        <f t="shared" ref="E2:BN2" si="1">D2+1</f>
        <v>3</v>
      </c>
      <c r="F2" s="66">
        <f t="shared" si="1"/>
        <v>4</v>
      </c>
      <c r="G2" s="66">
        <f t="shared" si="1"/>
        <v>5</v>
      </c>
      <c r="H2" s="66">
        <f t="shared" si="1"/>
        <v>6</v>
      </c>
      <c r="I2" s="66">
        <f t="shared" si="1"/>
        <v>7</v>
      </c>
      <c r="J2" s="66">
        <f t="shared" si="1"/>
        <v>8</v>
      </c>
      <c r="K2" s="66">
        <f t="shared" si="1"/>
        <v>9</v>
      </c>
      <c r="L2" s="66">
        <f t="shared" si="1"/>
        <v>10</v>
      </c>
      <c r="M2" s="66">
        <f t="shared" si="1"/>
        <v>11</v>
      </c>
      <c r="N2" s="66">
        <f t="shared" si="1"/>
        <v>12</v>
      </c>
      <c r="O2" s="66">
        <f t="shared" si="1"/>
        <v>13</v>
      </c>
      <c r="P2" s="66">
        <f t="shared" si="1"/>
        <v>14</v>
      </c>
      <c r="Q2" s="66">
        <f t="shared" si="1"/>
        <v>15</v>
      </c>
      <c r="R2" s="66">
        <f t="shared" si="1"/>
        <v>16</v>
      </c>
      <c r="S2" s="66">
        <f t="shared" si="1"/>
        <v>17</v>
      </c>
      <c r="T2" s="66">
        <f t="shared" si="1"/>
        <v>18</v>
      </c>
      <c r="U2" s="66">
        <f t="shared" si="1"/>
        <v>19</v>
      </c>
      <c r="V2" s="66">
        <f t="shared" si="1"/>
        <v>20</v>
      </c>
      <c r="W2" s="66">
        <f t="shared" si="1"/>
        <v>21</v>
      </c>
      <c r="X2" s="66">
        <f t="shared" si="1"/>
        <v>22</v>
      </c>
      <c r="Y2" s="66">
        <f t="shared" si="1"/>
        <v>23</v>
      </c>
      <c r="Z2" s="66">
        <f t="shared" si="1"/>
        <v>24</v>
      </c>
      <c r="AA2" s="66">
        <f t="shared" si="1"/>
        <v>25</v>
      </c>
      <c r="AB2" s="66">
        <f t="shared" si="1"/>
        <v>26</v>
      </c>
      <c r="AC2" s="66">
        <f t="shared" si="1"/>
        <v>27</v>
      </c>
      <c r="AD2" s="66">
        <f t="shared" si="1"/>
        <v>28</v>
      </c>
      <c r="AE2" s="66">
        <f t="shared" si="1"/>
        <v>29</v>
      </c>
      <c r="AF2" s="66">
        <f t="shared" si="1"/>
        <v>30</v>
      </c>
      <c r="AG2" s="66">
        <f t="shared" si="1"/>
        <v>31</v>
      </c>
      <c r="AH2" s="66">
        <f t="shared" si="1"/>
        <v>32</v>
      </c>
      <c r="AI2" s="66">
        <f t="shared" si="1"/>
        <v>33</v>
      </c>
      <c r="AJ2" s="66">
        <f t="shared" si="1"/>
        <v>34</v>
      </c>
      <c r="AK2" s="66">
        <f t="shared" si="1"/>
        <v>35</v>
      </c>
      <c r="AL2" s="66">
        <f t="shared" si="1"/>
        <v>36</v>
      </c>
      <c r="AM2" s="66">
        <f t="shared" si="1"/>
        <v>37</v>
      </c>
      <c r="AN2" s="66">
        <f t="shared" si="1"/>
        <v>38</v>
      </c>
      <c r="AO2" s="66">
        <f t="shared" si="1"/>
        <v>39</v>
      </c>
      <c r="AP2" s="66">
        <f t="shared" si="1"/>
        <v>40</v>
      </c>
      <c r="AQ2" s="66">
        <f t="shared" si="1"/>
        <v>41</v>
      </c>
      <c r="AR2" s="66">
        <f t="shared" si="1"/>
        <v>42</v>
      </c>
      <c r="AS2" s="66">
        <f t="shared" si="1"/>
        <v>43</v>
      </c>
      <c r="AT2" s="66">
        <f t="shared" si="1"/>
        <v>44</v>
      </c>
      <c r="AU2" s="66">
        <f t="shared" si="1"/>
        <v>45</v>
      </c>
      <c r="AV2" s="66">
        <f t="shared" si="1"/>
        <v>46</v>
      </c>
      <c r="AW2" s="66">
        <f t="shared" si="1"/>
        <v>47</v>
      </c>
      <c r="AX2" s="66">
        <f t="shared" si="1"/>
        <v>48</v>
      </c>
      <c r="AY2" s="66">
        <f t="shared" si="1"/>
        <v>49</v>
      </c>
      <c r="AZ2" s="66">
        <f t="shared" si="1"/>
        <v>50</v>
      </c>
      <c r="BA2" s="66">
        <f t="shared" si="1"/>
        <v>51</v>
      </c>
      <c r="BB2" s="66">
        <f t="shared" si="1"/>
        <v>52</v>
      </c>
      <c r="BC2" s="66">
        <f t="shared" si="1"/>
        <v>53</v>
      </c>
      <c r="BD2" s="66">
        <f t="shared" si="1"/>
        <v>54</v>
      </c>
      <c r="BE2" s="66">
        <f t="shared" si="1"/>
        <v>55</v>
      </c>
      <c r="BF2" s="66">
        <f t="shared" si="1"/>
        <v>56</v>
      </c>
      <c r="BG2" s="66">
        <f t="shared" si="1"/>
        <v>57</v>
      </c>
      <c r="BH2" s="66">
        <f t="shared" si="1"/>
        <v>58</v>
      </c>
      <c r="BI2" s="66">
        <f t="shared" si="1"/>
        <v>59</v>
      </c>
      <c r="BJ2" s="66">
        <f t="shared" si="1"/>
        <v>60</v>
      </c>
      <c r="BK2" s="66">
        <f t="shared" si="1"/>
        <v>61</v>
      </c>
      <c r="BL2" s="66">
        <f t="shared" si="1"/>
        <v>62</v>
      </c>
      <c r="BM2" s="66">
        <f t="shared" si="1"/>
        <v>63</v>
      </c>
      <c r="BN2" s="66">
        <f t="shared" si="1"/>
        <v>64</v>
      </c>
    </row>
    <row r="3" spans="1:66" ht="15.75" customHeight="1">
      <c r="A3" s="64" t="s">
        <v>239</v>
      </c>
      <c r="B3" s="65"/>
      <c r="C3" s="67">
        <f>'3. Financial drivers '!G26</f>
        <v>2.9499999999999998E-2</v>
      </c>
      <c r="D3" s="67">
        <f>'3. Financial drivers '!G27</f>
        <v>2.4899999999999999E-2</v>
      </c>
      <c r="E3" s="67">
        <f>'3. Financial drivers '!G28</f>
        <v>2.8000000000000001E-2</v>
      </c>
      <c r="F3" s="67">
        <f>'3. Financial drivers '!G29</f>
        <v>2.9000000000000001E-2</v>
      </c>
      <c r="G3" s="67">
        <f>'3. Financial drivers '!G30</f>
        <v>2.9000000000000001E-2</v>
      </c>
      <c r="H3" s="67">
        <f>'3. Financial drivers '!G31</f>
        <v>2.9000000000000001E-2</v>
      </c>
      <c r="I3" s="67">
        <f>'3. Financial drivers '!$G$32</f>
        <v>2.8810000000000002E-2</v>
      </c>
      <c r="J3" s="67">
        <f>'3. Financial drivers '!$G$32</f>
        <v>2.8810000000000002E-2</v>
      </c>
      <c r="K3" s="67">
        <f>'3. Financial drivers '!$G$32</f>
        <v>2.8810000000000002E-2</v>
      </c>
      <c r="L3" s="67">
        <f>'3. Financial drivers '!$G$32</f>
        <v>2.8810000000000002E-2</v>
      </c>
      <c r="M3" s="67">
        <f>'3. Financial drivers '!$G$32</f>
        <v>2.8810000000000002E-2</v>
      </c>
      <c r="N3" s="67">
        <f>'3. Financial drivers '!$G$32</f>
        <v>2.8810000000000002E-2</v>
      </c>
      <c r="O3" s="67">
        <f>'3. Financial drivers '!$G$32</f>
        <v>2.8810000000000002E-2</v>
      </c>
      <c r="P3" s="67">
        <f>'3. Financial drivers '!$G$32</f>
        <v>2.8810000000000002E-2</v>
      </c>
      <c r="Q3" s="67">
        <f>'3. Financial drivers '!$G$32</f>
        <v>2.8810000000000002E-2</v>
      </c>
      <c r="R3" s="67">
        <f>'3. Financial drivers '!$G$32</f>
        <v>2.8810000000000002E-2</v>
      </c>
      <c r="S3" s="67">
        <f>'3. Financial drivers '!$G$32</f>
        <v>2.8810000000000002E-2</v>
      </c>
      <c r="T3" s="67">
        <f>'3. Financial drivers '!$G$32</f>
        <v>2.8810000000000002E-2</v>
      </c>
      <c r="U3" s="67">
        <f>'3. Financial drivers '!$G$32</f>
        <v>2.8810000000000002E-2</v>
      </c>
      <c r="V3" s="67">
        <f>'3. Financial drivers '!$G$32</f>
        <v>2.8810000000000002E-2</v>
      </c>
      <c r="W3" s="67">
        <f>'3. Financial drivers '!$G$32</f>
        <v>2.8810000000000002E-2</v>
      </c>
      <c r="X3" s="67">
        <f>'3. Financial drivers '!$G$32</f>
        <v>2.8810000000000002E-2</v>
      </c>
      <c r="Y3" s="67">
        <f>'3. Financial drivers '!$G$32</f>
        <v>2.8810000000000002E-2</v>
      </c>
      <c r="Z3" s="67">
        <f>'3. Financial drivers '!$G$32</f>
        <v>2.8810000000000002E-2</v>
      </c>
      <c r="AA3" s="67">
        <f>'3. Financial drivers '!$G$32</f>
        <v>2.8810000000000002E-2</v>
      </c>
      <c r="AB3" s="67">
        <f>'3. Financial drivers '!$G$32</f>
        <v>2.8810000000000002E-2</v>
      </c>
      <c r="AC3" s="67">
        <f>'3. Financial drivers '!$G$32</f>
        <v>2.8810000000000002E-2</v>
      </c>
      <c r="AD3" s="67">
        <f>'3. Financial drivers '!$G$32</f>
        <v>2.8810000000000002E-2</v>
      </c>
      <c r="AE3" s="67">
        <f>'3. Financial drivers '!$G$32</f>
        <v>2.8810000000000002E-2</v>
      </c>
      <c r="AF3" s="67">
        <f>'3. Financial drivers '!$G$32</f>
        <v>2.8810000000000002E-2</v>
      </c>
      <c r="AG3" s="67">
        <f>'3. Financial drivers '!$G$32</f>
        <v>2.8810000000000002E-2</v>
      </c>
      <c r="AH3" s="67">
        <f>'3. Financial drivers '!$G$32</f>
        <v>2.8810000000000002E-2</v>
      </c>
      <c r="AI3" s="67">
        <f>'3. Financial drivers '!$G$32</f>
        <v>2.8810000000000002E-2</v>
      </c>
      <c r="AJ3" s="67">
        <f>'3. Financial drivers '!$G$32</f>
        <v>2.8810000000000002E-2</v>
      </c>
      <c r="AK3" s="67">
        <f>'3. Financial drivers '!$G$32</f>
        <v>2.8810000000000002E-2</v>
      </c>
      <c r="AL3" s="67">
        <f>'3. Financial drivers '!$G$32</f>
        <v>2.8810000000000002E-2</v>
      </c>
      <c r="AM3" s="67">
        <f>'3. Financial drivers '!$G$32</f>
        <v>2.8810000000000002E-2</v>
      </c>
      <c r="AN3" s="67">
        <f>'3. Financial drivers '!$G$32</f>
        <v>2.8810000000000002E-2</v>
      </c>
      <c r="AO3" s="67">
        <f>'3. Financial drivers '!$G$32</f>
        <v>2.8810000000000002E-2</v>
      </c>
      <c r="AP3" s="67">
        <f>'3. Financial drivers '!$G$32</f>
        <v>2.8810000000000002E-2</v>
      </c>
      <c r="AQ3" s="67">
        <f>'3. Financial drivers '!$G$32</f>
        <v>2.8810000000000002E-2</v>
      </c>
      <c r="AR3" s="67">
        <f>'3. Financial drivers '!$G$32</f>
        <v>2.8810000000000002E-2</v>
      </c>
      <c r="AS3" s="67">
        <f>'3. Financial drivers '!$G$32</f>
        <v>2.8810000000000002E-2</v>
      </c>
      <c r="AT3" s="67">
        <f>'3. Financial drivers '!$G$32</f>
        <v>2.8810000000000002E-2</v>
      </c>
      <c r="AU3" s="67">
        <f>'3. Financial drivers '!$G$32</f>
        <v>2.8810000000000002E-2</v>
      </c>
      <c r="AV3" s="67">
        <f>'3. Financial drivers '!$G$32</f>
        <v>2.8810000000000002E-2</v>
      </c>
      <c r="AW3" s="67">
        <f>'3. Financial drivers '!$G$32</f>
        <v>2.8810000000000002E-2</v>
      </c>
      <c r="AX3" s="67">
        <f>'3. Financial drivers '!$G$32</f>
        <v>2.8810000000000002E-2</v>
      </c>
      <c r="AY3" s="67">
        <f>'3. Financial drivers '!$G$32</f>
        <v>2.8810000000000002E-2</v>
      </c>
      <c r="AZ3" s="67">
        <f>'3. Financial drivers '!$G$32</f>
        <v>2.8810000000000002E-2</v>
      </c>
      <c r="BA3" s="67">
        <f>'3. Financial drivers '!$G$32</f>
        <v>2.8810000000000002E-2</v>
      </c>
      <c r="BB3" s="67">
        <f>'3. Financial drivers '!$G$32</f>
        <v>2.8810000000000002E-2</v>
      </c>
      <c r="BC3" s="67">
        <f>'3. Financial drivers '!$G$32</f>
        <v>2.8810000000000002E-2</v>
      </c>
      <c r="BD3" s="67">
        <f>'3. Financial drivers '!$G$32</f>
        <v>2.8810000000000002E-2</v>
      </c>
      <c r="BE3" s="67">
        <f>'3. Financial drivers '!$G$32</f>
        <v>2.8810000000000002E-2</v>
      </c>
      <c r="BF3" s="67">
        <f>'3. Financial drivers '!$G$32</f>
        <v>2.8810000000000002E-2</v>
      </c>
      <c r="BG3" s="67">
        <f>'3. Financial drivers '!$G$32</f>
        <v>2.8810000000000002E-2</v>
      </c>
      <c r="BH3" s="67">
        <f>'3. Financial drivers '!$G$32</f>
        <v>2.8810000000000002E-2</v>
      </c>
      <c r="BI3" s="67">
        <f>'3. Financial drivers '!$G$32</f>
        <v>2.8810000000000002E-2</v>
      </c>
      <c r="BJ3" s="67">
        <f>'3. Financial drivers '!$G$32</f>
        <v>2.8810000000000002E-2</v>
      </c>
      <c r="BK3" s="67">
        <f>'3. Financial drivers '!$G$32</f>
        <v>2.8810000000000002E-2</v>
      </c>
      <c r="BL3" s="67">
        <f>'3. Financial drivers '!$G$32</f>
        <v>2.8810000000000002E-2</v>
      </c>
      <c r="BM3" s="67">
        <f>'3. Financial drivers '!$G$32</f>
        <v>2.8810000000000002E-2</v>
      </c>
      <c r="BN3" s="67">
        <f>'3. Financial drivers '!$G$32</f>
        <v>2.8810000000000002E-2</v>
      </c>
    </row>
    <row r="4" spans="1:66" ht="18">
      <c r="A4" s="64" t="s">
        <v>240</v>
      </c>
      <c r="B4" s="68"/>
      <c r="C4" s="82" t="s">
        <v>225</v>
      </c>
      <c r="D4" s="70"/>
      <c r="E4" s="71"/>
      <c r="F4" s="82" t="s">
        <v>227</v>
      </c>
      <c r="G4" s="71"/>
      <c r="H4" s="281" t="s">
        <v>229</v>
      </c>
      <c r="I4" s="70"/>
      <c r="J4" s="70"/>
      <c r="K4" s="71"/>
      <c r="L4" s="73" t="s">
        <v>232</v>
      </c>
      <c r="M4" s="70"/>
      <c r="N4" s="70"/>
      <c r="O4" s="74" t="s">
        <v>233</v>
      </c>
      <c r="P4" s="70"/>
      <c r="Q4" s="70"/>
      <c r="R4" s="75" t="s">
        <v>241</v>
      </c>
      <c r="S4" s="70"/>
      <c r="T4" s="70"/>
      <c r="U4" s="70"/>
      <c r="V4" s="70"/>
      <c r="W4" s="70"/>
      <c r="X4" s="70"/>
      <c r="Y4" s="70"/>
      <c r="Z4" s="70"/>
      <c r="AA4" s="70"/>
      <c r="AB4" s="70"/>
      <c r="AC4" s="70"/>
      <c r="AD4" s="70"/>
      <c r="AE4" s="70"/>
      <c r="AF4" s="70"/>
      <c r="AG4" s="70"/>
      <c r="AH4" s="70"/>
      <c r="AI4" s="70"/>
      <c r="AJ4" s="70"/>
      <c r="AK4" s="70"/>
      <c r="AL4" s="70"/>
      <c r="AM4" s="70"/>
      <c r="AN4" s="282"/>
      <c r="AO4" s="283" t="s">
        <v>242</v>
      </c>
      <c r="AP4" s="77"/>
      <c r="AQ4" s="77"/>
      <c r="AR4" s="77"/>
      <c r="AS4" s="284"/>
      <c r="AT4" s="77"/>
      <c r="AU4" s="77"/>
      <c r="AV4" s="77"/>
      <c r="AW4" s="77"/>
      <c r="AX4" s="79"/>
      <c r="AY4" s="80"/>
      <c r="AZ4" s="80"/>
      <c r="BA4" s="80"/>
      <c r="BB4" s="80"/>
      <c r="BC4" s="80"/>
      <c r="BD4" s="80"/>
      <c r="BE4" s="80"/>
      <c r="BF4" s="80"/>
      <c r="BG4" s="80"/>
      <c r="BH4" s="80"/>
      <c r="BI4" s="80"/>
      <c r="BJ4" s="80"/>
      <c r="BK4" s="80"/>
      <c r="BL4" s="80"/>
      <c r="BM4" s="80"/>
      <c r="BN4" s="285" t="s">
        <v>243</v>
      </c>
    </row>
    <row r="5" spans="1:66" ht="15.75" customHeight="1">
      <c r="A5" s="68" t="s">
        <v>244</v>
      </c>
      <c r="B5" s="68"/>
      <c r="C5" s="82" t="s">
        <v>226</v>
      </c>
      <c r="D5" s="70"/>
      <c r="E5" s="71"/>
      <c r="F5" s="83" t="s">
        <v>228</v>
      </c>
      <c r="G5" s="70"/>
      <c r="H5" s="71"/>
      <c r="I5" s="83" t="s">
        <v>230</v>
      </c>
      <c r="J5" s="71"/>
      <c r="K5" s="82" t="s">
        <v>231</v>
      </c>
      <c r="L5" s="70"/>
      <c r="M5" s="70"/>
      <c r="N5" s="70"/>
      <c r="O5" s="71"/>
      <c r="P5" s="82" t="s">
        <v>234</v>
      </c>
      <c r="Q5" s="70"/>
      <c r="R5" s="70"/>
      <c r="S5" s="71"/>
      <c r="T5" s="82" t="s">
        <v>245</v>
      </c>
      <c r="U5" s="70"/>
      <c r="V5" s="70"/>
      <c r="W5" s="70"/>
      <c r="X5" s="70"/>
      <c r="Y5" s="70"/>
      <c r="Z5" s="70"/>
      <c r="AA5" s="70"/>
      <c r="AB5" s="70"/>
      <c r="AC5" s="70"/>
      <c r="AD5" s="70"/>
      <c r="AE5" s="70"/>
      <c r="AF5" s="70"/>
      <c r="AG5" s="70"/>
      <c r="AH5" s="70"/>
      <c r="AI5" s="70"/>
      <c r="AJ5" s="70"/>
      <c r="AK5" s="70"/>
      <c r="AL5" s="70"/>
      <c r="AM5" s="70"/>
      <c r="AN5" s="70"/>
      <c r="AO5" s="70"/>
      <c r="AP5" s="70"/>
      <c r="AQ5" s="286" t="s">
        <v>246</v>
      </c>
      <c r="AR5" s="80"/>
      <c r="AS5" s="80"/>
      <c r="AT5" s="80"/>
      <c r="AU5" s="80"/>
      <c r="AV5" s="80"/>
      <c r="AW5" s="80"/>
      <c r="AX5" s="80"/>
      <c r="AY5" s="66"/>
      <c r="AZ5" s="68"/>
      <c r="BA5" s="66"/>
      <c r="BB5" s="66"/>
      <c r="BC5" s="66"/>
      <c r="BD5" s="66"/>
      <c r="BE5" s="66"/>
      <c r="BF5" s="66"/>
      <c r="BG5" s="66"/>
      <c r="BH5" s="66"/>
      <c r="BI5" s="66"/>
      <c r="BJ5" s="66"/>
      <c r="BK5" s="66"/>
      <c r="BL5" s="66"/>
      <c r="BM5" s="66"/>
      <c r="BN5" s="70"/>
    </row>
    <row r="6" spans="1:66" ht="59" customHeight="1">
      <c r="A6" s="64" t="s">
        <v>247</v>
      </c>
      <c r="B6" s="68"/>
      <c r="C6" s="68"/>
      <c r="D6" s="68"/>
      <c r="E6" s="68"/>
      <c r="F6" s="68"/>
      <c r="G6" s="68"/>
      <c r="H6" s="85" t="s">
        <v>248</v>
      </c>
      <c r="I6" s="68"/>
      <c r="J6" s="68"/>
      <c r="K6" s="68"/>
      <c r="M6" s="87"/>
      <c r="N6" s="87"/>
      <c r="O6" s="87"/>
      <c r="P6" s="87"/>
      <c r="Q6" s="87"/>
      <c r="R6" s="87"/>
      <c r="S6" s="87"/>
      <c r="T6" s="87"/>
      <c r="U6" s="87"/>
      <c r="V6" s="87"/>
      <c r="W6" s="68"/>
      <c r="X6" s="88"/>
      <c r="Y6" s="88"/>
      <c r="Z6" s="287" t="s">
        <v>249</v>
      </c>
      <c r="AA6" s="88"/>
      <c r="AB6" s="88"/>
      <c r="AC6" s="88"/>
      <c r="AD6" s="287" t="s">
        <v>250</v>
      </c>
      <c r="AE6" s="88"/>
      <c r="AF6" s="88"/>
      <c r="AG6" s="88"/>
      <c r="AH6" s="88"/>
      <c r="AI6" s="88"/>
      <c r="AJ6" s="88"/>
      <c r="AK6" s="88"/>
      <c r="AL6" s="88"/>
      <c r="AM6" s="88"/>
      <c r="AN6" s="88"/>
      <c r="AO6" s="88"/>
      <c r="AP6" s="88"/>
      <c r="AQ6" s="88"/>
      <c r="AR6" s="88"/>
      <c r="AS6" s="88"/>
      <c r="AT6" s="88"/>
      <c r="AU6" s="88"/>
      <c r="AV6" s="88"/>
      <c r="AW6" s="88"/>
      <c r="AX6" s="92"/>
      <c r="AY6" s="80"/>
      <c r="AZ6" s="80"/>
      <c r="BA6" s="80"/>
      <c r="BB6" s="80"/>
      <c r="BC6" s="80"/>
      <c r="BD6" s="80"/>
      <c r="BE6" s="80"/>
      <c r="BF6" s="80"/>
      <c r="BG6" s="80"/>
      <c r="BH6" s="80"/>
      <c r="BI6" s="80"/>
      <c r="BJ6" s="80"/>
      <c r="BK6" s="80"/>
      <c r="BL6" s="80"/>
      <c r="BM6" s="80"/>
      <c r="BN6" s="80"/>
    </row>
    <row r="7" spans="1:66" ht="15.75" customHeight="1">
      <c r="A7" s="288" t="s">
        <v>251</v>
      </c>
      <c r="B7" s="288"/>
      <c r="C7" s="288"/>
      <c r="D7" s="288"/>
      <c r="E7" s="288"/>
      <c r="F7" s="288"/>
      <c r="G7" s="288"/>
      <c r="H7" s="289"/>
      <c r="I7" s="288"/>
      <c r="J7" s="288"/>
      <c r="K7" s="288"/>
      <c r="L7" s="290"/>
      <c r="M7" s="291" t="s">
        <v>252</v>
      </c>
      <c r="N7" s="133"/>
      <c r="O7" s="133"/>
      <c r="P7" s="133"/>
      <c r="Q7" s="133"/>
      <c r="R7" s="133"/>
      <c r="S7" s="133"/>
      <c r="T7" s="133"/>
      <c r="U7" s="133"/>
      <c r="V7" s="133"/>
      <c r="W7" s="288"/>
      <c r="X7" s="292"/>
      <c r="Y7" s="292"/>
      <c r="Z7" s="96" t="s">
        <v>253</v>
      </c>
      <c r="AA7" s="293"/>
      <c r="AB7" s="293"/>
      <c r="AC7" s="293"/>
      <c r="AD7" s="292"/>
      <c r="AE7" s="292"/>
      <c r="AF7" s="292"/>
      <c r="AG7" s="292"/>
      <c r="AH7" s="292"/>
      <c r="AI7" s="292"/>
      <c r="AJ7" s="292"/>
      <c r="AK7" s="292"/>
      <c r="AL7" s="292"/>
      <c r="AM7" s="292"/>
      <c r="AN7" s="292"/>
      <c r="AO7" s="292"/>
      <c r="AP7" s="292"/>
      <c r="AQ7" s="292"/>
      <c r="AR7" s="292"/>
      <c r="AS7" s="291" t="s">
        <v>254</v>
      </c>
      <c r="AT7" s="133"/>
      <c r="AU7" s="133"/>
      <c r="AV7" s="133"/>
      <c r="AW7" s="133"/>
      <c r="AX7" s="133"/>
      <c r="AY7" s="133"/>
      <c r="AZ7" s="133"/>
      <c r="BA7" s="133"/>
      <c r="BB7" s="133"/>
      <c r="BC7" s="133"/>
      <c r="BD7" s="133"/>
      <c r="BE7" s="292"/>
      <c r="BF7" s="292"/>
      <c r="BG7" s="292"/>
      <c r="BH7" s="292"/>
      <c r="BI7" s="292"/>
      <c r="BJ7" s="292"/>
      <c r="BK7" s="292"/>
      <c r="BL7" s="292"/>
      <c r="BM7" s="292"/>
      <c r="BN7" s="292"/>
    </row>
    <row r="8" spans="1:66" ht="15.75" customHeight="1">
      <c r="A8" s="68"/>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8"/>
      <c r="BK8" s="68"/>
      <c r="BL8" s="68"/>
      <c r="BM8" s="68"/>
      <c r="BN8" s="68"/>
    </row>
    <row r="9" spans="1:66" ht="15.75" customHeight="1">
      <c r="A9" s="68"/>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68"/>
      <c r="BK9" s="68"/>
      <c r="BL9" s="68"/>
      <c r="BM9" s="68"/>
      <c r="BN9" s="68"/>
    </row>
    <row r="10" spans="1:66" ht="15.75" customHeight="1">
      <c r="A10" s="98" t="s">
        <v>255</v>
      </c>
      <c r="B10" s="98"/>
      <c r="C10" s="98"/>
      <c r="D10" s="98"/>
      <c r="E10" s="98"/>
      <c r="F10" s="98"/>
      <c r="G10" s="98"/>
      <c r="H10" s="98"/>
      <c r="I10" s="98"/>
      <c r="J10" s="98"/>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row>
    <row r="11" spans="1:66" ht="15.75" customHeight="1">
      <c r="A11" s="294" t="s">
        <v>256</v>
      </c>
      <c r="B11" s="68"/>
      <c r="C11" s="68"/>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c r="BF11" s="68"/>
      <c r="BG11" s="68"/>
      <c r="BH11" s="68"/>
      <c r="BI11" s="68"/>
      <c r="BJ11" s="68"/>
      <c r="BK11" s="68"/>
      <c r="BL11" s="68"/>
      <c r="BM11" s="68"/>
      <c r="BN11" s="68"/>
    </row>
    <row r="12" spans="1:66" ht="15.75" customHeight="1">
      <c r="A12" s="99" t="s">
        <v>257</v>
      </c>
      <c r="B12" s="99"/>
      <c r="C12" s="99">
        <f>'6. Salary'!G5*12</f>
        <v>179400000</v>
      </c>
      <c r="D12" s="99">
        <f t="shared" ref="D12:E12" si="2">C12*(1+D3)</f>
        <v>183867060</v>
      </c>
      <c r="E12" s="99">
        <f t="shared" si="2"/>
        <v>189015337.68000001</v>
      </c>
      <c r="F12" s="99">
        <f>'6. Salary'!G8*12</f>
        <v>228800000</v>
      </c>
      <c r="G12" s="99">
        <f>F12*(1+G3)</f>
        <v>235435199.99999997</v>
      </c>
      <c r="H12" s="99">
        <f>'6. Salary'!G10*6</f>
        <v>130000000</v>
      </c>
      <c r="I12" s="99">
        <f>'6. Salary'!G10*12*(1+I3)</f>
        <v>267490600</v>
      </c>
      <c r="J12" s="99">
        <f t="shared" ref="J12:K12" si="3">I12*(1+J3)</f>
        <v>275197004.18599999</v>
      </c>
      <c r="K12" s="99">
        <f t="shared" si="3"/>
        <v>283125429.87659866</v>
      </c>
      <c r="L12" s="99">
        <f>'6. Salary'!G14*12</f>
        <v>325000000</v>
      </c>
      <c r="M12" s="99">
        <f t="shared" ref="M12:N12" si="4">L12*(1+M3)</f>
        <v>334363250</v>
      </c>
      <c r="N12" s="99">
        <f t="shared" si="4"/>
        <v>343996255.23250002</v>
      </c>
      <c r="O12" s="99">
        <f>'6. Salary'!G17*12</f>
        <v>520000000</v>
      </c>
      <c r="P12" s="99">
        <f t="shared" ref="P12:Q12" si="5">O12*(1+P3)</f>
        <v>534981200</v>
      </c>
      <c r="Q12" s="99">
        <f t="shared" si="5"/>
        <v>550394008.37199998</v>
      </c>
      <c r="R12" s="99">
        <f>'6. Salary'!G20*12</f>
        <v>910000000</v>
      </c>
      <c r="S12" s="99">
        <f t="shared" ref="S12:AO12" si="6">R12*(1+S3)</f>
        <v>936217100</v>
      </c>
      <c r="T12" s="99">
        <f t="shared" si="6"/>
        <v>963189514.65100002</v>
      </c>
      <c r="U12" s="99">
        <f t="shared" si="6"/>
        <v>990939004.56809533</v>
      </c>
      <c r="V12" s="99">
        <f t="shared" si="6"/>
        <v>1019487957.2897022</v>
      </c>
      <c r="W12" s="99">
        <f t="shared" si="6"/>
        <v>1048859405.3392185</v>
      </c>
      <c r="X12" s="99">
        <f t="shared" si="6"/>
        <v>1079077044.8070414</v>
      </c>
      <c r="Y12" s="99">
        <f t="shared" si="6"/>
        <v>1110165254.4679322</v>
      </c>
      <c r="Z12" s="99">
        <f t="shared" si="6"/>
        <v>1142149115.4491534</v>
      </c>
      <c r="AA12" s="99">
        <f t="shared" si="6"/>
        <v>1175054431.4652436</v>
      </c>
      <c r="AB12" s="99">
        <f t="shared" si="6"/>
        <v>1208907749.6357572</v>
      </c>
      <c r="AC12" s="99">
        <f t="shared" si="6"/>
        <v>1243736381.9027634</v>
      </c>
      <c r="AD12" s="99">
        <f t="shared" si="6"/>
        <v>1279568427.065382</v>
      </c>
      <c r="AE12" s="99">
        <f t="shared" si="6"/>
        <v>1316432793.4491358</v>
      </c>
      <c r="AF12" s="99">
        <f t="shared" si="6"/>
        <v>1354359222.2284055</v>
      </c>
      <c r="AG12" s="99">
        <f t="shared" si="6"/>
        <v>1393378311.4208059</v>
      </c>
      <c r="AH12" s="99">
        <f t="shared" si="6"/>
        <v>1433521540.5728393</v>
      </c>
      <c r="AI12" s="99">
        <f t="shared" si="6"/>
        <v>1474821296.1567428</v>
      </c>
      <c r="AJ12" s="99">
        <f t="shared" si="6"/>
        <v>1517310897.6990185</v>
      </c>
      <c r="AK12" s="99">
        <f t="shared" si="6"/>
        <v>1561024624.6617272</v>
      </c>
      <c r="AL12" s="99">
        <f t="shared" si="6"/>
        <v>1605997744.0982316</v>
      </c>
      <c r="AM12" s="99">
        <f t="shared" si="6"/>
        <v>1652266539.1057017</v>
      </c>
      <c r="AN12" s="99">
        <f t="shared" si="6"/>
        <v>1699868338.097337</v>
      </c>
      <c r="AO12" s="99">
        <f t="shared" si="6"/>
        <v>1748841544.9179213</v>
      </c>
      <c r="AP12" s="99"/>
      <c r="AQ12" s="99"/>
      <c r="AR12" s="99"/>
      <c r="AS12" s="99"/>
      <c r="AT12" s="99"/>
      <c r="AU12" s="99"/>
      <c r="AV12" s="99"/>
      <c r="AW12" s="99"/>
      <c r="AX12" s="99"/>
      <c r="AY12" s="99"/>
      <c r="AZ12" s="99"/>
      <c r="BA12" s="99"/>
      <c r="BB12" s="99"/>
      <c r="BC12" s="99"/>
      <c r="BD12" s="99"/>
      <c r="BE12" s="99"/>
      <c r="BF12" s="99"/>
      <c r="BG12" s="99"/>
      <c r="BH12" s="99"/>
      <c r="BI12" s="99"/>
      <c r="BJ12" s="99"/>
      <c r="BK12" s="99"/>
      <c r="BL12" s="99"/>
      <c r="BM12" s="99"/>
      <c r="BN12" s="99"/>
    </row>
    <row r="13" spans="1:66" ht="15.75" customHeight="1">
      <c r="A13" s="68" t="s">
        <v>258</v>
      </c>
      <c r="B13" s="68"/>
      <c r="C13" s="99">
        <f t="shared" ref="C13:G13" si="7">11000000*12</f>
        <v>132000000</v>
      </c>
      <c r="D13" s="99">
        <f t="shared" si="7"/>
        <v>132000000</v>
      </c>
      <c r="E13" s="99">
        <f t="shared" si="7"/>
        <v>132000000</v>
      </c>
      <c r="F13" s="99">
        <f t="shared" si="7"/>
        <v>132000000</v>
      </c>
      <c r="G13" s="99">
        <f t="shared" si="7"/>
        <v>132000000</v>
      </c>
      <c r="H13" s="99">
        <f>11000000*6</f>
        <v>66000000</v>
      </c>
      <c r="I13" s="99">
        <f t="shared" ref="I13:AO13" si="8">11000000*12</f>
        <v>132000000</v>
      </c>
      <c r="J13" s="99">
        <f t="shared" si="8"/>
        <v>132000000</v>
      </c>
      <c r="K13" s="99">
        <f t="shared" si="8"/>
        <v>132000000</v>
      </c>
      <c r="L13" s="99">
        <f t="shared" si="8"/>
        <v>132000000</v>
      </c>
      <c r="M13" s="99">
        <f t="shared" si="8"/>
        <v>132000000</v>
      </c>
      <c r="N13" s="99">
        <f t="shared" si="8"/>
        <v>132000000</v>
      </c>
      <c r="O13" s="99">
        <f t="shared" si="8"/>
        <v>132000000</v>
      </c>
      <c r="P13" s="99">
        <f t="shared" si="8"/>
        <v>132000000</v>
      </c>
      <c r="Q13" s="99">
        <f t="shared" si="8"/>
        <v>132000000</v>
      </c>
      <c r="R13" s="99">
        <f t="shared" si="8"/>
        <v>132000000</v>
      </c>
      <c r="S13" s="99">
        <f t="shared" si="8"/>
        <v>132000000</v>
      </c>
      <c r="T13" s="99">
        <f t="shared" si="8"/>
        <v>132000000</v>
      </c>
      <c r="U13" s="99">
        <f t="shared" si="8"/>
        <v>132000000</v>
      </c>
      <c r="V13" s="99">
        <f t="shared" si="8"/>
        <v>132000000</v>
      </c>
      <c r="W13" s="99">
        <f t="shared" si="8"/>
        <v>132000000</v>
      </c>
      <c r="X13" s="99">
        <f t="shared" si="8"/>
        <v>132000000</v>
      </c>
      <c r="Y13" s="99">
        <f t="shared" si="8"/>
        <v>132000000</v>
      </c>
      <c r="Z13" s="99">
        <f t="shared" si="8"/>
        <v>132000000</v>
      </c>
      <c r="AA13" s="99">
        <f t="shared" si="8"/>
        <v>132000000</v>
      </c>
      <c r="AB13" s="99">
        <f t="shared" si="8"/>
        <v>132000000</v>
      </c>
      <c r="AC13" s="99">
        <f t="shared" si="8"/>
        <v>132000000</v>
      </c>
      <c r="AD13" s="99">
        <f t="shared" si="8"/>
        <v>132000000</v>
      </c>
      <c r="AE13" s="99">
        <f t="shared" si="8"/>
        <v>132000000</v>
      </c>
      <c r="AF13" s="99">
        <f t="shared" si="8"/>
        <v>132000000</v>
      </c>
      <c r="AG13" s="99">
        <f t="shared" si="8"/>
        <v>132000000</v>
      </c>
      <c r="AH13" s="99">
        <f t="shared" si="8"/>
        <v>132000000</v>
      </c>
      <c r="AI13" s="99">
        <f t="shared" si="8"/>
        <v>132000000</v>
      </c>
      <c r="AJ13" s="99">
        <f t="shared" si="8"/>
        <v>132000000</v>
      </c>
      <c r="AK13" s="99">
        <f t="shared" si="8"/>
        <v>132000000</v>
      </c>
      <c r="AL13" s="99">
        <f t="shared" si="8"/>
        <v>132000000</v>
      </c>
      <c r="AM13" s="99">
        <f t="shared" si="8"/>
        <v>132000000</v>
      </c>
      <c r="AN13" s="99">
        <f t="shared" si="8"/>
        <v>132000000</v>
      </c>
      <c r="AO13" s="99">
        <f t="shared" si="8"/>
        <v>132000000</v>
      </c>
      <c r="AP13" s="68"/>
      <c r="AQ13" s="68"/>
      <c r="AR13" s="68"/>
      <c r="AS13" s="68"/>
      <c r="AT13" s="68"/>
      <c r="AU13" s="68"/>
      <c r="AV13" s="68"/>
      <c r="AW13" s="68"/>
      <c r="AX13" s="68"/>
      <c r="AY13" s="68"/>
      <c r="AZ13" s="68"/>
      <c r="BA13" s="68"/>
      <c r="BB13" s="68"/>
      <c r="BC13" s="68"/>
      <c r="BD13" s="68"/>
      <c r="BE13" s="68"/>
      <c r="BF13" s="68"/>
      <c r="BG13" s="68"/>
      <c r="BH13" s="68"/>
      <c r="BI13" s="68"/>
      <c r="BJ13" s="68"/>
      <c r="BK13" s="68"/>
      <c r="BL13" s="68"/>
      <c r="BM13" s="68"/>
      <c r="BN13" s="68"/>
    </row>
    <row r="14" spans="1:66" ht="15.75" customHeight="1">
      <c r="A14" s="68" t="s">
        <v>259</v>
      </c>
      <c r="B14" s="68"/>
      <c r="C14" s="99">
        <f t="shared" ref="C14:AO14" si="9">C12*$C$66</f>
        <v>18837000</v>
      </c>
      <c r="D14" s="99">
        <f t="shared" si="9"/>
        <v>19306041.300000001</v>
      </c>
      <c r="E14" s="99">
        <f t="shared" si="9"/>
        <v>19846610.4564</v>
      </c>
      <c r="F14" s="99">
        <f t="shared" si="9"/>
        <v>24024000</v>
      </c>
      <c r="G14" s="99">
        <f t="shared" si="9"/>
        <v>24720695.999999996</v>
      </c>
      <c r="H14" s="99">
        <f t="shared" si="9"/>
        <v>13650000</v>
      </c>
      <c r="I14" s="99">
        <f t="shared" si="9"/>
        <v>28086513</v>
      </c>
      <c r="J14" s="99">
        <f t="shared" si="9"/>
        <v>28895685.439529996</v>
      </c>
      <c r="K14" s="99">
        <f t="shared" si="9"/>
        <v>29728170.137042858</v>
      </c>
      <c r="L14" s="99">
        <f t="shared" si="9"/>
        <v>34125000</v>
      </c>
      <c r="M14" s="99">
        <f t="shared" si="9"/>
        <v>35108141.25</v>
      </c>
      <c r="N14" s="99">
        <f t="shared" si="9"/>
        <v>36119606.799412504</v>
      </c>
      <c r="O14" s="99">
        <f t="shared" si="9"/>
        <v>54600000</v>
      </c>
      <c r="P14" s="99">
        <f t="shared" si="9"/>
        <v>56173026</v>
      </c>
      <c r="Q14" s="99">
        <f t="shared" si="9"/>
        <v>57791370.879059993</v>
      </c>
      <c r="R14" s="99">
        <f t="shared" si="9"/>
        <v>95550000</v>
      </c>
      <c r="S14" s="99">
        <f t="shared" si="9"/>
        <v>98302795.5</v>
      </c>
      <c r="T14" s="99">
        <f t="shared" si="9"/>
        <v>101134899.03835499</v>
      </c>
      <c r="U14" s="99">
        <f t="shared" si="9"/>
        <v>104048595.47965001</v>
      </c>
      <c r="V14" s="99">
        <f t="shared" si="9"/>
        <v>107046235.51541872</v>
      </c>
      <c r="W14" s="99">
        <f t="shared" si="9"/>
        <v>110130237.56061794</v>
      </c>
      <c r="X14" s="99">
        <f t="shared" si="9"/>
        <v>113303089.70473935</v>
      </c>
      <c r="Y14" s="99">
        <f t="shared" si="9"/>
        <v>116567351.71913289</v>
      </c>
      <c r="Z14" s="99">
        <f t="shared" si="9"/>
        <v>119925657.12216111</v>
      </c>
      <c r="AA14" s="99">
        <f t="shared" si="9"/>
        <v>123380715.30385058</v>
      </c>
      <c r="AB14" s="99">
        <f t="shared" si="9"/>
        <v>126935313.7117545</v>
      </c>
      <c r="AC14" s="99">
        <f t="shared" si="9"/>
        <v>130592320.09979016</v>
      </c>
      <c r="AD14" s="99">
        <f t="shared" si="9"/>
        <v>134354684.84186509</v>
      </c>
      <c r="AE14" s="99">
        <f t="shared" si="9"/>
        <v>138225443.31215924</v>
      </c>
      <c r="AF14" s="99">
        <f t="shared" si="9"/>
        <v>142207718.33398256</v>
      </c>
      <c r="AG14" s="99">
        <f t="shared" si="9"/>
        <v>146304722.69918463</v>
      </c>
      <c r="AH14" s="99">
        <f t="shared" si="9"/>
        <v>150519761.76014811</v>
      </c>
      <c r="AI14" s="99">
        <f t="shared" si="9"/>
        <v>154856236.09645799</v>
      </c>
      <c r="AJ14" s="99">
        <f t="shared" si="9"/>
        <v>159317644.25839692</v>
      </c>
      <c r="AK14" s="99">
        <f t="shared" si="9"/>
        <v>163907585.58948135</v>
      </c>
      <c r="AL14" s="99">
        <f t="shared" si="9"/>
        <v>168629763.13031432</v>
      </c>
      <c r="AM14" s="99">
        <f t="shared" si="9"/>
        <v>173487986.60609868</v>
      </c>
      <c r="AN14" s="99">
        <f t="shared" si="9"/>
        <v>178486175.50022039</v>
      </c>
      <c r="AO14" s="99">
        <f t="shared" si="9"/>
        <v>183628362.21638173</v>
      </c>
      <c r="AP14" s="68"/>
      <c r="AQ14" s="68"/>
      <c r="AR14" s="68"/>
      <c r="AS14" s="68"/>
      <c r="AT14" s="68"/>
      <c r="AU14" s="68"/>
      <c r="AV14" s="68"/>
      <c r="AW14" s="68"/>
      <c r="AX14" s="68"/>
      <c r="AY14" s="68"/>
      <c r="AZ14" s="68"/>
      <c r="BA14" s="68"/>
      <c r="BB14" s="68"/>
      <c r="BC14" s="68"/>
      <c r="BD14" s="68"/>
      <c r="BE14" s="68"/>
      <c r="BF14" s="68"/>
      <c r="BG14" s="68"/>
      <c r="BH14" s="68"/>
      <c r="BI14" s="68"/>
      <c r="BJ14" s="68"/>
      <c r="BK14" s="68"/>
      <c r="BL14" s="68"/>
      <c r="BM14" s="68"/>
      <c r="BN14" s="68"/>
    </row>
    <row r="15" spans="1:66" ht="15.75" customHeight="1">
      <c r="A15" s="68" t="s">
        <v>260</v>
      </c>
      <c r="B15" s="68"/>
      <c r="C15" s="99">
        <f t="shared" ref="C15:G15" si="10">C12-SUM(C13:C14)</f>
        <v>28563000</v>
      </c>
      <c r="D15" s="99">
        <f t="shared" si="10"/>
        <v>32561018.699999988</v>
      </c>
      <c r="E15" s="99">
        <f t="shared" si="10"/>
        <v>37168727.2236</v>
      </c>
      <c r="F15" s="99">
        <f t="shared" si="10"/>
        <v>72776000</v>
      </c>
      <c r="G15" s="99">
        <f t="shared" si="10"/>
        <v>78714503.99999997</v>
      </c>
      <c r="H15" s="99">
        <f>H12-SUM(H14)</f>
        <v>116350000</v>
      </c>
      <c r="I15" s="99">
        <f t="shared" ref="I15:AO15" si="11">I12-SUM(I13:I14)</f>
        <v>107404087</v>
      </c>
      <c r="J15" s="99">
        <f t="shared" si="11"/>
        <v>114301318.74647</v>
      </c>
      <c r="K15" s="99">
        <f t="shared" si="11"/>
        <v>121397259.73955581</v>
      </c>
      <c r="L15" s="99">
        <f t="shared" si="11"/>
        <v>158875000</v>
      </c>
      <c r="M15" s="99">
        <f t="shared" si="11"/>
        <v>167255108.75</v>
      </c>
      <c r="N15" s="99">
        <f t="shared" si="11"/>
        <v>175876648.43308753</v>
      </c>
      <c r="O15" s="99">
        <f t="shared" si="11"/>
        <v>333400000</v>
      </c>
      <c r="P15" s="99">
        <f t="shared" si="11"/>
        <v>346808174</v>
      </c>
      <c r="Q15" s="99">
        <f t="shared" si="11"/>
        <v>360602637.49293995</v>
      </c>
      <c r="R15" s="99">
        <f t="shared" si="11"/>
        <v>682450000</v>
      </c>
      <c r="S15" s="99">
        <f t="shared" si="11"/>
        <v>705914304.5</v>
      </c>
      <c r="T15" s="99">
        <f t="shared" si="11"/>
        <v>730054615.61264503</v>
      </c>
      <c r="U15" s="99">
        <f t="shared" si="11"/>
        <v>754890409.08844531</v>
      </c>
      <c r="V15" s="99">
        <f t="shared" si="11"/>
        <v>780441721.77428341</v>
      </c>
      <c r="W15" s="99">
        <f t="shared" si="11"/>
        <v>806729167.77860057</v>
      </c>
      <c r="X15" s="99">
        <f t="shared" si="11"/>
        <v>833773955.10230207</v>
      </c>
      <c r="Y15" s="99">
        <f t="shared" si="11"/>
        <v>861597902.74879932</v>
      </c>
      <c r="Z15" s="99">
        <f t="shared" si="11"/>
        <v>890223458.32699227</v>
      </c>
      <c r="AA15" s="99">
        <f t="shared" si="11"/>
        <v>919673716.16139293</v>
      </c>
      <c r="AB15" s="99">
        <f t="shared" si="11"/>
        <v>949972435.92400265</v>
      </c>
      <c r="AC15" s="99">
        <f t="shared" si="11"/>
        <v>981144061.80297327</v>
      </c>
      <c r="AD15" s="99">
        <f t="shared" si="11"/>
        <v>1013213742.2235169</v>
      </c>
      <c r="AE15" s="99">
        <f t="shared" si="11"/>
        <v>1046207350.1369765</v>
      </c>
      <c r="AF15" s="99">
        <f t="shared" si="11"/>
        <v>1080151503.894423</v>
      </c>
      <c r="AG15" s="99">
        <f t="shared" si="11"/>
        <v>1115073588.7216213</v>
      </c>
      <c r="AH15" s="99">
        <f t="shared" si="11"/>
        <v>1151001778.8126912</v>
      </c>
      <c r="AI15" s="99">
        <f t="shared" si="11"/>
        <v>1187965060.0602849</v>
      </c>
      <c r="AJ15" s="99">
        <f t="shared" si="11"/>
        <v>1225993253.4406216</v>
      </c>
      <c r="AK15" s="99">
        <f t="shared" si="11"/>
        <v>1265117039.0722458</v>
      </c>
      <c r="AL15" s="99">
        <f t="shared" si="11"/>
        <v>1305367980.9679172</v>
      </c>
      <c r="AM15" s="99">
        <f t="shared" si="11"/>
        <v>1346778552.499603</v>
      </c>
      <c r="AN15" s="99">
        <f t="shared" si="11"/>
        <v>1389382162.5971165</v>
      </c>
      <c r="AO15" s="99">
        <f t="shared" si="11"/>
        <v>1433213182.7015395</v>
      </c>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row>
    <row r="16" spans="1:66" ht="15.75" customHeight="1">
      <c r="A16" s="68" t="s">
        <v>261</v>
      </c>
      <c r="B16" s="68"/>
      <c r="C16" s="99">
        <f>IF(C15&lt;=60000000,C15*0.5,IF(C15&lt;=120000000,60000000*0.5+(C15-60000000)*0.1,IF(C15&lt;=216000000,60000000*0.5+60000000*0.1+(C15-120000000)*0.15,IF(C15&lt;=384000000,60000000*0.5+60000000*0.1+96000000*0.15+(C15-216000000)*0.2,IF(C15&lt;=624000000,60000000*0.5+60000000*0.1+96000000*0.15+168000000*0.2+(C15-384000000)*0.25,IF(C15&lt;=960000000,60000000*0.5+60000000*0.1+96000000*0.15+168000000*0.2+240000000*0.25+(C15-624000000)*0.3,60000000*0.5+60000000*0.1+96000000*0.15+168000000*0.2+240000000*0.25+336000000*0.3+(C15-960000000)*0.35))))))</f>
        <v>14281500</v>
      </c>
      <c r="D16" s="99">
        <f t="shared" ref="D16:G16" si="12">IF(D15&lt;=60000000,D15*0.5,IF(D15&lt;=120000000,60000000*0.5+(D15-60000000)*0.1,IF(D15&lt;=216000000,60000000*0.5+60000000*0.1+(D15-120000000)*0.15,IF(D15&lt;=384000000,60000000*0.5+60000000*0.1+96000000*0.15+(D15-216000000)*0.2,IF(D15&lt;=624000000,60000000*0.5+60000000*0.1+96000000*0.15+168000000*0.2+(D15-384000000)*0.25,IF(D15&lt;=960000000,60000000*0.5+60000000*0.1+96000000*0.15+168000000*0.2+240000000*0.25+(D15-624000000)*0.3,60000000*0.5+60000000*0.1+96000000*0.15+168000000*0.2+240000000*0.25+336000000*0.3+(D15-960000000)*0.35))))))</f>
        <v>16280509.349999994</v>
      </c>
      <c r="E16" s="99">
        <f t="shared" si="12"/>
        <v>18584363.6118</v>
      </c>
      <c r="F16" s="99">
        <f t="shared" si="12"/>
        <v>31277600</v>
      </c>
      <c r="G16" s="99">
        <f t="shared" si="12"/>
        <v>31871450.399999999</v>
      </c>
      <c r="H16" s="99">
        <f>IF(H15&lt;=60000000,I15*0.5,IF(H15&lt;=120000000,60000000*0.5+(H15-60000000)*0.1,IF(H15&lt;=216000000,60000000*0.5+60000000*0.1+(H15-120000000)*0.15,IF(H15&lt;=384000000,60000000*0.5+60000000*0.1+96000000*0.15+(H15-216000000)*0.2,IF(H15&lt;=624000000,60000000*0.5+60000000*0.1+96000000*0.15+168000000*0.2+(H15-384000000)*0.25,IF(H15&lt;=960000000,60000000*0.5+60000000*0.1+96000000*0.15+168000000*0.2+240000000*0.25+(H15-624000000)*0.3,60000000*0.5+60000000*0.1+96000000*0.15+168000000*0.2+240000000*0.25+336000000*0.3+(H15-960000000)*0.35))))))</f>
        <v>35635000</v>
      </c>
      <c r="I16" s="99">
        <f t="shared" ref="I16:AO16" si="13">IF(I15&lt;=60000000,I15*0.5,IF(I15&lt;=120000000,60000000*0.5+(I15-60000000)*0.1,IF(I15&lt;=216000000,60000000*0.5+60000000*0.1+(I15-120000000)*0.15,IF(I15&lt;=384000000,60000000*0.5+60000000*0.1+96000000*0.15+(I15-216000000)*0.2,IF(I15&lt;=624000000,60000000*0.5+60000000*0.1+96000000*0.15+168000000*0.2+(I15-384000000)*0.25,IF(I15&lt;=960000000,60000000*0.5+60000000*0.1+96000000*0.15+168000000*0.2+240000000*0.25+(I15-624000000)*0.3,60000000*0.5+60000000*0.1+96000000*0.15+168000000*0.2+240000000*0.25+336000000*0.3+(I15-960000000)*0.35))))))</f>
        <v>34740408.700000003</v>
      </c>
      <c r="J16" s="99">
        <f t="shared" si="13"/>
        <v>35430131.874646999</v>
      </c>
      <c r="K16" s="99">
        <f t="shared" si="13"/>
        <v>36209588.960933372</v>
      </c>
      <c r="L16" s="99">
        <f t="shared" si="13"/>
        <v>41831250</v>
      </c>
      <c r="M16" s="99">
        <f t="shared" si="13"/>
        <v>43088266.3125</v>
      </c>
      <c r="N16" s="99">
        <f t="shared" si="13"/>
        <v>44381497.264963128</v>
      </c>
      <c r="O16" s="99">
        <f t="shared" si="13"/>
        <v>73880000</v>
      </c>
      <c r="P16" s="99">
        <f t="shared" si="13"/>
        <v>76561634.799999997</v>
      </c>
      <c r="Q16" s="99">
        <f t="shared" si="13"/>
        <v>79320527.498587996</v>
      </c>
      <c r="R16" s="99">
        <f t="shared" si="13"/>
        <v>161535000</v>
      </c>
      <c r="S16" s="99">
        <f t="shared" si="13"/>
        <v>168574291.34999999</v>
      </c>
      <c r="T16" s="99">
        <f t="shared" si="13"/>
        <v>175816384.68379351</v>
      </c>
      <c r="U16" s="99">
        <f t="shared" si="13"/>
        <v>183267122.72653359</v>
      </c>
      <c r="V16" s="99">
        <f t="shared" si="13"/>
        <v>190932516.53228503</v>
      </c>
      <c r="W16" s="99">
        <f t="shared" si="13"/>
        <v>198818750.33358017</v>
      </c>
      <c r="X16" s="99">
        <f t="shared" si="13"/>
        <v>206932186.53069061</v>
      </c>
      <c r="Y16" s="99">
        <f t="shared" si="13"/>
        <v>215279370.8246398</v>
      </c>
      <c r="Z16" s="99">
        <f t="shared" si="13"/>
        <v>223867037.49809766</v>
      </c>
      <c r="AA16" s="99">
        <f t="shared" si="13"/>
        <v>232702114.84841788</v>
      </c>
      <c r="AB16" s="99">
        <f t="shared" si="13"/>
        <v>241791730.77720079</v>
      </c>
      <c r="AC16" s="99">
        <f t="shared" si="13"/>
        <v>252200421.63104063</v>
      </c>
      <c r="AD16" s="99">
        <f t="shared" si="13"/>
        <v>263424809.77823094</v>
      </c>
      <c r="AE16" s="99">
        <f t="shared" si="13"/>
        <v>274972572.54794174</v>
      </c>
      <c r="AF16" s="99">
        <f t="shared" si="13"/>
        <v>286853026.36304808</v>
      </c>
      <c r="AG16" s="99">
        <f t="shared" si="13"/>
        <v>299075756.05256742</v>
      </c>
      <c r="AH16" s="99">
        <f t="shared" si="13"/>
        <v>311650622.5844419</v>
      </c>
      <c r="AI16" s="99">
        <f t="shared" si="13"/>
        <v>324587771.02109969</v>
      </c>
      <c r="AJ16" s="99">
        <f t="shared" si="13"/>
        <v>337897638.70421755</v>
      </c>
      <c r="AK16" s="99">
        <f t="shared" si="13"/>
        <v>351590963.67528605</v>
      </c>
      <c r="AL16" s="99">
        <f t="shared" si="13"/>
        <v>365678793.33877099</v>
      </c>
      <c r="AM16" s="99">
        <f t="shared" si="13"/>
        <v>380172493.37486106</v>
      </c>
      <c r="AN16" s="99">
        <f t="shared" si="13"/>
        <v>395083756.90899074</v>
      </c>
      <c r="AO16" s="99">
        <f t="shared" si="13"/>
        <v>410424613.94553882</v>
      </c>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row>
    <row r="17" spans="1:66" ht="15.75" customHeight="1">
      <c r="A17" s="68" t="s">
        <v>262</v>
      </c>
      <c r="B17" s="68"/>
      <c r="C17" s="99">
        <f t="shared" ref="C17:AO17" si="14">C12-C16</f>
        <v>165118500</v>
      </c>
      <c r="D17" s="99">
        <f t="shared" si="14"/>
        <v>167586550.65000001</v>
      </c>
      <c r="E17" s="99">
        <f t="shared" si="14"/>
        <v>170430974.06819999</v>
      </c>
      <c r="F17" s="99">
        <f t="shared" si="14"/>
        <v>197522400</v>
      </c>
      <c r="G17" s="99">
        <f t="shared" si="14"/>
        <v>203563749.59999996</v>
      </c>
      <c r="H17" s="99">
        <f t="shared" si="14"/>
        <v>94365000</v>
      </c>
      <c r="I17" s="99">
        <f t="shared" si="14"/>
        <v>232750191.30000001</v>
      </c>
      <c r="J17" s="99">
        <f t="shared" si="14"/>
        <v>239766872.311353</v>
      </c>
      <c r="K17" s="99">
        <f t="shared" si="14"/>
        <v>246915840.91566527</v>
      </c>
      <c r="L17" s="99">
        <f t="shared" si="14"/>
        <v>283168750</v>
      </c>
      <c r="M17" s="99">
        <f t="shared" si="14"/>
        <v>291274983.6875</v>
      </c>
      <c r="N17" s="99">
        <f t="shared" si="14"/>
        <v>299614757.96753687</v>
      </c>
      <c r="O17" s="99">
        <f t="shared" si="14"/>
        <v>446120000</v>
      </c>
      <c r="P17" s="99">
        <f t="shared" si="14"/>
        <v>458419565.19999999</v>
      </c>
      <c r="Q17" s="99">
        <f t="shared" si="14"/>
        <v>471073480.87341201</v>
      </c>
      <c r="R17" s="99">
        <f t="shared" si="14"/>
        <v>748465000</v>
      </c>
      <c r="S17" s="99">
        <f t="shared" si="14"/>
        <v>767642808.64999998</v>
      </c>
      <c r="T17" s="99">
        <f t="shared" si="14"/>
        <v>787373129.96720648</v>
      </c>
      <c r="U17" s="99">
        <f t="shared" si="14"/>
        <v>807671881.84156179</v>
      </c>
      <c r="V17" s="99">
        <f t="shared" si="14"/>
        <v>828555440.7574172</v>
      </c>
      <c r="W17" s="99">
        <f t="shared" si="14"/>
        <v>850040655.00563836</v>
      </c>
      <c r="X17" s="99">
        <f t="shared" si="14"/>
        <v>872144858.27635074</v>
      </c>
      <c r="Y17" s="99">
        <f t="shared" si="14"/>
        <v>894885883.64329243</v>
      </c>
      <c r="Z17" s="99">
        <f t="shared" si="14"/>
        <v>918282077.95105577</v>
      </c>
      <c r="AA17" s="99">
        <f t="shared" si="14"/>
        <v>942352316.6168257</v>
      </c>
      <c r="AB17" s="99">
        <f t="shared" si="14"/>
        <v>967116018.85855639</v>
      </c>
      <c r="AC17" s="99">
        <f t="shared" si="14"/>
        <v>991535960.27172279</v>
      </c>
      <c r="AD17" s="99">
        <f t="shared" si="14"/>
        <v>1016143617.2871511</v>
      </c>
      <c r="AE17" s="99">
        <f t="shared" si="14"/>
        <v>1041460220.9011941</v>
      </c>
      <c r="AF17" s="99">
        <f t="shared" si="14"/>
        <v>1067506195.8653574</v>
      </c>
      <c r="AG17" s="99">
        <f t="shared" si="14"/>
        <v>1094302555.3682384</v>
      </c>
      <c r="AH17" s="99">
        <f t="shared" si="14"/>
        <v>1121870917.9883974</v>
      </c>
      <c r="AI17" s="99">
        <f t="shared" si="14"/>
        <v>1150233525.135643</v>
      </c>
      <c r="AJ17" s="99">
        <f t="shared" si="14"/>
        <v>1179413258.994801</v>
      </c>
      <c r="AK17" s="99">
        <f t="shared" si="14"/>
        <v>1209433660.9864411</v>
      </c>
      <c r="AL17" s="99">
        <f t="shared" si="14"/>
        <v>1240318950.7594604</v>
      </c>
      <c r="AM17" s="99">
        <f t="shared" si="14"/>
        <v>1272094045.7308407</v>
      </c>
      <c r="AN17" s="99">
        <f t="shared" si="14"/>
        <v>1304784581.1883464</v>
      </c>
      <c r="AO17" s="99">
        <f t="shared" si="14"/>
        <v>1338416930.9723825</v>
      </c>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row>
    <row r="18" spans="1:66" ht="15.75" customHeight="1">
      <c r="A18" s="295" t="s">
        <v>263</v>
      </c>
      <c r="B18" s="68"/>
      <c r="C18" s="99">
        <f>C17</f>
        <v>165118500</v>
      </c>
      <c r="D18" s="99">
        <f>D17/((1+$C$64)^D2)</f>
        <v>146447745.89566666</v>
      </c>
      <c r="E18" s="99">
        <f t="shared" ref="E18" si="15">E17/((1+$C$64)^E2)</f>
        <v>139223907.95453325</v>
      </c>
      <c r="F18" s="99">
        <f t="shared" ref="F18:AO18" si="16">F17/(1+$C$64)^F2</f>
        <v>150835446.21982628</v>
      </c>
      <c r="G18" s="99">
        <f t="shared" si="16"/>
        <v>145314604.78370959</v>
      </c>
      <c r="H18" s="99">
        <f t="shared" si="16"/>
        <v>62971136.583108127</v>
      </c>
      <c r="I18" s="99">
        <f t="shared" si="16"/>
        <v>145191903.52960104</v>
      </c>
      <c r="J18" s="99">
        <f t="shared" si="16"/>
        <v>139818067.4866029</v>
      </c>
      <c r="K18" s="99">
        <f t="shared" si="16"/>
        <v>134599930.2349835</v>
      </c>
      <c r="L18" s="99">
        <f t="shared" si="16"/>
        <v>144298883.26373535</v>
      </c>
      <c r="M18" s="99">
        <f t="shared" si="16"/>
        <v>138753068.9421148</v>
      </c>
      <c r="N18" s="99">
        <f t="shared" si="16"/>
        <v>133421057.02960931</v>
      </c>
      <c r="O18" s="99">
        <f t="shared" si="16"/>
        <v>185709719.41424441</v>
      </c>
      <c r="P18" s="99">
        <f t="shared" si="16"/>
        <v>178388909.17186159</v>
      </c>
      <c r="Q18" s="99">
        <f t="shared" si="16"/>
        <v>171362238.16584775</v>
      </c>
      <c r="R18" s="99">
        <f t="shared" si="16"/>
        <v>254518720.1578505</v>
      </c>
      <c r="S18" s="99">
        <f t="shared" si="16"/>
        <v>244022113.69415265</v>
      </c>
      <c r="T18" s="99">
        <f t="shared" si="16"/>
        <v>233976560.99454978</v>
      </c>
      <c r="U18" s="99">
        <f t="shared" si="16"/>
        <v>224361581.07414439</v>
      </c>
      <c r="V18" s="99">
        <f t="shared" si="16"/>
        <v>215157686.69784769</v>
      </c>
      <c r="W18" s="99">
        <f t="shared" si="16"/>
        <v>206346332.65984899</v>
      </c>
      <c r="X18" s="99">
        <f t="shared" si="16"/>
        <v>197909866.93501842</v>
      </c>
      <c r="Y18" s="99">
        <f t="shared" si="16"/>
        <v>189831484.53414005</v>
      </c>
      <c r="Z18" s="99">
        <f t="shared" si="16"/>
        <v>182095183.90509784</v>
      </c>
      <c r="AA18" s="99">
        <f t="shared" si="16"/>
        <v>174685725.7317276</v>
      </c>
      <c r="AB18" s="99">
        <f t="shared" si="16"/>
        <v>167588593.99103639</v>
      </c>
      <c r="AC18" s="99">
        <f t="shared" si="16"/>
        <v>160618703.03024486</v>
      </c>
      <c r="AD18" s="99">
        <f t="shared" si="16"/>
        <v>153873737.77608067</v>
      </c>
      <c r="AE18" s="99">
        <f t="shared" si="16"/>
        <v>147425924.88157585</v>
      </c>
      <c r="AF18" s="99">
        <f t="shared" si="16"/>
        <v>141261347.12062985</v>
      </c>
      <c r="AG18" s="99">
        <f t="shared" si="16"/>
        <v>135366785.85564092</v>
      </c>
      <c r="AH18" s="99">
        <f t="shared" si="16"/>
        <v>129729683.48021936</v>
      </c>
      <c r="AI18" s="99">
        <f t="shared" si="16"/>
        <v>124338108.0048285</v>
      </c>
      <c r="AJ18" s="99">
        <f t="shared" si="16"/>
        <v>119180719.65733895</v>
      </c>
      <c r="AK18" s="99">
        <f t="shared" si="16"/>
        <v>114246739.37838122</v>
      </c>
      <c r="AL18" s="99">
        <f t="shared" si="16"/>
        <v>109525919.09878258</v>
      </c>
      <c r="AM18" s="99">
        <f t="shared" si="16"/>
        <v>105008513.69330706</v>
      </c>
      <c r="AN18" s="99">
        <f t="shared" si="16"/>
        <v>100685254.51141745</v>
      </c>
      <c r="AO18" s="99">
        <f t="shared" si="16"/>
        <v>96547324.391866818</v>
      </c>
      <c r="AP18" s="68"/>
      <c r="AQ18" s="68"/>
      <c r="AR18" s="68"/>
      <c r="AS18" s="68"/>
      <c r="AT18" s="68"/>
      <c r="AU18" s="68"/>
      <c r="AV18" s="68"/>
      <c r="AW18" s="68"/>
      <c r="AX18" s="68"/>
      <c r="AY18" s="68"/>
      <c r="AZ18" s="68"/>
      <c r="BA18" s="68"/>
      <c r="BB18" s="68"/>
      <c r="BC18" s="68"/>
      <c r="BD18" s="68"/>
      <c r="BE18" s="68"/>
      <c r="BF18" s="68"/>
      <c r="BG18" s="68"/>
      <c r="BH18" s="68"/>
      <c r="BI18" s="68"/>
      <c r="BJ18" s="68"/>
      <c r="BK18" s="68"/>
      <c r="BL18" s="68"/>
      <c r="BM18" s="68"/>
      <c r="BN18" s="68"/>
    </row>
    <row r="19" spans="1:66" ht="15.75" customHeight="1">
      <c r="A19" s="295" t="s">
        <v>264</v>
      </c>
      <c r="B19" s="68"/>
      <c r="C19" s="68">
        <v>22</v>
      </c>
      <c r="D19" s="68">
        <f t="shared" ref="D19:AO19" si="17">C19+1</f>
        <v>23</v>
      </c>
      <c r="E19" s="68">
        <f t="shared" si="17"/>
        <v>24</v>
      </c>
      <c r="F19" s="68">
        <f t="shared" si="17"/>
        <v>25</v>
      </c>
      <c r="G19" s="68">
        <f t="shared" si="17"/>
        <v>26</v>
      </c>
      <c r="H19" s="68">
        <f t="shared" si="17"/>
        <v>27</v>
      </c>
      <c r="I19" s="68">
        <f t="shared" si="17"/>
        <v>28</v>
      </c>
      <c r="J19" s="68">
        <f t="shared" si="17"/>
        <v>29</v>
      </c>
      <c r="K19" s="68">
        <f t="shared" si="17"/>
        <v>30</v>
      </c>
      <c r="L19" s="68">
        <f t="shared" si="17"/>
        <v>31</v>
      </c>
      <c r="M19" s="68">
        <f t="shared" si="17"/>
        <v>32</v>
      </c>
      <c r="N19" s="68">
        <f t="shared" si="17"/>
        <v>33</v>
      </c>
      <c r="O19" s="68">
        <f t="shared" si="17"/>
        <v>34</v>
      </c>
      <c r="P19" s="68">
        <f t="shared" si="17"/>
        <v>35</v>
      </c>
      <c r="Q19" s="68">
        <f t="shared" si="17"/>
        <v>36</v>
      </c>
      <c r="R19" s="68">
        <f t="shared" si="17"/>
        <v>37</v>
      </c>
      <c r="S19" s="68">
        <f t="shared" si="17"/>
        <v>38</v>
      </c>
      <c r="T19" s="68">
        <f t="shared" si="17"/>
        <v>39</v>
      </c>
      <c r="U19" s="68">
        <f t="shared" si="17"/>
        <v>40</v>
      </c>
      <c r="V19" s="68">
        <f t="shared" si="17"/>
        <v>41</v>
      </c>
      <c r="W19" s="68">
        <f t="shared" si="17"/>
        <v>42</v>
      </c>
      <c r="X19" s="68">
        <f t="shared" si="17"/>
        <v>43</v>
      </c>
      <c r="Y19" s="68">
        <f t="shared" si="17"/>
        <v>44</v>
      </c>
      <c r="Z19" s="68">
        <f t="shared" si="17"/>
        <v>45</v>
      </c>
      <c r="AA19" s="68">
        <f t="shared" si="17"/>
        <v>46</v>
      </c>
      <c r="AB19" s="68">
        <f t="shared" si="17"/>
        <v>47</v>
      </c>
      <c r="AC19" s="68">
        <f t="shared" si="17"/>
        <v>48</v>
      </c>
      <c r="AD19" s="68">
        <f t="shared" si="17"/>
        <v>49</v>
      </c>
      <c r="AE19" s="68">
        <f t="shared" si="17"/>
        <v>50</v>
      </c>
      <c r="AF19" s="68">
        <f t="shared" si="17"/>
        <v>51</v>
      </c>
      <c r="AG19" s="68">
        <f t="shared" si="17"/>
        <v>52</v>
      </c>
      <c r="AH19" s="68">
        <f t="shared" si="17"/>
        <v>53</v>
      </c>
      <c r="AI19" s="68">
        <f t="shared" si="17"/>
        <v>54</v>
      </c>
      <c r="AJ19" s="68">
        <f t="shared" si="17"/>
        <v>55</v>
      </c>
      <c r="AK19" s="68">
        <f t="shared" si="17"/>
        <v>56</v>
      </c>
      <c r="AL19" s="68">
        <f t="shared" si="17"/>
        <v>57</v>
      </c>
      <c r="AM19" s="68">
        <f t="shared" si="17"/>
        <v>58</v>
      </c>
      <c r="AN19" s="68">
        <f t="shared" si="17"/>
        <v>59</v>
      </c>
      <c r="AO19" s="68">
        <f t="shared" si="17"/>
        <v>60</v>
      </c>
      <c r="AP19" s="68"/>
      <c r="AQ19" s="68"/>
      <c r="AR19" s="68"/>
      <c r="AS19" s="68"/>
      <c r="AT19" s="68"/>
      <c r="AU19" s="68"/>
      <c r="AV19" s="68"/>
      <c r="AW19" s="68"/>
      <c r="AX19" s="68"/>
      <c r="AY19" s="68"/>
      <c r="AZ19" s="68"/>
      <c r="BA19" s="68"/>
      <c r="BB19" s="68"/>
      <c r="BC19" s="68"/>
      <c r="BD19" s="68"/>
      <c r="BE19" s="68"/>
      <c r="BF19" s="68"/>
      <c r="BG19" s="68"/>
      <c r="BH19" s="68"/>
      <c r="BI19" s="68"/>
      <c r="BJ19" s="68"/>
      <c r="BK19" s="68"/>
      <c r="BL19" s="68"/>
      <c r="BM19" s="68"/>
      <c r="BN19" s="68"/>
    </row>
    <row r="20" spans="1:66" ht="15.75" customHeight="1">
      <c r="A20" s="296" t="s">
        <v>265</v>
      </c>
      <c r="B20" s="207"/>
      <c r="C20" s="207">
        <f t="shared" ref="C20:E20" si="18">1-0.000416227</f>
        <v>0.99958377300000001</v>
      </c>
      <c r="D20" s="207">
        <f t="shared" si="18"/>
        <v>0.99958377300000001</v>
      </c>
      <c r="E20" s="207">
        <f t="shared" si="18"/>
        <v>0.99958377300000001</v>
      </c>
      <c r="F20" s="207">
        <f t="shared" ref="F20:J20" si="19">1-0.000472252</f>
        <v>0.99952774799999999</v>
      </c>
      <c r="G20" s="207">
        <f t="shared" si="19"/>
        <v>0.99952774799999999</v>
      </c>
      <c r="H20" s="207">
        <f t="shared" si="19"/>
        <v>0.99952774799999999</v>
      </c>
      <c r="I20" s="207">
        <f t="shared" si="19"/>
        <v>0.99952774799999999</v>
      </c>
      <c r="J20" s="207">
        <f t="shared" si="19"/>
        <v>0.99952774799999999</v>
      </c>
      <c r="K20" s="207">
        <f t="shared" ref="K20:O20" si="20">1-0.000615292</f>
        <v>0.99938470800000001</v>
      </c>
      <c r="L20" s="207">
        <f t="shared" si="20"/>
        <v>0.99938470800000001</v>
      </c>
      <c r="M20" s="207">
        <f t="shared" si="20"/>
        <v>0.99938470800000001</v>
      </c>
      <c r="N20" s="207">
        <f t="shared" si="20"/>
        <v>0.99938470800000001</v>
      </c>
      <c r="O20" s="207">
        <f t="shared" si="20"/>
        <v>0.99938470800000001</v>
      </c>
      <c r="P20" s="207">
        <f t="shared" ref="P20:T20" si="21">1-0.000912829</f>
        <v>0.999087171</v>
      </c>
      <c r="Q20" s="207">
        <f t="shared" si="21"/>
        <v>0.999087171</v>
      </c>
      <c r="R20" s="207">
        <f t="shared" si="21"/>
        <v>0.999087171</v>
      </c>
      <c r="S20" s="207">
        <f t="shared" si="21"/>
        <v>0.999087171</v>
      </c>
      <c r="T20" s="207">
        <f t="shared" si="21"/>
        <v>0.999087171</v>
      </c>
      <c r="U20" s="207">
        <f t="shared" ref="U20:Y20" si="22">1-0.001452051</f>
        <v>0.99854794899999999</v>
      </c>
      <c r="V20" s="207">
        <f t="shared" si="22"/>
        <v>0.99854794899999999</v>
      </c>
      <c r="W20" s="207">
        <f t="shared" si="22"/>
        <v>0.99854794899999999</v>
      </c>
      <c r="X20" s="207">
        <f t="shared" si="22"/>
        <v>0.99854794899999999</v>
      </c>
      <c r="Y20" s="207">
        <f t="shared" si="22"/>
        <v>0.99854794899999999</v>
      </c>
      <c r="Z20" s="207">
        <f t="shared" ref="Z20:AD20" si="23">1-0.002280473</f>
        <v>0.99771952699999999</v>
      </c>
      <c r="AA20" s="207">
        <f t="shared" si="23"/>
        <v>0.99771952699999999</v>
      </c>
      <c r="AB20" s="207">
        <f t="shared" si="23"/>
        <v>0.99771952699999999</v>
      </c>
      <c r="AC20" s="207">
        <f t="shared" si="23"/>
        <v>0.99771952699999999</v>
      </c>
      <c r="AD20" s="207">
        <f t="shared" si="23"/>
        <v>0.99771952699999999</v>
      </c>
      <c r="AE20" s="207">
        <f t="shared" ref="AE20:AI20" si="24">1-0.003585945</f>
        <v>0.99641405500000002</v>
      </c>
      <c r="AF20" s="207">
        <f t="shared" si="24"/>
        <v>0.99641405500000002</v>
      </c>
      <c r="AG20" s="207">
        <f t="shared" si="24"/>
        <v>0.99641405500000002</v>
      </c>
      <c r="AH20" s="207">
        <f t="shared" si="24"/>
        <v>0.99641405500000002</v>
      </c>
      <c r="AI20" s="207">
        <f t="shared" si="24"/>
        <v>0.99641405500000002</v>
      </c>
      <c r="AJ20" s="207">
        <f t="shared" ref="AJ20:AN20" si="25">1-0.005487598</f>
        <v>0.99451240200000002</v>
      </c>
      <c r="AK20" s="207">
        <f t="shared" si="25"/>
        <v>0.99451240200000002</v>
      </c>
      <c r="AL20" s="207">
        <f t="shared" si="25"/>
        <v>0.99451240200000002</v>
      </c>
      <c r="AM20" s="207">
        <f t="shared" si="25"/>
        <v>0.99451240200000002</v>
      </c>
      <c r="AN20" s="207">
        <f t="shared" si="25"/>
        <v>0.99451240200000002</v>
      </c>
      <c r="AO20" s="207">
        <f>1-0.008891343</f>
        <v>0.99110865699999995</v>
      </c>
      <c r="AP20" s="207"/>
      <c r="AQ20" s="207"/>
      <c r="AR20" s="207"/>
      <c r="AS20" s="207"/>
      <c r="AT20" s="207"/>
      <c r="AU20" s="207"/>
      <c r="AV20" s="207"/>
      <c r="AW20" s="207"/>
      <c r="AX20" s="207"/>
      <c r="AY20" s="207"/>
      <c r="AZ20" s="207"/>
      <c r="BA20" s="207"/>
      <c r="BB20" s="207"/>
      <c r="BC20" s="207"/>
      <c r="BD20" s="207"/>
      <c r="BE20" s="207"/>
      <c r="BF20" s="207"/>
      <c r="BG20" s="207"/>
      <c r="BH20" s="207"/>
      <c r="BI20" s="207"/>
      <c r="BJ20" s="207"/>
      <c r="BK20" s="207"/>
      <c r="BL20" s="207"/>
      <c r="BM20" s="207"/>
      <c r="BN20" s="207"/>
    </row>
    <row r="21" spans="1:66" ht="15.75" customHeight="1">
      <c r="A21" s="68" t="s">
        <v>266</v>
      </c>
      <c r="B21" s="68"/>
      <c r="C21" s="297">
        <f>SUMPRODUCT(C18:AO18,C20:AO20)</f>
        <v>6098109894.0450249</v>
      </c>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c r="BF21" s="68"/>
      <c r="BG21" s="68"/>
      <c r="BH21" s="68"/>
      <c r="BI21" s="68"/>
      <c r="BJ21" s="68"/>
      <c r="BK21" s="68"/>
      <c r="BL21" s="68"/>
      <c r="BM21" s="68"/>
      <c r="BN21" s="68"/>
    </row>
    <row r="22" spans="1:66" ht="15.75"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row>
    <row r="23" spans="1:66" ht="15.75"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c r="BJ23" s="68"/>
      <c r="BK23" s="68"/>
      <c r="BL23" s="68"/>
      <c r="BM23" s="68"/>
      <c r="BN23" s="68"/>
    </row>
    <row r="24" spans="1:66" ht="15.75" customHeight="1">
      <c r="A24" s="298" t="s">
        <v>267</v>
      </c>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c r="BJ24" s="68"/>
      <c r="BK24" s="68"/>
      <c r="BL24" s="68"/>
      <c r="BM24" s="68"/>
      <c r="BN24" s="68"/>
    </row>
    <row r="25" spans="1:66" ht="15.75" customHeight="1">
      <c r="A25" s="99" t="s">
        <v>257</v>
      </c>
      <c r="B25" s="99"/>
      <c r="C25" s="99">
        <f>'6. Salary'!N5*12</f>
        <v>195000000</v>
      </c>
      <c r="D25" s="99">
        <f t="shared" ref="D25:E25" si="26">C25*(1+D3)</f>
        <v>199855499.99999997</v>
      </c>
      <c r="E25" s="99">
        <f t="shared" si="26"/>
        <v>205451453.99999997</v>
      </c>
      <c r="F25" s="99">
        <f>'6. Salary'!N8*12</f>
        <v>260000000</v>
      </c>
      <c r="G25" s="99">
        <f t="shared" ref="G25:H25" si="27">F25*(1+G3)</f>
        <v>267539999.99999997</v>
      </c>
      <c r="H25" s="99">
        <f t="shared" si="27"/>
        <v>275298659.99999994</v>
      </c>
      <c r="I25" s="99">
        <f>'6. Salary'!N11*12</f>
        <v>325000000</v>
      </c>
      <c r="J25" s="99">
        <f>I25*(1+J3)</f>
        <v>334363250</v>
      </c>
      <c r="K25" s="99">
        <f>'6. Salary'!N13*12</f>
        <v>455000000</v>
      </c>
      <c r="L25" s="99">
        <f t="shared" ref="L25:O25" si="28">K25*(1+L3)</f>
        <v>468108550</v>
      </c>
      <c r="M25" s="99">
        <f t="shared" si="28"/>
        <v>481594757.32550001</v>
      </c>
      <c r="N25" s="99">
        <f t="shared" si="28"/>
        <v>495469502.28404766</v>
      </c>
      <c r="O25" s="99">
        <f t="shared" si="28"/>
        <v>509743978.64485109</v>
      </c>
      <c r="P25" s="99">
        <f>'6. Salary'!N18*12</f>
        <v>585000000</v>
      </c>
      <c r="Q25" s="99">
        <f t="shared" ref="Q25:S25" si="29">P25*(1+Q3)</f>
        <v>601853850</v>
      </c>
      <c r="R25" s="99">
        <f t="shared" si="29"/>
        <v>619193259.41849995</v>
      </c>
      <c r="S25" s="99">
        <f t="shared" si="29"/>
        <v>637032217.2223469</v>
      </c>
      <c r="T25" s="99">
        <f>'6. Salary'!N22*12</f>
        <v>1040000000</v>
      </c>
      <c r="U25" s="99">
        <f t="shared" ref="U25:AQ25" si="30">T25*(1+U3)</f>
        <v>1069962400</v>
      </c>
      <c r="V25" s="99">
        <f t="shared" si="30"/>
        <v>1100788016.744</v>
      </c>
      <c r="W25" s="99">
        <f t="shared" si="30"/>
        <v>1132501719.5063946</v>
      </c>
      <c r="X25" s="99">
        <f t="shared" si="30"/>
        <v>1165129094.0453739</v>
      </c>
      <c r="Y25" s="99">
        <f t="shared" si="30"/>
        <v>1198696463.2448211</v>
      </c>
      <c r="Z25" s="99">
        <f t="shared" si="30"/>
        <v>1233230908.3509045</v>
      </c>
      <c r="AA25" s="99">
        <f t="shared" si="30"/>
        <v>1268760290.8204939</v>
      </c>
      <c r="AB25" s="99">
        <f t="shared" si="30"/>
        <v>1305313274.7990324</v>
      </c>
      <c r="AC25" s="99">
        <f t="shared" si="30"/>
        <v>1342919350.2459927</v>
      </c>
      <c r="AD25" s="99">
        <f t="shared" si="30"/>
        <v>1381608856.7265797</v>
      </c>
      <c r="AE25" s="99">
        <f t="shared" si="30"/>
        <v>1421413007.8888724</v>
      </c>
      <c r="AF25" s="99">
        <f t="shared" si="30"/>
        <v>1462363916.6461508</v>
      </c>
      <c r="AG25" s="99">
        <f t="shared" si="30"/>
        <v>1504494621.0847263</v>
      </c>
      <c r="AH25" s="99">
        <f t="shared" si="30"/>
        <v>1547839111.1181774</v>
      </c>
      <c r="AI25" s="99">
        <f t="shared" si="30"/>
        <v>1592432355.909492</v>
      </c>
      <c r="AJ25" s="99">
        <f t="shared" si="30"/>
        <v>1638310332.0832446</v>
      </c>
      <c r="AK25" s="99">
        <f t="shared" si="30"/>
        <v>1685510052.7505629</v>
      </c>
      <c r="AL25" s="99">
        <f t="shared" si="30"/>
        <v>1734069597.3703067</v>
      </c>
      <c r="AM25" s="99">
        <f t="shared" si="30"/>
        <v>1784028142.4705453</v>
      </c>
      <c r="AN25" s="99">
        <f t="shared" si="30"/>
        <v>1835425993.2551217</v>
      </c>
      <c r="AO25" s="99">
        <f t="shared" si="30"/>
        <v>1888304616.1208017</v>
      </c>
      <c r="AP25" s="99">
        <f t="shared" si="30"/>
        <v>1942706672.1112421</v>
      </c>
      <c r="AQ25" s="99">
        <f t="shared" si="30"/>
        <v>1998676051.3347669</v>
      </c>
      <c r="AR25" s="99"/>
      <c r="AS25" s="99"/>
      <c r="AT25" s="99"/>
      <c r="AU25" s="99"/>
      <c r="AV25" s="99"/>
      <c r="AW25" s="99"/>
      <c r="AX25" s="99"/>
      <c r="AY25" s="99"/>
      <c r="AZ25" s="99"/>
      <c r="BA25" s="99"/>
      <c r="BB25" s="99"/>
      <c r="BC25" s="99"/>
      <c r="BD25" s="99"/>
      <c r="BE25" s="99"/>
      <c r="BF25" s="99"/>
      <c r="BG25" s="99"/>
      <c r="BH25" s="99"/>
      <c r="BI25" s="99"/>
      <c r="BJ25" s="99"/>
      <c r="BK25" s="99"/>
      <c r="BL25" s="99"/>
      <c r="BM25" s="99"/>
      <c r="BN25" s="99"/>
    </row>
    <row r="26" spans="1:66" ht="15.75" customHeight="1">
      <c r="A26" s="68" t="s">
        <v>258</v>
      </c>
      <c r="B26" s="68"/>
      <c r="C26" s="99">
        <f t="shared" ref="C26:G26" si="31">11000000*12</f>
        <v>132000000</v>
      </c>
      <c r="D26" s="99">
        <f t="shared" si="31"/>
        <v>132000000</v>
      </c>
      <c r="E26" s="99">
        <f t="shared" si="31"/>
        <v>132000000</v>
      </c>
      <c r="F26" s="99">
        <f t="shared" si="31"/>
        <v>132000000</v>
      </c>
      <c r="G26" s="99">
        <f t="shared" si="31"/>
        <v>132000000</v>
      </c>
      <c r="H26" s="99">
        <f t="shared" ref="H26:AQ26" si="32">11000000*12+4400000*12</f>
        <v>184800000</v>
      </c>
      <c r="I26" s="99">
        <f t="shared" si="32"/>
        <v>184800000</v>
      </c>
      <c r="J26" s="99">
        <f t="shared" si="32"/>
        <v>184800000</v>
      </c>
      <c r="K26" s="99">
        <f t="shared" si="32"/>
        <v>184800000</v>
      </c>
      <c r="L26" s="99">
        <f t="shared" si="32"/>
        <v>184800000</v>
      </c>
      <c r="M26" s="99">
        <f t="shared" si="32"/>
        <v>184800000</v>
      </c>
      <c r="N26" s="99">
        <f t="shared" si="32"/>
        <v>184800000</v>
      </c>
      <c r="O26" s="99">
        <f t="shared" si="32"/>
        <v>184800000</v>
      </c>
      <c r="P26" s="99">
        <f t="shared" si="32"/>
        <v>184800000</v>
      </c>
      <c r="Q26" s="99">
        <f t="shared" si="32"/>
        <v>184800000</v>
      </c>
      <c r="R26" s="99">
        <f t="shared" si="32"/>
        <v>184800000</v>
      </c>
      <c r="S26" s="99">
        <f t="shared" si="32"/>
        <v>184800000</v>
      </c>
      <c r="T26" s="99">
        <f t="shared" si="32"/>
        <v>184800000</v>
      </c>
      <c r="U26" s="99">
        <f t="shared" si="32"/>
        <v>184800000</v>
      </c>
      <c r="V26" s="99">
        <f t="shared" si="32"/>
        <v>184800000</v>
      </c>
      <c r="W26" s="99">
        <f t="shared" si="32"/>
        <v>184800000</v>
      </c>
      <c r="X26" s="99">
        <f t="shared" si="32"/>
        <v>184800000</v>
      </c>
      <c r="Y26" s="99">
        <f t="shared" si="32"/>
        <v>184800000</v>
      </c>
      <c r="Z26" s="99">
        <f t="shared" si="32"/>
        <v>184800000</v>
      </c>
      <c r="AA26" s="99">
        <f t="shared" si="32"/>
        <v>184800000</v>
      </c>
      <c r="AB26" s="99">
        <f t="shared" si="32"/>
        <v>184800000</v>
      </c>
      <c r="AC26" s="99">
        <f t="shared" si="32"/>
        <v>184800000</v>
      </c>
      <c r="AD26" s="99">
        <f t="shared" si="32"/>
        <v>184800000</v>
      </c>
      <c r="AE26" s="99">
        <f t="shared" si="32"/>
        <v>184800000</v>
      </c>
      <c r="AF26" s="99">
        <f t="shared" si="32"/>
        <v>184800000</v>
      </c>
      <c r="AG26" s="99">
        <f t="shared" si="32"/>
        <v>184800000</v>
      </c>
      <c r="AH26" s="99">
        <f t="shared" si="32"/>
        <v>184800000</v>
      </c>
      <c r="AI26" s="99">
        <f t="shared" si="32"/>
        <v>184800000</v>
      </c>
      <c r="AJ26" s="99">
        <f t="shared" si="32"/>
        <v>184800000</v>
      </c>
      <c r="AK26" s="99">
        <f t="shared" si="32"/>
        <v>184800000</v>
      </c>
      <c r="AL26" s="99">
        <f t="shared" si="32"/>
        <v>184800000</v>
      </c>
      <c r="AM26" s="99">
        <f t="shared" si="32"/>
        <v>184800000</v>
      </c>
      <c r="AN26" s="99">
        <f t="shared" si="32"/>
        <v>184800000</v>
      </c>
      <c r="AO26" s="99">
        <f t="shared" si="32"/>
        <v>184800000</v>
      </c>
      <c r="AP26" s="99">
        <f t="shared" si="32"/>
        <v>184800000</v>
      </c>
      <c r="AQ26" s="99">
        <f t="shared" si="32"/>
        <v>184800000</v>
      </c>
      <c r="AR26" s="68"/>
      <c r="AS26" s="68"/>
      <c r="AT26" s="68"/>
      <c r="AU26" s="68"/>
      <c r="AV26" s="68"/>
      <c r="AW26" s="68"/>
      <c r="AX26" s="68"/>
      <c r="AY26" s="68"/>
      <c r="AZ26" s="68"/>
      <c r="BA26" s="68"/>
      <c r="BB26" s="68"/>
      <c r="BC26" s="68"/>
      <c r="BD26" s="68"/>
      <c r="BE26" s="68"/>
      <c r="BF26" s="68"/>
      <c r="BG26" s="68"/>
      <c r="BH26" s="68"/>
      <c r="BI26" s="68"/>
      <c r="BJ26" s="68"/>
      <c r="BK26" s="68"/>
      <c r="BL26" s="68"/>
      <c r="BM26" s="68"/>
      <c r="BN26" s="68"/>
    </row>
    <row r="27" spans="1:66" ht="15.75" customHeight="1">
      <c r="A27" s="68" t="s">
        <v>259</v>
      </c>
      <c r="B27" s="68"/>
      <c r="C27" s="99">
        <f t="shared" ref="C27:AQ27" si="33">C25*$C$66</f>
        <v>20475000</v>
      </c>
      <c r="D27" s="99">
        <f t="shared" si="33"/>
        <v>20984827.499999996</v>
      </c>
      <c r="E27" s="99">
        <f t="shared" si="33"/>
        <v>21572402.669999994</v>
      </c>
      <c r="F27" s="99">
        <f t="shared" si="33"/>
        <v>27300000</v>
      </c>
      <c r="G27" s="99">
        <f t="shared" si="33"/>
        <v>28091699.999999996</v>
      </c>
      <c r="H27" s="99">
        <f t="shared" si="33"/>
        <v>28906359.299999993</v>
      </c>
      <c r="I27" s="99">
        <f t="shared" si="33"/>
        <v>34125000</v>
      </c>
      <c r="J27" s="99">
        <f t="shared" si="33"/>
        <v>35108141.25</v>
      </c>
      <c r="K27" s="99">
        <f t="shared" si="33"/>
        <v>47775000</v>
      </c>
      <c r="L27" s="99">
        <f t="shared" si="33"/>
        <v>49151397.75</v>
      </c>
      <c r="M27" s="99">
        <f t="shared" si="33"/>
        <v>50567449.519177496</v>
      </c>
      <c r="N27" s="99">
        <f t="shared" si="33"/>
        <v>52024297.739825003</v>
      </c>
      <c r="O27" s="99">
        <f t="shared" si="33"/>
        <v>53523117.757709362</v>
      </c>
      <c r="P27" s="99">
        <f t="shared" si="33"/>
        <v>61425000</v>
      </c>
      <c r="Q27" s="99">
        <f t="shared" si="33"/>
        <v>63194654.25</v>
      </c>
      <c r="R27" s="99">
        <f t="shared" si="33"/>
        <v>65015292.238942489</v>
      </c>
      <c r="S27" s="99">
        <f t="shared" si="33"/>
        <v>66888382.808346421</v>
      </c>
      <c r="T27" s="99">
        <f t="shared" si="33"/>
        <v>109200000</v>
      </c>
      <c r="U27" s="99">
        <f t="shared" si="33"/>
        <v>112346052</v>
      </c>
      <c r="V27" s="99">
        <f t="shared" si="33"/>
        <v>115582741.75811999</v>
      </c>
      <c r="W27" s="99">
        <f t="shared" si="33"/>
        <v>118912680.54817143</v>
      </c>
      <c r="X27" s="99">
        <f t="shared" si="33"/>
        <v>122338554.87476426</v>
      </c>
      <c r="Y27" s="99">
        <f t="shared" si="33"/>
        <v>125863128.64070621</v>
      </c>
      <c r="Z27" s="99">
        <f t="shared" si="33"/>
        <v>129489245.37684496</v>
      </c>
      <c r="AA27" s="99">
        <f t="shared" si="33"/>
        <v>133219830.53615186</v>
      </c>
      <c r="AB27" s="99">
        <f t="shared" si="33"/>
        <v>137057893.85389841</v>
      </c>
      <c r="AC27" s="99">
        <f t="shared" si="33"/>
        <v>141006531.77582923</v>
      </c>
      <c r="AD27" s="99">
        <f t="shared" si="33"/>
        <v>145068929.95629087</v>
      </c>
      <c r="AE27" s="99">
        <f t="shared" si="33"/>
        <v>149248365.82833159</v>
      </c>
      <c r="AF27" s="99">
        <f t="shared" si="33"/>
        <v>153548211.24784583</v>
      </c>
      <c r="AG27" s="99">
        <f t="shared" si="33"/>
        <v>157971935.21389624</v>
      </c>
      <c r="AH27" s="99">
        <f t="shared" si="33"/>
        <v>162523106.66740862</v>
      </c>
      <c r="AI27" s="99">
        <f t="shared" si="33"/>
        <v>167205397.37049666</v>
      </c>
      <c r="AJ27" s="99">
        <f t="shared" si="33"/>
        <v>172022584.86874068</v>
      </c>
      <c r="AK27" s="99">
        <f t="shared" si="33"/>
        <v>176978555.53880909</v>
      </c>
      <c r="AL27" s="99">
        <f t="shared" si="33"/>
        <v>182077307.7238822</v>
      </c>
      <c r="AM27" s="99">
        <f t="shared" si="33"/>
        <v>187322954.95940724</v>
      </c>
      <c r="AN27" s="99">
        <f t="shared" si="33"/>
        <v>192719729.29178777</v>
      </c>
      <c r="AO27" s="99">
        <f t="shared" si="33"/>
        <v>198271984.69268417</v>
      </c>
      <c r="AP27" s="99">
        <f t="shared" si="33"/>
        <v>203984200.5716804</v>
      </c>
      <c r="AQ27" s="99">
        <f t="shared" si="33"/>
        <v>209860985.39015052</v>
      </c>
      <c r="AR27" s="68"/>
      <c r="AS27" s="68"/>
      <c r="AT27" s="68"/>
      <c r="AU27" s="68"/>
      <c r="AV27" s="68"/>
      <c r="AW27" s="68"/>
      <c r="AX27" s="68"/>
      <c r="AY27" s="68"/>
      <c r="AZ27" s="68"/>
      <c r="BA27" s="68"/>
      <c r="BB27" s="68"/>
      <c r="BC27" s="68"/>
      <c r="BD27" s="68"/>
      <c r="BE27" s="68"/>
      <c r="BF27" s="68"/>
      <c r="BG27" s="68"/>
      <c r="BH27" s="68"/>
      <c r="BI27" s="68"/>
      <c r="BJ27" s="68"/>
      <c r="BK27" s="68"/>
      <c r="BL27" s="68"/>
      <c r="BM27" s="68"/>
      <c r="BN27" s="68"/>
    </row>
    <row r="28" spans="1:66" ht="15.75" customHeight="1">
      <c r="A28" s="68" t="s">
        <v>260</v>
      </c>
      <c r="B28" s="68"/>
      <c r="C28" s="99">
        <f t="shared" ref="C28:AQ28" si="34">C25-SUM(C26:C27)</f>
        <v>42525000</v>
      </c>
      <c r="D28" s="99">
        <f t="shared" si="34"/>
        <v>46870672.49999997</v>
      </c>
      <c r="E28" s="99">
        <f t="shared" si="34"/>
        <v>51879051.329999983</v>
      </c>
      <c r="F28" s="99">
        <f t="shared" si="34"/>
        <v>100700000</v>
      </c>
      <c r="G28" s="99">
        <f t="shared" si="34"/>
        <v>107448299.99999997</v>
      </c>
      <c r="H28" s="99">
        <f t="shared" si="34"/>
        <v>61592300.699999958</v>
      </c>
      <c r="I28" s="99">
        <f t="shared" si="34"/>
        <v>106075000</v>
      </c>
      <c r="J28" s="99">
        <f t="shared" si="34"/>
        <v>114455108.75</v>
      </c>
      <c r="K28" s="99">
        <f t="shared" si="34"/>
        <v>222425000</v>
      </c>
      <c r="L28" s="99">
        <f t="shared" si="34"/>
        <v>234157152.25</v>
      </c>
      <c r="M28" s="99">
        <f t="shared" si="34"/>
        <v>246227307.80632252</v>
      </c>
      <c r="N28" s="99">
        <f t="shared" si="34"/>
        <v>258645204.54422265</v>
      </c>
      <c r="O28" s="99">
        <f t="shared" si="34"/>
        <v>271420860.8871417</v>
      </c>
      <c r="P28" s="99">
        <f t="shared" si="34"/>
        <v>338775000</v>
      </c>
      <c r="Q28" s="99">
        <f t="shared" si="34"/>
        <v>353859195.75</v>
      </c>
      <c r="R28" s="99">
        <f t="shared" si="34"/>
        <v>369377967.17955744</v>
      </c>
      <c r="S28" s="99">
        <f t="shared" si="34"/>
        <v>385343834.41400051</v>
      </c>
      <c r="T28" s="99">
        <f t="shared" si="34"/>
        <v>746000000</v>
      </c>
      <c r="U28" s="99">
        <f t="shared" si="34"/>
        <v>772816348</v>
      </c>
      <c r="V28" s="99">
        <f t="shared" si="34"/>
        <v>800405274.9858799</v>
      </c>
      <c r="W28" s="99">
        <f t="shared" si="34"/>
        <v>828789038.95822322</v>
      </c>
      <c r="X28" s="99">
        <f t="shared" si="34"/>
        <v>857990539.17060971</v>
      </c>
      <c r="Y28" s="99">
        <f t="shared" si="34"/>
        <v>888033334.60411489</v>
      </c>
      <c r="Z28" s="99">
        <f t="shared" si="34"/>
        <v>918941662.97405958</v>
      </c>
      <c r="AA28" s="99">
        <f t="shared" si="34"/>
        <v>950740460.28434205</v>
      </c>
      <c r="AB28" s="99">
        <f t="shared" si="34"/>
        <v>983455380.94513404</v>
      </c>
      <c r="AC28" s="99">
        <f t="shared" si="34"/>
        <v>1017112818.4701635</v>
      </c>
      <c r="AD28" s="99">
        <f t="shared" si="34"/>
        <v>1051739926.7702888</v>
      </c>
      <c r="AE28" s="99">
        <f t="shared" si="34"/>
        <v>1087364642.0605407</v>
      </c>
      <c r="AF28" s="99">
        <f t="shared" si="34"/>
        <v>1124015705.3983049</v>
      </c>
      <c r="AG28" s="99">
        <f t="shared" si="34"/>
        <v>1161722685.8708301</v>
      </c>
      <c r="AH28" s="99">
        <f t="shared" si="34"/>
        <v>1200516004.4507689</v>
      </c>
      <c r="AI28" s="99">
        <f t="shared" si="34"/>
        <v>1240426958.5389953</v>
      </c>
      <c r="AJ28" s="99">
        <f t="shared" si="34"/>
        <v>1281487747.2145038</v>
      </c>
      <c r="AK28" s="99">
        <f t="shared" si="34"/>
        <v>1323731497.2117538</v>
      </c>
      <c r="AL28" s="99">
        <f t="shared" si="34"/>
        <v>1367192289.6464245</v>
      </c>
      <c r="AM28" s="99">
        <f t="shared" si="34"/>
        <v>1411905187.511138</v>
      </c>
      <c r="AN28" s="99">
        <f t="shared" si="34"/>
        <v>1457906263.9633341</v>
      </c>
      <c r="AO28" s="99">
        <f t="shared" si="34"/>
        <v>1505232631.4281175</v>
      </c>
      <c r="AP28" s="99">
        <f t="shared" si="34"/>
        <v>1553922471.5395617</v>
      </c>
      <c r="AQ28" s="99">
        <f t="shared" si="34"/>
        <v>1604015065.9446163</v>
      </c>
      <c r="AR28" s="68"/>
      <c r="AS28" s="68"/>
      <c r="AT28" s="68"/>
      <c r="AU28" s="68"/>
      <c r="AV28" s="68"/>
      <c r="AW28" s="68"/>
      <c r="AX28" s="68"/>
      <c r="AY28" s="68"/>
      <c r="AZ28" s="68"/>
      <c r="BA28" s="68"/>
      <c r="BB28" s="68"/>
      <c r="BC28" s="68"/>
      <c r="BD28" s="68"/>
      <c r="BE28" s="68"/>
      <c r="BF28" s="68"/>
      <c r="BG28" s="68"/>
      <c r="BH28" s="68"/>
      <c r="BI28" s="68"/>
      <c r="BJ28" s="68"/>
      <c r="BK28" s="68"/>
      <c r="BL28" s="68"/>
      <c r="BM28" s="68"/>
      <c r="BN28" s="68"/>
    </row>
    <row r="29" spans="1:66" ht="15.75" customHeight="1">
      <c r="A29" s="68" t="s">
        <v>261</v>
      </c>
      <c r="B29" s="68"/>
      <c r="C29" s="99">
        <f>IF(C28&lt;=60000000,C28*0.5,IF(C28&lt;=120000000,60000000*0.5+(C28-60000000)*0.1,IF(C28&lt;=216000000,60000000*0.5+60000000*0.1+(C28-120000000)*0.15,IF(C28&lt;=384000000,60000000*0.5+60000000*0.1+96000000*0.15+(C28-216000000)*0.2,IF(C28&lt;=624000000,60000000*0.5+60000000*0.1+96000000*0.15+168000000*0.2+(C28-384000000)*0.25,IF(C28&lt;=960000000,60000000*0.5+60000000*0.1+96000000*0.15+168000000*0.2+240000000*0.25+(C28-624000000)*0.3,60000000*0.5+60000000*0.1+96000000*0.15+168000000*0.2+240000000*0.25+336000000*0.3+(C28-960000000)*0.35))))))</f>
        <v>21262500</v>
      </c>
      <c r="D29" s="99">
        <f t="shared" ref="D29:AQ29" si="35">IF(D28&lt;=60000000,D28*0.5,IF(D28&lt;=120000000,60000000*0.5+(D28-60000000)*0.1,IF(D28&lt;=216000000,60000000*0.5+60000000*0.1+(D28-120000000)*0.15,IF(D28&lt;=384000000,60000000*0.5+60000000*0.1+96000000*0.15+(D28-216000000)*0.2,IF(D28&lt;=624000000,60000000*0.5+60000000*0.1+96000000*0.15+168000000*0.2+(D28-384000000)*0.25,IF(D28&lt;=960000000,60000000*0.5+60000000*0.1+96000000*0.15+168000000*0.2+240000000*0.25+(D28-624000000)*0.3,60000000*0.5+60000000*0.1+96000000*0.15+168000000*0.2+240000000*0.25+336000000*0.3+(D28-960000000)*0.35))))))</f>
        <v>23435336.249999985</v>
      </c>
      <c r="E29" s="99">
        <f t="shared" si="35"/>
        <v>25939525.664999992</v>
      </c>
      <c r="F29" s="99">
        <f t="shared" si="35"/>
        <v>34070000</v>
      </c>
      <c r="G29" s="99">
        <f t="shared" si="35"/>
        <v>34744830</v>
      </c>
      <c r="H29" s="99">
        <f t="shared" si="35"/>
        <v>30159230.069999997</v>
      </c>
      <c r="I29" s="99">
        <f t="shared" si="35"/>
        <v>34607500</v>
      </c>
      <c r="J29" s="99">
        <f t="shared" si="35"/>
        <v>35445510.875</v>
      </c>
      <c r="K29" s="99">
        <f t="shared" si="35"/>
        <v>51685000</v>
      </c>
      <c r="L29" s="99">
        <f t="shared" si="35"/>
        <v>54031430.450000003</v>
      </c>
      <c r="M29" s="99">
        <f t="shared" si="35"/>
        <v>56445461.5612645</v>
      </c>
      <c r="N29" s="99">
        <f t="shared" si="35"/>
        <v>58929040.908844531</v>
      </c>
      <c r="O29" s="99">
        <f t="shared" si="35"/>
        <v>61484172.177428342</v>
      </c>
      <c r="P29" s="99">
        <f t="shared" si="35"/>
        <v>74955000</v>
      </c>
      <c r="Q29" s="99">
        <f t="shared" si="35"/>
        <v>77971839.150000006</v>
      </c>
      <c r="R29" s="99">
        <f t="shared" si="35"/>
        <v>81075593.435911492</v>
      </c>
      <c r="S29" s="99">
        <f t="shared" si="35"/>
        <v>84335958.603500128</v>
      </c>
      <c r="T29" s="99">
        <f t="shared" si="35"/>
        <v>180600000</v>
      </c>
      <c r="U29" s="99">
        <f t="shared" si="35"/>
        <v>188644904.40000001</v>
      </c>
      <c r="V29" s="99">
        <f t="shared" si="35"/>
        <v>196921582.49576396</v>
      </c>
      <c r="W29" s="99">
        <f t="shared" si="35"/>
        <v>205436711.68746698</v>
      </c>
      <c r="X29" s="99">
        <f t="shared" si="35"/>
        <v>214197161.75118291</v>
      </c>
      <c r="Y29" s="99">
        <f t="shared" si="35"/>
        <v>223210000.38123447</v>
      </c>
      <c r="Z29" s="99">
        <f t="shared" si="35"/>
        <v>232482498.89221787</v>
      </c>
      <c r="AA29" s="99">
        <f t="shared" si="35"/>
        <v>242022138.08530259</v>
      </c>
      <c r="AB29" s="99">
        <f t="shared" si="35"/>
        <v>253009383.33079693</v>
      </c>
      <c r="AC29" s="99">
        <f t="shared" si="35"/>
        <v>264789486.4645572</v>
      </c>
      <c r="AD29" s="99">
        <f t="shared" si="35"/>
        <v>276908974.36960107</v>
      </c>
      <c r="AE29" s="99">
        <f t="shared" si="35"/>
        <v>289377624.72118926</v>
      </c>
      <c r="AF29" s="99">
        <f t="shared" si="35"/>
        <v>302205496.88940674</v>
      </c>
      <c r="AG29" s="99">
        <f t="shared" si="35"/>
        <v>315402940.0547905</v>
      </c>
      <c r="AH29" s="99">
        <f t="shared" si="35"/>
        <v>328980601.55776912</v>
      </c>
      <c r="AI29" s="99">
        <f t="shared" si="35"/>
        <v>342949435.48864836</v>
      </c>
      <c r="AJ29" s="99">
        <f t="shared" si="35"/>
        <v>357320711.52507633</v>
      </c>
      <c r="AK29" s="99">
        <f t="shared" si="35"/>
        <v>372106024.02411383</v>
      </c>
      <c r="AL29" s="99">
        <f t="shared" si="35"/>
        <v>387317301.3762486</v>
      </c>
      <c r="AM29" s="99">
        <f t="shared" si="35"/>
        <v>402966815.62889826</v>
      </c>
      <c r="AN29" s="99">
        <f t="shared" si="35"/>
        <v>419067192.38716692</v>
      </c>
      <c r="AO29" s="99">
        <f t="shared" si="35"/>
        <v>435631420.99984109</v>
      </c>
      <c r="AP29" s="99">
        <f t="shared" si="35"/>
        <v>452672865.03884661</v>
      </c>
      <c r="AQ29" s="99">
        <f t="shared" si="35"/>
        <v>470205273.0806157</v>
      </c>
      <c r="AR29" s="68"/>
      <c r="AS29" s="68"/>
      <c r="AT29" s="68"/>
      <c r="AU29" s="68"/>
      <c r="AV29" s="68"/>
      <c r="AW29" s="68"/>
      <c r="AX29" s="68"/>
      <c r="AY29" s="68"/>
      <c r="AZ29" s="68"/>
      <c r="BA29" s="68"/>
      <c r="BB29" s="68"/>
      <c r="BC29" s="68"/>
      <c r="BD29" s="68"/>
      <c r="BE29" s="68"/>
      <c r="BF29" s="68"/>
      <c r="BG29" s="68"/>
      <c r="BH29" s="68"/>
      <c r="BI29" s="68"/>
      <c r="BJ29" s="68"/>
      <c r="BK29" s="68"/>
      <c r="BL29" s="68"/>
      <c r="BM29" s="68"/>
      <c r="BN29" s="68"/>
    </row>
    <row r="30" spans="1:66" ht="15.75" customHeight="1">
      <c r="A30" s="68" t="s">
        <v>262</v>
      </c>
      <c r="B30" s="68"/>
      <c r="C30" s="99">
        <f t="shared" ref="C30:AQ30" si="36">C25-C29</f>
        <v>173737500</v>
      </c>
      <c r="D30" s="99">
        <f t="shared" si="36"/>
        <v>176420163.75</v>
      </c>
      <c r="E30" s="99">
        <f t="shared" si="36"/>
        <v>179511928.33499998</v>
      </c>
      <c r="F30" s="99">
        <f t="shared" si="36"/>
        <v>225930000</v>
      </c>
      <c r="G30" s="99">
        <f t="shared" si="36"/>
        <v>232795169.99999997</v>
      </c>
      <c r="H30" s="99">
        <f t="shared" si="36"/>
        <v>245139429.92999995</v>
      </c>
      <c r="I30" s="99">
        <f t="shared" si="36"/>
        <v>290392500</v>
      </c>
      <c r="J30" s="99">
        <f t="shared" si="36"/>
        <v>298917739.125</v>
      </c>
      <c r="K30" s="99">
        <f t="shared" si="36"/>
        <v>403315000</v>
      </c>
      <c r="L30" s="99">
        <f t="shared" si="36"/>
        <v>414077119.55000001</v>
      </c>
      <c r="M30" s="99">
        <f t="shared" si="36"/>
        <v>425149295.7642355</v>
      </c>
      <c r="N30" s="99">
        <f t="shared" si="36"/>
        <v>436540461.37520313</v>
      </c>
      <c r="O30" s="99">
        <f t="shared" si="36"/>
        <v>448259806.46742272</v>
      </c>
      <c r="P30" s="99">
        <f t="shared" si="36"/>
        <v>510045000</v>
      </c>
      <c r="Q30" s="99">
        <f t="shared" si="36"/>
        <v>523882010.85000002</v>
      </c>
      <c r="R30" s="99">
        <f t="shared" si="36"/>
        <v>538117665.98258841</v>
      </c>
      <c r="S30" s="99">
        <f t="shared" si="36"/>
        <v>552696258.61884677</v>
      </c>
      <c r="T30" s="99">
        <f t="shared" si="36"/>
        <v>859400000</v>
      </c>
      <c r="U30" s="99">
        <f t="shared" si="36"/>
        <v>881317495.60000002</v>
      </c>
      <c r="V30" s="99">
        <f t="shared" si="36"/>
        <v>903866434.24823594</v>
      </c>
      <c r="W30" s="99">
        <f t="shared" si="36"/>
        <v>927065007.81892765</v>
      </c>
      <c r="X30" s="99">
        <f t="shared" si="36"/>
        <v>950931932.294191</v>
      </c>
      <c r="Y30" s="99">
        <f t="shared" si="36"/>
        <v>975486462.86358666</v>
      </c>
      <c r="Z30" s="99">
        <f t="shared" si="36"/>
        <v>1000748409.4586866</v>
      </c>
      <c r="AA30" s="99">
        <f t="shared" si="36"/>
        <v>1026738152.7351913</v>
      </c>
      <c r="AB30" s="99">
        <f t="shared" si="36"/>
        <v>1052303891.4682355</v>
      </c>
      <c r="AC30" s="99">
        <f t="shared" si="36"/>
        <v>1078129863.7814355</v>
      </c>
      <c r="AD30" s="99">
        <f t="shared" si="36"/>
        <v>1104699882.3569787</v>
      </c>
      <c r="AE30" s="99">
        <f t="shared" si="36"/>
        <v>1132035383.1676831</v>
      </c>
      <c r="AF30" s="99">
        <f t="shared" si="36"/>
        <v>1160158419.7567441</v>
      </c>
      <c r="AG30" s="99">
        <f t="shared" si="36"/>
        <v>1189091681.0299358</v>
      </c>
      <c r="AH30" s="99">
        <f t="shared" si="36"/>
        <v>1218858509.5604084</v>
      </c>
      <c r="AI30" s="99">
        <f t="shared" si="36"/>
        <v>1249482920.4208436</v>
      </c>
      <c r="AJ30" s="99">
        <f t="shared" si="36"/>
        <v>1280989620.5581682</v>
      </c>
      <c r="AK30" s="99">
        <f t="shared" si="36"/>
        <v>1313404028.726449</v>
      </c>
      <c r="AL30" s="99">
        <f t="shared" si="36"/>
        <v>1346752295.9940581</v>
      </c>
      <c r="AM30" s="99">
        <f t="shared" si="36"/>
        <v>1381061326.8416471</v>
      </c>
      <c r="AN30" s="99">
        <f t="shared" si="36"/>
        <v>1416358800.8679547</v>
      </c>
      <c r="AO30" s="99">
        <f t="shared" si="36"/>
        <v>1452673195.1209607</v>
      </c>
      <c r="AP30" s="99">
        <f t="shared" si="36"/>
        <v>1490033807.0723953</v>
      </c>
      <c r="AQ30" s="99">
        <f t="shared" si="36"/>
        <v>1528470778.2541511</v>
      </c>
      <c r="AR30" s="68"/>
      <c r="AS30" s="68"/>
      <c r="AT30" s="68"/>
      <c r="AU30" s="68"/>
      <c r="AV30" s="68"/>
      <c r="AW30" s="68"/>
      <c r="AX30" s="68"/>
      <c r="AY30" s="68"/>
      <c r="AZ30" s="68"/>
      <c r="BA30" s="68"/>
      <c r="BB30" s="68"/>
      <c r="BC30" s="68"/>
      <c r="BD30" s="68"/>
      <c r="BE30" s="68"/>
      <c r="BF30" s="68"/>
      <c r="BG30" s="68"/>
      <c r="BH30" s="68"/>
      <c r="BI30" s="68"/>
      <c r="BJ30" s="68"/>
      <c r="BK30" s="68"/>
      <c r="BL30" s="68"/>
      <c r="BM30" s="68"/>
      <c r="BN30" s="68"/>
    </row>
    <row r="31" spans="1:66" ht="15.75" customHeight="1">
      <c r="A31" s="295" t="s">
        <v>263</v>
      </c>
      <c r="B31" s="68"/>
      <c r="C31" s="99">
        <f>C30</f>
        <v>173737500</v>
      </c>
      <c r="D31" s="99">
        <f t="shared" ref="D31:AQ31" si="37">D30/(1+$C$65)^D2</f>
        <v>154167116.70192671</v>
      </c>
      <c r="E31" s="99">
        <f t="shared" si="37"/>
        <v>146642077.96671876</v>
      </c>
      <c r="F31" s="99">
        <f t="shared" si="37"/>
        <v>172528545.44317684</v>
      </c>
      <c r="G31" s="99">
        <f t="shared" si="37"/>
        <v>166181543.57334793</v>
      </c>
      <c r="H31" s="99">
        <f t="shared" si="37"/>
        <v>163585105.96118572</v>
      </c>
      <c r="I31" s="99">
        <f t="shared" si="37"/>
        <v>181149753.77775195</v>
      </c>
      <c r="J31" s="99">
        <f t="shared" si="37"/>
        <v>174311405.98793662</v>
      </c>
      <c r="K31" s="99">
        <f t="shared" si="37"/>
        <v>219856979.04762599</v>
      </c>
      <c r="L31" s="99">
        <f t="shared" si="37"/>
        <v>211007979.99824923</v>
      </c>
      <c r="M31" s="99">
        <f t="shared" si="37"/>
        <v>202526041.88334933</v>
      </c>
      <c r="N31" s="99">
        <f t="shared" si="37"/>
        <v>194395263.39748463</v>
      </c>
      <c r="O31" s="99">
        <f t="shared" si="37"/>
        <v>186600472.70633143</v>
      </c>
      <c r="P31" s="99">
        <f t="shared" si="37"/>
        <v>198478376.76576146</v>
      </c>
      <c r="Q31" s="99">
        <f t="shared" si="37"/>
        <v>190572378.95801887</v>
      </c>
      <c r="R31" s="99">
        <f t="shared" si="37"/>
        <v>182989210.77167013</v>
      </c>
      <c r="S31" s="99">
        <f t="shared" si="37"/>
        <v>175693835.38706979</v>
      </c>
      <c r="T31" s="99">
        <f t="shared" si="37"/>
        <v>255380135.37125772</v>
      </c>
      <c r="U31" s="99">
        <f t="shared" si="37"/>
        <v>244819451.05018532</v>
      </c>
      <c r="V31" s="99">
        <f t="shared" si="37"/>
        <v>234714300.95119047</v>
      </c>
      <c r="W31" s="99">
        <f t="shared" si="37"/>
        <v>225043900.39961216</v>
      </c>
      <c r="X31" s="99">
        <f t="shared" si="37"/>
        <v>215788478.712753</v>
      </c>
      <c r="Y31" s="99">
        <f t="shared" si="37"/>
        <v>206929226.14272141</v>
      </c>
      <c r="Z31" s="99">
        <f t="shared" si="37"/>
        <v>198448243.77899554</v>
      </c>
      <c r="AA31" s="99">
        <f t="shared" si="37"/>
        <v>190328496.23685837</v>
      </c>
      <c r="AB31" s="99">
        <f t="shared" si="37"/>
        <v>182350541.38654491</v>
      </c>
      <c r="AC31" s="99">
        <f t="shared" si="37"/>
        <v>174646031.36662176</v>
      </c>
      <c r="AD31" s="99">
        <f t="shared" si="37"/>
        <v>167283735.41614166</v>
      </c>
      <c r="AE31" s="99">
        <f t="shared" si="37"/>
        <v>160247467.94241524</v>
      </c>
      <c r="AF31" s="99">
        <f t="shared" si="37"/>
        <v>153521864.21300116</v>
      </c>
      <c r="AG31" s="99">
        <f t="shared" si="37"/>
        <v>147092335.80701852</v>
      </c>
      <c r="AH31" s="99">
        <f t="shared" si="37"/>
        <v>140945028.62768659</v>
      </c>
      <c r="AI31" s="99">
        <f t="shared" si="37"/>
        <v>135066783.32224277</v>
      </c>
      <c r="AJ31" s="99">
        <f t="shared" si="37"/>
        <v>129445097.96491699</v>
      </c>
      <c r="AK31" s="99">
        <f t="shared" si="37"/>
        <v>124068092.86756636</v>
      </c>
      <c r="AL31" s="99">
        <f t="shared" si="37"/>
        <v>118924477.39093761</v>
      </c>
      <c r="AM31" s="99">
        <f t="shared" si="37"/>
        <v>114003518.63735792</v>
      </c>
      <c r="AN31" s="99">
        <f t="shared" si="37"/>
        <v>109295011.91299771</v>
      </c>
      <c r="AO31" s="99">
        <f t="shared" si="37"/>
        <v>104789252.85472727</v>
      </c>
      <c r="AP31" s="99">
        <f t="shared" si="37"/>
        <v>100477011.12303516</v>
      </c>
      <c r="AQ31" s="99">
        <f t="shared" si="37"/>
        <v>96349505.568519562</v>
      </c>
      <c r="AR31" s="68"/>
      <c r="AS31" s="68"/>
      <c r="AT31" s="68"/>
      <c r="AU31" s="68"/>
      <c r="AV31" s="68"/>
      <c r="AW31" s="68"/>
      <c r="AX31" s="68"/>
      <c r="AY31" s="68"/>
      <c r="AZ31" s="68"/>
      <c r="BA31" s="68"/>
      <c r="BB31" s="68"/>
      <c r="BC31" s="68"/>
      <c r="BD31" s="68"/>
      <c r="BE31" s="68"/>
      <c r="BF31" s="68"/>
      <c r="BG31" s="68"/>
      <c r="BH31" s="68"/>
      <c r="BI31" s="68"/>
      <c r="BJ31" s="68"/>
      <c r="BK31" s="68"/>
      <c r="BL31" s="68"/>
      <c r="BM31" s="68"/>
      <c r="BN31" s="68"/>
    </row>
    <row r="32" spans="1:66" ht="15.75" customHeight="1">
      <c r="A32" s="295" t="s">
        <v>268</v>
      </c>
      <c r="B32" s="68"/>
      <c r="C32" s="68">
        <v>22</v>
      </c>
      <c r="D32" s="68">
        <f t="shared" ref="D32:AQ32" si="38">C32+1</f>
        <v>23</v>
      </c>
      <c r="E32" s="68">
        <f t="shared" si="38"/>
        <v>24</v>
      </c>
      <c r="F32" s="68">
        <f t="shared" si="38"/>
        <v>25</v>
      </c>
      <c r="G32" s="68">
        <f t="shared" si="38"/>
        <v>26</v>
      </c>
      <c r="H32" s="68">
        <f t="shared" si="38"/>
        <v>27</v>
      </c>
      <c r="I32" s="68">
        <f t="shared" si="38"/>
        <v>28</v>
      </c>
      <c r="J32" s="68">
        <f t="shared" si="38"/>
        <v>29</v>
      </c>
      <c r="K32" s="68">
        <f t="shared" si="38"/>
        <v>30</v>
      </c>
      <c r="L32" s="68">
        <f t="shared" si="38"/>
        <v>31</v>
      </c>
      <c r="M32" s="68">
        <f t="shared" si="38"/>
        <v>32</v>
      </c>
      <c r="N32" s="68">
        <f t="shared" si="38"/>
        <v>33</v>
      </c>
      <c r="O32" s="68">
        <f t="shared" si="38"/>
        <v>34</v>
      </c>
      <c r="P32" s="68">
        <f t="shared" si="38"/>
        <v>35</v>
      </c>
      <c r="Q32" s="68">
        <f t="shared" si="38"/>
        <v>36</v>
      </c>
      <c r="R32" s="68">
        <f t="shared" si="38"/>
        <v>37</v>
      </c>
      <c r="S32" s="68">
        <f t="shared" si="38"/>
        <v>38</v>
      </c>
      <c r="T32" s="68">
        <f t="shared" si="38"/>
        <v>39</v>
      </c>
      <c r="U32" s="68">
        <f t="shared" si="38"/>
        <v>40</v>
      </c>
      <c r="V32" s="68">
        <f t="shared" si="38"/>
        <v>41</v>
      </c>
      <c r="W32" s="68">
        <f t="shared" si="38"/>
        <v>42</v>
      </c>
      <c r="X32" s="68">
        <f t="shared" si="38"/>
        <v>43</v>
      </c>
      <c r="Y32" s="68">
        <f t="shared" si="38"/>
        <v>44</v>
      </c>
      <c r="Z32" s="68">
        <f t="shared" si="38"/>
        <v>45</v>
      </c>
      <c r="AA32" s="68">
        <f t="shared" si="38"/>
        <v>46</v>
      </c>
      <c r="AB32" s="68">
        <f t="shared" si="38"/>
        <v>47</v>
      </c>
      <c r="AC32" s="68">
        <f t="shared" si="38"/>
        <v>48</v>
      </c>
      <c r="AD32" s="68">
        <f t="shared" si="38"/>
        <v>49</v>
      </c>
      <c r="AE32" s="68">
        <f t="shared" si="38"/>
        <v>50</v>
      </c>
      <c r="AF32" s="68">
        <f t="shared" si="38"/>
        <v>51</v>
      </c>
      <c r="AG32" s="68">
        <f t="shared" si="38"/>
        <v>52</v>
      </c>
      <c r="AH32" s="68">
        <f t="shared" si="38"/>
        <v>53</v>
      </c>
      <c r="AI32" s="68">
        <f t="shared" si="38"/>
        <v>54</v>
      </c>
      <c r="AJ32" s="68">
        <f t="shared" si="38"/>
        <v>55</v>
      </c>
      <c r="AK32" s="68">
        <f t="shared" si="38"/>
        <v>56</v>
      </c>
      <c r="AL32" s="68">
        <f t="shared" si="38"/>
        <v>57</v>
      </c>
      <c r="AM32" s="68">
        <f t="shared" si="38"/>
        <v>58</v>
      </c>
      <c r="AN32" s="68">
        <f t="shared" si="38"/>
        <v>59</v>
      </c>
      <c r="AO32" s="68">
        <f t="shared" si="38"/>
        <v>60</v>
      </c>
      <c r="AP32" s="68">
        <f t="shared" si="38"/>
        <v>61</v>
      </c>
      <c r="AQ32" s="68">
        <f t="shared" si="38"/>
        <v>62</v>
      </c>
      <c r="AR32" s="68"/>
      <c r="AS32" s="68"/>
      <c r="AT32" s="68"/>
      <c r="AU32" s="68"/>
      <c r="AV32" s="68"/>
      <c r="AW32" s="68"/>
      <c r="AX32" s="68"/>
      <c r="AY32" s="68"/>
      <c r="AZ32" s="68"/>
      <c r="BA32" s="68"/>
      <c r="BB32" s="68"/>
      <c r="BC32" s="68"/>
      <c r="BD32" s="68"/>
      <c r="BE32" s="68"/>
      <c r="BF32" s="68"/>
      <c r="BG32" s="68"/>
      <c r="BH32" s="68"/>
      <c r="BI32" s="68"/>
      <c r="BJ32" s="68"/>
      <c r="BK32" s="68"/>
      <c r="BL32" s="68"/>
      <c r="BM32" s="68"/>
      <c r="BN32" s="68"/>
    </row>
    <row r="33" spans="1:66" ht="15.75" customHeight="1">
      <c r="A33" s="296" t="s">
        <v>265</v>
      </c>
      <c r="B33" s="207"/>
      <c r="C33" s="207">
        <f t="shared" ref="C33:E33" si="39">1-0.00148833</f>
        <v>0.99851166999999996</v>
      </c>
      <c r="D33" s="207">
        <f t="shared" si="39"/>
        <v>0.99851166999999996</v>
      </c>
      <c r="E33" s="207">
        <f t="shared" si="39"/>
        <v>0.99851166999999996</v>
      </c>
      <c r="F33" s="207">
        <f t="shared" ref="F33:J33" si="40">1-0.001467648</f>
        <v>0.99853235200000001</v>
      </c>
      <c r="G33" s="207">
        <f t="shared" si="40"/>
        <v>0.99853235200000001</v>
      </c>
      <c r="H33" s="207">
        <f t="shared" si="40"/>
        <v>0.99853235200000001</v>
      </c>
      <c r="I33" s="207">
        <f t="shared" si="40"/>
        <v>0.99853235200000001</v>
      </c>
      <c r="J33" s="207">
        <f t="shared" si="40"/>
        <v>0.99853235200000001</v>
      </c>
      <c r="K33" s="207">
        <f t="shared" ref="K33:O33" si="41">1-0.001691763</f>
        <v>0.99830823700000004</v>
      </c>
      <c r="L33" s="207">
        <f t="shared" si="41"/>
        <v>0.99830823700000004</v>
      </c>
      <c r="M33" s="207">
        <f t="shared" si="41"/>
        <v>0.99830823700000004</v>
      </c>
      <c r="N33" s="207">
        <f t="shared" si="41"/>
        <v>0.99830823700000004</v>
      </c>
      <c r="O33" s="207">
        <f t="shared" si="41"/>
        <v>0.99830823700000004</v>
      </c>
      <c r="P33" s="207">
        <f t="shared" ref="P33:T33" si="42">1-0.002338274</f>
        <v>0.99766172600000003</v>
      </c>
      <c r="Q33" s="207">
        <f t="shared" si="42"/>
        <v>0.99766172600000003</v>
      </c>
      <c r="R33" s="207">
        <f t="shared" si="42"/>
        <v>0.99766172600000003</v>
      </c>
      <c r="S33" s="207">
        <f t="shared" si="42"/>
        <v>0.99766172600000003</v>
      </c>
      <c r="T33" s="207">
        <f t="shared" si="42"/>
        <v>0.99766172600000003</v>
      </c>
      <c r="U33" s="207">
        <f t="shared" ref="U33:Y33" si="43">1-0.003645446</f>
        <v>0.99635455399999995</v>
      </c>
      <c r="V33" s="207">
        <f t="shared" si="43"/>
        <v>0.99635455399999995</v>
      </c>
      <c r="W33" s="207">
        <f t="shared" si="43"/>
        <v>0.99635455399999995</v>
      </c>
      <c r="X33" s="207">
        <f t="shared" si="43"/>
        <v>0.99635455399999995</v>
      </c>
      <c r="Y33" s="207">
        <f t="shared" si="43"/>
        <v>0.99635455399999995</v>
      </c>
      <c r="Z33" s="207">
        <f t="shared" ref="Z33:AD33" si="44">1-0.005916506</f>
        <v>0.99408349399999996</v>
      </c>
      <c r="AA33" s="207">
        <f t="shared" si="44"/>
        <v>0.99408349399999996</v>
      </c>
      <c r="AB33" s="207">
        <f t="shared" si="44"/>
        <v>0.99408349399999996</v>
      </c>
      <c r="AC33" s="207">
        <f t="shared" si="44"/>
        <v>0.99408349399999996</v>
      </c>
      <c r="AD33" s="207">
        <f t="shared" si="44"/>
        <v>0.99408349399999996</v>
      </c>
      <c r="AE33" s="207">
        <f t="shared" ref="AE33:AI33" si="45">1-0.00947506</f>
        <v>0.99052494000000002</v>
      </c>
      <c r="AF33" s="207">
        <f t="shared" si="45"/>
        <v>0.99052494000000002</v>
      </c>
      <c r="AG33" s="207">
        <f t="shared" si="45"/>
        <v>0.99052494000000002</v>
      </c>
      <c r="AH33" s="207">
        <f t="shared" si="45"/>
        <v>0.99052494000000002</v>
      </c>
      <c r="AI33" s="207">
        <f t="shared" si="45"/>
        <v>0.99052494000000002</v>
      </c>
      <c r="AJ33" s="207">
        <f t="shared" ref="AJ33:AN33" si="46">1-0.014665436</f>
        <v>0.98533456399999997</v>
      </c>
      <c r="AK33" s="207">
        <f t="shared" si="46"/>
        <v>0.98533456399999997</v>
      </c>
      <c r="AL33" s="207">
        <f t="shared" si="46"/>
        <v>0.98533456399999997</v>
      </c>
      <c r="AM33" s="207">
        <f t="shared" si="46"/>
        <v>0.98533456399999997</v>
      </c>
      <c r="AN33" s="207">
        <f t="shared" si="46"/>
        <v>0.98533456399999997</v>
      </c>
      <c r="AO33" s="207">
        <f t="shared" ref="AO33:AQ33" si="47">1-0.022502985</f>
        <v>0.97749701499999997</v>
      </c>
      <c r="AP33" s="207">
        <f t="shared" si="47"/>
        <v>0.97749701499999997</v>
      </c>
      <c r="AQ33" s="207">
        <f t="shared" si="47"/>
        <v>0.97749701499999997</v>
      </c>
      <c r="AR33" s="207"/>
      <c r="AS33" s="207"/>
      <c r="AT33" s="207"/>
      <c r="AU33" s="207"/>
      <c r="AV33" s="207"/>
      <c r="AW33" s="207"/>
      <c r="AX33" s="207"/>
      <c r="AY33" s="207"/>
      <c r="AZ33" s="207"/>
      <c r="BA33" s="207"/>
      <c r="BB33" s="207"/>
      <c r="BC33" s="207"/>
      <c r="BD33" s="207"/>
      <c r="BE33" s="207"/>
      <c r="BF33" s="207"/>
      <c r="BG33" s="207"/>
      <c r="BH33" s="207"/>
      <c r="BI33" s="207"/>
      <c r="BJ33" s="207"/>
      <c r="BK33" s="207"/>
      <c r="BL33" s="207"/>
      <c r="BM33" s="207"/>
      <c r="BN33" s="207"/>
    </row>
    <row r="34" spans="1:66" ht="15.75" customHeight="1">
      <c r="A34" s="68" t="s">
        <v>266</v>
      </c>
      <c r="B34" s="68"/>
      <c r="C34" s="297">
        <f>SUMPRODUCT(C33:AQ33,C31:AQ31)</f>
        <v>6986337245.1810837</v>
      </c>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c r="BL34" s="68"/>
      <c r="BM34" s="68"/>
      <c r="BN34" s="68"/>
    </row>
    <row r="35" spans="1:66" ht="15.75"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68"/>
      <c r="BK35" s="68"/>
      <c r="BL35" s="68"/>
      <c r="BM35" s="68"/>
      <c r="BN35" s="68"/>
    </row>
    <row r="36" spans="1:66" ht="15.75" customHeight="1">
      <c r="A36" s="68" t="s">
        <v>269</v>
      </c>
      <c r="B36" s="68"/>
      <c r="C36" s="297">
        <f>C34+C21</f>
        <v>13084447139.226109</v>
      </c>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K36" s="68"/>
      <c r="BL36" s="68"/>
      <c r="BM36" s="68"/>
      <c r="BN36" s="68"/>
    </row>
    <row r="37" spans="1:66" ht="15.7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row>
    <row r="38" spans="1:66" ht="15.7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row>
    <row r="39" spans="1:66" ht="15.75" customHeight="1">
      <c r="A39" s="98" t="s">
        <v>270</v>
      </c>
      <c r="B39" s="98"/>
      <c r="C39" s="98"/>
      <c r="D39" s="98"/>
      <c r="E39" s="98"/>
      <c r="F39" s="98"/>
      <c r="G39" s="98"/>
      <c r="H39" s="98"/>
      <c r="I39" s="98"/>
      <c r="J39" s="98"/>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row>
    <row r="40" spans="1:66" ht="15.75" customHeight="1">
      <c r="A40" s="68" t="s">
        <v>271</v>
      </c>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68"/>
      <c r="BK40" s="68"/>
      <c r="BL40" s="68"/>
      <c r="BM40" s="68"/>
      <c r="BN40" s="68"/>
    </row>
    <row r="41" spans="1:66" ht="15.75" customHeight="1">
      <c r="A41" s="68" t="s">
        <v>264</v>
      </c>
      <c r="B41" s="68"/>
      <c r="C41" s="68"/>
      <c r="D41" s="68"/>
      <c r="E41" s="68"/>
      <c r="F41" s="68"/>
      <c r="G41" s="68"/>
      <c r="H41" s="68"/>
      <c r="I41" s="68"/>
      <c r="J41" s="68"/>
      <c r="K41" s="68"/>
      <c r="L41" s="68"/>
      <c r="M41" s="68"/>
      <c r="N41" s="68"/>
      <c r="O41" s="68"/>
      <c r="P41" s="68"/>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v>61</v>
      </c>
      <c r="AQ41" s="68">
        <f t="shared" ref="AQ41:BN41" si="48">AP41+1</f>
        <v>62</v>
      </c>
      <c r="AR41" s="68">
        <f t="shared" si="48"/>
        <v>63</v>
      </c>
      <c r="AS41" s="68">
        <f t="shared" si="48"/>
        <v>64</v>
      </c>
      <c r="AT41" s="68">
        <f t="shared" si="48"/>
        <v>65</v>
      </c>
      <c r="AU41" s="68">
        <f t="shared" si="48"/>
        <v>66</v>
      </c>
      <c r="AV41" s="68">
        <f t="shared" si="48"/>
        <v>67</v>
      </c>
      <c r="AW41" s="68">
        <f t="shared" si="48"/>
        <v>68</v>
      </c>
      <c r="AX41" s="68">
        <f t="shared" si="48"/>
        <v>69</v>
      </c>
      <c r="AY41" s="68">
        <f t="shared" si="48"/>
        <v>70</v>
      </c>
      <c r="AZ41" s="68">
        <f t="shared" si="48"/>
        <v>71</v>
      </c>
      <c r="BA41" s="68">
        <f t="shared" si="48"/>
        <v>72</v>
      </c>
      <c r="BB41" s="68">
        <f t="shared" si="48"/>
        <v>73</v>
      </c>
      <c r="BC41" s="68">
        <f t="shared" si="48"/>
        <v>74</v>
      </c>
      <c r="BD41" s="68">
        <f t="shared" si="48"/>
        <v>75</v>
      </c>
      <c r="BE41" s="68">
        <f t="shared" si="48"/>
        <v>76</v>
      </c>
      <c r="BF41" s="68">
        <f t="shared" si="48"/>
        <v>77</v>
      </c>
      <c r="BG41" s="68">
        <f t="shared" si="48"/>
        <v>78</v>
      </c>
      <c r="BH41" s="68">
        <f t="shared" si="48"/>
        <v>79</v>
      </c>
      <c r="BI41" s="68">
        <f t="shared" si="48"/>
        <v>80</v>
      </c>
      <c r="BJ41" s="68">
        <f t="shared" si="48"/>
        <v>81</v>
      </c>
      <c r="BK41" s="68">
        <f t="shared" si="48"/>
        <v>82</v>
      </c>
      <c r="BL41" s="68">
        <f t="shared" si="48"/>
        <v>83</v>
      </c>
      <c r="BM41" s="68">
        <f t="shared" si="48"/>
        <v>84</v>
      </c>
      <c r="BN41" s="68">
        <f t="shared" si="48"/>
        <v>85</v>
      </c>
    </row>
    <row r="42" spans="1:66" ht="15.75" customHeight="1">
      <c r="A42" s="296" t="s">
        <v>265</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f t="shared" ref="AP42:AS42" si="49">1-0.008891343</f>
        <v>0.99110865699999995</v>
      </c>
      <c r="AQ42" s="207">
        <f t="shared" si="49"/>
        <v>0.99110865699999995</v>
      </c>
      <c r="AR42" s="207">
        <f t="shared" si="49"/>
        <v>0.99110865699999995</v>
      </c>
      <c r="AS42" s="207">
        <f t="shared" si="49"/>
        <v>0.99110865699999995</v>
      </c>
      <c r="AT42" s="207">
        <f t="shared" ref="AT42:AX42" si="50">1-0.014746672</f>
        <v>0.98525332799999998</v>
      </c>
      <c r="AU42" s="207">
        <f t="shared" si="50"/>
        <v>0.98525332799999998</v>
      </c>
      <c r="AV42" s="207">
        <f t="shared" si="50"/>
        <v>0.98525332799999998</v>
      </c>
      <c r="AW42" s="207">
        <f t="shared" si="50"/>
        <v>0.98525332799999998</v>
      </c>
      <c r="AX42" s="207">
        <f t="shared" si="50"/>
        <v>0.98525332799999998</v>
      </c>
      <c r="AY42" s="207">
        <f t="shared" ref="AY42:BC42" si="51">1-0.025760369</f>
        <v>0.97423963099999999</v>
      </c>
      <c r="AZ42" s="207">
        <f t="shared" si="51"/>
        <v>0.97423963099999999</v>
      </c>
      <c r="BA42" s="207">
        <f t="shared" si="51"/>
        <v>0.97423963099999999</v>
      </c>
      <c r="BB42" s="207">
        <f t="shared" si="51"/>
        <v>0.97423963099999999</v>
      </c>
      <c r="BC42" s="207">
        <f t="shared" si="51"/>
        <v>0.97423963099999999</v>
      </c>
      <c r="BD42" s="207">
        <f t="shared" ref="BD42:BH42" si="52">1-0.044856567</f>
        <v>0.95514343300000004</v>
      </c>
      <c r="BE42" s="207">
        <f t="shared" si="52"/>
        <v>0.95514343300000004</v>
      </c>
      <c r="BF42" s="207">
        <f t="shared" si="52"/>
        <v>0.95514343300000004</v>
      </c>
      <c r="BG42" s="207">
        <f t="shared" si="52"/>
        <v>0.95514343300000004</v>
      </c>
      <c r="BH42" s="207">
        <f t="shared" si="52"/>
        <v>0.95514343300000004</v>
      </c>
      <c r="BI42" s="207">
        <f t="shared" ref="BI42:BM42" si="53">1-0.080907942</f>
        <v>0.91909205800000005</v>
      </c>
      <c r="BJ42" s="207">
        <f t="shared" si="53"/>
        <v>0.91909205800000005</v>
      </c>
      <c r="BK42" s="207">
        <f t="shared" si="53"/>
        <v>0.91909205800000005</v>
      </c>
      <c r="BL42" s="207">
        <f t="shared" si="53"/>
        <v>0.91909205800000005</v>
      </c>
      <c r="BM42" s="207">
        <f t="shared" si="53"/>
        <v>0.91909205800000005</v>
      </c>
      <c r="BN42" s="207">
        <f>1-0.169725066</f>
        <v>0.83027493399999996</v>
      </c>
    </row>
    <row r="43" spans="1:66" ht="15.75" customHeight="1">
      <c r="A43" s="68" t="s">
        <v>272</v>
      </c>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99">
        <f t="shared" ref="AP43:BN43" si="54">$C$69</f>
        <v>545764155.95368361</v>
      </c>
      <c r="AQ43" s="99">
        <f t="shared" si="54"/>
        <v>545764155.95368361</v>
      </c>
      <c r="AR43" s="99">
        <f t="shared" si="54"/>
        <v>545764155.95368361</v>
      </c>
      <c r="AS43" s="99">
        <f t="shared" si="54"/>
        <v>545764155.95368361</v>
      </c>
      <c r="AT43" s="99">
        <f t="shared" si="54"/>
        <v>545764155.95368361</v>
      </c>
      <c r="AU43" s="99">
        <f t="shared" si="54"/>
        <v>545764155.95368361</v>
      </c>
      <c r="AV43" s="99">
        <f t="shared" si="54"/>
        <v>545764155.95368361</v>
      </c>
      <c r="AW43" s="99">
        <f t="shared" si="54"/>
        <v>545764155.95368361</v>
      </c>
      <c r="AX43" s="99">
        <f t="shared" si="54"/>
        <v>545764155.95368361</v>
      </c>
      <c r="AY43" s="99">
        <f t="shared" si="54"/>
        <v>545764155.95368361</v>
      </c>
      <c r="AZ43" s="99">
        <f t="shared" si="54"/>
        <v>545764155.95368361</v>
      </c>
      <c r="BA43" s="99">
        <f t="shared" si="54"/>
        <v>545764155.95368361</v>
      </c>
      <c r="BB43" s="99">
        <f t="shared" si="54"/>
        <v>545764155.95368361</v>
      </c>
      <c r="BC43" s="99">
        <f t="shared" si="54"/>
        <v>545764155.95368361</v>
      </c>
      <c r="BD43" s="99">
        <f t="shared" si="54"/>
        <v>545764155.95368361</v>
      </c>
      <c r="BE43" s="99">
        <f t="shared" si="54"/>
        <v>545764155.95368361</v>
      </c>
      <c r="BF43" s="99">
        <f t="shared" si="54"/>
        <v>545764155.95368361</v>
      </c>
      <c r="BG43" s="99">
        <f t="shared" si="54"/>
        <v>545764155.95368361</v>
      </c>
      <c r="BH43" s="99">
        <f t="shared" si="54"/>
        <v>545764155.95368361</v>
      </c>
      <c r="BI43" s="99">
        <f t="shared" si="54"/>
        <v>545764155.95368361</v>
      </c>
      <c r="BJ43" s="99">
        <f t="shared" si="54"/>
        <v>545764155.95368361</v>
      </c>
      <c r="BK43" s="99">
        <f t="shared" si="54"/>
        <v>545764155.95368361</v>
      </c>
      <c r="BL43" s="99">
        <f t="shared" si="54"/>
        <v>545764155.95368361</v>
      </c>
      <c r="BM43" s="99">
        <f t="shared" si="54"/>
        <v>545764155.95368361</v>
      </c>
      <c r="BN43" s="99">
        <f t="shared" si="54"/>
        <v>545764155.95368361</v>
      </c>
    </row>
    <row r="44" spans="1:66" ht="15.75" customHeight="1">
      <c r="A44" s="68" t="s">
        <v>273</v>
      </c>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99">
        <f t="shared" ref="AP44:BN44" si="55">AP43/(1+$C$72)^AP2</f>
        <v>139237267.23093185</v>
      </c>
      <c r="AQ44" s="99">
        <f t="shared" si="55"/>
        <v>134562563.76571104</v>
      </c>
      <c r="AR44" s="99">
        <f t="shared" si="55"/>
        <v>130044807.1648057</v>
      </c>
      <c r="AS44" s="99">
        <f t="shared" si="55"/>
        <v>125678728.14891246</v>
      </c>
      <c r="AT44" s="99">
        <f t="shared" si="55"/>
        <v>121459234.34767425</v>
      </c>
      <c r="AU44" s="99">
        <f t="shared" si="55"/>
        <v>117381404.36020088</v>
      </c>
      <c r="AV44" s="99">
        <f t="shared" si="55"/>
        <v>113440482.01499978</v>
      </c>
      <c r="AW44" s="99">
        <f t="shared" si="55"/>
        <v>109631870.82262188</v>
      </c>
      <c r="AX44" s="99">
        <f t="shared" si="55"/>
        <v>105951128.61455233</v>
      </c>
      <c r="AY44" s="99">
        <f t="shared" si="55"/>
        <v>102393962.36209321</v>
      </c>
      <c r="AZ44" s="99">
        <f t="shared" si="55"/>
        <v>98956223.169195354</v>
      </c>
      <c r="BA44" s="99">
        <f t="shared" si="55"/>
        <v>95633901.433399051</v>
      </c>
      <c r="BB44" s="99">
        <f t="shared" si="55"/>
        <v>92423122.16923967</v>
      </c>
      <c r="BC44" s="99">
        <f t="shared" si="55"/>
        <v>89320140.488663495</v>
      </c>
      <c r="BD44" s="99">
        <f t="shared" si="55"/>
        <v>86321337.233182728</v>
      </c>
      <c r="BE44" s="99">
        <f t="shared" si="55"/>
        <v>83423214.752674803</v>
      </c>
      <c r="BF44" s="99">
        <f t="shared" si="55"/>
        <v>80622392.825902924</v>
      </c>
      <c r="BG44" s="99">
        <f t="shared" si="55"/>
        <v>77915604.717999607</v>
      </c>
      <c r="BH44" s="99">
        <f t="shared" si="55"/>
        <v>75299693.370314866</v>
      </c>
      <c r="BI44" s="99">
        <f t="shared" si="55"/>
        <v>72771607.718185112</v>
      </c>
      <c r="BJ44" s="99">
        <f t="shared" si="55"/>
        <v>70328399.132328033</v>
      </c>
      <c r="BK44" s="99">
        <f t="shared" si="55"/>
        <v>67967217.979712814</v>
      </c>
      <c r="BL44" s="99">
        <f t="shared" si="55"/>
        <v>65685310.299894474</v>
      </c>
      <c r="BM44" s="99">
        <f t="shared" si="55"/>
        <v>63480014.592935875</v>
      </c>
      <c r="BN44" s="99">
        <f t="shared" si="55"/>
        <v>61348758.71517083</v>
      </c>
    </row>
    <row r="45" spans="1:66" ht="15.75" customHeight="1">
      <c r="A45" s="68" t="s">
        <v>274</v>
      </c>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297">
        <f>SUMPRODUCT(AP44:BN44,AP42:BN42)</f>
        <v>2299820663.0175705</v>
      </c>
      <c r="AQ45" s="68"/>
      <c r="AR45" s="68"/>
      <c r="AS45" s="68"/>
      <c r="AT45" s="68"/>
      <c r="AU45" s="68"/>
      <c r="AV45" s="68"/>
      <c r="AW45" s="68"/>
      <c r="AX45" s="68"/>
      <c r="AY45" s="68"/>
      <c r="AZ45" s="68"/>
      <c r="BA45" s="68"/>
      <c r="BB45" s="68"/>
      <c r="BC45" s="68"/>
      <c r="BD45" s="68"/>
      <c r="BE45" s="68"/>
      <c r="BF45" s="68"/>
      <c r="BG45" s="68"/>
      <c r="BH45" s="68"/>
      <c r="BI45" s="68"/>
      <c r="BJ45" s="68"/>
      <c r="BK45" s="68"/>
      <c r="BL45" s="68"/>
      <c r="BM45" s="68"/>
      <c r="BN45" s="68"/>
    </row>
    <row r="46" spans="1:66" ht="15.75"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68"/>
      <c r="BK46" s="68"/>
      <c r="BL46" s="68"/>
      <c r="BM46" s="68"/>
      <c r="BN46" s="68"/>
    </row>
    <row r="47" spans="1:66" ht="15.75"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c r="BJ47" s="68"/>
      <c r="BK47" s="68"/>
      <c r="BL47" s="68"/>
      <c r="BM47" s="68"/>
      <c r="BN47" s="68"/>
    </row>
    <row r="48" spans="1:66" ht="15.75" customHeight="1">
      <c r="A48" s="68" t="s">
        <v>275</v>
      </c>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68"/>
      <c r="BF48" s="68"/>
      <c r="BG48" s="68"/>
      <c r="BH48" s="68"/>
      <c r="BI48" s="68"/>
      <c r="BJ48" s="68"/>
      <c r="BK48" s="68"/>
      <c r="BL48" s="68"/>
      <c r="BM48" s="68"/>
      <c r="BN48" s="68"/>
    </row>
    <row r="49" spans="1:66" ht="15.75" customHeight="1">
      <c r="A49" s="68" t="s">
        <v>268</v>
      </c>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5">
        <v>63</v>
      </c>
      <c r="AS49" s="65">
        <f t="shared" ref="AS49:BN49" si="56">AR49+1</f>
        <v>64</v>
      </c>
      <c r="AT49" s="65">
        <f t="shared" si="56"/>
        <v>65</v>
      </c>
      <c r="AU49" s="65">
        <f t="shared" si="56"/>
        <v>66</v>
      </c>
      <c r="AV49" s="65">
        <f t="shared" si="56"/>
        <v>67</v>
      </c>
      <c r="AW49" s="65">
        <f t="shared" si="56"/>
        <v>68</v>
      </c>
      <c r="AX49" s="65">
        <f t="shared" si="56"/>
        <v>69</v>
      </c>
      <c r="AY49" s="65">
        <f t="shared" si="56"/>
        <v>70</v>
      </c>
      <c r="AZ49" s="65">
        <f t="shared" si="56"/>
        <v>71</v>
      </c>
      <c r="BA49" s="65">
        <f t="shared" si="56"/>
        <v>72</v>
      </c>
      <c r="BB49" s="65">
        <f t="shared" si="56"/>
        <v>73</v>
      </c>
      <c r="BC49" s="65">
        <f t="shared" si="56"/>
        <v>74</v>
      </c>
      <c r="BD49" s="65">
        <f t="shared" si="56"/>
        <v>75</v>
      </c>
      <c r="BE49" s="65">
        <f t="shared" si="56"/>
        <v>76</v>
      </c>
      <c r="BF49" s="65">
        <f t="shared" si="56"/>
        <v>77</v>
      </c>
      <c r="BG49" s="65">
        <f t="shared" si="56"/>
        <v>78</v>
      </c>
      <c r="BH49" s="65">
        <f t="shared" si="56"/>
        <v>79</v>
      </c>
      <c r="BI49" s="65">
        <f t="shared" si="56"/>
        <v>80</v>
      </c>
      <c r="BJ49" s="65">
        <f t="shared" si="56"/>
        <v>81</v>
      </c>
      <c r="BK49" s="65">
        <f t="shared" si="56"/>
        <v>82</v>
      </c>
      <c r="BL49" s="65">
        <f t="shared" si="56"/>
        <v>83</v>
      </c>
      <c r="BM49" s="65">
        <f t="shared" si="56"/>
        <v>84</v>
      </c>
      <c r="BN49" s="65">
        <f t="shared" si="56"/>
        <v>85</v>
      </c>
    </row>
    <row r="50" spans="1:66" ht="15.75" customHeight="1">
      <c r="A50" s="296" t="s">
        <v>265</v>
      </c>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7"/>
      <c r="AH50" s="207"/>
      <c r="AI50" s="207"/>
      <c r="AJ50" s="207"/>
      <c r="AK50" s="207"/>
      <c r="AL50" s="207"/>
      <c r="AM50" s="207"/>
      <c r="AN50" s="207"/>
      <c r="AO50" s="207"/>
      <c r="AP50" s="207"/>
      <c r="AQ50" s="207"/>
      <c r="AR50" s="207">
        <f t="shared" ref="AR50:AS50" si="57">1-0.022502985</f>
        <v>0.97749701499999997</v>
      </c>
      <c r="AS50" s="207">
        <f t="shared" si="57"/>
        <v>0.97749701499999997</v>
      </c>
      <c r="AT50" s="207">
        <f t="shared" ref="AT50:AX50" si="58">1-0.034346082</f>
        <v>0.965653918</v>
      </c>
      <c r="AU50" s="207">
        <f t="shared" si="58"/>
        <v>0.965653918</v>
      </c>
      <c r="AV50" s="207">
        <f t="shared" si="58"/>
        <v>0.965653918</v>
      </c>
      <c r="AW50" s="207">
        <f t="shared" si="58"/>
        <v>0.965653918</v>
      </c>
      <c r="AX50" s="207">
        <f t="shared" si="58"/>
        <v>0.965653918</v>
      </c>
      <c r="AY50" s="207">
        <f t="shared" ref="AY50:BC50" si="59">1-0.053464327</f>
        <v>0.94653567299999997</v>
      </c>
      <c r="AZ50" s="207">
        <f t="shared" si="59"/>
        <v>0.94653567299999997</v>
      </c>
      <c r="BA50" s="207">
        <f t="shared" si="59"/>
        <v>0.94653567299999997</v>
      </c>
      <c r="BB50" s="207">
        <f t="shared" si="59"/>
        <v>0.94653567299999997</v>
      </c>
      <c r="BC50" s="207">
        <f t="shared" si="59"/>
        <v>0.94653567299999997</v>
      </c>
      <c r="BD50" s="207">
        <f t="shared" ref="BD50:BH50" si="60">1-0.081470516</f>
        <v>0.91852948400000001</v>
      </c>
      <c r="BE50" s="207">
        <f t="shared" si="60"/>
        <v>0.91852948400000001</v>
      </c>
      <c r="BF50" s="207">
        <f t="shared" si="60"/>
        <v>0.91852948400000001</v>
      </c>
      <c r="BG50" s="207">
        <f t="shared" si="60"/>
        <v>0.91852948400000001</v>
      </c>
      <c r="BH50" s="207">
        <f t="shared" si="60"/>
        <v>0.91852948400000001</v>
      </c>
      <c r="BI50" s="207">
        <f t="shared" ref="BI50:BM50" si="61">1-0.125631472</f>
        <v>0.87436852799999998</v>
      </c>
      <c r="BJ50" s="207">
        <f t="shared" si="61"/>
        <v>0.87436852799999998</v>
      </c>
      <c r="BK50" s="207">
        <f t="shared" si="61"/>
        <v>0.87436852799999998</v>
      </c>
      <c r="BL50" s="207">
        <f t="shared" si="61"/>
        <v>0.87436852799999998</v>
      </c>
      <c r="BM50" s="207">
        <f t="shared" si="61"/>
        <v>0.87436852799999998</v>
      </c>
      <c r="BN50" s="207">
        <f>1-0.216329625</f>
        <v>0.78367037500000003</v>
      </c>
    </row>
    <row r="51" spans="1:66" ht="17">
      <c r="A51" s="68" t="s">
        <v>272</v>
      </c>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99">
        <f t="shared" ref="AR51:BN51" si="62">$C$71</f>
        <v>621859488.10509443</v>
      </c>
      <c r="AS51" s="99">
        <f t="shared" si="62"/>
        <v>621859488.10509443</v>
      </c>
      <c r="AT51" s="99">
        <f t="shared" si="62"/>
        <v>621859488.10509443</v>
      </c>
      <c r="AU51" s="99">
        <f t="shared" si="62"/>
        <v>621859488.10509443</v>
      </c>
      <c r="AV51" s="99">
        <f t="shared" si="62"/>
        <v>621859488.10509443</v>
      </c>
      <c r="AW51" s="99">
        <f t="shared" si="62"/>
        <v>621859488.10509443</v>
      </c>
      <c r="AX51" s="99">
        <f t="shared" si="62"/>
        <v>621859488.10509443</v>
      </c>
      <c r="AY51" s="99">
        <f t="shared" si="62"/>
        <v>621859488.10509443</v>
      </c>
      <c r="AZ51" s="99">
        <f t="shared" si="62"/>
        <v>621859488.10509443</v>
      </c>
      <c r="BA51" s="99">
        <f t="shared" si="62"/>
        <v>621859488.10509443</v>
      </c>
      <c r="BB51" s="99">
        <f t="shared" si="62"/>
        <v>621859488.10509443</v>
      </c>
      <c r="BC51" s="99">
        <f t="shared" si="62"/>
        <v>621859488.10509443</v>
      </c>
      <c r="BD51" s="99">
        <f t="shared" si="62"/>
        <v>621859488.10509443</v>
      </c>
      <c r="BE51" s="99">
        <f t="shared" si="62"/>
        <v>621859488.10509443</v>
      </c>
      <c r="BF51" s="99">
        <f t="shared" si="62"/>
        <v>621859488.10509443</v>
      </c>
      <c r="BG51" s="99">
        <f t="shared" si="62"/>
        <v>621859488.10509443</v>
      </c>
      <c r="BH51" s="99">
        <f t="shared" si="62"/>
        <v>621859488.10509443</v>
      </c>
      <c r="BI51" s="99">
        <f t="shared" si="62"/>
        <v>621859488.10509443</v>
      </c>
      <c r="BJ51" s="99">
        <f t="shared" si="62"/>
        <v>621859488.10509443</v>
      </c>
      <c r="BK51" s="99">
        <f t="shared" si="62"/>
        <v>621859488.10509443</v>
      </c>
      <c r="BL51" s="99">
        <f t="shared" si="62"/>
        <v>621859488.10509443</v>
      </c>
      <c r="BM51" s="99">
        <f t="shared" si="62"/>
        <v>621859488.10509443</v>
      </c>
      <c r="BN51" s="99">
        <f t="shared" si="62"/>
        <v>621859488.10509443</v>
      </c>
    </row>
    <row r="52" spans="1:66" ht="17">
      <c r="A52" s="68" t="s">
        <v>273</v>
      </c>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99">
        <f t="shared" ref="AR52:BN52" si="63">AR51/((1+$C$72)^AR2)</f>
        <v>148176820.21077031</v>
      </c>
      <c r="AS52" s="99">
        <f t="shared" si="63"/>
        <v>143201983.31056139</v>
      </c>
      <c r="AT52" s="99">
        <f t="shared" si="63"/>
        <v>138394169.84997332</v>
      </c>
      <c r="AU52" s="99">
        <f t="shared" si="63"/>
        <v>133747772.24227662</v>
      </c>
      <c r="AV52" s="99">
        <f t="shared" si="63"/>
        <v>129257371.16790363</v>
      </c>
      <c r="AW52" s="99">
        <f t="shared" si="63"/>
        <v>124917729.25363244</v>
      </c>
      <c r="AX52" s="99">
        <f t="shared" si="63"/>
        <v>120723784.96398364</v>
      </c>
      <c r="AY52" s="99">
        <f t="shared" si="63"/>
        <v>116670646.69770536</v>
      </c>
      <c r="AZ52" s="99">
        <f t="shared" si="63"/>
        <v>112753587.08246067</v>
      </c>
      <c r="BA52" s="99">
        <f t="shared" si="63"/>
        <v>108968037.4610633</v>
      </c>
      <c r="BB52" s="99">
        <f t="shared" si="63"/>
        <v>105309582.56283057</v>
      </c>
      <c r="BC52" s="99">
        <f t="shared" si="63"/>
        <v>101773955.35383824</v>
      </c>
      <c r="BD52" s="99">
        <f t="shared" si="63"/>
        <v>98357032.060071349</v>
      </c>
      <c r="BE52" s="99">
        <f t="shared" si="63"/>
        <v>95054827.357666031</v>
      </c>
      <c r="BF52" s="99">
        <f t="shared" si="63"/>
        <v>91863489.724632293</v>
      </c>
      <c r="BG52" s="99">
        <f t="shared" si="63"/>
        <v>88779296.948636651</v>
      </c>
      <c r="BH52" s="99">
        <f t="shared" si="63"/>
        <v>85798651.78560473</v>
      </c>
      <c r="BI52" s="99">
        <f t="shared" si="63"/>
        <v>82918077.764080569</v>
      </c>
      <c r="BJ52" s="99">
        <f t="shared" si="63"/>
        <v>80134215.130448774</v>
      </c>
      <c r="BK52" s="99">
        <f t="shared" si="63"/>
        <v>77443816.93029049</v>
      </c>
      <c r="BL52" s="99">
        <f t="shared" si="63"/>
        <v>74843745.221302435</v>
      </c>
      <c r="BM52" s="99">
        <f t="shared" si="63"/>
        <v>72330967.41336222</v>
      </c>
      <c r="BN52" s="99">
        <f t="shared" si="63"/>
        <v>69902552.731470913</v>
      </c>
    </row>
    <row r="53" spans="1:66" ht="17">
      <c r="A53" s="68" t="s">
        <v>274</v>
      </c>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297">
        <f>SUMPRODUCT(AR50:BN50,AR52:BN52)</f>
        <v>2242088271.4720144</v>
      </c>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N53" s="68"/>
    </row>
    <row r="54" spans="1:66" ht="17">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row>
    <row r="55" spans="1:66" ht="17">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68"/>
      <c r="BK55" s="68"/>
      <c r="BL55" s="68"/>
      <c r="BM55" s="68"/>
      <c r="BN55" s="68"/>
    </row>
    <row r="56" spans="1:66" ht="17">
      <c r="A56" s="98" t="s">
        <v>276</v>
      </c>
      <c r="B56" s="98"/>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row>
    <row r="57" spans="1:66" ht="17">
      <c r="A57" s="68" t="s">
        <v>277</v>
      </c>
      <c r="B57" s="68"/>
      <c r="C57" s="99">
        <f>'8. Budget Estimate'!C39</f>
        <v>374388000</v>
      </c>
      <c r="D57" s="99">
        <f>'8. Budget Estimate'!D39</f>
        <v>386993774.39999998</v>
      </c>
      <c r="E57" s="99">
        <f>'8. Budget Estimate'!E39</f>
        <v>401521904.08319998</v>
      </c>
      <c r="F57" s="99">
        <f>'8. Budget Estimate'!F39</f>
        <v>441398564.72871995</v>
      </c>
      <c r="G57" s="99">
        <f>'8. Budget Estimate'!G39</f>
        <v>453568895.10585272</v>
      </c>
      <c r="H57" s="99">
        <f>'8. Budget Estimate'!H39</f>
        <v>520177046.4183225</v>
      </c>
      <c r="I57" s="99">
        <f>'8. Budget Estimate'!I39</f>
        <v>573610016.05588472</v>
      </c>
      <c r="J57" s="99">
        <f>'8. Budget Estimate'!J39</f>
        <v>589488374.32345474</v>
      </c>
      <c r="K57" s="99">
        <f>'8. Budget Estimate'!K39</f>
        <v>616382242.5518626</v>
      </c>
      <c r="L57" s="99">
        <f>'8. Budget Estimate'!L39</f>
        <v>641421728.52719295</v>
      </c>
      <c r="M57" s="99">
        <f>'8. Budget Estimate'!M39</f>
        <v>983611149.75870752</v>
      </c>
      <c r="N57" s="99">
        <f>'8. Budget Estimate'!N39</f>
        <v>962228769.69429898</v>
      </c>
      <c r="O57" s="99">
        <f>'8. Budget Estimate'!O39</f>
        <v>1023038647.7095261</v>
      </c>
      <c r="P57" s="99">
        <f>'8. Budget Estimate'!P39</f>
        <v>1057695915.6246729</v>
      </c>
      <c r="Q57" s="99">
        <f>'8. Budget Estimate'!Q39</f>
        <v>1076149694.986624</v>
      </c>
      <c r="R57" s="99">
        <f>'8. Budget Estimate'!R39</f>
        <v>1210604883.5620852</v>
      </c>
      <c r="S57" s="99">
        <f>'8. Budget Estimate'!S39</f>
        <v>1249402656.3519034</v>
      </c>
      <c r="T57" s="99">
        <f>'8. Budget Estimate'!T39</f>
        <v>1408580257.1932843</v>
      </c>
      <c r="U57" s="99">
        <f>'8. Budget Estimate'!U39</f>
        <v>1440966697.8028271</v>
      </c>
      <c r="V57" s="99">
        <f>'8. Budget Estimate'!V39</f>
        <v>1474647241.766331</v>
      </c>
      <c r="W57" s="99">
        <f>'8. Budget Estimate'!W39</f>
        <v>1062339641.1048973</v>
      </c>
      <c r="X57" s="99">
        <f>'8. Budget Estimate'!X39</f>
        <v>1097712942.0216291</v>
      </c>
      <c r="Y57" s="99">
        <f>'8. Budget Estimate'!Y39</f>
        <v>1134105347.7377722</v>
      </c>
      <c r="Z57" s="99">
        <f>'8. Budget Estimate'!Z39</f>
        <v>2128036903.7780776</v>
      </c>
      <c r="AA57" s="99">
        <f>'8. Budget Estimate'!AA39</f>
        <v>1290830375.257827</v>
      </c>
      <c r="AB57" s="99">
        <f>'8. Budget Estimate'!AB39</f>
        <v>1331547116.3567731</v>
      </c>
      <c r="AC57" s="99">
        <f>'8. Budget Estimate'!AC39</f>
        <v>1377134966.1945157</v>
      </c>
      <c r="AD57" s="99">
        <f>'8. Budget Estimate'!AD39</f>
        <v>1424552024.8959351</v>
      </c>
      <c r="AE57" s="99">
        <f>'8. Budget Estimate'!AE39</f>
        <v>1322099300.5554569</v>
      </c>
      <c r="AF57" s="99">
        <f>'8. Budget Estimate'!AF39</f>
        <v>1368258228.6314862</v>
      </c>
      <c r="AG57" s="99">
        <f>'8. Budget Estimate'!AG39</f>
        <v>1415499360.8583858</v>
      </c>
      <c r="AH57" s="99">
        <f>'8. Budget Estimate'!AH39</f>
        <v>1462129078.6807756</v>
      </c>
      <c r="AI57" s="99">
        <f>'8. Budget Estimate'!AI39</f>
        <v>1512131455.8469198</v>
      </c>
      <c r="AJ57" s="99">
        <f>'8. Budget Estimate'!AJ39</f>
        <v>1563574401.4992206</v>
      </c>
      <c r="AK57" s="99">
        <f>'8. Budget Estimate'!AK39</f>
        <v>1616499418.4157643</v>
      </c>
      <c r="AL57" s="99">
        <f>'8. Budget Estimate'!AL39</f>
        <v>1669809578.0247145</v>
      </c>
      <c r="AM57" s="99">
        <f>'8. Budget Estimate'!AM39</f>
        <v>1725828063.0321229</v>
      </c>
      <c r="AN57" s="99">
        <f>'8. Budget Estimate'!AN39</f>
        <v>1783460440.5925946</v>
      </c>
      <c r="AO57" s="99">
        <f>'8. Budget Estimate'!AO39</f>
        <v>1842753206.9505835</v>
      </c>
      <c r="AP57" s="99">
        <f>'8. Budget Estimate'!AP39</f>
        <v>1275922811.5022011</v>
      </c>
      <c r="AQ57" s="99">
        <f>'8. Budget Estimate'!AQ39</f>
        <v>1317000963.0185955</v>
      </c>
      <c r="AR57" s="99">
        <f>'16. Retirement '!B31</f>
        <v>707307455.90286839</v>
      </c>
      <c r="AS57" s="99">
        <f>'16. Retirement '!C31</f>
        <v>799733785.65508735</v>
      </c>
      <c r="AT57" s="99">
        <f>'16. Retirement '!D31</f>
        <v>910481594.93299854</v>
      </c>
      <c r="AU57" s="99">
        <f>'16. Retirement '!E31</f>
        <v>874037043.63831687</v>
      </c>
      <c r="AV57" s="99">
        <f>'16. Retirement '!F31</f>
        <v>1005717179.7086375</v>
      </c>
      <c r="AW57" s="99">
        <f>'16. Retirement '!G31</f>
        <v>1366293005.3035274</v>
      </c>
      <c r="AX57" s="99">
        <f>'16. Retirement '!H31</f>
        <v>1443379926.960803</v>
      </c>
      <c r="AY57" s="99">
        <f>'16. Retirement '!I31</f>
        <v>1562712398.1860836</v>
      </c>
      <c r="AZ57" s="99">
        <f>'16. Retirement '!J31</f>
        <v>1679715019.9661851</v>
      </c>
      <c r="BA57" s="99">
        <f>'16. Retirement '!K31</f>
        <v>1447758835.0049818</v>
      </c>
      <c r="BB57" s="99">
        <f>'16. Retirement '!L31</f>
        <v>1277404258.822902</v>
      </c>
      <c r="BC57" s="99">
        <f>'16. Retirement '!M31</f>
        <v>1304969861.0729923</v>
      </c>
      <c r="BD57" s="99">
        <f>'16. Retirement '!N31</f>
        <v>1351824942.4025216</v>
      </c>
      <c r="BE57" s="99">
        <f>'16. Retirement '!O31</f>
        <v>1021350268.3629607</v>
      </c>
      <c r="BF57" s="99">
        <f>'16. Retirement '!P31</f>
        <v>1050655291.3640139</v>
      </c>
      <c r="BG57" s="99">
        <f>'16. Retirement '!Q31</f>
        <v>1080804592.0777278</v>
      </c>
      <c r="BH57" s="99">
        <f>'16. Retirement '!R31</f>
        <v>1111822494.1450033</v>
      </c>
      <c r="BI57" s="99">
        <f>'16. Retirement '!S31</f>
        <v>1143734021.9708371</v>
      </c>
      <c r="BJ57" s="99">
        <f>'16. Retirement '!T31</f>
        <v>1176564920.9133332</v>
      </c>
      <c r="BK57" s="99">
        <f>'16. Retirement '!U31</f>
        <v>1210341678.0543628</v>
      </c>
      <c r="BL57" s="99">
        <f>'16. Retirement '!V31</f>
        <v>1245091543.568625</v>
      </c>
      <c r="BM57" s="99">
        <f>'16. Retirement '!W31</f>
        <v>1280842552.7083535</v>
      </c>
      <c r="BN57" s="99">
        <f>'16. Retirement '!X31</f>
        <v>1317623548.4213977</v>
      </c>
    </row>
    <row r="58" spans="1:66" ht="17">
      <c r="A58" s="68" t="s">
        <v>278</v>
      </c>
      <c r="B58" s="68"/>
      <c r="C58" s="99">
        <f t="shared" ref="C58:BN58" si="64">C57/(1+C3)^C2</f>
        <v>363660029.14035934</v>
      </c>
      <c r="D58" s="99">
        <f t="shared" si="64"/>
        <v>368418128.66836005</v>
      </c>
      <c r="E58" s="99">
        <f t="shared" si="64"/>
        <v>369598243.16848123</v>
      </c>
      <c r="F58" s="99">
        <f t="shared" si="64"/>
        <v>393703628.68109268</v>
      </c>
      <c r="G58" s="99">
        <f t="shared" si="64"/>
        <v>393157341.73804498</v>
      </c>
      <c r="H58" s="99">
        <f t="shared" si="64"/>
        <v>438186441.96693891</v>
      </c>
      <c r="I58" s="99">
        <f t="shared" si="64"/>
        <v>470186859.57796985</v>
      </c>
      <c r="J58" s="99">
        <f t="shared" si="64"/>
        <v>469671090.55929989</v>
      </c>
      <c r="K58" s="99">
        <f t="shared" si="64"/>
        <v>477346262.18358767</v>
      </c>
      <c r="L58" s="99">
        <f t="shared" si="64"/>
        <v>482827389.54697877</v>
      </c>
      <c r="M58" s="99">
        <f t="shared" si="64"/>
        <v>719675133.17496741</v>
      </c>
      <c r="N58" s="99">
        <f t="shared" si="64"/>
        <v>684315244.03115761</v>
      </c>
      <c r="O58" s="99">
        <f t="shared" si="64"/>
        <v>707187768.37553668</v>
      </c>
      <c r="P58" s="99">
        <f t="shared" si="64"/>
        <v>710670601.58145452</v>
      </c>
      <c r="Q58" s="99">
        <f t="shared" si="64"/>
        <v>702821491.05597472</v>
      </c>
      <c r="R58" s="99">
        <f t="shared" si="64"/>
        <v>768492424.32818556</v>
      </c>
      <c r="S58" s="99">
        <f t="shared" si="64"/>
        <v>770911309.89431858</v>
      </c>
      <c r="T58" s="99">
        <f t="shared" si="64"/>
        <v>844789315.09009266</v>
      </c>
      <c r="U58" s="99">
        <f t="shared" si="64"/>
        <v>840012178.0812552</v>
      </c>
      <c r="V58" s="99">
        <f t="shared" si="64"/>
        <v>835573396.62444758</v>
      </c>
      <c r="W58" s="99">
        <f t="shared" si="64"/>
        <v>585092689.66295409</v>
      </c>
      <c r="X58" s="99">
        <f t="shared" si="64"/>
        <v>587644792.74775565</v>
      </c>
      <c r="Y58" s="99">
        <f t="shared" si="64"/>
        <v>590125428.71047151</v>
      </c>
      <c r="Z58" s="99">
        <f t="shared" si="64"/>
        <v>1076303887.229578</v>
      </c>
      <c r="AA58" s="99">
        <f t="shared" si="64"/>
        <v>634584928.4068265</v>
      </c>
      <c r="AB58" s="99">
        <f t="shared" si="64"/>
        <v>636270719.98758256</v>
      </c>
      <c r="AC58" s="99">
        <f t="shared" si="64"/>
        <v>639626912.18022931</v>
      </c>
      <c r="AD58" s="99">
        <f t="shared" si="64"/>
        <v>643121991.30299866</v>
      </c>
      <c r="AE58" s="99">
        <f t="shared" si="64"/>
        <v>580154873.11359417</v>
      </c>
      <c r="AF58" s="99">
        <f t="shared" si="64"/>
        <v>583596610.37592959</v>
      </c>
      <c r="AG58" s="99">
        <f t="shared" si="64"/>
        <v>586839303.27343893</v>
      </c>
      <c r="AH58" s="99">
        <f t="shared" si="64"/>
        <v>589196356.64436877</v>
      </c>
      <c r="AI58" s="99">
        <f t="shared" si="64"/>
        <v>592282238.57581675</v>
      </c>
      <c r="AJ58" s="99">
        <f t="shared" si="64"/>
        <v>595281705.85495281</v>
      </c>
      <c r="AK58" s="99">
        <f t="shared" si="64"/>
        <v>598197178.37090433</v>
      </c>
      <c r="AL58" s="99">
        <f t="shared" si="64"/>
        <v>600621090.82524204</v>
      </c>
      <c r="AM58" s="99">
        <f t="shared" si="64"/>
        <v>603387043.33167374</v>
      </c>
      <c r="AN58" s="99">
        <f t="shared" si="64"/>
        <v>606075540.24211562</v>
      </c>
      <c r="AO58" s="99">
        <f t="shared" si="64"/>
        <v>608688750.56320667</v>
      </c>
      <c r="AP58" s="99">
        <f t="shared" si="64"/>
        <v>409654117.93988466</v>
      </c>
      <c r="AQ58" s="99">
        <f t="shared" si="64"/>
        <v>411001908.40259123</v>
      </c>
      <c r="AR58" s="99">
        <f t="shared" si="64"/>
        <v>214551129.44298398</v>
      </c>
      <c r="AS58" s="99">
        <f t="shared" si="64"/>
        <v>235794046.61041972</v>
      </c>
      <c r="AT58" s="99">
        <f t="shared" si="64"/>
        <v>260929622.66740969</v>
      </c>
      <c r="AU58" s="99">
        <f t="shared" si="64"/>
        <v>243470797.09954154</v>
      </c>
      <c r="AV58" s="99">
        <f t="shared" si="64"/>
        <v>272306325.66225034</v>
      </c>
      <c r="AW58" s="99">
        <f t="shared" si="64"/>
        <v>359575861.23223966</v>
      </c>
      <c r="AX58" s="99">
        <f t="shared" si="64"/>
        <v>369225909.28304148</v>
      </c>
      <c r="AY58" s="99">
        <f t="shared" si="64"/>
        <v>388557582.34084702</v>
      </c>
      <c r="AZ58" s="99">
        <f t="shared" si="64"/>
        <v>405953938.51273268</v>
      </c>
      <c r="BA58" s="99">
        <f t="shared" si="64"/>
        <v>340096529.74783665</v>
      </c>
      <c r="BB58" s="99">
        <f t="shared" si="64"/>
        <v>291674968.36721444</v>
      </c>
      <c r="BC58" s="99">
        <f t="shared" si="64"/>
        <v>289625038.35111207</v>
      </c>
      <c r="BD58" s="99">
        <f t="shared" si="64"/>
        <v>291622414.32784843</v>
      </c>
      <c r="BE58" s="99">
        <f t="shared" si="64"/>
        <v>214160797.90764749</v>
      </c>
      <c r="BF58" s="99">
        <f t="shared" si="64"/>
        <v>214136324.50410584</v>
      </c>
      <c r="BG58" s="99">
        <f t="shared" si="64"/>
        <v>214112536.43483979</v>
      </c>
      <c r="BH58" s="99">
        <f t="shared" si="64"/>
        <v>214089414.50827786</v>
      </c>
      <c r="BI58" s="99">
        <f t="shared" si="64"/>
        <v>214066940.07027486</v>
      </c>
      <c r="BJ58" s="99">
        <f t="shared" si="64"/>
        <v>214045094.98906159</v>
      </c>
      <c r="BK58" s="99">
        <f t="shared" si="64"/>
        <v>214023861.64061701</v>
      </c>
      <c r="BL58" s="99">
        <f t="shared" si="64"/>
        <v>214003222.8944495</v>
      </c>
      <c r="BM58" s="99">
        <f t="shared" si="64"/>
        <v>213983162.09977657</v>
      </c>
      <c r="BN58" s="99">
        <f t="shared" si="64"/>
        <v>213963663.07209128</v>
      </c>
    </row>
    <row r="59" spans="1:66" ht="17">
      <c r="A59" s="68" t="s">
        <v>279</v>
      </c>
      <c r="B59" s="68"/>
      <c r="C59" s="297">
        <f>SUM(C58:BN58)</f>
        <v>30672921526.977238</v>
      </c>
      <c r="D59" s="68"/>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68"/>
      <c r="BK59" s="68"/>
      <c r="BL59" s="68"/>
      <c r="BM59" s="68"/>
      <c r="BN59" s="68"/>
    </row>
    <row r="60" spans="1:66" ht="17">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68"/>
      <c r="BK60" s="68"/>
      <c r="BL60" s="68"/>
      <c r="BM60" s="68"/>
      <c r="BN60" s="68"/>
    </row>
    <row r="61" spans="1:66" ht="17">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68"/>
      <c r="BK61" s="68"/>
      <c r="BL61" s="68"/>
      <c r="BM61" s="68"/>
      <c r="BN61" s="68"/>
    </row>
    <row r="62" spans="1:66" ht="17">
      <c r="A62" s="68"/>
      <c r="B62" s="299" t="s">
        <v>280</v>
      </c>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c r="BJ62" s="68"/>
      <c r="BK62" s="68"/>
      <c r="BL62" s="68"/>
      <c r="BM62" s="68"/>
      <c r="BN62" s="68"/>
    </row>
    <row r="63" spans="1:66" ht="17">
      <c r="A63" s="68"/>
      <c r="B63" s="98" t="s">
        <v>266</v>
      </c>
      <c r="C63" s="97"/>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c r="BJ63" s="68"/>
      <c r="BK63" s="68"/>
      <c r="BL63" s="68"/>
      <c r="BM63" s="68"/>
      <c r="BN63" s="68"/>
    </row>
    <row r="64" spans="1:66" ht="18">
      <c r="A64" s="68"/>
      <c r="B64" s="300" t="s">
        <v>281</v>
      </c>
      <c r="C64" s="301">
        <f>'3. Financial drivers '!L24</f>
        <v>6.9739999999999996E-2</v>
      </c>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68"/>
      <c r="BK64" s="68"/>
      <c r="BL64" s="68"/>
      <c r="BM64" s="68"/>
      <c r="BN64" s="68"/>
    </row>
    <row r="65" spans="1:66" ht="18">
      <c r="A65" s="68"/>
      <c r="B65" s="93" t="s">
        <v>282</v>
      </c>
      <c r="C65" s="301">
        <f>'3. Financial drivers '!L25</f>
        <v>6.9739999999999996E-2</v>
      </c>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68"/>
      <c r="BK65" s="68"/>
      <c r="BL65" s="68"/>
      <c r="BM65" s="68"/>
      <c r="BN65" s="68"/>
    </row>
    <row r="66" spans="1:66" ht="18">
      <c r="A66" s="68"/>
      <c r="B66" s="93" t="s">
        <v>259</v>
      </c>
      <c r="C66" s="301">
        <v>0.105</v>
      </c>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c r="BG66" s="68"/>
      <c r="BH66" s="68"/>
      <c r="BI66" s="68"/>
      <c r="BJ66" s="68"/>
      <c r="BK66" s="68"/>
      <c r="BL66" s="68"/>
      <c r="BM66" s="68"/>
      <c r="BN66" s="68"/>
    </row>
    <row r="67" spans="1:66" ht="17">
      <c r="A67" s="68"/>
      <c r="B67" s="98" t="s">
        <v>274</v>
      </c>
      <c r="C67" s="97"/>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68"/>
      <c r="BK67" s="68"/>
      <c r="BL67" s="68"/>
      <c r="BM67" s="68"/>
      <c r="BN67" s="68"/>
    </row>
    <row r="68" spans="1:66" ht="17">
      <c r="A68" s="68"/>
      <c r="B68" s="68" t="s">
        <v>283</v>
      </c>
      <c r="C68" s="302">
        <f>AVERAGE(C17:AO17)</f>
        <v>727685541.27157807</v>
      </c>
      <c r="D68" s="68"/>
      <c r="E68" s="68"/>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68"/>
      <c r="BK68" s="68"/>
      <c r="BL68" s="68"/>
      <c r="BM68" s="68"/>
      <c r="BN68" s="68"/>
    </row>
    <row r="69" spans="1:66" ht="17">
      <c r="A69" s="68"/>
      <c r="B69" s="68" t="s">
        <v>284</v>
      </c>
      <c r="C69" s="302">
        <f>C68*75%</f>
        <v>545764155.95368361</v>
      </c>
      <c r="D69" s="68"/>
      <c r="E69" s="68"/>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row>
    <row r="70" spans="1:66" ht="17">
      <c r="A70" s="68"/>
      <c r="B70" s="68" t="s">
        <v>285</v>
      </c>
      <c r="C70" s="302">
        <f>AVERAGE(C30:AQ30)</f>
        <v>829145984.14012599</v>
      </c>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68"/>
      <c r="BK70" s="68"/>
      <c r="BL70" s="68"/>
      <c r="BM70" s="68"/>
      <c r="BN70" s="68"/>
    </row>
    <row r="71" spans="1:66" ht="17">
      <c r="A71" s="68"/>
      <c r="B71" s="68" t="s">
        <v>286</v>
      </c>
      <c r="C71" s="302">
        <f>C70*75%</f>
        <v>621859488.10509443</v>
      </c>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c r="BG71" s="68"/>
      <c r="BH71" s="68"/>
      <c r="BI71" s="68"/>
      <c r="BJ71" s="68"/>
      <c r="BK71" s="68"/>
      <c r="BL71" s="68"/>
      <c r="BM71" s="68"/>
      <c r="BN71" s="68"/>
    </row>
    <row r="72" spans="1:66" ht="17">
      <c r="A72" s="68"/>
      <c r="B72" s="68" t="s">
        <v>287</v>
      </c>
      <c r="C72" s="301">
        <v>3.474E-2</v>
      </c>
      <c r="D72" s="68"/>
      <c r="E72" s="68"/>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68"/>
      <c r="BK72" s="68"/>
      <c r="BL72" s="68"/>
      <c r="BM72" s="68"/>
      <c r="BN72" s="68"/>
    </row>
    <row r="73" spans="1:66" ht="17">
      <c r="A73" s="68"/>
      <c r="B73" s="68"/>
      <c r="C73" s="97"/>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K73" s="68"/>
      <c r="BL73" s="68"/>
      <c r="BM73" s="68"/>
      <c r="BN73" s="68"/>
    </row>
    <row r="74" spans="1:66" ht="17">
      <c r="A74" s="68"/>
      <c r="B74" s="68"/>
      <c r="C74" s="97"/>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row>
    <row r="75" spans="1:66" ht="17">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68"/>
      <c r="BK75" s="68"/>
      <c r="BL75" s="68"/>
      <c r="BM75" s="68"/>
      <c r="BN75" s="68"/>
    </row>
    <row r="76" spans="1:66" ht="17">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c r="BJ76" s="68"/>
      <c r="BK76" s="68"/>
      <c r="BL76" s="68"/>
      <c r="BM76" s="68"/>
      <c r="BN76" s="68"/>
    </row>
    <row r="77" spans="1:66" ht="1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68"/>
      <c r="BK77" s="68"/>
      <c r="BL77" s="68"/>
      <c r="BM77" s="68"/>
      <c r="BN77" s="68"/>
    </row>
    <row r="78" spans="1:66" ht="17">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68"/>
      <c r="BK78" s="68"/>
      <c r="BL78" s="68"/>
      <c r="BM78" s="68"/>
      <c r="BN78" s="68"/>
    </row>
    <row r="79" spans="1:66" ht="17">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68"/>
      <c r="BK79" s="68"/>
      <c r="BL79" s="68"/>
      <c r="BM79" s="68"/>
      <c r="BN79" s="68"/>
    </row>
    <row r="80" spans="1:66" ht="17">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68"/>
      <c r="BK80" s="68"/>
      <c r="BL80" s="68"/>
      <c r="BM80" s="68"/>
      <c r="BN80" s="68"/>
    </row>
    <row r="81" spans="1:66" ht="17">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c r="BA81" s="68"/>
      <c r="BB81" s="68"/>
      <c r="BC81" s="68"/>
      <c r="BD81" s="68"/>
      <c r="BE81" s="68"/>
      <c r="BF81" s="68"/>
      <c r="BG81" s="68"/>
      <c r="BH81" s="68"/>
      <c r="BI81" s="68"/>
      <c r="BJ81" s="68"/>
      <c r="BK81" s="68"/>
      <c r="BL81" s="68"/>
      <c r="BM81" s="68"/>
      <c r="BN81" s="68"/>
    </row>
    <row r="82" spans="1:66" ht="17">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68"/>
      <c r="BF82" s="68"/>
      <c r="BG82" s="68"/>
      <c r="BH82" s="68"/>
      <c r="BI82" s="68"/>
      <c r="BJ82" s="68"/>
      <c r="BK82" s="68"/>
      <c r="BL82" s="68"/>
      <c r="BM82" s="68"/>
      <c r="BN82" s="68"/>
    </row>
    <row r="83" spans="1:66" ht="17">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c r="BJ83" s="68"/>
      <c r="BK83" s="68"/>
      <c r="BL83" s="68"/>
      <c r="BM83" s="68"/>
      <c r="BN83" s="68"/>
    </row>
    <row r="84" spans="1:66" ht="17">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c r="BJ84" s="68"/>
      <c r="BK84" s="68"/>
      <c r="BL84" s="68"/>
      <c r="BM84" s="68"/>
      <c r="BN84" s="68"/>
    </row>
    <row r="85" spans="1:66" ht="17">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68"/>
      <c r="BK85" s="68"/>
      <c r="BL85" s="68"/>
      <c r="BM85" s="68"/>
      <c r="BN85" s="68"/>
    </row>
    <row r="86" spans="1:66" ht="17">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68"/>
      <c r="BK86" s="68"/>
      <c r="BL86" s="68"/>
      <c r="BM86" s="68"/>
      <c r="BN86" s="68"/>
    </row>
    <row r="87" spans="1:66" ht="1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c r="BJ87" s="68"/>
      <c r="BK87" s="68"/>
      <c r="BL87" s="68"/>
      <c r="BM87" s="68"/>
      <c r="BN87" s="68"/>
    </row>
    <row r="88" spans="1:66" ht="17">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68"/>
      <c r="BK88" s="68"/>
      <c r="BL88" s="68"/>
      <c r="BM88" s="68"/>
      <c r="BN88" s="68"/>
    </row>
    <row r="89" spans="1:66" ht="17">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68"/>
      <c r="BK89" s="68"/>
      <c r="BL89" s="68"/>
      <c r="BM89" s="68"/>
      <c r="BN89" s="68"/>
    </row>
    <row r="90" spans="1:66" ht="17">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68"/>
      <c r="BK90" s="68"/>
      <c r="BL90" s="68"/>
      <c r="BM90" s="68"/>
      <c r="BN90" s="68"/>
    </row>
    <row r="91" spans="1:66" ht="17">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c r="BJ91" s="68"/>
      <c r="BK91" s="68"/>
      <c r="BL91" s="68"/>
      <c r="BM91" s="68"/>
      <c r="BN91" s="68"/>
    </row>
    <row r="92" spans="1:66" ht="17">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row>
    <row r="93" spans="1:66" ht="17">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c r="BJ93" s="68"/>
      <c r="BK93" s="68"/>
      <c r="BL93" s="68"/>
      <c r="BM93" s="68"/>
      <c r="BN93" s="68"/>
    </row>
    <row r="94" spans="1:66" ht="17">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c r="BA94" s="68"/>
      <c r="BB94" s="68"/>
      <c r="BC94" s="68"/>
      <c r="BD94" s="68"/>
      <c r="BE94" s="68"/>
      <c r="BF94" s="68"/>
      <c r="BG94" s="68"/>
      <c r="BH94" s="68"/>
      <c r="BI94" s="68"/>
      <c r="BJ94" s="68"/>
      <c r="BK94" s="68"/>
      <c r="BL94" s="68"/>
      <c r="BM94" s="68"/>
      <c r="BN94" s="68"/>
    </row>
    <row r="95" spans="1:66" ht="17">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c r="AI95" s="68"/>
      <c r="AJ95" s="68"/>
      <c r="AK95" s="68"/>
      <c r="AL95" s="68"/>
      <c r="AM95" s="68"/>
      <c r="AN95" s="68"/>
      <c r="AO95" s="68"/>
      <c r="AP95" s="68"/>
      <c r="AQ95" s="68"/>
      <c r="AR95" s="68"/>
      <c r="AS95" s="68"/>
      <c r="AT95" s="68"/>
      <c r="AU95" s="68"/>
      <c r="AV95" s="68"/>
      <c r="AW95" s="68"/>
      <c r="AX95" s="68"/>
      <c r="AY95" s="68"/>
      <c r="AZ95" s="68"/>
      <c r="BA95" s="68"/>
      <c r="BB95" s="68"/>
      <c r="BC95" s="68"/>
      <c r="BD95" s="68"/>
      <c r="BE95" s="68"/>
      <c r="BF95" s="68"/>
      <c r="BG95" s="68"/>
      <c r="BH95" s="68"/>
      <c r="BI95" s="68"/>
      <c r="BJ95" s="68"/>
      <c r="BK95" s="68"/>
      <c r="BL95" s="68"/>
      <c r="BM95" s="68"/>
      <c r="BN95" s="68"/>
    </row>
    <row r="96" spans="1:66" ht="17">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c r="BA96" s="68"/>
      <c r="BB96" s="68"/>
      <c r="BC96" s="68"/>
      <c r="BD96" s="68"/>
      <c r="BE96" s="68"/>
      <c r="BF96" s="68"/>
      <c r="BG96" s="68"/>
      <c r="BH96" s="68"/>
      <c r="BI96" s="68"/>
      <c r="BJ96" s="68"/>
      <c r="BK96" s="68"/>
      <c r="BL96" s="68"/>
      <c r="BM96" s="68"/>
      <c r="BN96" s="68"/>
    </row>
    <row r="97" spans="1:66" ht="1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row>
    <row r="98" spans="1:66" ht="17">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c r="BG98" s="68"/>
      <c r="BH98" s="68"/>
      <c r="BI98" s="68"/>
      <c r="BJ98" s="68"/>
      <c r="BK98" s="68"/>
      <c r="BL98" s="68"/>
      <c r="BM98" s="68"/>
      <c r="BN98" s="68"/>
    </row>
    <row r="99" spans="1:66" ht="17">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N99" s="68"/>
    </row>
    <row r="100" spans="1:66" ht="17">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8"/>
      <c r="AI100" s="68"/>
      <c r="AJ100" s="68"/>
      <c r="AK100" s="68"/>
      <c r="AL100" s="68"/>
      <c r="AM100" s="68"/>
      <c r="AN100" s="68"/>
      <c r="AO100" s="68"/>
      <c r="AP100" s="68"/>
      <c r="AQ100" s="68"/>
      <c r="AR100" s="68"/>
      <c r="AS100" s="68"/>
      <c r="AT100" s="68"/>
      <c r="AU100" s="68"/>
      <c r="AV100" s="68"/>
      <c r="AW100" s="68"/>
      <c r="AX100" s="68"/>
      <c r="AY100" s="68"/>
      <c r="AZ100" s="68"/>
      <c r="BA100" s="68"/>
      <c r="BB100" s="68"/>
      <c r="BC100" s="68"/>
      <c r="BD100" s="68"/>
      <c r="BE100" s="68"/>
      <c r="BF100" s="68"/>
      <c r="BG100" s="68"/>
      <c r="BH100" s="68"/>
      <c r="BI100" s="68"/>
      <c r="BJ100" s="68"/>
      <c r="BK100" s="68"/>
      <c r="BL100" s="68"/>
      <c r="BM100" s="68"/>
      <c r="BN100" s="68"/>
    </row>
    <row r="101" spans="1:66" ht="17">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68"/>
      <c r="BA101" s="68"/>
      <c r="BB101" s="68"/>
      <c r="BC101" s="68"/>
      <c r="BD101" s="68"/>
      <c r="BE101" s="68"/>
      <c r="BF101" s="68"/>
      <c r="BG101" s="68"/>
      <c r="BH101" s="68"/>
      <c r="BI101" s="68"/>
      <c r="BJ101" s="68"/>
      <c r="BK101" s="68"/>
      <c r="BL101" s="68"/>
      <c r="BM101" s="68"/>
      <c r="BN101" s="68"/>
    </row>
    <row r="102" spans="1:66" ht="17">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68"/>
      <c r="BA102" s="68"/>
      <c r="BB102" s="68"/>
      <c r="BC102" s="68"/>
      <c r="BD102" s="68"/>
      <c r="BE102" s="68"/>
      <c r="BF102" s="68"/>
      <c r="BG102" s="68"/>
      <c r="BH102" s="68"/>
      <c r="BI102" s="68"/>
      <c r="BJ102" s="68"/>
      <c r="BK102" s="68"/>
      <c r="BL102" s="68"/>
      <c r="BM102" s="68"/>
      <c r="BN102" s="68"/>
    </row>
    <row r="103" spans="1:66" ht="17">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N103" s="68"/>
    </row>
    <row r="104" spans="1:66" ht="17">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68"/>
      <c r="BA104" s="68"/>
      <c r="BB104" s="68"/>
      <c r="BC104" s="68"/>
      <c r="BD104" s="68"/>
      <c r="BE104" s="68"/>
      <c r="BF104" s="68"/>
      <c r="BG104" s="68"/>
      <c r="BH104" s="68"/>
      <c r="BI104" s="68"/>
      <c r="BJ104" s="68"/>
      <c r="BK104" s="68"/>
      <c r="BL104" s="68"/>
      <c r="BM104" s="68"/>
      <c r="BN104" s="68"/>
    </row>
    <row r="105" spans="1:66" ht="17">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8"/>
      <c r="AJ105" s="68"/>
      <c r="AK105" s="68"/>
      <c r="AL105" s="68"/>
      <c r="AM105" s="68"/>
      <c r="AN105" s="68"/>
      <c r="AO105" s="68"/>
      <c r="AP105" s="68"/>
      <c r="AQ105" s="68"/>
      <c r="AR105" s="68"/>
      <c r="AS105" s="68"/>
      <c r="AT105" s="68"/>
      <c r="AU105" s="68"/>
      <c r="AV105" s="68"/>
      <c r="AW105" s="68"/>
      <c r="AX105" s="68"/>
      <c r="AY105" s="68"/>
      <c r="AZ105" s="68"/>
      <c r="BA105" s="68"/>
      <c r="BB105" s="68"/>
      <c r="BC105" s="68"/>
      <c r="BD105" s="68"/>
      <c r="BE105" s="68"/>
      <c r="BF105" s="68"/>
      <c r="BG105" s="68"/>
      <c r="BH105" s="68"/>
      <c r="BI105" s="68"/>
      <c r="BJ105" s="68"/>
      <c r="BK105" s="68"/>
      <c r="BL105" s="68"/>
      <c r="BM105" s="68"/>
      <c r="BN105" s="68"/>
    </row>
    <row r="106" spans="1:66" ht="17">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c r="BA106" s="68"/>
      <c r="BB106" s="68"/>
      <c r="BC106" s="68"/>
      <c r="BD106" s="68"/>
      <c r="BE106" s="68"/>
      <c r="BF106" s="68"/>
      <c r="BG106" s="68"/>
      <c r="BH106" s="68"/>
      <c r="BI106" s="68"/>
      <c r="BJ106" s="68"/>
      <c r="BK106" s="68"/>
      <c r="BL106" s="68"/>
      <c r="BM106" s="68"/>
      <c r="BN106" s="68"/>
    </row>
    <row r="107" spans="1:66" ht="1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c r="BA107" s="68"/>
      <c r="BB107" s="68"/>
      <c r="BC107" s="68"/>
      <c r="BD107" s="68"/>
      <c r="BE107" s="68"/>
      <c r="BF107" s="68"/>
      <c r="BG107" s="68"/>
      <c r="BH107" s="68"/>
      <c r="BI107" s="68"/>
      <c r="BJ107" s="68"/>
      <c r="BK107" s="68"/>
      <c r="BL107" s="68"/>
      <c r="BM107" s="68"/>
      <c r="BN107" s="68"/>
    </row>
    <row r="108" spans="1:66" ht="17">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68"/>
      <c r="AG108" s="68"/>
      <c r="AH108" s="68"/>
      <c r="AI108" s="68"/>
      <c r="AJ108" s="68"/>
      <c r="AK108" s="68"/>
      <c r="AL108" s="68"/>
      <c r="AM108" s="68"/>
      <c r="AN108" s="68"/>
      <c r="AO108" s="68"/>
      <c r="AP108" s="68"/>
      <c r="AQ108" s="68"/>
      <c r="AR108" s="68"/>
      <c r="AS108" s="68"/>
      <c r="AT108" s="68"/>
      <c r="AU108" s="68"/>
      <c r="AV108" s="68"/>
      <c r="AW108" s="68"/>
      <c r="AX108" s="68"/>
      <c r="AY108" s="68"/>
      <c r="AZ108" s="68"/>
      <c r="BA108" s="68"/>
      <c r="BB108" s="68"/>
      <c r="BC108" s="68"/>
      <c r="BD108" s="68"/>
      <c r="BE108" s="68"/>
      <c r="BF108" s="68"/>
      <c r="BG108" s="68"/>
      <c r="BH108" s="68"/>
      <c r="BI108" s="68"/>
      <c r="BJ108" s="68"/>
      <c r="BK108" s="68"/>
      <c r="BL108" s="68"/>
      <c r="BM108" s="68"/>
      <c r="BN108" s="68"/>
    </row>
    <row r="109" spans="1:66" ht="17">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c r="BA109" s="68"/>
      <c r="BB109" s="68"/>
      <c r="BC109" s="68"/>
      <c r="BD109" s="68"/>
      <c r="BE109" s="68"/>
      <c r="BF109" s="68"/>
      <c r="BG109" s="68"/>
      <c r="BH109" s="68"/>
      <c r="BI109" s="68"/>
      <c r="BJ109" s="68"/>
      <c r="BK109" s="68"/>
      <c r="BL109" s="68"/>
      <c r="BM109" s="68"/>
      <c r="BN109" s="68"/>
    </row>
    <row r="110" spans="1:66" ht="17">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c r="BF110" s="68"/>
      <c r="BG110" s="68"/>
      <c r="BH110" s="68"/>
      <c r="BI110" s="68"/>
      <c r="BJ110" s="68"/>
      <c r="BK110" s="68"/>
      <c r="BL110" s="68"/>
      <c r="BM110" s="68"/>
      <c r="BN110" s="68"/>
    </row>
    <row r="111" spans="1:66" ht="17">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68"/>
      <c r="BG111" s="68"/>
      <c r="BH111" s="68"/>
      <c r="BI111" s="68"/>
      <c r="BJ111" s="68"/>
      <c r="BK111" s="68"/>
      <c r="BL111" s="68"/>
      <c r="BM111" s="68"/>
      <c r="BN111" s="68"/>
    </row>
    <row r="112" spans="1:66" ht="17">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8"/>
      <c r="BA112" s="68"/>
      <c r="BB112" s="68"/>
      <c r="BC112" s="68"/>
      <c r="BD112" s="68"/>
      <c r="BE112" s="68"/>
      <c r="BF112" s="68"/>
      <c r="BG112" s="68"/>
      <c r="BH112" s="68"/>
      <c r="BI112" s="68"/>
      <c r="BJ112" s="68"/>
      <c r="BK112" s="68"/>
      <c r="BL112" s="68"/>
      <c r="BM112" s="68"/>
      <c r="BN112" s="68"/>
    </row>
    <row r="113" spans="1:66" ht="17">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68"/>
      <c r="BA113" s="68"/>
      <c r="BB113" s="68"/>
      <c r="BC113" s="68"/>
      <c r="BD113" s="68"/>
      <c r="BE113" s="68"/>
      <c r="BF113" s="68"/>
      <c r="BG113" s="68"/>
      <c r="BH113" s="68"/>
      <c r="BI113" s="68"/>
      <c r="BJ113" s="68"/>
      <c r="BK113" s="68"/>
      <c r="BL113" s="68"/>
      <c r="BM113" s="68"/>
      <c r="BN113" s="68"/>
    </row>
    <row r="114" spans="1:66" ht="17">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8"/>
      <c r="BA114" s="68"/>
      <c r="BB114" s="68"/>
      <c r="BC114" s="68"/>
      <c r="BD114" s="68"/>
      <c r="BE114" s="68"/>
      <c r="BF114" s="68"/>
      <c r="BG114" s="68"/>
      <c r="BH114" s="68"/>
      <c r="BI114" s="68"/>
      <c r="BJ114" s="68"/>
      <c r="BK114" s="68"/>
      <c r="BL114" s="68"/>
      <c r="BM114" s="68"/>
      <c r="BN114" s="68"/>
    </row>
    <row r="115" spans="1:66" ht="17">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s="68"/>
      <c r="AL115" s="68"/>
      <c r="AM115" s="68"/>
      <c r="AN115" s="68"/>
      <c r="AO115" s="68"/>
      <c r="AP115" s="68"/>
      <c r="AQ115" s="68"/>
      <c r="AR115" s="68"/>
      <c r="AS115" s="68"/>
      <c r="AT115" s="68"/>
      <c r="AU115" s="68"/>
      <c r="AV115" s="68"/>
      <c r="AW115" s="68"/>
      <c r="AX115" s="68"/>
      <c r="AY115" s="68"/>
      <c r="AZ115" s="68"/>
      <c r="BA115" s="68"/>
      <c r="BB115" s="68"/>
      <c r="BC115" s="68"/>
      <c r="BD115" s="68"/>
      <c r="BE115" s="68"/>
      <c r="BF115" s="68"/>
      <c r="BG115" s="68"/>
      <c r="BH115" s="68"/>
      <c r="BI115" s="68"/>
      <c r="BJ115" s="68"/>
      <c r="BK115" s="68"/>
      <c r="BL115" s="68"/>
      <c r="BM115" s="68"/>
      <c r="BN115" s="68"/>
    </row>
    <row r="116" spans="1:66" ht="17">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c r="BF116" s="68"/>
      <c r="BG116" s="68"/>
      <c r="BH116" s="68"/>
      <c r="BI116" s="68"/>
      <c r="BJ116" s="68"/>
      <c r="BK116" s="68"/>
      <c r="BL116" s="68"/>
      <c r="BM116" s="68"/>
      <c r="BN116" s="68"/>
    </row>
    <row r="117" spans="1:66" ht="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c r="BF117" s="68"/>
      <c r="BG117" s="68"/>
      <c r="BH117" s="68"/>
      <c r="BI117" s="68"/>
      <c r="BJ117" s="68"/>
      <c r="BK117" s="68"/>
      <c r="BL117" s="68"/>
      <c r="BM117" s="68"/>
      <c r="BN117" s="68"/>
    </row>
    <row r="118" spans="1:66" ht="17">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c r="BA118" s="68"/>
      <c r="BB118" s="68"/>
      <c r="BC118" s="68"/>
      <c r="BD118" s="68"/>
      <c r="BE118" s="68"/>
      <c r="BF118" s="68"/>
      <c r="BG118" s="68"/>
      <c r="BH118" s="68"/>
      <c r="BI118" s="68"/>
      <c r="BJ118" s="68"/>
      <c r="BK118" s="68"/>
      <c r="BL118" s="68"/>
      <c r="BM118" s="68"/>
      <c r="BN118" s="68"/>
    </row>
    <row r="119" spans="1:66" ht="17">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c r="BF119" s="68"/>
      <c r="BG119" s="68"/>
      <c r="BH119" s="68"/>
      <c r="BI119" s="68"/>
      <c r="BJ119" s="68"/>
      <c r="BK119" s="68"/>
      <c r="BL119" s="68"/>
      <c r="BM119" s="68"/>
      <c r="BN119" s="68"/>
    </row>
    <row r="120" spans="1:66" ht="17">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row>
    <row r="121" spans="1:66" ht="17">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c r="BF121" s="68"/>
      <c r="BG121" s="68"/>
      <c r="BH121" s="68"/>
      <c r="BI121" s="68"/>
      <c r="BJ121" s="68"/>
      <c r="BK121" s="68"/>
      <c r="BL121" s="68"/>
      <c r="BM121" s="68"/>
      <c r="BN121" s="68"/>
    </row>
    <row r="122" spans="1:66" ht="17">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68"/>
      <c r="AG122" s="68"/>
      <c r="AH122" s="68"/>
      <c r="AI122" s="68"/>
      <c r="AJ122" s="68"/>
      <c r="AK122" s="68"/>
      <c r="AL122" s="68"/>
      <c r="AM122" s="68"/>
      <c r="AN122" s="68"/>
      <c r="AO122" s="68"/>
      <c r="AP122" s="68"/>
      <c r="AQ122" s="68"/>
      <c r="AR122" s="68"/>
      <c r="AS122" s="68"/>
      <c r="AT122" s="68"/>
      <c r="AU122" s="68"/>
      <c r="AV122" s="68"/>
      <c r="AW122" s="68"/>
      <c r="AX122" s="68"/>
      <c r="AY122" s="68"/>
      <c r="AZ122" s="68"/>
      <c r="BA122" s="68"/>
      <c r="BB122" s="68"/>
      <c r="BC122" s="68"/>
      <c r="BD122" s="68"/>
      <c r="BE122" s="68"/>
      <c r="BF122" s="68"/>
      <c r="BG122" s="68"/>
      <c r="BH122" s="68"/>
      <c r="BI122" s="68"/>
      <c r="BJ122" s="68"/>
      <c r="BK122" s="68"/>
      <c r="BL122" s="68"/>
      <c r="BM122" s="68"/>
      <c r="BN122" s="68"/>
    </row>
    <row r="123" spans="1:66" ht="17">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c r="AH123" s="68"/>
      <c r="AI123" s="68"/>
      <c r="AJ123" s="68"/>
      <c r="AK123" s="68"/>
      <c r="AL123" s="68"/>
      <c r="AM123" s="68"/>
      <c r="AN123" s="68"/>
      <c r="AO123" s="68"/>
      <c r="AP123" s="68"/>
      <c r="AQ123" s="68"/>
      <c r="AR123" s="68"/>
      <c r="AS123" s="68"/>
      <c r="AT123" s="68"/>
      <c r="AU123" s="68"/>
      <c r="AV123" s="68"/>
      <c r="AW123" s="68"/>
      <c r="AX123" s="68"/>
      <c r="AY123" s="68"/>
      <c r="AZ123" s="68"/>
      <c r="BA123" s="68"/>
      <c r="BB123" s="68"/>
      <c r="BC123" s="68"/>
      <c r="BD123" s="68"/>
      <c r="BE123" s="68"/>
      <c r="BF123" s="68"/>
      <c r="BG123" s="68"/>
      <c r="BH123" s="68"/>
      <c r="BI123" s="68"/>
      <c r="BJ123" s="68"/>
      <c r="BK123" s="68"/>
      <c r="BL123" s="68"/>
      <c r="BM123" s="68"/>
      <c r="BN123" s="68"/>
    </row>
    <row r="124" spans="1:66" ht="17">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c r="AG124" s="68"/>
      <c r="AH124" s="68"/>
      <c r="AI124" s="68"/>
      <c r="AJ124" s="68"/>
      <c r="AK124" s="68"/>
      <c r="AL124" s="68"/>
      <c r="AM124" s="68"/>
      <c r="AN124" s="68"/>
      <c r="AO124" s="68"/>
      <c r="AP124" s="68"/>
      <c r="AQ124" s="68"/>
      <c r="AR124" s="68"/>
      <c r="AS124" s="68"/>
      <c r="AT124" s="68"/>
      <c r="AU124" s="68"/>
      <c r="AV124" s="68"/>
      <c r="AW124" s="68"/>
      <c r="AX124" s="68"/>
      <c r="AY124" s="68"/>
      <c r="AZ124" s="68"/>
      <c r="BA124" s="68"/>
      <c r="BB124" s="68"/>
      <c r="BC124" s="68"/>
      <c r="BD124" s="68"/>
      <c r="BE124" s="68"/>
      <c r="BF124" s="68"/>
      <c r="BG124" s="68"/>
      <c r="BH124" s="68"/>
      <c r="BI124" s="68"/>
      <c r="BJ124" s="68"/>
      <c r="BK124" s="68"/>
      <c r="BL124" s="68"/>
      <c r="BM124" s="68"/>
      <c r="BN124" s="68"/>
    </row>
    <row r="125" spans="1:66" ht="17">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c r="BA125" s="68"/>
      <c r="BB125" s="68"/>
      <c r="BC125" s="68"/>
      <c r="BD125" s="68"/>
      <c r="BE125" s="68"/>
      <c r="BF125" s="68"/>
      <c r="BG125" s="68"/>
      <c r="BH125" s="68"/>
      <c r="BI125" s="68"/>
      <c r="BJ125" s="68"/>
      <c r="BK125" s="68"/>
      <c r="BL125" s="68"/>
      <c r="BM125" s="68"/>
      <c r="BN125" s="68"/>
    </row>
    <row r="126" spans="1:66" ht="17">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c r="BA126" s="68"/>
      <c r="BB126" s="68"/>
      <c r="BC126" s="68"/>
      <c r="BD126" s="68"/>
      <c r="BE126" s="68"/>
      <c r="BF126" s="68"/>
      <c r="BG126" s="68"/>
      <c r="BH126" s="68"/>
      <c r="BI126" s="68"/>
      <c r="BJ126" s="68"/>
      <c r="BK126" s="68"/>
      <c r="BL126" s="68"/>
      <c r="BM126" s="68"/>
      <c r="BN126" s="68"/>
    </row>
    <row r="127" spans="1:66" ht="1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c r="BF127" s="68"/>
      <c r="BG127" s="68"/>
      <c r="BH127" s="68"/>
      <c r="BI127" s="68"/>
      <c r="BJ127" s="68"/>
      <c r="BK127" s="68"/>
      <c r="BL127" s="68"/>
      <c r="BM127" s="68"/>
      <c r="BN127" s="68"/>
    </row>
    <row r="128" spans="1:66" ht="17">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8"/>
      <c r="AI128" s="68"/>
      <c r="AJ128" s="68"/>
      <c r="AK128" s="68"/>
      <c r="AL128" s="68"/>
      <c r="AM128" s="68"/>
      <c r="AN128" s="68"/>
      <c r="AO128" s="68"/>
      <c r="AP128" s="68"/>
      <c r="AQ128" s="68"/>
      <c r="AR128" s="68"/>
      <c r="AS128" s="68"/>
      <c r="AT128" s="68"/>
      <c r="AU128" s="68"/>
      <c r="AV128" s="68"/>
      <c r="AW128" s="68"/>
      <c r="AX128" s="68"/>
      <c r="AY128" s="68"/>
      <c r="AZ128" s="68"/>
      <c r="BA128" s="68"/>
      <c r="BB128" s="68"/>
      <c r="BC128" s="68"/>
      <c r="BD128" s="68"/>
      <c r="BE128" s="68"/>
      <c r="BF128" s="68"/>
      <c r="BG128" s="68"/>
      <c r="BH128" s="68"/>
      <c r="BI128" s="68"/>
      <c r="BJ128" s="68"/>
      <c r="BK128" s="68"/>
      <c r="BL128" s="68"/>
      <c r="BM128" s="68"/>
      <c r="BN128" s="68"/>
    </row>
    <row r="129" spans="1:66" ht="17">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c r="AG129" s="68"/>
      <c r="AH129" s="68"/>
      <c r="AI129" s="68"/>
      <c r="AJ129" s="68"/>
      <c r="AK129" s="68"/>
      <c r="AL129" s="68"/>
      <c r="AM129" s="68"/>
      <c r="AN129" s="68"/>
      <c r="AO129" s="68"/>
      <c r="AP129" s="68"/>
      <c r="AQ129" s="68"/>
      <c r="AR129" s="68"/>
      <c r="AS129" s="68"/>
      <c r="AT129" s="68"/>
      <c r="AU129" s="68"/>
      <c r="AV129" s="68"/>
      <c r="AW129" s="68"/>
      <c r="AX129" s="68"/>
      <c r="AY129" s="68"/>
      <c r="AZ129" s="68"/>
      <c r="BA129" s="68"/>
      <c r="BB129" s="68"/>
      <c r="BC129" s="68"/>
      <c r="BD129" s="68"/>
      <c r="BE129" s="68"/>
      <c r="BF129" s="68"/>
      <c r="BG129" s="68"/>
      <c r="BH129" s="68"/>
      <c r="BI129" s="68"/>
      <c r="BJ129" s="68"/>
      <c r="BK129" s="68"/>
      <c r="BL129" s="68"/>
      <c r="BM129" s="68"/>
      <c r="BN129" s="68"/>
    </row>
    <row r="130" spans="1:66" ht="17">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c r="AG130" s="68"/>
      <c r="AH130" s="68"/>
      <c r="AI130" s="68"/>
      <c r="AJ130" s="68"/>
      <c r="AK130" s="68"/>
      <c r="AL130" s="68"/>
      <c r="AM130" s="68"/>
      <c r="AN130" s="68"/>
      <c r="AO130" s="68"/>
      <c r="AP130" s="68"/>
      <c r="AQ130" s="68"/>
      <c r="AR130" s="68"/>
      <c r="AS130" s="68"/>
      <c r="AT130" s="68"/>
      <c r="AU130" s="68"/>
      <c r="AV130" s="68"/>
      <c r="AW130" s="68"/>
      <c r="AX130" s="68"/>
      <c r="AY130" s="68"/>
      <c r="AZ130" s="68"/>
      <c r="BA130" s="68"/>
      <c r="BB130" s="68"/>
      <c r="BC130" s="68"/>
      <c r="BD130" s="68"/>
      <c r="BE130" s="68"/>
      <c r="BF130" s="68"/>
      <c r="BG130" s="68"/>
      <c r="BH130" s="68"/>
      <c r="BI130" s="68"/>
      <c r="BJ130" s="68"/>
      <c r="BK130" s="68"/>
      <c r="BL130" s="68"/>
      <c r="BM130" s="68"/>
      <c r="BN130" s="68"/>
    </row>
    <row r="131" spans="1:66" ht="17">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c r="AG131" s="68"/>
      <c r="AH131" s="68"/>
      <c r="AI131" s="68"/>
      <c r="AJ131" s="68"/>
      <c r="AK131" s="68"/>
      <c r="AL131" s="68"/>
      <c r="AM131" s="68"/>
      <c r="AN131" s="68"/>
      <c r="AO131" s="68"/>
      <c r="AP131" s="68"/>
      <c r="AQ131" s="68"/>
      <c r="AR131" s="68"/>
      <c r="AS131" s="68"/>
      <c r="AT131" s="68"/>
      <c r="AU131" s="68"/>
      <c r="AV131" s="68"/>
      <c r="AW131" s="68"/>
      <c r="AX131" s="68"/>
      <c r="AY131" s="68"/>
      <c r="AZ131" s="68"/>
      <c r="BA131" s="68"/>
      <c r="BB131" s="68"/>
      <c r="BC131" s="68"/>
      <c r="BD131" s="68"/>
      <c r="BE131" s="68"/>
      <c r="BF131" s="68"/>
      <c r="BG131" s="68"/>
      <c r="BH131" s="68"/>
      <c r="BI131" s="68"/>
      <c r="BJ131" s="68"/>
      <c r="BK131" s="68"/>
      <c r="BL131" s="68"/>
      <c r="BM131" s="68"/>
      <c r="BN131" s="68"/>
    </row>
    <row r="132" spans="1:66" ht="17">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c r="BF132" s="68"/>
      <c r="BG132" s="68"/>
      <c r="BH132" s="68"/>
      <c r="BI132" s="68"/>
      <c r="BJ132" s="68"/>
      <c r="BK132" s="68"/>
      <c r="BL132" s="68"/>
      <c r="BM132" s="68"/>
      <c r="BN132" s="68"/>
    </row>
    <row r="133" spans="1:66" ht="17">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c r="BA133" s="68"/>
      <c r="BB133" s="68"/>
      <c r="BC133" s="68"/>
      <c r="BD133" s="68"/>
      <c r="BE133" s="68"/>
      <c r="BF133" s="68"/>
      <c r="BG133" s="68"/>
      <c r="BH133" s="68"/>
      <c r="BI133" s="68"/>
      <c r="BJ133" s="68"/>
      <c r="BK133" s="68"/>
      <c r="BL133" s="68"/>
      <c r="BM133" s="68"/>
      <c r="BN133" s="68"/>
    </row>
    <row r="134" spans="1:66" ht="17">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68"/>
      <c r="AG134" s="68"/>
      <c r="AH134" s="68"/>
      <c r="AI134" s="68"/>
      <c r="AJ134" s="68"/>
      <c r="AK134" s="68"/>
      <c r="AL134" s="68"/>
      <c r="AM134" s="68"/>
      <c r="AN134" s="68"/>
      <c r="AO134" s="68"/>
      <c r="AP134" s="68"/>
      <c r="AQ134" s="68"/>
      <c r="AR134" s="68"/>
      <c r="AS134" s="68"/>
      <c r="AT134" s="68"/>
      <c r="AU134" s="68"/>
      <c r="AV134" s="68"/>
      <c r="AW134" s="68"/>
      <c r="AX134" s="68"/>
      <c r="AY134" s="68"/>
      <c r="AZ134" s="68"/>
      <c r="BA134" s="68"/>
      <c r="BB134" s="68"/>
      <c r="BC134" s="68"/>
      <c r="BD134" s="68"/>
      <c r="BE134" s="68"/>
      <c r="BF134" s="68"/>
      <c r="BG134" s="68"/>
      <c r="BH134" s="68"/>
      <c r="BI134" s="68"/>
      <c r="BJ134" s="68"/>
      <c r="BK134" s="68"/>
      <c r="BL134" s="68"/>
      <c r="BM134" s="68"/>
      <c r="BN134" s="68"/>
    </row>
    <row r="135" spans="1:66" ht="17">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c r="BA135" s="68"/>
      <c r="BB135" s="68"/>
      <c r="BC135" s="68"/>
      <c r="BD135" s="68"/>
      <c r="BE135" s="68"/>
      <c r="BF135" s="68"/>
      <c r="BG135" s="68"/>
      <c r="BH135" s="68"/>
      <c r="BI135" s="68"/>
      <c r="BJ135" s="68"/>
      <c r="BK135" s="68"/>
      <c r="BL135" s="68"/>
      <c r="BM135" s="68"/>
      <c r="BN135" s="68"/>
    </row>
    <row r="136" spans="1:66" ht="17">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c r="BA136" s="68"/>
      <c r="BB136" s="68"/>
      <c r="BC136" s="68"/>
      <c r="BD136" s="68"/>
      <c r="BE136" s="68"/>
      <c r="BF136" s="68"/>
      <c r="BG136" s="68"/>
      <c r="BH136" s="68"/>
      <c r="BI136" s="68"/>
      <c r="BJ136" s="68"/>
      <c r="BK136" s="68"/>
      <c r="BL136" s="68"/>
      <c r="BM136" s="68"/>
      <c r="BN136" s="68"/>
    </row>
    <row r="137" spans="1:66" ht="1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c r="AG137" s="68"/>
      <c r="AH137" s="68"/>
      <c r="AI137" s="68"/>
      <c r="AJ137" s="68"/>
      <c r="AK137" s="68"/>
      <c r="AL137" s="68"/>
      <c r="AM137" s="68"/>
      <c r="AN137" s="68"/>
      <c r="AO137" s="68"/>
      <c r="AP137" s="68"/>
      <c r="AQ137" s="68"/>
      <c r="AR137" s="68"/>
      <c r="AS137" s="68"/>
      <c r="AT137" s="68"/>
      <c r="AU137" s="68"/>
      <c r="AV137" s="68"/>
      <c r="AW137" s="68"/>
      <c r="AX137" s="68"/>
      <c r="AY137" s="68"/>
      <c r="AZ137" s="68"/>
      <c r="BA137" s="68"/>
      <c r="BB137" s="68"/>
      <c r="BC137" s="68"/>
      <c r="BD137" s="68"/>
      <c r="BE137" s="68"/>
      <c r="BF137" s="68"/>
      <c r="BG137" s="68"/>
      <c r="BH137" s="68"/>
      <c r="BI137" s="68"/>
      <c r="BJ137" s="68"/>
      <c r="BK137" s="68"/>
      <c r="BL137" s="68"/>
      <c r="BM137" s="68"/>
      <c r="BN137" s="68"/>
    </row>
    <row r="138" spans="1:66" ht="17">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c r="AG138" s="68"/>
      <c r="AH138" s="68"/>
      <c r="AI138" s="68"/>
      <c r="AJ138" s="68"/>
      <c r="AK138" s="68"/>
      <c r="AL138" s="68"/>
      <c r="AM138" s="68"/>
      <c r="AN138" s="68"/>
      <c r="AO138" s="68"/>
      <c r="AP138" s="68"/>
      <c r="AQ138" s="68"/>
      <c r="AR138" s="68"/>
      <c r="AS138" s="68"/>
      <c r="AT138" s="68"/>
      <c r="AU138" s="68"/>
      <c r="AV138" s="68"/>
      <c r="AW138" s="68"/>
      <c r="AX138" s="68"/>
      <c r="AY138" s="68"/>
      <c r="AZ138" s="68"/>
      <c r="BA138" s="68"/>
      <c r="BB138" s="68"/>
      <c r="BC138" s="68"/>
      <c r="BD138" s="68"/>
      <c r="BE138" s="68"/>
      <c r="BF138" s="68"/>
      <c r="BG138" s="68"/>
      <c r="BH138" s="68"/>
      <c r="BI138" s="68"/>
      <c r="BJ138" s="68"/>
      <c r="BK138" s="68"/>
      <c r="BL138" s="68"/>
      <c r="BM138" s="68"/>
      <c r="BN138" s="68"/>
    </row>
    <row r="139" spans="1:66" ht="17">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c r="AG139" s="68"/>
      <c r="AH139" s="68"/>
      <c r="AI139" s="68"/>
      <c r="AJ139" s="68"/>
      <c r="AK139" s="68"/>
      <c r="AL139" s="68"/>
      <c r="AM139" s="68"/>
      <c r="AN139" s="68"/>
      <c r="AO139" s="68"/>
      <c r="AP139" s="68"/>
      <c r="AQ139" s="68"/>
      <c r="AR139" s="68"/>
      <c r="AS139" s="68"/>
      <c r="AT139" s="68"/>
      <c r="AU139" s="68"/>
      <c r="AV139" s="68"/>
      <c r="AW139" s="68"/>
      <c r="AX139" s="68"/>
      <c r="AY139" s="68"/>
      <c r="AZ139" s="68"/>
      <c r="BA139" s="68"/>
      <c r="BB139" s="68"/>
      <c r="BC139" s="68"/>
      <c r="BD139" s="68"/>
      <c r="BE139" s="68"/>
      <c r="BF139" s="68"/>
      <c r="BG139" s="68"/>
      <c r="BH139" s="68"/>
      <c r="BI139" s="68"/>
      <c r="BJ139" s="68"/>
      <c r="BK139" s="68"/>
      <c r="BL139" s="68"/>
      <c r="BM139" s="68"/>
      <c r="BN139" s="68"/>
    </row>
    <row r="140" spans="1:66" ht="17">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68"/>
      <c r="BF140" s="68"/>
      <c r="BG140" s="68"/>
      <c r="BH140" s="68"/>
      <c r="BI140" s="68"/>
      <c r="BJ140" s="68"/>
      <c r="BK140" s="68"/>
      <c r="BL140" s="68"/>
      <c r="BM140" s="68"/>
      <c r="BN140" s="68"/>
    </row>
    <row r="141" spans="1:66" ht="17">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c r="AG141" s="68"/>
      <c r="AH141" s="68"/>
      <c r="AI141" s="68"/>
      <c r="AJ141" s="68"/>
      <c r="AK141" s="68"/>
      <c r="AL141" s="68"/>
      <c r="AM141" s="68"/>
      <c r="AN141" s="68"/>
      <c r="AO141" s="68"/>
      <c r="AP141" s="68"/>
      <c r="AQ141" s="68"/>
      <c r="AR141" s="68"/>
      <c r="AS141" s="68"/>
      <c r="AT141" s="68"/>
      <c r="AU141" s="68"/>
      <c r="AV141" s="68"/>
      <c r="AW141" s="68"/>
      <c r="AX141" s="68"/>
      <c r="AY141" s="68"/>
      <c r="AZ141" s="68"/>
      <c r="BA141" s="68"/>
      <c r="BB141" s="68"/>
      <c r="BC141" s="68"/>
      <c r="BD141" s="68"/>
      <c r="BE141" s="68"/>
      <c r="BF141" s="68"/>
      <c r="BG141" s="68"/>
      <c r="BH141" s="68"/>
      <c r="BI141" s="68"/>
      <c r="BJ141" s="68"/>
      <c r="BK141" s="68"/>
      <c r="BL141" s="68"/>
      <c r="BM141" s="68"/>
      <c r="BN141" s="68"/>
    </row>
    <row r="142" spans="1:66" ht="17">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c r="BF142" s="68"/>
      <c r="BG142" s="68"/>
      <c r="BH142" s="68"/>
      <c r="BI142" s="68"/>
      <c r="BJ142" s="68"/>
      <c r="BK142" s="68"/>
      <c r="BL142" s="68"/>
      <c r="BM142" s="68"/>
      <c r="BN142" s="68"/>
    </row>
    <row r="143" spans="1:66" ht="17">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c r="AG143" s="68"/>
      <c r="AH143" s="68"/>
      <c r="AI143" s="68"/>
      <c r="AJ143" s="68"/>
      <c r="AK143" s="68"/>
      <c r="AL143" s="68"/>
      <c r="AM143" s="68"/>
      <c r="AN143" s="68"/>
      <c r="AO143" s="68"/>
      <c r="AP143" s="68"/>
      <c r="AQ143" s="68"/>
      <c r="AR143" s="68"/>
      <c r="AS143" s="68"/>
      <c r="AT143" s="68"/>
      <c r="AU143" s="68"/>
      <c r="AV143" s="68"/>
      <c r="AW143" s="68"/>
      <c r="AX143" s="68"/>
      <c r="AY143" s="68"/>
      <c r="AZ143" s="68"/>
      <c r="BA143" s="68"/>
      <c r="BB143" s="68"/>
      <c r="BC143" s="68"/>
      <c r="BD143" s="68"/>
      <c r="BE143" s="68"/>
      <c r="BF143" s="68"/>
      <c r="BG143" s="68"/>
      <c r="BH143" s="68"/>
      <c r="BI143" s="68"/>
      <c r="BJ143" s="68"/>
      <c r="BK143" s="68"/>
      <c r="BL143" s="68"/>
      <c r="BM143" s="68"/>
      <c r="BN143" s="68"/>
    </row>
    <row r="144" spans="1:66" ht="17">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c r="AG144" s="68"/>
      <c r="AH144" s="68"/>
      <c r="AI144" s="68"/>
      <c r="AJ144" s="68"/>
      <c r="AK144" s="68"/>
      <c r="AL144" s="68"/>
      <c r="AM144" s="68"/>
      <c r="AN144" s="68"/>
      <c r="AO144" s="68"/>
      <c r="AP144" s="68"/>
      <c r="AQ144" s="68"/>
      <c r="AR144" s="68"/>
      <c r="AS144" s="68"/>
      <c r="AT144" s="68"/>
      <c r="AU144" s="68"/>
      <c r="AV144" s="68"/>
      <c r="AW144" s="68"/>
      <c r="AX144" s="68"/>
      <c r="AY144" s="68"/>
      <c r="AZ144" s="68"/>
      <c r="BA144" s="68"/>
      <c r="BB144" s="68"/>
      <c r="BC144" s="68"/>
      <c r="BD144" s="68"/>
      <c r="BE144" s="68"/>
      <c r="BF144" s="68"/>
      <c r="BG144" s="68"/>
      <c r="BH144" s="68"/>
      <c r="BI144" s="68"/>
      <c r="BJ144" s="68"/>
      <c r="BK144" s="68"/>
      <c r="BL144" s="68"/>
      <c r="BM144" s="68"/>
      <c r="BN144" s="68"/>
    </row>
    <row r="145" spans="1:66" ht="17">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N145" s="68"/>
    </row>
    <row r="146" spans="1:66" ht="17">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c r="BA146" s="68"/>
      <c r="BB146" s="68"/>
      <c r="BC146" s="68"/>
      <c r="BD146" s="68"/>
      <c r="BE146" s="68"/>
      <c r="BF146" s="68"/>
      <c r="BG146" s="68"/>
      <c r="BH146" s="68"/>
      <c r="BI146" s="68"/>
      <c r="BJ146" s="68"/>
      <c r="BK146" s="68"/>
      <c r="BL146" s="68"/>
      <c r="BM146" s="68"/>
      <c r="BN146" s="68"/>
    </row>
    <row r="147" spans="1:66" ht="1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68"/>
      <c r="AG147" s="68"/>
      <c r="AH147" s="68"/>
      <c r="AI147" s="68"/>
      <c r="AJ147" s="68"/>
      <c r="AK147" s="68"/>
      <c r="AL147" s="68"/>
      <c r="AM147" s="68"/>
      <c r="AN147" s="68"/>
      <c r="AO147" s="68"/>
      <c r="AP147" s="68"/>
      <c r="AQ147" s="68"/>
      <c r="AR147" s="68"/>
      <c r="AS147" s="68"/>
      <c r="AT147" s="68"/>
      <c r="AU147" s="68"/>
      <c r="AV147" s="68"/>
      <c r="AW147" s="68"/>
      <c r="AX147" s="68"/>
      <c r="AY147" s="68"/>
      <c r="AZ147" s="68"/>
      <c r="BA147" s="68"/>
      <c r="BB147" s="68"/>
      <c r="BC147" s="68"/>
      <c r="BD147" s="68"/>
      <c r="BE147" s="68"/>
      <c r="BF147" s="68"/>
      <c r="BG147" s="68"/>
      <c r="BH147" s="68"/>
      <c r="BI147" s="68"/>
      <c r="BJ147" s="68"/>
      <c r="BK147" s="68"/>
      <c r="BL147" s="68"/>
      <c r="BM147" s="68"/>
      <c r="BN147" s="68"/>
    </row>
    <row r="148" spans="1:66" ht="17">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c r="AG148" s="68"/>
      <c r="AH148" s="68"/>
      <c r="AI148" s="68"/>
      <c r="AJ148" s="68"/>
      <c r="AK148" s="68"/>
      <c r="AL148" s="68"/>
      <c r="AM148" s="68"/>
      <c r="AN148" s="68"/>
      <c r="AO148" s="68"/>
      <c r="AP148" s="68"/>
      <c r="AQ148" s="68"/>
      <c r="AR148" s="68"/>
      <c r="AS148" s="68"/>
      <c r="AT148" s="68"/>
      <c r="AU148" s="68"/>
      <c r="AV148" s="68"/>
      <c r="AW148" s="68"/>
      <c r="AX148" s="68"/>
      <c r="AY148" s="68"/>
      <c r="AZ148" s="68"/>
      <c r="BA148" s="68"/>
      <c r="BB148" s="68"/>
      <c r="BC148" s="68"/>
      <c r="BD148" s="68"/>
      <c r="BE148" s="68"/>
      <c r="BF148" s="68"/>
      <c r="BG148" s="68"/>
      <c r="BH148" s="68"/>
      <c r="BI148" s="68"/>
      <c r="BJ148" s="68"/>
      <c r="BK148" s="68"/>
      <c r="BL148" s="68"/>
      <c r="BM148" s="68"/>
      <c r="BN148" s="68"/>
    </row>
    <row r="149" spans="1:66" ht="17">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68"/>
      <c r="AG149" s="68"/>
      <c r="AH149" s="68"/>
      <c r="AI149" s="68"/>
      <c r="AJ149" s="68"/>
      <c r="AK149" s="68"/>
      <c r="AL149" s="68"/>
      <c r="AM149" s="68"/>
      <c r="AN149" s="68"/>
      <c r="AO149" s="68"/>
      <c r="AP149" s="68"/>
      <c r="AQ149" s="68"/>
      <c r="AR149" s="68"/>
      <c r="AS149" s="68"/>
      <c r="AT149" s="68"/>
      <c r="AU149" s="68"/>
      <c r="AV149" s="68"/>
      <c r="AW149" s="68"/>
      <c r="AX149" s="68"/>
      <c r="AY149" s="68"/>
      <c r="AZ149" s="68"/>
      <c r="BA149" s="68"/>
      <c r="BB149" s="68"/>
      <c r="BC149" s="68"/>
      <c r="BD149" s="68"/>
      <c r="BE149" s="68"/>
      <c r="BF149" s="68"/>
      <c r="BG149" s="68"/>
      <c r="BH149" s="68"/>
      <c r="BI149" s="68"/>
      <c r="BJ149" s="68"/>
      <c r="BK149" s="68"/>
      <c r="BL149" s="68"/>
      <c r="BM149" s="68"/>
      <c r="BN149" s="68"/>
    </row>
    <row r="150" spans="1:66" ht="17">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68"/>
      <c r="BA150" s="68"/>
      <c r="BB150" s="68"/>
      <c r="BC150" s="68"/>
      <c r="BD150" s="68"/>
      <c r="BE150" s="68"/>
      <c r="BF150" s="68"/>
      <c r="BG150" s="68"/>
      <c r="BH150" s="68"/>
      <c r="BI150" s="68"/>
      <c r="BJ150" s="68"/>
      <c r="BK150" s="68"/>
      <c r="BL150" s="68"/>
      <c r="BM150" s="68"/>
      <c r="BN150" s="68"/>
    </row>
    <row r="151" spans="1:66" ht="17">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c r="BA151" s="68"/>
      <c r="BB151" s="68"/>
      <c r="BC151" s="68"/>
      <c r="BD151" s="68"/>
      <c r="BE151" s="68"/>
      <c r="BF151" s="68"/>
      <c r="BG151" s="68"/>
      <c r="BH151" s="68"/>
      <c r="BI151" s="68"/>
      <c r="BJ151" s="68"/>
      <c r="BK151" s="68"/>
      <c r="BL151" s="68"/>
      <c r="BM151" s="68"/>
      <c r="BN151" s="68"/>
    </row>
    <row r="152" spans="1:66" ht="17">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c r="BF152" s="68"/>
      <c r="BG152" s="68"/>
      <c r="BH152" s="68"/>
      <c r="BI152" s="68"/>
      <c r="BJ152" s="68"/>
      <c r="BK152" s="68"/>
      <c r="BL152" s="68"/>
      <c r="BM152" s="68"/>
      <c r="BN152" s="68"/>
    </row>
    <row r="153" spans="1:66" ht="17">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c r="BA153" s="68"/>
      <c r="BB153" s="68"/>
      <c r="BC153" s="68"/>
      <c r="BD153" s="68"/>
      <c r="BE153" s="68"/>
      <c r="BF153" s="68"/>
      <c r="BG153" s="68"/>
      <c r="BH153" s="68"/>
      <c r="BI153" s="68"/>
      <c r="BJ153" s="68"/>
      <c r="BK153" s="68"/>
      <c r="BL153" s="68"/>
      <c r="BM153" s="68"/>
      <c r="BN153" s="68"/>
    </row>
    <row r="154" spans="1:66" ht="17">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c r="BF154" s="68"/>
      <c r="BG154" s="68"/>
      <c r="BH154" s="68"/>
      <c r="BI154" s="68"/>
      <c r="BJ154" s="68"/>
      <c r="BK154" s="68"/>
      <c r="BL154" s="68"/>
      <c r="BM154" s="68"/>
      <c r="BN154" s="68"/>
    </row>
    <row r="155" spans="1:66" ht="17">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N155" s="68"/>
    </row>
    <row r="156" spans="1:66" ht="17">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c r="BA156" s="68"/>
      <c r="BB156" s="68"/>
      <c r="BC156" s="68"/>
      <c r="BD156" s="68"/>
      <c r="BE156" s="68"/>
      <c r="BF156" s="68"/>
      <c r="BG156" s="68"/>
      <c r="BH156" s="68"/>
      <c r="BI156" s="68"/>
      <c r="BJ156" s="68"/>
      <c r="BK156" s="68"/>
      <c r="BL156" s="68"/>
      <c r="BM156" s="68"/>
      <c r="BN156" s="68"/>
    </row>
    <row r="157" spans="1:66" ht="1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c r="AG157" s="68"/>
      <c r="AH157" s="68"/>
      <c r="AI157" s="68"/>
      <c r="AJ157" s="68"/>
      <c r="AK157" s="68"/>
      <c r="AL157" s="68"/>
      <c r="AM157" s="68"/>
      <c r="AN157" s="68"/>
      <c r="AO157" s="68"/>
      <c r="AP157" s="68"/>
      <c r="AQ157" s="68"/>
      <c r="AR157" s="68"/>
      <c r="AS157" s="68"/>
      <c r="AT157" s="68"/>
      <c r="AU157" s="68"/>
      <c r="AV157" s="68"/>
      <c r="AW157" s="68"/>
      <c r="AX157" s="68"/>
      <c r="AY157" s="68"/>
      <c r="AZ157" s="68"/>
      <c r="BA157" s="68"/>
      <c r="BB157" s="68"/>
      <c r="BC157" s="68"/>
      <c r="BD157" s="68"/>
      <c r="BE157" s="68"/>
      <c r="BF157" s="68"/>
      <c r="BG157" s="68"/>
      <c r="BH157" s="68"/>
      <c r="BI157" s="68"/>
      <c r="BJ157" s="68"/>
      <c r="BK157" s="68"/>
      <c r="BL157" s="68"/>
      <c r="BM157" s="68"/>
      <c r="BN157" s="68"/>
    </row>
    <row r="158" spans="1:66" ht="17">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N158" s="68"/>
    </row>
    <row r="159" spans="1:66" ht="17">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N159" s="68"/>
    </row>
    <row r="160" spans="1:66" ht="17">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N160" s="68"/>
    </row>
    <row r="161" spans="1:66" ht="17">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c r="BF161" s="68"/>
      <c r="BG161" s="68"/>
      <c r="BH161" s="68"/>
      <c r="BI161" s="68"/>
      <c r="BJ161" s="68"/>
      <c r="BK161" s="68"/>
      <c r="BL161" s="68"/>
      <c r="BM161" s="68"/>
      <c r="BN161" s="68"/>
    </row>
    <row r="162" spans="1:66" ht="17">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c r="AH162" s="68"/>
      <c r="AI162" s="68"/>
      <c r="AJ162" s="68"/>
      <c r="AK162" s="68"/>
      <c r="AL162" s="68"/>
      <c r="AM162" s="68"/>
      <c r="AN162" s="68"/>
      <c r="AO162" s="68"/>
      <c r="AP162" s="68"/>
      <c r="AQ162" s="68"/>
      <c r="AR162" s="68"/>
      <c r="AS162" s="68"/>
      <c r="AT162" s="68"/>
      <c r="AU162" s="68"/>
      <c r="AV162" s="68"/>
      <c r="AW162" s="68"/>
      <c r="AX162" s="68"/>
      <c r="AY162" s="68"/>
      <c r="AZ162" s="68"/>
      <c r="BA162" s="68"/>
      <c r="BB162" s="68"/>
      <c r="BC162" s="68"/>
      <c r="BD162" s="68"/>
      <c r="BE162" s="68"/>
      <c r="BF162" s="68"/>
      <c r="BG162" s="68"/>
      <c r="BH162" s="68"/>
      <c r="BI162" s="68"/>
      <c r="BJ162" s="68"/>
      <c r="BK162" s="68"/>
      <c r="BL162" s="68"/>
      <c r="BM162" s="68"/>
      <c r="BN162" s="68"/>
    </row>
    <row r="163" spans="1:66" ht="17">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c r="BA163" s="68"/>
      <c r="BB163" s="68"/>
      <c r="BC163" s="68"/>
      <c r="BD163" s="68"/>
      <c r="BE163" s="68"/>
      <c r="BF163" s="68"/>
      <c r="BG163" s="68"/>
      <c r="BH163" s="68"/>
      <c r="BI163" s="68"/>
      <c r="BJ163" s="68"/>
      <c r="BK163" s="68"/>
      <c r="BL163" s="68"/>
      <c r="BM163" s="68"/>
      <c r="BN163" s="68"/>
    </row>
    <row r="164" spans="1:66" ht="17">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c r="BF164" s="68"/>
      <c r="BG164" s="68"/>
      <c r="BH164" s="68"/>
      <c r="BI164" s="68"/>
      <c r="BJ164" s="68"/>
      <c r="BK164" s="68"/>
      <c r="BL164" s="68"/>
      <c r="BM164" s="68"/>
      <c r="BN164" s="68"/>
    </row>
    <row r="165" spans="1:66" ht="17">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c r="AG165" s="68"/>
      <c r="AH165" s="68"/>
      <c r="AI165" s="68"/>
      <c r="AJ165" s="68"/>
      <c r="AK165" s="68"/>
      <c r="AL165" s="68"/>
      <c r="AM165" s="68"/>
      <c r="AN165" s="68"/>
      <c r="AO165" s="68"/>
      <c r="AP165" s="68"/>
      <c r="AQ165" s="68"/>
      <c r="AR165" s="68"/>
      <c r="AS165" s="68"/>
      <c r="AT165" s="68"/>
      <c r="AU165" s="68"/>
      <c r="AV165" s="68"/>
      <c r="AW165" s="68"/>
      <c r="AX165" s="68"/>
      <c r="AY165" s="68"/>
      <c r="AZ165" s="68"/>
      <c r="BA165" s="68"/>
      <c r="BB165" s="68"/>
      <c r="BC165" s="68"/>
      <c r="BD165" s="68"/>
      <c r="BE165" s="68"/>
      <c r="BF165" s="68"/>
      <c r="BG165" s="68"/>
      <c r="BH165" s="68"/>
      <c r="BI165" s="68"/>
      <c r="BJ165" s="68"/>
      <c r="BK165" s="68"/>
      <c r="BL165" s="68"/>
      <c r="BM165" s="68"/>
      <c r="BN165" s="68"/>
    </row>
    <row r="166" spans="1:66" ht="17">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c r="AG166" s="68"/>
      <c r="AH166" s="68"/>
      <c r="AI166" s="68"/>
      <c r="AJ166" s="68"/>
      <c r="AK166" s="68"/>
      <c r="AL166" s="68"/>
      <c r="AM166" s="68"/>
      <c r="AN166" s="68"/>
      <c r="AO166" s="68"/>
      <c r="AP166" s="68"/>
      <c r="AQ166" s="68"/>
      <c r="AR166" s="68"/>
      <c r="AS166" s="68"/>
      <c r="AT166" s="68"/>
      <c r="AU166" s="68"/>
      <c r="AV166" s="68"/>
      <c r="AW166" s="68"/>
      <c r="AX166" s="68"/>
      <c r="AY166" s="68"/>
      <c r="AZ166" s="68"/>
      <c r="BA166" s="68"/>
      <c r="BB166" s="68"/>
      <c r="BC166" s="68"/>
      <c r="BD166" s="68"/>
      <c r="BE166" s="68"/>
      <c r="BF166" s="68"/>
      <c r="BG166" s="68"/>
      <c r="BH166" s="68"/>
      <c r="BI166" s="68"/>
      <c r="BJ166" s="68"/>
      <c r="BK166" s="68"/>
      <c r="BL166" s="68"/>
      <c r="BM166" s="68"/>
      <c r="BN166" s="68"/>
    </row>
    <row r="167" spans="1:66" ht="1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8"/>
      <c r="BA167" s="68"/>
      <c r="BB167" s="68"/>
      <c r="BC167" s="68"/>
      <c r="BD167" s="68"/>
      <c r="BE167" s="68"/>
      <c r="BF167" s="68"/>
      <c r="BG167" s="68"/>
      <c r="BH167" s="68"/>
      <c r="BI167" s="68"/>
      <c r="BJ167" s="68"/>
      <c r="BK167" s="68"/>
      <c r="BL167" s="68"/>
      <c r="BM167" s="68"/>
      <c r="BN167" s="68"/>
    </row>
    <row r="168" spans="1:66" ht="17">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row>
    <row r="169" spans="1:66" ht="17">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row>
    <row r="170" spans="1:66" ht="17">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N170" s="68"/>
    </row>
    <row r="171" spans="1:66" ht="17">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N171" s="68"/>
    </row>
    <row r="172" spans="1:66" ht="17">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c r="BF172" s="68"/>
      <c r="BG172" s="68"/>
      <c r="BH172" s="68"/>
      <c r="BI172" s="68"/>
      <c r="BJ172" s="68"/>
      <c r="BK172" s="68"/>
      <c r="BL172" s="68"/>
      <c r="BM172" s="68"/>
      <c r="BN172" s="68"/>
    </row>
    <row r="173" spans="1:66" ht="17">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c r="BF173" s="68"/>
      <c r="BG173" s="68"/>
      <c r="BH173" s="68"/>
      <c r="BI173" s="68"/>
      <c r="BJ173" s="68"/>
      <c r="BK173" s="68"/>
      <c r="BL173" s="68"/>
      <c r="BM173" s="68"/>
      <c r="BN173" s="68"/>
    </row>
    <row r="174" spans="1:66" ht="17">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c r="AG174" s="68"/>
      <c r="AH174" s="68"/>
      <c r="AI174" s="68"/>
      <c r="AJ174" s="68"/>
      <c r="AK174" s="68"/>
      <c r="AL174" s="68"/>
      <c r="AM174" s="68"/>
      <c r="AN174" s="68"/>
      <c r="AO174" s="68"/>
      <c r="AP174" s="68"/>
      <c r="AQ174" s="68"/>
      <c r="AR174" s="68"/>
      <c r="AS174" s="68"/>
      <c r="AT174" s="68"/>
      <c r="AU174" s="68"/>
      <c r="AV174" s="68"/>
      <c r="AW174" s="68"/>
      <c r="AX174" s="68"/>
      <c r="AY174" s="68"/>
      <c r="AZ174" s="68"/>
      <c r="BA174" s="68"/>
      <c r="BB174" s="68"/>
      <c r="BC174" s="68"/>
      <c r="BD174" s="68"/>
      <c r="BE174" s="68"/>
      <c r="BF174" s="68"/>
      <c r="BG174" s="68"/>
      <c r="BH174" s="68"/>
      <c r="BI174" s="68"/>
      <c r="BJ174" s="68"/>
      <c r="BK174" s="68"/>
      <c r="BL174" s="68"/>
      <c r="BM174" s="68"/>
      <c r="BN174" s="68"/>
    </row>
    <row r="175" spans="1:66" ht="17">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N175" s="68"/>
    </row>
    <row r="176" spans="1:66" ht="17">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N176" s="68"/>
    </row>
    <row r="177" spans="1:66" ht="1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c r="AG177" s="68"/>
      <c r="AH177" s="68"/>
      <c r="AI177" s="68"/>
      <c r="AJ177" s="68"/>
      <c r="AK177" s="68"/>
      <c r="AL177" s="68"/>
      <c r="AM177" s="68"/>
      <c r="AN177" s="68"/>
      <c r="AO177" s="68"/>
      <c r="AP177" s="68"/>
      <c r="AQ177" s="68"/>
      <c r="AR177" s="68"/>
      <c r="AS177" s="68"/>
      <c r="AT177" s="68"/>
      <c r="AU177" s="68"/>
      <c r="AV177" s="68"/>
      <c r="AW177" s="68"/>
      <c r="AX177" s="68"/>
      <c r="AY177" s="68"/>
      <c r="AZ177" s="68"/>
      <c r="BA177" s="68"/>
      <c r="BB177" s="68"/>
      <c r="BC177" s="68"/>
      <c r="BD177" s="68"/>
      <c r="BE177" s="68"/>
      <c r="BF177" s="68"/>
      <c r="BG177" s="68"/>
      <c r="BH177" s="68"/>
      <c r="BI177" s="68"/>
      <c r="BJ177" s="68"/>
      <c r="BK177" s="68"/>
      <c r="BL177" s="68"/>
      <c r="BM177" s="68"/>
      <c r="BN177" s="68"/>
    </row>
    <row r="178" spans="1:66" ht="17">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c r="AG178" s="68"/>
      <c r="AH178" s="68"/>
      <c r="AI178" s="68"/>
      <c r="AJ178" s="68"/>
      <c r="AK178" s="68"/>
      <c r="AL178" s="68"/>
      <c r="AM178" s="68"/>
      <c r="AN178" s="68"/>
      <c r="AO178" s="68"/>
      <c r="AP178" s="68"/>
      <c r="AQ178" s="68"/>
      <c r="AR178" s="68"/>
      <c r="AS178" s="68"/>
      <c r="AT178" s="68"/>
      <c r="AU178" s="68"/>
      <c r="AV178" s="68"/>
      <c r="AW178" s="68"/>
      <c r="AX178" s="68"/>
      <c r="AY178" s="68"/>
      <c r="AZ178" s="68"/>
      <c r="BA178" s="68"/>
      <c r="BB178" s="68"/>
      <c r="BC178" s="68"/>
      <c r="BD178" s="68"/>
      <c r="BE178" s="68"/>
      <c r="BF178" s="68"/>
      <c r="BG178" s="68"/>
      <c r="BH178" s="68"/>
      <c r="BI178" s="68"/>
      <c r="BJ178" s="68"/>
      <c r="BK178" s="68"/>
      <c r="BL178" s="68"/>
      <c r="BM178" s="68"/>
      <c r="BN178" s="68"/>
    </row>
    <row r="179" spans="1:66" ht="17">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c r="BF179" s="68"/>
      <c r="BG179" s="68"/>
      <c r="BH179" s="68"/>
      <c r="BI179" s="68"/>
      <c r="BJ179" s="68"/>
      <c r="BK179" s="68"/>
      <c r="BL179" s="68"/>
      <c r="BM179" s="68"/>
      <c r="BN179" s="68"/>
    </row>
    <row r="180" spans="1:66" ht="17">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N180" s="68"/>
    </row>
    <row r="181" spans="1:66" ht="17">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c r="BF181" s="68"/>
      <c r="BG181" s="68"/>
      <c r="BH181" s="68"/>
      <c r="BI181" s="68"/>
      <c r="BJ181" s="68"/>
      <c r="BK181" s="68"/>
      <c r="BL181" s="68"/>
      <c r="BM181" s="68"/>
      <c r="BN181" s="68"/>
    </row>
    <row r="182" spans="1:66" ht="17">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c r="BF182" s="68"/>
      <c r="BG182" s="68"/>
      <c r="BH182" s="68"/>
      <c r="BI182" s="68"/>
      <c r="BJ182" s="68"/>
      <c r="BK182" s="68"/>
      <c r="BL182" s="68"/>
      <c r="BM182" s="68"/>
      <c r="BN182" s="68"/>
    </row>
    <row r="183" spans="1:66" ht="17">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c r="AG183" s="68"/>
      <c r="AH183" s="68"/>
      <c r="AI183" s="68"/>
      <c r="AJ183" s="68"/>
      <c r="AK183" s="68"/>
      <c r="AL183" s="68"/>
      <c r="AM183" s="68"/>
      <c r="AN183" s="68"/>
      <c r="AO183" s="68"/>
      <c r="AP183" s="68"/>
      <c r="AQ183" s="68"/>
      <c r="AR183" s="68"/>
      <c r="AS183" s="68"/>
      <c r="AT183" s="68"/>
      <c r="AU183" s="68"/>
      <c r="AV183" s="68"/>
      <c r="AW183" s="68"/>
      <c r="AX183" s="68"/>
      <c r="AY183" s="68"/>
      <c r="AZ183" s="68"/>
      <c r="BA183" s="68"/>
      <c r="BB183" s="68"/>
      <c r="BC183" s="68"/>
      <c r="BD183" s="68"/>
      <c r="BE183" s="68"/>
      <c r="BF183" s="68"/>
      <c r="BG183" s="68"/>
      <c r="BH183" s="68"/>
      <c r="BI183" s="68"/>
      <c r="BJ183" s="68"/>
      <c r="BK183" s="68"/>
      <c r="BL183" s="68"/>
      <c r="BM183" s="68"/>
      <c r="BN183" s="68"/>
    </row>
    <row r="184" spans="1:66" ht="17">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c r="BA184" s="68"/>
      <c r="BB184" s="68"/>
      <c r="BC184" s="68"/>
      <c r="BD184" s="68"/>
      <c r="BE184" s="68"/>
      <c r="BF184" s="68"/>
      <c r="BG184" s="68"/>
      <c r="BH184" s="68"/>
      <c r="BI184" s="68"/>
      <c r="BJ184" s="68"/>
      <c r="BK184" s="68"/>
      <c r="BL184" s="68"/>
      <c r="BM184" s="68"/>
      <c r="BN184" s="68"/>
    </row>
    <row r="185" spans="1:66" ht="17">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68"/>
      <c r="BK185" s="68"/>
      <c r="BL185" s="68"/>
      <c r="BM185" s="68"/>
      <c r="BN185" s="68"/>
    </row>
    <row r="186" spans="1:66" ht="17">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c r="BF186" s="68"/>
      <c r="BG186" s="68"/>
      <c r="BH186" s="68"/>
      <c r="BI186" s="68"/>
      <c r="BJ186" s="68"/>
      <c r="BK186" s="68"/>
      <c r="BL186" s="68"/>
      <c r="BM186" s="68"/>
      <c r="BN186" s="68"/>
    </row>
    <row r="187" spans="1:66" ht="1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N187" s="68"/>
    </row>
    <row r="188" spans="1:66" ht="17">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N188" s="68"/>
    </row>
    <row r="189" spans="1:66" ht="17">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c r="AJ189" s="68"/>
      <c r="AK189" s="68"/>
      <c r="AL189" s="68"/>
      <c r="AM189" s="68"/>
      <c r="AN189" s="68"/>
      <c r="AO189" s="68"/>
      <c r="AP189" s="68"/>
      <c r="AQ189" s="68"/>
      <c r="AR189" s="68"/>
      <c r="AS189" s="68"/>
      <c r="AT189" s="68"/>
      <c r="AU189" s="68"/>
      <c r="AV189" s="68"/>
      <c r="AW189" s="68"/>
      <c r="AX189" s="68"/>
      <c r="AY189" s="68"/>
      <c r="AZ189" s="68"/>
      <c r="BA189" s="68"/>
      <c r="BB189" s="68"/>
      <c r="BC189" s="68"/>
      <c r="BD189" s="68"/>
      <c r="BE189" s="68"/>
      <c r="BF189" s="68"/>
      <c r="BG189" s="68"/>
      <c r="BH189" s="68"/>
      <c r="BI189" s="68"/>
      <c r="BJ189" s="68"/>
      <c r="BK189" s="68"/>
      <c r="BL189" s="68"/>
      <c r="BM189" s="68"/>
      <c r="BN189" s="68"/>
    </row>
    <row r="190" spans="1:66" ht="17">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68"/>
      <c r="AG190" s="68"/>
      <c r="AH190" s="68"/>
      <c r="AI190" s="68"/>
      <c r="AJ190" s="68"/>
      <c r="AK190" s="68"/>
      <c r="AL190" s="68"/>
      <c r="AM190" s="68"/>
      <c r="AN190" s="68"/>
      <c r="AO190" s="68"/>
      <c r="AP190" s="68"/>
      <c r="AQ190" s="68"/>
      <c r="AR190" s="68"/>
      <c r="AS190" s="68"/>
      <c r="AT190" s="68"/>
      <c r="AU190" s="68"/>
      <c r="AV190" s="68"/>
      <c r="AW190" s="68"/>
      <c r="AX190" s="68"/>
      <c r="AY190" s="68"/>
      <c r="AZ190" s="68"/>
      <c r="BA190" s="68"/>
      <c r="BB190" s="68"/>
      <c r="BC190" s="68"/>
      <c r="BD190" s="68"/>
      <c r="BE190" s="68"/>
      <c r="BF190" s="68"/>
      <c r="BG190" s="68"/>
      <c r="BH190" s="68"/>
      <c r="BI190" s="68"/>
      <c r="BJ190" s="68"/>
      <c r="BK190" s="68"/>
      <c r="BL190" s="68"/>
      <c r="BM190" s="68"/>
      <c r="BN190" s="68"/>
    </row>
    <row r="191" spans="1:66" ht="17">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N191" s="68"/>
    </row>
    <row r="192" spans="1:66" ht="17">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c r="BA192" s="68"/>
      <c r="BB192" s="68"/>
      <c r="BC192" s="68"/>
      <c r="BD192" s="68"/>
      <c r="BE192" s="68"/>
      <c r="BF192" s="68"/>
      <c r="BG192" s="68"/>
      <c r="BH192" s="68"/>
      <c r="BI192" s="68"/>
      <c r="BJ192" s="68"/>
      <c r="BK192" s="68"/>
      <c r="BL192" s="68"/>
      <c r="BM192" s="68"/>
      <c r="BN192" s="68"/>
    </row>
    <row r="193" spans="1:66" ht="17">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N193" s="68"/>
    </row>
    <row r="194" spans="1:66" ht="17">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row>
    <row r="195" spans="1:66" ht="17">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c r="AG195" s="68"/>
      <c r="AH195" s="68"/>
      <c r="AI195" s="68"/>
      <c r="AJ195" s="68"/>
      <c r="AK195" s="68"/>
      <c r="AL195" s="68"/>
      <c r="AM195" s="68"/>
      <c r="AN195" s="68"/>
      <c r="AO195" s="68"/>
      <c r="AP195" s="68"/>
      <c r="AQ195" s="68"/>
      <c r="AR195" s="68"/>
      <c r="AS195" s="68"/>
      <c r="AT195" s="68"/>
      <c r="AU195" s="68"/>
      <c r="AV195" s="68"/>
      <c r="AW195" s="68"/>
      <c r="AX195" s="68"/>
      <c r="AY195" s="68"/>
      <c r="AZ195" s="68"/>
      <c r="BA195" s="68"/>
      <c r="BB195" s="68"/>
      <c r="BC195" s="68"/>
      <c r="BD195" s="68"/>
      <c r="BE195" s="68"/>
      <c r="BF195" s="68"/>
      <c r="BG195" s="68"/>
      <c r="BH195" s="68"/>
      <c r="BI195" s="68"/>
      <c r="BJ195" s="68"/>
      <c r="BK195" s="68"/>
      <c r="BL195" s="68"/>
      <c r="BM195" s="68"/>
      <c r="BN195" s="68"/>
    </row>
    <row r="196" spans="1:66" ht="17">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c r="AG196" s="68"/>
      <c r="AH196" s="68"/>
      <c r="AI196" s="68"/>
      <c r="AJ196" s="68"/>
      <c r="AK196" s="68"/>
      <c r="AL196" s="68"/>
      <c r="AM196" s="68"/>
      <c r="AN196" s="68"/>
      <c r="AO196" s="68"/>
      <c r="AP196" s="68"/>
      <c r="AQ196" s="68"/>
      <c r="AR196" s="68"/>
      <c r="AS196" s="68"/>
      <c r="AT196" s="68"/>
      <c r="AU196" s="68"/>
      <c r="AV196" s="68"/>
      <c r="AW196" s="68"/>
      <c r="AX196" s="68"/>
      <c r="AY196" s="68"/>
      <c r="AZ196" s="68"/>
      <c r="BA196" s="68"/>
      <c r="BB196" s="68"/>
      <c r="BC196" s="68"/>
      <c r="BD196" s="68"/>
      <c r="BE196" s="68"/>
      <c r="BF196" s="68"/>
      <c r="BG196" s="68"/>
      <c r="BH196" s="68"/>
      <c r="BI196" s="68"/>
      <c r="BJ196" s="68"/>
      <c r="BK196" s="68"/>
      <c r="BL196" s="68"/>
      <c r="BM196" s="68"/>
      <c r="BN196" s="68"/>
    </row>
    <row r="197" spans="1:66" ht="1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68"/>
      <c r="BK197" s="68"/>
      <c r="BL197" s="68"/>
      <c r="BM197" s="68"/>
      <c r="BN197" s="68"/>
    </row>
    <row r="198" spans="1:66" ht="17">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68"/>
      <c r="BK198" s="68"/>
      <c r="BL198" s="68"/>
      <c r="BM198" s="68"/>
      <c r="BN198" s="68"/>
    </row>
    <row r="199" spans="1:66" ht="17">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68"/>
      <c r="BK199" s="68"/>
      <c r="BL199" s="68"/>
      <c r="BM199" s="68"/>
      <c r="BN199" s="68"/>
    </row>
    <row r="200" spans="1:66" ht="17">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68"/>
      <c r="BK200" s="68"/>
      <c r="BL200" s="68"/>
      <c r="BM200" s="68"/>
      <c r="BN200" s="68"/>
    </row>
    <row r="201" spans="1:66" ht="17">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c r="AG201" s="68"/>
      <c r="AH201" s="68"/>
      <c r="AI201" s="68"/>
      <c r="AJ201" s="68"/>
      <c r="AK201" s="68"/>
      <c r="AL201" s="68"/>
      <c r="AM201" s="68"/>
      <c r="AN201" s="68"/>
      <c r="AO201" s="68"/>
      <c r="AP201" s="68"/>
      <c r="AQ201" s="68"/>
      <c r="AR201" s="68"/>
      <c r="AS201" s="68"/>
      <c r="AT201" s="68"/>
      <c r="AU201" s="68"/>
      <c r="AV201" s="68"/>
      <c r="AW201" s="68"/>
      <c r="AX201" s="68"/>
      <c r="AY201" s="68"/>
      <c r="AZ201" s="68"/>
      <c r="BA201" s="68"/>
      <c r="BB201" s="68"/>
      <c r="BC201" s="68"/>
      <c r="BD201" s="68"/>
      <c r="BE201" s="68"/>
      <c r="BF201" s="68"/>
      <c r="BG201" s="68"/>
      <c r="BH201" s="68"/>
      <c r="BI201" s="68"/>
      <c r="BJ201" s="68"/>
      <c r="BK201" s="68"/>
      <c r="BL201" s="68"/>
      <c r="BM201" s="68"/>
      <c r="BN201" s="68"/>
    </row>
    <row r="202" spans="1:66" ht="17">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N202" s="68"/>
    </row>
    <row r="203" spans="1:66" ht="17">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68"/>
      <c r="AG203" s="68"/>
      <c r="AH203" s="68"/>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c r="BF203" s="68"/>
      <c r="BG203" s="68"/>
      <c r="BH203" s="68"/>
      <c r="BI203" s="68"/>
      <c r="BJ203" s="68"/>
      <c r="BK203" s="68"/>
      <c r="BL203" s="68"/>
      <c r="BM203" s="68"/>
      <c r="BN203" s="68"/>
    </row>
    <row r="204" spans="1:66" ht="17">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c r="AG204" s="68"/>
      <c r="AH204" s="68"/>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c r="BF204" s="68"/>
      <c r="BG204" s="68"/>
      <c r="BH204" s="68"/>
      <c r="BI204" s="68"/>
      <c r="BJ204" s="68"/>
      <c r="BK204" s="68"/>
      <c r="BL204" s="68"/>
      <c r="BM204" s="68"/>
      <c r="BN204" s="68"/>
    </row>
    <row r="205" spans="1:66" ht="17">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68"/>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c r="BJ205" s="68"/>
      <c r="BK205" s="68"/>
      <c r="BL205" s="68"/>
      <c r="BM205" s="68"/>
      <c r="BN205" s="68"/>
    </row>
    <row r="206" spans="1:66" ht="17">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68"/>
      <c r="AG206" s="68"/>
      <c r="AH206" s="68"/>
      <c r="AI206" s="68"/>
      <c r="AJ206" s="68"/>
      <c r="AK206" s="68"/>
      <c r="AL206" s="68"/>
      <c r="AM206" s="68"/>
      <c r="AN206" s="68"/>
      <c r="AO206" s="68"/>
      <c r="AP206" s="68"/>
      <c r="AQ206" s="68"/>
      <c r="AR206" s="68"/>
      <c r="AS206" s="68"/>
      <c r="AT206" s="68"/>
      <c r="AU206" s="68"/>
      <c r="AV206" s="68"/>
      <c r="AW206" s="68"/>
      <c r="AX206" s="68"/>
      <c r="AY206" s="68"/>
      <c r="AZ206" s="68"/>
      <c r="BA206" s="68"/>
      <c r="BB206" s="68"/>
      <c r="BC206" s="68"/>
      <c r="BD206" s="68"/>
      <c r="BE206" s="68"/>
      <c r="BF206" s="68"/>
      <c r="BG206" s="68"/>
      <c r="BH206" s="68"/>
      <c r="BI206" s="68"/>
      <c r="BJ206" s="68"/>
      <c r="BK206" s="68"/>
      <c r="BL206" s="68"/>
      <c r="BM206" s="68"/>
      <c r="BN206" s="68"/>
    </row>
    <row r="207" spans="1:66" ht="1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68"/>
      <c r="AG207" s="68"/>
      <c r="AH207" s="68"/>
      <c r="AI207" s="68"/>
      <c r="AJ207" s="68"/>
      <c r="AK207" s="68"/>
      <c r="AL207" s="68"/>
      <c r="AM207" s="68"/>
      <c r="AN207" s="68"/>
      <c r="AO207" s="68"/>
      <c r="AP207" s="68"/>
      <c r="AQ207" s="68"/>
      <c r="AR207" s="68"/>
      <c r="AS207" s="68"/>
      <c r="AT207" s="68"/>
      <c r="AU207" s="68"/>
      <c r="AV207" s="68"/>
      <c r="AW207" s="68"/>
      <c r="AX207" s="68"/>
      <c r="AY207" s="68"/>
      <c r="AZ207" s="68"/>
      <c r="BA207" s="68"/>
      <c r="BB207" s="68"/>
      <c r="BC207" s="68"/>
      <c r="BD207" s="68"/>
      <c r="BE207" s="68"/>
      <c r="BF207" s="68"/>
      <c r="BG207" s="68"/>
      <c r="BH207" s="68"/>
      <c r="BI207" s="68"/>
      <c r="BJ207" s="68"/>
      <c r="BK207" s="68"/>
      <c r="BL207" s="68"/>
      <c r="BM207" s="68"/>
      <c r="BN207" s="68"/>
    </row>
    <row r="208" spans="1:66" ht="17">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c r="AG208" s="68"/>
      <c r="AH208" s="68"/>
      <c r="AI208" s="68"/>
      <c r="AJ208" s="68"/>
      <c r="AK208" s="68"/>
      <c r="AL208" s="68"/>
      <c r="AM208" s="68"/>
      <c r="AN208" s="68"/>
      <c r="AO208" s="68"/>
      <c r="AP208" s="68"/>
      <c r="AQ208" s="68"/>
      <c r="AR208" s="68"/>
      <c r="AS208" s="68"/>
      <c r="AT208" s="68"/>
      <c r="AU208" s="68"/>
      <c r="AV208" s="68"/>
      <c r="AW208" s="68"/>
      <c r="AX208" s="68"/>
      <c r="AY208" s="68"/>
      <c r="AZ208" s="68"/>
      <c r="BA208" s="68"/>
      <c r="BB208" s="68"/>
      <c r="BC208" s="68"/>
      <c r="BD208" s="68"/>
      <c r="BE208" s="68"/>
      <c r="BF208" s="68"/>
      <c r="BG208" s="68"/>
      <c r="BH208" s="68"/>
      <c r="BI208" s="68"/>
      <c r="BJ208" s="68"/>
      <c r="BK208" s="68"/>
      <c r="BL208" s="68"/>
      <c r="BM208" s="68"/>
      <c r="BN208" s="68"/>
    </row>
    <row r="209" spans="1:66" ht="17">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68"/>
      <c r="AG209" s="68"/>
      <c r="AH209" s="68"/>
      <c r="AI209" s="68"/>
      <c r="AJ209" s="68"/>
      <c r="AK209" s="68"/>
      <c r="AL209" s="68"/>
      <c r="AM209" s="68"/>
      <c r="AN209" s="68"/>
      <c r="AO209" s="68"/>
      <c r="AP209" s="68"/>
      <c r="AQ209" s="68"/>
      <c r="AR209" s="68"/>
      <c r="AS209" s="68"/>
      <c r="AT209" s="68"/>
      <c r="AU209" s="68"/>
      <c r="AV209" s="68"/>
      <c r="AW209" s="68"/>
      <c r="AX209" s="68"/>
      <c r="AY209" s="68"/>
      <c r="AZ209" s="68"/>
      <c r="BA209" s="68"/>
      <c r="BB209" s="68"/>
      <c r="BC209" s="68"/>
      <c r="BD209" s="68"/>
      <c r="BE209" s="68"/>
      <c r="BF209" s="68"/>
      <c r="BG209" s="68"/>
      <c r="BH209" s="68"/>
      <c r="BI209" s="68"/>
      <c r="BJ209" s="68"/>
      <c r="BK209" s="68"/>
      <c r="BL209" s="68"/>
      <c r="BM209" s="68"/>
      <c r="BN209" s="68"/>
    </row>
    <row r="210" spans="1:66" ht="17">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68"/>
      <c r="AG210" s="68"/>
      <c r="AH210" s="68"/>
      <c r="AI210" s="68"/>
      <c r="AJ210" s="68"/>
      <c r="AK210" s="68"/>
      <c r="AL210" s="68"/>
      <c r="AM210" s="68"/>
      <c r="AN210" s="68"/>
      <c r="AO210" s="68"/>
      <c r="AP210" s="68"/>
      <c r="AQ210" s="68"/>
      <c r="AR210" s="68"/>
      <c r="AS210" s="68"/>
      <c r="AT210" s="68"/>
      <c r="AU210" s="68"/>
      <c r="AV210" s="68"/>
      <c r="AW210" s="68"/>
      <c r="AX210" s="68"/>
      <c r="AY210" s="68"/>
      <c r="AZ210" s="68"/>
      <c r="BA210" s="68"/>
      <c r="BB210" s="68"/>
      <c r="BC210" s="68"/>
      <c r="BD210" s="68"/>
      <c r="BE210" s="68"/>
      <c r="BF210" s="68"/>
      <c r="BG210" s="68"/>
      <c r="BH210" s="68"/>
      <c r="BI210" s="68"/>
      <c r="BJ210" s="68"/>
      <c r="BK210" s="68"/>
      <c r="BL210" s="68"/>
      <c r="BM210" s="68"/>
      <c r="BN210" s="68"/>
    </row>
    <row r="211" spans="1:66" ht="17">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68"/>
      <c r="AG211" s="68"/>
      <c r="AH211" s="68"/>
      <c r="AI211" s="68"/>
      <c r="AJ211" s="68"/>
      <c r="AK211" s="68"/>
      <c r="AL211" s="68"/>
      <c r="AM211" s="68"/>
      <c r="AN211" s="68"/>
      <c r="AO211" s="68"/>
      <c r="AP211" s="68"/>
      <c r="AQ211" s="68"/>
      <c r="AR211" s="68"/>
      <c r="AS211" s="68"/>
      <c r="AT211" s="68"/>
      <c r="AU211" s="68"/>
      <c r="AV211" s="68"/>
      <c r="AW211" s="68"/>
      <c r="AX211" s="68"/>
      <c r="AY211" s="68"/>
      <c r="AZ211" s="68"/>
      <c r="BA211" s="68"/>
      <c r="BB211" s="68"/>
      <c r="BC211" s="68"/>
      <c r="BD211" s="68"/>
      <c r="BE211" s="68"/>
      <c r="BF211" s="68"/>
      <c r="BG211" s="68"/>
      <c r="BH211" s="68"/>
      <c r="BI211" s="68"/>
      <c r="BJ211" s="68"/>
      <c r="BK211" s="68"/>
      <c r="BL211" s="68"/>
      <c r="BM211" s="68"/>
      <c r="BN211" s="68"/>
    </row>
    <row r="212" spans="1:66" ht="17">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c r="AH212" s="68"/>
      <c r="AI212" s="68"/>
      <c r="AJ212" s="68"/>
      <c r="AK212" s="68"/>
      <c r="AL212" s="68"/>
      <c r="AM212" s="68"/>
      <c r="AN212" s="68"/>
      <c r="AO212" s="68"/>
      <c r="AP212" s="68"/>
      <c r="AQ212" s="68"/>
      <c r="AR212" s="68"/>
      <c r="AS212" s="68"/>
      <c r="AT212" s="68"/>
      <c r="AU212" s="68"/>
      <c r="AV212" s="68"/>
      <c r="AW212" s="68"/>
      <c r="AX212" s="68"/>
      <c r="AY212" s="68"/>
      <c r="AZ212" s="68"/>
      <c r="BA212" s="68"/>
      <c r="BB212" s="68"/>
      <c r="BC212" s="68"/>
      <c r="BD212" s="68"/>
      <c r="BE212" s="68"/>
      <c r="BF212" s="68"/>
      <c r="BG212" s="68"/>
      <c r="BH212" s="68"/>
      <c r="BI212" s="68"/>
      <c r="BJ212" s="68"/>
      <c r="BK212" s="68"/>
      <c r="BL212" s="68"/>
      <c r="BM212" s="68"/>
      <c r="BN212" s="68"/>
    </row>
    <row r="213" spans="1:66" ht="17">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68"/>
      <c r="AG213" s="68"/>
      <c r="AH213" s="68"/>
      <c r="AI213" s="68"/>
      <c r="AJ213" s="68"/>
      <c r="AK213" s="68"/>
      <c r="AL213" s="68"/>
      <c r="AM213" s="68"/>
      <c r="AN213" s="68"/>
      <c r="AO213" s="68"/>
      <c r="AP213" s="68"/>
      <c r="AQ213" s="68"/>
      <c r="AR213" s="68"/>
      <c r="AS213" s="68"/>
      <c r="AT213" s="68"/>
      <c r="AU213" s="68"/>
      <c r="AV213" s="68"/>
      <c r="AW213" s="68"/>
      <c r="AX213" s="68"/>
      <c r="AY213" s="68"/>
      <c r="AZ213" s="68"/>
      <c r="BA213" s="68"/>
      <c r="BB213" s="68"/>
      <c r="BC213" s="68"/>
      <c r="BD213" s="68"/>
      <c r="BE213" s="68"/>
      <c r="BF213" s="68"/>
      <c r="BG213" s="68"/>
      <c r="BH213" s="68"/>
      <c r="BI213" s="68"/>
      <c r="BJ213" s="68"/>
      <c r="BK213" s="68"/>
      <c r="BL213" s="68"/>
      <c r="BM213" s="68"/>
      <c r="BN213" s="68"/>
    </row>
    <row r="214" spans="1:66" ht="17">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c r="AG214" s="68"/>
      <c r="AH214" s="68"/>
      <c r="AI214" s="68"/>
      <c r="AJ214" s="68"/>
      <c r="AK214" s="68"/>
      <c r="AL214" s="68"/>
      <c r="AM214" s="68"/>
      <c r="AN214" s="68"/>
      <c r="AO214" s="68"/>
      <c r="AP214" s="68"/>
      <c r="AQ214" s="68"/>
      <c r="AR214" s="68"/>
      <c r="AS214" s="68"/>
      <c r="AT214" s="68"/>
      <c r="AU214" s="68"/>
      <c r="AV214" s="68"/>
      <c r="AW214" s="68"/>
      <c r="AX214" s="68"/>
      <c r="AY214" s="68"/>
      <c r="AZ214" s="68"/>
      <c r="BA214" s="68"/>
      <c r="BB214" s="68"/>
      <c r="BC214" s="68"/>
      <c r="BD214" s="68"/>
      <c r="BE214" s="68"/>
      <c r="BF214" s="68"/>
      <c r="BG214" s="68"/>
      <c r="BH214" s="68"/>
      <c r="BI214" s="68"/>
      <c r="BJ214" s="68"/>
      <c r="BK214" s="68"/>
      <c r="BL214" s="68"/>
      <c r="BM214" s="68"/>
      <c r="BN214" s="68"/>
    </row>
    <row r="215" spans="1:66" ht="17">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c r="AG215" s="68"/>
      <c r="AH215" s="68"/>
      <c r="AI215" s="68"/>
      <c r="AJ215" s="68"/>
      <c r="AK215" s="68"/>
      <c r="AL215" s="68"/>
      <c r="AM215" s="68"/>
      <c r="AN215" s="68"/>
      <c r="AO215" s="68"/>
      <c r="AP215" s="68"/>
      <c r="AQ215" s="68"/>
      <c r="AR215" s="68"/>
      <c r="AS215" s="68"/>
      <c r="AT215" s="68"/>
      <c r="AU215" s="68"/>
      <c r="AV215" s="68"/>
      <c r="AW215" s="68"/>
      <c r="AX215" s="68"/>
      <c r="AY215" s="68"/>
      <c r="AZ215" s="68"/>
      <c r="BA215" s="68"/>
      <c r="BB215" s="68"/>
      <c r="BC215" s="68"/>
      <c r="BD215" s="68"/>
      <c r="BE215" s="68"/>
      <c r="BF215" s="68"/>
      <c r="BG215" s="68"/>
      <c r="BH215" s="68"/>
      <c r="BI215" s="68"/>
      <c r="BJ215" s="68"/>
      <c r="BK215" s="68"/>
      <c r="BL215" s="68"/>
      <c r="BM215" s="68"/>
      <c r="BN215" s="68"/>
    </row>
    <row r="216" spans="1:66" ht="17">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c r="AG216" s="68"/>
      <c r="AH216" s="68"/>
      <c r="AI216" s="68"/>
      <c r="AJ216" s="68"/>
      <c r="AK216" s="68"/>
      <c r="AL216" s="68"/>
      <c r="AM216" s="68"/>
      <c r="AN216" s="68"/>
      <c r="AO216" s="68"/>
      <c r="AP216" s="68"/>
      <c r="AQ216" s="68"/>
      <c r="AR216" s="68"/>
      <c r="AS216" s="68"/>
      <c r="AT216" s="68"/>
      <c r="AU216" s="68"/>
      <c r="AV216" s="68"/>
      <c r="AW216" s="68"/>
      <c r="AX216" s="68"/>
      <c r="AY216" s="68"/>
      <c r="AZ216" s="68"/>
      <c r="BA216" s="68"/>
      <c r="BB216" s="68"/>
      <c r="BC216" s="68"/>
      <c r="BD216" s="68"/>
      <c r="BE216" s="68"/>
      <c r="BF216" s="68"/>
      <c r="BG216" s="68"/>
      <c r="BH216" s="68"/>
      <c r="BI216" s="68"/>
      <c r="BJ216" s="68"/>
      <c r="BK216" s="68"/>
      <c r="BL216" s="68"/>
      <c r="BM216" s="68"/>
      <c r="BN216" s="68"/>
    </row>
    <row r="217" spans="1:66" ht="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c r="AG217" s="68"/>
      <c r="AH217" s="68"/>
      <c r="AI217" s="68"/>
      <c r="AJ217" s="68"/>
      <c r="AK217" s="68"/>
      <c r="AL217" s="68"/>
      <c r="AM217" s="68"/>
      <c r="AN217" s="68"/>
      <c r="AO217" s="68"/>
      <c r="AP217" s="68"/>
      <c r="AQ217" s="68"/>
      <c r="AR217" s="68"/>
      <c r="AS217" s="68"/>
      <c r="AT217" s="68"/>
      <c r="AU217" s="68"/>
      <c r="AV217" s="68"/>
      <c r="AW217" s="68"/>
      <c r="AX217" s="68"/>
      <c r="AY217" s="68"/>
      <c r="AZ217" s="68"/>
      <c r="BA217" s="68"/>
      <c r="BB217" s="68"/>
      <c r="BC217" s="68"/>
      <c r="BD217" s="68"/>
      <c r="BE217" s="68"/>
      <c r="BF217" s="68"/>
      <c r="BG217" s="68"/>
      <c r="BH217" s="68"/>
      <c r="BI217" s="68"/>
      <c r="BJ217" s="68"/>
      <c r="BK217" s="68"/>
      <c r="BL217" s="68"/>
      <c r="BM217" s="68"/>
      <c r="BN217" s="68"/>
    </row>
    <row r="218" spans="1:66" ht="17">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68"/>
      <c r="AG218" s="68"/>
      <c r="AH218" s="68"/>
      <c r="AI218" s="68"/>
      <c r="AJ218" s="68"/>
      <c r="AK218" s="68"/>
      <c r="AL218" s="68"/>
      <c r="AM218" s="68"/>
      <c r="AN218" s="68"/>
      <c r="AO218" s="68"/>
      <c r="AP218" s="68"/>
      <c r="AQ218" s="68"/>
      <c r="AR218" s="68"/>
      <c r="AS218" s="68"/>
      <c r="AT218" s="68"/>
      <c r="AU218" s="68"/>
      <c r="AV218" s="68"/>
      <c r="AW218" s="68"/>
      <c r="AX218" s="68"/>
      <c r="AY218" s="68"/>
      <c r="AZ218" s="68"/>
      <c r="BA218" s="68"/>
      <c r="BB218" s="68"/>
      <c r="BC218" s="68"/>
      <c r="BD218" s="68"/>
      <c r="BE218" s="68"/>
      <c r="BF218" s="68"/>
      <c r="BG218" s="68"/>
      <c r="BH218" s="68"/>
      <c r="BI218" s="68"/>
      <c r="BJ218" s="68"/>
      <c r="BK218" s="68"/>
      <c r="BL218" s="68"/>
      <c r="BM218" s="68"/>
      <c r="BN218" s="68"/>
    </row>
    <row r="219" spans="1:66" ht="17">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68"/>
      <c r="AG219" s="68"/>
      <c r="AH219" s="68"/>
      <c r="AI219" s="68"/>
      <c r="AJ219" s="68"/>
      <c r="AK219" s="68"/>
      <c r="AL219" s="68"/>
      <c r="AM219" s="68"/>
      <c r="AN219" s="68"/>
      <c r="AO219" s="68"/>
      <c r="AP219" s="68"/>
      <c r="AQ219" s="68"/>
      <c r="AR219" s="68"/>
      <c r="AS219" s="68"/>
      <c r="AT219" s="68"/>
      <c r="AU219" s="68"/>
      <c r="AV219" s="68"/>
      <c r="AW219" s="68"/>
      <c r="AX219" s="68"/>
      <c r="AY219" s="68"/>
      <c r="AZ219" s="68"/>
      <c r="BA219" s="68"/>
      <c r="BB219" s="68"/>
      <c r="BC219" s="68"/>
      <c r="BD219" s="68"/>
      <c r="BE219" s="68"/>
      <c r="BF219" s="68"/>
      <c r="BG219" s="68"/>
      <c r="BH219" s="68"/>
      <c r="BI219" s="68"/>
      <c r="BJ219" s="68"/>
      <c r="BK219" s="68"/>
      <c r="BL219" s="68"/>
      <c r="BM219" s="68"/>
      <c r="BN219" s="68"/>
    </row>
    <row r="220" spans="1:66" ht="17">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c r="AH220" s="68"/>
      <c r="AI220" s="68"/>
      <c r="AJ220" s="68"/>
      <c r="AK220" s="68"/>
      <c r="AL220" s="68"/>
      <c r="AM220" s="68"/>
      <c r="AN220" s="68"/>
      <c r="AO220" s="68"/>
      <c r="AP220" s="68"/>
      <c r="AQ220" s="68"/>
      <c r="AR220" s="68"/>
      <c r="AS220" s="68"/>
      <c r="AT220" s="68"/>
      <c r="AU220" s="68"/>
      <c r="AV220" s="68"/>
      <c r="AW220" s="68"/>
      <c r="AX220" s="68"/>
      <c r="AY220" s="68"/>
      <c r="AZ220" s="68"/>
      <c r="BA220" s="68"/>
      <c r="BB220" s="68"/>
      <c r="BC220" s="68"/>
      <c r="BD220" s="68"/>
      <c r="BE220" s="68"/>
      <c r="BF220" s="68"/>
      <c r="BG220" s="68"/>
      <c r="BH220" s="68"/>
      <c r="BI220" s="68"/>
      <c r="BJ220" s="68"/>
      <c r="BK220" s="68"/>
      <c r="BL220" s="68"/>
      <c r="BM220" s="68"/>
      <c r="BN220" s="68"/>
    </row>
    <row r="221" spans="1:66" ht="17">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c r="AH221" s="68"/>
      <c r="AI221" s="68"/>
      <c r="AJ221" s="68"/>
      <c r="AK221" s="68"/>
      <c r="AL221" s="68"/>
      <c r="AM221" s="68"/>
      <c r="AN221" s="68"/>
      <c r="AO221" s="68"/>
      <c r="AP221" s="68"/>
      <c r="AQ221" s="68"/>
      <c r="AR221" s="68"/>
      <c r="AS221" s="68"/>
      <c r="AT221" s="68"/>
      <c r="AU221" s="68"/>
      <c r="AV221" s="68"/>
      <c r="AW221" s="68"/>
      <c r="AX221" s="68"/>
      <c r="AY221" s="68"/>
      <c r="AZ221" s="68"/>
      <c r="BA221" s="68"/>
      <c r="BB221" s="68"/>
      <c r="BC221" s="68"/>
      <c r="BD221" s="68"/>
      <c r="BE221" s="68"/>
      <c r="BF221" s="68"/>
      <c r="BG221" s="68"/>
      <c r="BH221" s="68"/>
      <c r="BI221" s="68"/>
      <c r="BJ221" s="68"/>
      <c r="BK221" s="68"/>
      <c r="BL221" s="68"/>
      <c r="BM221" s="68"/>
      <c r="BN221" s="68"/>
    </row>
    <row r="222" spans="1:66" ht="17">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s="68"/>
      <c r="AL222" s="68"/>
      <c r="AM222" s="68"/>
      <c r="AN222" s="68"/>
      <c r="AO222" s="68"/>
      <c r="AP222" s="68"/>
      <c r="AQ222" s="68"/>
      <c r="AR222" s="68"/>
      <c r="AS222" s="68"/>
      <c r="AT222" s="68"/>
      <c r="AU222" s="68"/>
      <c r="AV222" s="68"/>
      <c r="AW222" s="68"/>
      <c r="AX222" s="68"/>
      <c r="AY222" s="68"/>
      <c r="AZ222" s="68"/>
      <c r="BA222" s="68"/>
      <c r="BB222" s="68"/>
      <c r="BC222" s="68"/>
      <c r="BD222" s="68"/>
      <c r="BE222" s="68"/>
      <c r="BF222" s="68"/>
      <c r="BG222" s="68"/>
      <c r="BH222" s="68"/>
      <c r="BI222" s="68"/>
      <c r="BJ222" s="68"/>
      <c r="BK222" s="68"/>
      <c r="BL222" s="68"/>
      <c r="BM222" s="68"/>
      <c r="BN222" s="68"/>
    </row>
    <row r="223" spans="1:66" ht="17">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c r="AH223" s="68"/>
      <c r="AI223" s="68"/>
      <c r="AJ223" s="68"/>
      <c r="AK223" s="68"/>
      <c r="AL223" s="68"/>
      <c r="AM223" s="68"/>
      <c r="AN223" s="68"/>
      <c r="AO223" s="68"/>
      <c r="AP223" s="68"/>
      <c r="AQ223" s="68"/>
      <c r="AR223" s="68"/>
      <c r="AS223" s="68"/>
      <c r="AT223" s="68"/>
      <c r="AU223" s="68"/>
      <c r="AV223" s="68"/>
      <c r="AW223" s="68"/>
      <c r="AX223" s="68"/>
      <c r="AY223" s="68"/>
      <c r="AZ223" s="68"/>
      <c r="BA223" s="68"/>
      <c r="BB223" s="68"/>
      <c r="BC223" s="68"/>
      <c r="BD223" s="68"/>
      <c r="BE223" s="68"/>
      <c r="BF223" s="68"/>
      <c r="BG223" s="68"/>
      <c r="BH223" s="68"/>
      <c r="BI223" s="68"/>
      <c r="BJ223" s="68"/>
      <c r="BK223" s="68"/>
      <c r="BL223" s="68"/>
      <c r="BM223" s="68"/>
      <c r="BN223" s="68"/>
    </row>
    <row r="224" spans="1:66" ht="17">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c r="AJ224" s="68"/>
      <c r="AK224" s="68"/>
      <c r="AL224" s="68"/>
      <c r="AM224" s="68"/>
      <c r="AN224" s="68"/>
      <c r="AO224" s="68"/>
      <c r="AP224" s="68"/>
      <c r="AQ224" s="68"/>
      <c r="AR224" s="68"/>
      <c r="AS224" s="68"/>
      <c r="AT224" s="68"/>
      <c r="AU224" s="68"/>
      <c r="AV224" s="68"/>
      <c r="AW224" s="68"/>
      <c r="AX224" s="68"/>
      <c r="AY224" s="68"/>
      <c r="AZ224" s="68"/>
      <c r="BA224" s="68"/>
      <c r="BB224" s="68"/>
      <c r="BC224" s="68"/>
      <c r="BD224" s="68"/>
      <c r="BE224" s="68"/>
      <c r="BF224" s="68"/>
      <c r="BG224" s="68"/>
      <c r="BH224" s="68"/>
      <c r="BI224" s="68"/>
      <c r="BJ224" s="68"/>
      <c r="BK224" s="68"/>
      <c r="BL224" s="68"/>
      <c r="BM224" s="68"/>
      <c r="BN224" s="68"/>
    </row>
    <row r="225" spans="1:66" ht="17">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c r="AJ225" s="68"/>
      <c r="AK225" s="68"/>
      <c r="AL225" s="68"/>
      <c r="AM225" s="68"/>
      <c r="AN225" s="68"/>
      <c r="AO225" s="68"/>
      <c r="AP225" s="68"/>
      <c r="AQ225" s="68"/>
      <c r="AR225" s="68"/>
      <c r="AS225" s="68"/>
      <c r="AT225" s="68"/>
      <c r="AU225" s="68"/>
      <c r="AV225" s="68"/>
      <c r="AW225" s="68"/>
      <c r="AX225" s="68"/>
      <c r="AY225" s="68"/>
      <c r="AZ225" s="68"/>
      <c r="BA225" s="68"/>
      <c r="BB225" s="68"/>
      <c r="BC225" s="68"/>
      <c r="BD225" s="68"/>
      <c r="BE225" s="68"/>
      <c r="BF225" s="68"/>
      <c r="BG225" s="68"/>
      <c r="BH225" s="68"/>
      <c r="BI225" s="68"/>
      <c r="BJ225" s="68"/>
      <c r="BK225" s="68"/>
      <c r="BL225" s="68"/>
      <c r="BM225" s="68"/>
      <c r="BN225" s="68"/>
    </row>
    <row r="226" spans="1:66" ht="17">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c r="AJ226" s="68"/>
      <c r="AK226" s="68"/>
      <c r="AL226" s="68"/>
      <c r="AM226" s="68"/>
      <c r="AN226" s="68"/>
      <c r="AO226" s="68"/>
      <c r="AP226" s="68"/>
      <c r="AQ226" s="68"/>
      <c r="AR226" s="68"/>
      <c r="AS226" s="68"/>
      <c r="AT226" s="68"/>
      <c r="AU226" s="68"/>
      <c r="AV226" s="68"/>
      <c r="AW226" s="68"/>
      <c r="AX226" s="68"/>
      <c r="AY226" s="68"/>
      <c r="AZ226" s="68"/>
      <c r="BA226" s="68"/>
      <c r="BB226" s="68"/>
      <c r="BC226" s="68"/>
      <c r="BD226" s="68"/>
      <c r="BE226" s="68"/>
      <c r="BF226" s="68"/>
      <c r="BG226" s="68"/>
      <c r="BH226" s="68"/>
      <c r="BI226" s="68"/>
      <c r="BJ226" s="68"/>
      <c r="BK226" s="68"/>
      <c r="BL226" s="68"/>
      <c r="BM226" s="68"/>
      <c r="BN226" s="68"/>
    </row>
    <row r="227" spans="1:66" ht="1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c r="AH227" s="68"/>
      <c r="AI227" s="68"/>
      <c r="AJ227" s="68"/>
      <c r="AK227" s="68"/>
      <c r="AL227" s="68"/>
      <c r="AM227" s="68"/>
      <c r="AN227" s="68"/>
      <c r="AO227" s="68"/>
      <c r="AP227" s="68"/>
      <c r="AQ227" s="68"/>
      <c r="AR227" s="68"/>
      <c r="AS227" s="68"/>
      <c r="AT227" s="68"/>
      <c r="AU227" s="68"/>
      <c r="AV227" s="68"/>
      <c r="AW227" s="68"/>
      <c r="AX227" s="68"/>
      <c r="AY227" s="68"/>
      <c r="AZ227" s="68"/>
      <c r="BA227" s="68"/>
      <c r="BB227" s="68"/>
      <c r="BC227" s="68"/>
      <c r="BD227" s="68"/>
      <c r="BE227" s="68"/>
      <c r="BF227" s="68"/>
      <c r="BG227" s="68"/>
      <c r="BH227" s="68"/>
      <c r="BI227" s="68"/>
      <c r="BJ227" s="68"/>
      <c r="BK227" s="68"/>
      <c r="BL227" s="68"/>
      <c r="BM227" s="68"/>
      <c r="BN227" s="68"/>
    </row>
    <row r="228" spans="1:66" ht="17">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c r="AH228" s="68"/>
      <c r="AI228" s="68"/>
      <c r="AJ228" s="68"/>
      <c r="AK228" s="68"/>
      <c r="AL228" s="68"/>
      <c r="AM228" s="68"/>
      <c r="AN228" s="68"/>
      <c r="AO228" s="68"/>
      <c r="AP228" s="68"/>
      <c r="AQ228" s="68"/>
      <c r="AR228" s="68"/>
      <c r="AS228" s="68"/>
      <c r="AT228" s="68"/>
      <c r="AU228" s="68"/>
      <c r="AV228" s="68"/>
      <c r="AW228" s="68"/>
      <c r="AX228" s="68"/>
      <c r="AY228" s="68"/>
      <c r="AZ228" s="68"/>
      <c r="BA228" s="68"/>
      <c r="BB228" s="68"/>
      <c r="BC228" s="68"/>
      <c r="BD228" s="68"/>
      <c r="BE228" s="68"/>
      <c r="BF228" s="68"/>
      <c r="BG228" s="68"/>
      <c r="BH228" s="68"/>
      <c r="BI228" s="68"/>
      <c r="BJ228" s="68"/>
      <c r="BK228" s="68"/>
      <c r="BL228" s="68"/>
      <c r="BM228" s="68"/>
      <c r="BN228" s="68"/>
    </row>
    <row r="229" spans="1:66" ht="17">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c r="AH229" s="68"/>
      <c r="AI229" s="68"/>
      <c r="AJ229" s="68"/>
      <c r="AK229" s="68"/>
      <c r="AL229" s="68"/>
      <c r="AM229" s="68"/>
      <c r="AN229" s="68"/>
      <c r="AO229" s="68"/>
      <c r="AP229" s="68"/>
      <c r="AQ229" s="68"/>
      <c r="AR229" s="68"/>
      <c r="AS229" s="68"/>
      <c r="AT229" s="68"/>
      <c r="AU229" s="68"/>
      <c r="AV229" s="68"/>
      <c r="AW229" s="68"/>
      <c r="AX229" s="68"/>
      <c r="AY229" s="68"/>
      <c r="AZ229" s="68"/>
      <c r="BA229" s="68"/>
      <c r="BB229" s="68"/>
      <c r="BC229" s="68"/>
      <c r="BD229" s="68"/>
      <c r="BE229" s="68"/>
      <c r="BF229" s="68"/>
      <c r="BG229" s="68"/>
      <c r="BH229" s="68"/>
      <c r="BI229" s="68"/>
      <c r="BJ229" s="68"/>
      <c r="BK229" s="68"/>
      <c r="BL229" s="68"/>
      <c r="BM229" s="68"/>
      <c r="BN229" s="68"/>
    </row>
    <row r="230" spans="1:66" ht="17">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c r="AJ230" s="68"/>
      <c r="AK230" s="68"/>
      <c r="AL230" s="68"/>
      <c r="AM230" s="68"/>
      <c r="AN230" s="68"/>
      <c r="AO230" s="68"/>
      <c r="AP230" s="68"/>
      <c r="AQ230" s="68"/>
      <c r="AR230" s="68"/>
      <c r="AS230" s="68"/>
      <c r="AT230" s="68"/>
      <c r="AU230" s="68"/>
      <c r="AV230" s="68"/>
      <c r="AW230" s="68"/>
      <c r="AX230" s="68"/>
      <c r="AY230" s="68"/>
      <c r="AZ230" s="68"/>
      <c r="BA230" s="68"/>
      <c r="BB230" s="68"/>
      <c r="BC230" s="68"/>
      <c r="BD230" s="68"/>
      <c r="BE230" s="68"/>
      <c r="BF230" s="68"/>
      <c r="BG230" s="68"/>
      <c r="BH230" s="68"/>
      <c r="BI230" s="68"/>
      <c r="BJ230" s="68"/>
      <c r="BK230" s="68"/>
      <c r="BL230" s="68"/>
      <c r="BM230" s="68"/>
      <c r="BN230" s="68"/>
    </row>
    <row r="231" spans="1:66" ht="17">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c r="AJ231" s="68"/>
      <c r="AK231" s="68"/>
      <c r="AL231" s="68"/>
      <c r="AM231" s="68"/>
      <c r="AN231" s="68"/>
      <c r="AO231" s="68"/>
      <c r="AP231" s="68"/>
      <c r="AQ231" s="68"/>
      <c r="AR231" s="68"/>
      <c r="AS231" s="68"/>
      <c r="AT231" s="68"/>
      <c r="AU231" s="68"/>
      <c r="AV231" s="68"/>
      <c r="AW231" s="68"/>
      <c r="AX231" s="68"/>
      <c r="AY231" s="68"/>
      <c r="AZ231" s="68"/>
      <c r="BA231" s="68"/>
      <c r="BB231" s="68"/>
      <c r="BC231" s="68"/>
      <c r="BD231" s="68"/>
      <c r="BE231" s="68"/>
      <c r="BF231" s="68"/>
      <c r="BG231" s="68"/>
      <c r="BH231" s="68"/>
      <c r="BI231" s="68"/>
      <c r="BJ231" s="68"/>
      <c r="BK231" s="68"/>
      <c r="BL231" s="68"/>
      <c r="BM231" s="68"/>
      <c r="BN231" s="68"/>
    </row>
    <row r="232" spans="1:66" ht="17">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c r="AH232" s="68"/>
      <c r="AI232" s="68"/>
      <c r="AJ232" s="68"/>
      <c r="AK232" s="68"/>
      <c r="AL232" s="68"/>
      <c r="AM232" s="68"/>
      <c r="AN232" s="68"/>
      <c r="AO232" s="68"/>
      <c r="AP232" s="68"/>
      <c r="AQ232" s="68"/>
      <c r="AR232" s="68"/>
      <c r="AS232" s="68"/>
      <c r="AT232" s="68"/>
      <c r="AU232" s="68"/>
      <c r="AV232" s="68"/>
      <c r="AW232" s="68"/>
      <c r="AX232" s="68"/>
      <c r="AY232" s="68"/>
      <c r="AZ232" s="68"/>
      <c r="BA232" s="68"/>
      <c r="BB232" s="68"/>
      <c r="BC232" s="68"/>
      <c r="BD232" s="68"/>
      <c r="BE232" s="68"/>
      <c r="BF232" s="68"/>
      <c r="BG232" s="68"/>
      <c r="BH232" s="68"/>
      <c r="BI232" s="68"/>
      <c r="BJ232" s="68"/>
      <c r="BK232" s="68"/>
      <c r="BL232" s="68"/>
      <c r="BM232" s="68"/>
      <c r="BN232" s="68"/>
    </row>
    <row r="233" spans="1:66" ht="17">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68"/>
      <c r="AG233" s="68"/>
      <c r="AH233" s="68"/>
      <c r="AI233" s="68"/>
      <c r="AJ233" s="68"/>
      <c r="AK233" s="68"/>
      <c r="AL233" s="68"/>
      <c r="AM233" s="68"/>
      <c r="AN233" s="68"/>
      <c r="AO233" s="68"/>
      <c r="AP233" s="68"/>
      <c r="AQ233" s="68"/>
      <c r="AR233" s="68"/>
      <c r="AS233" s="68"/>
      <c r="AT233" s="68"/>
      <c r="AU233" s="68"/>
      <c r="AV233" s="68"/>
      <c r="AW233" s="68"/>
      <c r="AX233" s="68"/>
      <c r="AY233" s="68"/>
      <c r="AZ233" s="68"/>
      <c r="BA233" s="68"/>
      <c r="BB233" s="68"/>
      <c r="BC233" s="68"/>
      <c r="BD233" s="68"/>
      <c r="BE233" s="68"/>
      <c r="BF233" s="68"/>
      <c r="BG233" s="68"/>
      <c r="BH233" s="68"/>
      <c r="BI233" s="68"/>
      <c r="BJ233" s="68"/>
      <c r="BK233" s="68"/>
      <c r="BL233" s="68"/>
      <c r="BM233" s="68"/>
      <c r="BN233" s="68"/>
    </row>
    <row r="234" spans="1:66" ht="17">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68"/>
      <c r="AG234" s="68"/>
      <c r="AH234" s="68"/>
      <c r="AI234" s="68"/>
      <c r="AJ234" s="68"/>
      <c r="AK234" s="68"/>
      <c r="AL234" s="68"/>
      <c r="AM234" s="68"/>
      <c r="AN234" s="68"/>
      <c r="AO234" s="68"/>
      <c r="AP234" s="68"/>
      <c r="AQ234" s="68"/>
      <c r="AR234" s="68"/>
      <c r="AS234" s="68"/>
      <c r="AT234" s="68"/>
      <c r="AU234" s="68"/>
      <c r="AV234" s="68"/>
      <c r="AW234" s="68"/>
      <c r="AX234" s="68"/>
      <c r="AY234" s="68"/>
      <c r="AZ234" s="68"/>
      <c r="BA234" s="68"/>
      <c r="BB234" s="68"/>
      <c r="BC234" s="68"/>
      <c r="BD234" s="68"/>
      <c r="BE234" s="68"/>
      <c r="BF234" s="68"/>
      <c r="BG234" s="68"/>
      <c r="BH234" s="68"/>
      <c r="BI234" s="68"/>
      <c r="BJ234" s="68"/>
      <c r="BK234" s="68"/>
      <c r="BL234" s="68"/>
      <c r="BM234" s="68"/>
      <c r="BN234" s="68"/>
    </row>
    <row r="235" spans="1:66" ht="17">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68"/>
      <c r="AG235" s="68"/>
      <c r="AH235" s="68"/>
      <c r="AI235" s="68"/>
      <c r="AJ235" s="68"/>
      <c r="AK235" s="68"/>
      <c r="AL235" s="68"/>
      <c r="AM235" s="68"/>
      <c r="AN235" s="68"/>
      <c r="AO235" s="68"/>
      <c r="AP235" s="68"/>
      <c r="AQ235" s="68"/>
      <c r="AR235" s="68"/>
      <c r="AS235" s="68"/>
      <c r="AT235" s="68"/>
      <c r="AU235" s="68"/>
      <c r="AV235" s="68"/>
      <c r="AW235" s="68"/>
      <c r="AX235" s="68"/>
      <c r="AY235" s="68"/>
      <c r="AZ235" s="68"/>
      <c r="BA235" s="68"/>
      <c r="BB235" s="68"/>
      <c r="BC235" s="68"/>
      <c r="BD235" s="68"/>
      <c r="BE235" s="68"/>
      <c r="BF235" s="68"/>
      <c r="BG235" s="68"/>
      <c r="BH235" s="68"/>
      <c r="BI235" s="68"/>
      <c r="BJ235" s="68"/>
      <c r="BK235" s="68"/>
      <c r="BL235" s="68"/>
      <c r="BM235" s="68"/>
      <c r="BN235" s="68"/>
    </row>
    <row r="236" spans="1:66" ht="17">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c r="AH236" s="68"/>
      <c r="AI236" s="68"/>
      <c r="AJ236" s="68"/>
      <c r="AK236" s="68"/>
      <c r="AL236" s="68"/>
      <c r="AM236" s="68"/>
      <c r="AN236" s="68"/>
      <c r="AO236" s="68"/>
      <c r="AP236" s="68"/>
      <c r="AQ236" s="68"/>
      <c r="AR236" s="68"/>
      <c r="AS236" s="68"/>
      <c r="AT236" s="68"/>
      <c r="AU236" s="68"/>
      <c r="AV236" s="68"/>
      <c r="AW236" s="68"/>
      <c r="AX236" s="68"/>
      <c r="AY236" s="68"/>
      <c r="AZ236" s="68"/>
      <c r="BA236" s="68"/>
      <c r="BB236" s="68"/>
      <c r="BC236" s="68"/>
      <c r="BD236" s="68"/>
      <c r="BE236" s="68"/>
      <c r="BF236" s="68"/>
      <c r="BG236" s="68"/>
      <c r="BH236" s="68"/>
      <c r="BI236" s="68"/>
      <c r="BJ236" s="68"/>
      <c r="BK236" s="68"/>
      <c r="BL236" s="68"/>
      <c r="BM236" s="68"/>
      <c r="BN236" s="68"/>
    </row>
    <row r="237" spans="1:66" ht="1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c r="AG237" s="68"/>
      <c r="AH237" s="68"/>
      <c r="AI237" s="68"/>
      <c r="AJ237" s="68"/>
      <c r="AK237" s="68"/>
      <c r="AL237" s="68"/>
      <c r="AM237" s="68"/>
      <c r="AN237" s="68"/>
      <c r="AO237" s="68"/>
      <c r="AP237" s="68"/>
      <c r="AQ237" s="68"/>
      <c r="AR237" s="68"/>
      <c r="AS237" s="68"/>
      <c r="AT237" s="68"/>
      <c r="AU237" s="68"/>
      <c r="AV237" s="68"/>
      <c r="AW237" s="68"/>
      <c r="AX237" s="68"/>
      <c r="AY237" s="68"/>
      <c r="AZ237" s="68"/>
      <c r="BA237" s="68"/>
      <c r="BB237" s="68"/>
      <c r="BC237" s="68"/>
      <c r="BD237" s="68"/>
      <c r="BE237" s="68"/>
      <c r="BF237" s="68"/>
      <c r="BG237" s="68"/>
      <c r="BH237" s="68"/>
      <c r="BI237" s="68"/>
      <c r="BJ237" s="68"/>
      <c r="BK237" s="68"/>
      <c r="BL237" s="68"/>
      <c r="BM237" s="68"/>
      <c r="BN237" s="68"/>
    </row>
    <row r="238" spans="1:66" ht="17">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c r="AH238" s="68"/>
      <c r="AI238" s="68"/>
      <c r="AJ238" s="68"/>
      <c r="AK238" s="68"/>
      <c r="AL238" s="68"/>
      <c r="AM238" s="68"/>
      <c r="AN238" s="68"/>
      <c r="AO238" s="68"/>
      <c r="AP238" s="68"/>
      <c r="AQ238" s="68"/>
      <c r="AR238" s="68"/>
      <c r="AS238" s="68"/>
      <c r="AT238" s="68"/>
      <c r="AU238" s="68"/>
      <c r="AV238" s="68"/>
      <c r="AW238" s="68"/>
      <c r="AX238" s="68"/>
      <c r="AY238" s="68"/>
      <c r="AZ238" s="68"/>
      <c r="BA238" s="68"/>
      <c r="BB238" s="68"/>
      <c r="BC238" s="68"/>
      <c r="BD238" s="68"/>
      <c r="BE238" s="68"/>
      <c r="BF238" s="68"/>
      <c r="BG238" s="68"/>
      <c r="BH238" s="68"/>
      <c r="BI238" s="68"/>
      <c r="BJ238" s="68"/>
      <c r="BK238" s="68"/>
      <c r="BL238" s="68"/>
      <c r="BM238" s="68"/>
      <c r="BN238" s="68"/>
    </row>
    <row r="239" spans="1:66" ht="17">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c r="AH239" s="68"/>
      <c r="AI239" s="68"/>
      <c r="AJ239" s="68"/>
      <c r="AK239" s="68"/>
      <c r="AL239" s="68"/>
      <c r="AM239" s="68"/>
      <c r="AN239" s="68"/>
      <c r="AO239" s="68"/>
      <c r="AP239" s="68"/>
      <c r="AQ239" s="68"/>
      <c r="AR239" s="68"/>
      <c r="AS239" s="68"/>
      <c r="AT239" s="68"/>
      <c r="AU239" s="68"/>
      <c r="AV239" s="68"/>
      <c r="AW239" s="68"/>
      <c r="AX239" s="68"/>
      <c r="AY239" s="68"/>
      <c r="AZ239" s="68"/>
      <c r="BA239" s="68"/>
      <c r="BB239" s="68"/>
      <c r="BC239" s="68"/>
      <c r="BD239" s="68"/>
      <c r="BE239" s="68"/>
      <c r="BF239" s="68"/>
      <c r="BG239" s="68"/>
      <c r="BH239" s="68"/>
      <c r="BI239" s="68"/>
      <c r="BJ239" s="68"/>
      <c r="BK239" s="68"/>
      <c r="BL239" s="68"/>
      <c r="BM239" s="68"/>
      <c r="BN239" s="68"/>
    </row>
    <row r="240" spans="1:66" ht="17">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c r="AH240" s="68"/>
      <c r="AI240" s="68"/>
      <c r="AJ240" s="68"/>
      <c r="AK240" s="68"/>
      <c r="AL240" s="68"/>
      <c r="AM240" s="68"/>
      <c r="AN240" s="68"/>
      <c r="AO240" s="68"/>
      <c r="AP240" s="68"/>
      <c r="AQ240" s="68"/>
      <c r="AR240" s="68"/>
      <c r="AS240" s="68"/>
      <c r="AT240" s="68"/>
      <c r="AU240" s="68"/>
      <c r="AV240" s="68"/>
      <c r="AW240" s="68"/>
      <c r="AX240" s="68"/>
      <c r="AY240" s="68"/>
      <c r="AZ240" s="68"/>
      <c r="BA240" s="68"/>
      <c r="BB240" s="68"/>
      <c r="BC240" s="68"/>
      <c r="BD240" s="68"/>
      <c r="BE240" s="68"/>
      <c r="BF240" s="68"/>
      <c r="BG240" s="68"/>
      <c r="BH240" s="68"/>
      <c r="BI240" s="68"/>
      <c r="BJ240" s="68"/>
      <c r="BK240" s="68"/>
      <c r="BL240" s="68"/>
      <c r="BM240" s="68"/>
      <c r="BN240" s="68"/>
    </row>
    <row r="241" spans="1:66" ht="17">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c r="AH241" s="68"/>
      <c r="AI241" s="68"/>
      <c r="AJ241" s="68"/>
      <c r="AK241" s="68"/>
      <c r="AL241" s="68"/>
      <c r="AM241" s="68"/>
      <c r="AN241" s="68"/>
      <c r="AO241" s="68"/>
      <c r="AP241" s="68"/>
      <c r="AQ241" s="68"/>
      <c r="AR241" s="68"/>
      <c r="AS241" s="68"/>
      <c r="AT241" s="68"/>
      <c r="AU241" s="68"/>
      <c r="AV241" s="68"/>
      <c r="AW241" s="68"/>
      <c r="AX241" s="68"/>
      <c r="AY241" s="68"/>
      <c r="AZ241" s="68"/>
      <c r="BA241" s="68"/>
      <c r="BB241" s="68"/>
      <c r="BC241" s="68"/>
      <c r="BD241" s="68"/>
      <c r="BE241" s="68"/>
      <c r="BF241" s="68"/>
      <c r="BG241" s="68"/>
      <c r="BH241" s="68"/>
      <c r="BI241" s="68"/>
      <c r="BJ241" s="68"/>
      <c r="BK241" s="68"/>
      <c r="BL241" s="68"/>
      <c r="BM241" s="68"/>
      <c r="BN241" s="68"/>
    </row>
    <row r="242" spans="1:66" ht="17">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c r="AG242" s="68"/>
      <c r="AH242" s="68"/>
      <c r="AI242" s="68"/>
      <c r="AJ242" s="68"/>
      <c r="AK242" s="68"/>
      <c r="AL242" s="68"/>
      <c r="AM242" s="68"/>
      <c r="AN242" s="68"/>
      <c r="AO242" s="68"/>
      <c r="AP242" s="68"/>
      <c r="AQ242" s="68"/>
      <c r="AR242" s="68"/>
      <c r="AS242" s="68"/>
      <c r="AT242" s="68"/>
      <c r="AU242" s="68"/>
      <c r="AV242" s="68"/>
      <c r="AW242" s="68"/>
      <c r="AX242" s="68"/>
      <c r="AY242" s="68"/>
      <c r="AZ242" s="68"/>
      <c r="BA242" s="68"/>
      <c r="BB242" s="68"/>
      <c r="BC242" s="68"/>
      <c r="BD242" s="68"/>
      <c r="BE242" s="68"/>
      <c r="BF242" s="68"/>
      <c r="BG242" s="68"/>
      <c r="BH242" s="68"/>
      <c r="BI242" s="68"/>
      <c r="BJ242" s="68"/>
      <c r="BK242" s="68"/>
      <c r="BL242" s="68"/>
      <c r="BM242" s="68"/>
      <c r="BN242" s="68"/>
    </row>
    <row r="243" spans="1:66" ht="17">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c r="AH243" s="68"/>
      <c r="AI243" s="68"/>
      <c r="AJ243" s="68"/>
      <c r="AK243" s="68"/>
      <c r="AL243" s="68"/>
      <c r="AM243" s="68"/>
      <c r="AN243" s="68"/>
      <c r="AO243" s="68"/>
      <c r="AP243" s="68"/>
      <c r="AQ243" s="68"/>
      <c r="AR243" s="68"/>
      <c r="AS243" s="68"/>
      <c r="AT243" s="68"/>
      <c r="AU243" s="68"/>
      <c r="AV243" s="68"/>
      <c r="AW243" s="68"/>
      <c r="AX243" s="68"/>
      <c r="AY243" s="68"/>
      <c r="AZ243" s="68"/>
      <c r="BA243" s="68"/>
      <c r="BB243" s="68"/>
      <c r="BC243" s="68"/>
      <c r="BD243" s="68"/>
      <c r="BE243" s="68"/>
      <c r="BF243" s="68"/>
      <c r="BG243" s="68"/>
      <c r="BH243" s="68"/>
      <c r="BI243" s="68"/>
      <c r="BJ243" s="68"/>
      <c r="BK243" s="68"/>
      <c r="BL243" s="68"/>
      <c r="BM243" s="68"/>
      <c r="BN243" s="68"/>
    </row>
    <row r="244" spans="1:66" ht="17">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c r="AH244" s="68"/>
      <c r="AI244" s="68"/>
      <c r="AJ244" s="68"/>
      <c r="AK244" s="68"/>
      <c r="AL244" s="68"/>
      <c r="AM244" s="68"/>
      <c r="AN244" s="68"/>
      <c r="AO244" s="68"/>
      <c r="AP244" s="68"/>
      <c r="AQ244" s="68"/>
      <c r="AR244" s="68"/>
      <c r="AS244" s="68"/>
      <c r="AT244" s="68"/>
      <c r="AU244" s="68"/>
      <c r="AV244" s="68"/>
      <c r="AW244" s="68"/>
      <c r="AX244" s="68"/>
      <c r="AY244" s="68"/>
      <c r="AZ244" s="68"/>
      <c r="BA244" s="68"/>
      <c r="BB244" s="68"/>
      <c r="BC244" s="68"/>
      <c r="BD244" s="68"/>
      <c r="BE244" s="68"/>
      <c r="BF244" s="68"/>
      <c r="BG244" s="68"/>
      <c r="BH244" s="68"/>
      <c r="BI244" s="68"/>
      <c r="BJ244" s="68"/>
      <c r="BK244" s="68"/>
      <c r="BL244" s="68"/>
      <c r="BM244" s="68"/>
      <c r="BN244" s="68"/>
    </row>
    <row r="245" spans="1:66" ht="17">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c r="AJ245" s="68"/>
      <c r="AK245" s="68"/>
      <c r="AL245" s="68"/>
      <c r="AM245" s="68"/>
      <c r="AN245" s="68"/>
      <c r="AO245" s="68"/>
      <c r="AP245" s="68"/>
      <c r="AQ245" s="68"/>
      <c r="AR245" s="68"/>
      <c r="AS245" s="68"/>
      <c r="AT245" s="68"/>
      <c r="AU245" s="68"/>
      <c r="AV245" s="68"/>
      <c r="AW245" s="68"/>
      <c r="AX245" s="68"/>
      <c r="AY245" s="68"/>
      <c r="AZ245" s="68"/>
      <c r="BA245" s="68"/>
      <c r="BB245" s="68"/>
      <c r="BC245" s="68"/>
      <c r="BD245" s="68"/>
      <c r="BE245" s="68"/>
      <c r="BF245" s="68"/>
      <c r="BG245" s="68"/>
      <c r="BH245" s="68"/>
      <c r="BI245" s="68"/>
      <c r="BJ245" s="68"/>
      <c r="BK245" s="68"/>
      <c r="BL245" s="68"/>
      <c r="BM245" s="68"/>
      <c r="BN245" s="68"/>
    </row>
    <row r="246" spans="1:66" ht="17">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c r="AJ246" s="68"/>
      <c r="AK246" s="68"/>
      <c r="AL246" s="68"/>
      <c r="AM246" s="68"/>
      <c r="AN246" s="68"/>
      <c r="AO246" s="68"/>
      <c r="AP246" s="68"/>
      <c r="AQ246" s="68"/>
      <c r="AR246" s="68"/>
      <c r="AS246" s="68"/>
      <c r="AT246" s="68"/>
      <c r="AU246" s="68"/>
      <c r="AV246" s="68"/>
      <c r="AW246" s="68"/>
      <c r="AX246" s="68"/>
      <c r="AY246" s="68"/>
      <c r="AZ246" s="68"/>
      <c r="BA246" s="68"/>
      <c r="BB246" s="68"/>
      <c r="BC246" s="68"/>
      <c r="BD246" s="68"/>
      <c r="BE246" s="68"/>
      <c r="BF246" s="68"/>
      <c r="BG246" s="68"/>
      <c r="BH246" s="68"/>
      <c r="BI246" s="68"/>
      <c r="BJ246" s="68"/>
      <c r="BK246" s="68"/>
      <c r="BL246" s="68"/>
      <c r="BM246" s="68"/>
      <c r="BN246" s="68"/>
    </row>
    <row r="247" spans="1:66" ht="1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c r="AJ247" s="68"/>
      <c r="AK247" s="68"/>
      <c r="AL247" s="68"/>
      <c r="AM247" s="68"/>
      <c r="AN247" s="68"/>
      <c r="AO247" s="68"/>
      <c r="AP247" s="68"/>
      <c r="AQ247" s="68"/>
      <c r="AR247" s="68"/>
      <c r="AS247" s="68"/>
      <c r="AT247" s="68"/>
      <c r="AU247" s="68"/>
      <c r="AV247" s="68"/>
      <c r="AW247" s="68"/>
      <c r="AX247" s="68"/>
      <c r="AY247" s="68"/>
      <c r="AZ247" s="68"/>
      <c r="BA247" s="68"/>
      <c r="BB247" s="68"/>
      <c r="BC247" s="68"/>
      <c r="BD247" s="68"/>
      <c r="BE247" s="68"/>
      <c r="BF247" s="68"/>
      <c r="BG247" s="68"/>
      <c r="BH247" s="68"/>
      <c r="BI247" s="68"/>
      <c r="BJ247" s="68"/>
      <c r="BK247" s="68"/>
      <c r="BL247" s="68"/>
      <c r="BM247" s="68"/>
      <c r="BN247" s="68"/>
    </row>
    <row r="248" spans="1:66" ht="17">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c r="AH248" s="68"/>
      <c r="AI248" s="68"/>
      <c r="AJ248" s="68"/>
      <c r="AK248" s="68"/>
      <c r="AL248" s="68"/>
      <c r="AM248" s="68"/>
      <c r="AN248" s="68"/>
      <c r="AO248" s="68"/>
      <c r="AP248" s="68"/>
      <c r="AQ248" s="68"/>
      <c r="AR248" s="68"/>
      <c r="AS248" s="68"/>
      <c r="AT248" s="68"/>
      <c r="AU248" s="68"/>
      <c r="AV248" s="68"/>
      <c r="AW248" s="68"/>
      <c r="AX248" s="68"/>
      <c r="AY248" s="68"/>
      <c r="AZ248" s="68"/>
      <c r="BA248" s="68"/>
      <c r="BB248" s="68"/>
      <c r="BC248" s="68"/>
      <c r="BD248" s="68"/>
      <c r="BE248" s="68"/>
      <c r="BF248" s="68"/>
      <c r="BG248" s="68"/>
      <c r="BH248" s="68"/>
      <c r="BI248" s="68"/>
      <c r="BJ248" s="68"/>
      <c r="BK248" s="68"/>
      <c r="BL248" s="68"/>
      <c r="BM248" s="68"/>
      <c r="BN248" s="68"/>
    </row>
    <row r="249" spans="1:66" ht="17">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c r="AJ249" s="68"/>
      <c r="AK249" s="68"/>
      <c r="AL249" s="68"/>
      <c r="AM249" s="68"/>
      <c r="AN249" s="68"/>
      <c r="AO249" s="68"/>
      <c r="AP249" s="68"/>
      <c r="AQ249" s="68"/>
      <c r="AR249" s="68"/>
      <c r="AS249" s="68"/>
      <c r="AT249" s="68"/>
      <c r="AU249" s="68"/>
      <c r="AV249" s="68"/>
      <c r="AW249" s="68"/>
      <c r="AX249" s="68"/>
      <c r="AY249" s="68"/>
      <c r="AZ249" s="68"/>
      <c r="BA249" s="68"/>
      <c r="BB249" s="68"/>
      <c r="BC249" s="68"/>
      <c r="BD249" s="68"/>
      <c r="BE249" s="68"/>
      <c r="BF249" s="68"/>
      <c r="BG249" s="68"/>
      <c r="BH249" s="68"/>
      <c r="BI249" s="68"/>
      <c r="BJ249" s="68"/>
      <c r="BK249" s="68"/>
      <c r="BL249" s="68"/>
      <c r="BM249" s="68"/>
      <c r="BN249" s="68"/>
    </row>
    <row r="250" spans="1:66" ht="17">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c r="AG250" s="68"/>
      <c r="AH250" s="68"/>
      <c r="AI250" s="68"/>
      <c r="AJ250" s="68"/>
      <c r="AK250" s="68"/>
      <c r="AL250" s="68"/>
      <c r="AM250" s="68"/>
      <c r="AN250" s="68"/>
      <c r="AO250" s="68"/>
      <c r="AP250" s="68"/>
      <c r="AQ250" s="68"/>
      <c r="AR250" s="68"/>
      <c r="AS250" s="68"/>
      <c r="AT250" s="68"/>
      <c r="AU250" s="68"/>
      <c r="AV250" s="68"/>
      <c r="AW250" s="68"/>
      <c r="AX250" s="68"/>
      <c r="AY250" s="68"/>
      <c r="AZ250" s="68"/>
      <c r="BA250" s="68"/>
      <c r="BB250" s="68"/>
      <c r="BC250" s="68"/>
      <c r="BD250" s="68"/>
      <c r="BE250" s="68"/>
      <c r="BF250" s="68"/>
      <c r="BG250" s="68"/>
      <c r="BH250" s="68"/>
      <c r="BI250" s="68"/>
      <c r="BJ250" s="68"/>
      <c r="BK250" s="68"/>
      <c r="BL250" s="68"/>
      <c r="BM250" s="68"/>
      <c r="BN250" s="68"/>
    </row>
    <row r="251" spans="1:66" ht="17">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68"/>
      <c r="AG251" s="68"/>
      <c r="AH251" s="68"/>
      <c r="AI251" s="68"/>
      <c r="AJ251" s="68"/>
      <c r="AK251" s="68"/>
      <c r="AL251" s="68"/>
      <c r="AM251" s="68"/>
      <c r="AN251" s="68"/>
      <c r="AO251" s="68"/>
      <c r="AP251" s="68"/>
      <c r="AQ251" s="68"/>
      <c r="AR251" s="68"/>
      <c r="AS251" s="68"/>
      <c r="AT251" s="68"/>
      <c r="AU251" s="68"/>
      <c r="AV251" s="68"/>
      <c r="AW251" s="68"/>
      <c r="AX251" s="68"/>
      <c r="AY251" s="68"/>
      <c r="AZ251" s="68"/>
      <c r="BA251" s="68"/>
      <c r="BB251" s="68"/>
      <c r="BC251" s="68"/>
      <c r="BD251" s="68"/>
      <c r="BE251" s="68"/>
      <c r="BF251" s="68"/>
      <c r="BG251" s="68"/>
      <c r="BH251" s="68"/>
      <c r="BI251" s="68"/>
      <c r="BJ251" s="68"/>
      <c r="BK251" s="68"/>
      <c r="BL251" s="68"/>
      <c r="BM251" s="68"/>
      <c r="BN251" s="68"/>
    </row>
    <row r="252" spans="1:66" ht="17">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68"/>
      <c r="AG252" s="68"/>
      <c r="AH252" s="68"/>
      <c r="AI252" s="68"/>
      <c r="AJ252" s="68"/>
      <c r="AK252" s="68"/>
      <c r="AL252" s="68"/>
      <c r="AM252" s="68"/>
      <c r="AN252" s="68"/>
      <c r="AO252" s="68"/>
      <c r="AP252" s="68"/>
      <c r="AQ252" s="68"/>
      <c r="AR252" s="68"/>
      <c r="AS252" s="68"/>
      <c r="AT252" s="68"/>
      <c r="AU252" s="68"/>
      <c r="AV252" s="68"/>
      <c r="AW252" s="68"/>
      <c r="AX252" s="68"/>
      <c r="AY252" s="68"/>
      <c r="AZ252" s="68"/>
      <c r="BA252" s="68"/>
      <c r="BB252" s="68"/>
      <c r="BC252" s="68"/>
      <c r="BD252" s="68"/>
      <c r="BE252" s="68"/>
      <c r="BF252" s="68"/>
      <c r="BG252" s="68"/>
      <c r="BH252" s="68"/>
      <c r="BI252" s="68"/>
      <c r="BJ252" s="68"/>
      <c r="BK252" s="68"/>
      <c r="BL252" s="68"/>
      <c r="BM252" s="68"/>
      <c r="BN252" s="68"/>
    </row>
    <row r="253" spans="1:66" ht="17">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68"/>
      <c r="AG253" s="68"/>
      <c r="AH253" s="68"/>
      <c r="AI253" s="68"/>
      <c r="AJ253" s="68"/>
      <c r="AK253" s="68"/>
      <c r="AL253" s="68"/>
      <c r="AM253" s="68"/>
      <c r="AN253" s="68"/>
      <c r="AO253" s="68"/>
      <c r="AP253" s="68"/>
      <c r="AQ253" s="68"/>
      <c r="AR253" s="68"/>
      <c r="AS253" s="68"/>
      <c r="AT253" s="68"/>
      <c r="AU253" s="68"/>
      <c r="AV253" s="68"/>
      <c r="AW253" s="68"/>
      <c r="AX253" s="68"/>
      <c r="AY253" s="68"/>
      <c r="AZ253" s="68"/>
      <c r="BA253" s="68"/>
      <c r="BB253" s="68"/>
      <c r="BC253" s="68"/>
      <c r="BD253" s="68"/>
      <c r="BE253" s="68"/>
      <c r="BF253" s="68"/>
      <c r="BG253" s="68"/>
      <c r="BH253" s="68"/>
      <c r="BI253" s="68"/>
      <c r="BJ253" s="68"/>
      <c r="BK253" s="68"/>
      <c r="BL253" s="68"/>
      <c r="BM253" s="68"/>
      <c r="BN253" s="68"/>
    </row>
    <row r="254" spans="1:66" ht="17">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c r="AG254" s="68"/>
      <c r="AH254" s="68"/>
      <c r="AI254" s="68"/>
      <c r="AJ254" s="68"/>
      <c r="AK254" s="68"/>
      <c r="AL254" s="68"/>
      <c r="AM254" s="68"/>
      <c r="AN254" s="68"/>
      <c r="AO254" s="68"/>
      <c r="AP254" s="68"/>
      <c r="AQ254" s="68"/>
      <c r="AR254" s="68"/>
      <c r="AS254" s="68"/>
      <c r="AT254" s="68"/>
      <c r="AU254" s="68"/>
      <c r="AV254" s="68"/>
      <c r="AW254" s="68"/>
      <c r="AX254" s="68"/>
      <c r="AY254" s="68"/>
      <c r="AZ254" s="68"/>
      <c r="BA254" s="68"/>
      <c r="BB254" s="68"/>
      <c r="BC254" s="68"/>
      <c r="BD254" s="68"/>
      <c r="BE254" s="68"/>
      <c r="BF254" s="68"/>
      <c r="BG254" s="68"/>
      <c r="BH254" s="68"/>
      <c r="BI254" s="68"/>
      <c r="BJ254" s="68"/>
      <c r="BK254" s="68"/>
      <c r="BL254" s="68"/>
      <c r="BM254" s="68"/>
      <c r="BN254" s="68"/>
    </row>
    <row r="255" spans="1:66" ht="17">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68"/>
      <c r="AG255" s="68"/>
      <c r="AH255" s="68"/>
      <c r="AI255" s="68"/>
      <c r="AJ255" s="68"/>
      <c r="AK255" s="68"/>
      <c r="AL255" s="68"/>
      <c r="AM255" s="68"/>
      <c r="AN255" s="68"/>
      <c r="AO255" s="68"/>
      <c r="AP255" s="68"/>
      <c r="AQ255" s="68"/>
      <c r="AR255" s="68"/>
      <c r="AS255" s="68"/>
      <c r="AT255" s="68"/>
      <c r="AU255" s="68"/>
      <c r="AV255" s="68"/>
      <c r="AW255" s="68"/>
      <c r="AX255" s="68"/>
      <c r="AY255" s="68"/>
      <c r="AZ255" s="68"/>
      <c r="BA255" s="68"/>
      <c r="BB255" s="68"/>
      <c r="BC255" s="68"/>
      <c r="BD255" s="68"/>
      <c r="BE255" s="68"/>
      <c r="BF255" s="68"/>
      <c r="BG255" s="68"/>
      <c r="BH255" s="68"/>
      <c r="BI255" s="68"/>
      <c r="BJ255" s="68"/>
      <c r="BK255" s="68"/>
      <c r="BL255" s="68"/>
      <c r="BM255" s="68"/>
      <c r="BN255" s="68"/>
    </row>
    <row r="256" spans="1:66" ht="17">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c r="AG256" s="68"/>
      <c r="AH256" s="68"/>
      <c r="AI256" s="68"/>
      <c r="AJ256" s="68"/>
      <c r="AK256" s="68"/>
      <c r="AL256" s="68"/>
      <c r="AM256" s="68"/>
      <c r="AN256" s="68"/>
      <c r="AO256" s="68"/>
      <c r="AP256" s="68"/>
      <c r="AQ256" s="68"/>
      <c r="AR256" s="68"/>
      <c r="AS256" s="68"/>
      <c r="AT256" s="68"/>
      <c r="AU256" s="68"/>
      <c r="AV256" s="68"/>
      <c r="AW256" s="68"/>
      <c r="AX256" s="68"/>
      <c r="AY256" s="68"/>
      <c r="AZ256" s="68"/>
      <c r="BA256" s="68"/>
      <c r="BB256" s="68"/>
      <c r="BC256" s="68"/>
      <c r="BD256" s="68"/>
      <c r="BE256" s="68"/>
      <c r="BF256" s="68"/>
      <c r="BG256" s="68"/>
      <c r="BH256" s="68"/>
      <c r="BI256" s="68"/>
      <c r="BJ256" s="68"/>
      <c r="BK256" s="68"/>
      <c r="BL256" s="68"/>
      <c r="BM256" s="68"/>
      <c r="BN256" s="68"/>
    </row>
    <row r="257" spans="1:66" ht="1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c r="AG257" s="68"/>
      <c r="AH257" s="68"/>
      <c r="AI257" s="68"/>
      <c r="AJ257" s="68"/>
      <c r="AK257" s="68"/>
      <c r="AL257" s="68"/>
      <c r="AM257" s="68"/>
      <c r="AN257" s="68"/>
      <c r="AO257" s="68"/>
      <c r="AP257" s="68"/>
      <c r="AQ257" s="68"/>
      <c r="AR257" s="68"/>
      <c r="AS257" s="68"/>
      <c r="AT257" s="68"/>
      <c r="AU257" s="68"/>
      <c r="AV257" s="68"/>
      <c r="AW257" s="68"/>
      <c r="AX257" s="68"/>
      <c r="AY257" s="68"/>
      <c r="AZ257" s="68"/>
      <c r="BA257" s="68"/>
      <c r="BB257" s="68"/>
      <c r="BC257" s="68"/>
      <c r="BD257" s="68"/>
      <c r="BE257" s="68"/>
      <c r="BF257" s="68"/>
      <c r="BG257" s="68"/>
      <c r="BH257" s="68"/>
      <c r="BI257" s="68"/>
      <c r="BJ257" s="68"/>
      <c r="BK257" s="68"/>
      <c r="BL257" s="68"/>
      <c r="BM257" s="68"/>
      <c r="BN257" s="68"/>
    </row>
    <row r="258" spans="1:66" ht="17">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c r="AG258" s="68"/>
      <c r="AH258" s="68"/>
      <c r="AI258" s="68"/>
      <c r="AJ258" s="68"/>
      <c r="AK258" s="68"/>
      <c r="AL258" s="68"/>
      <c r="AM258" s="68"/>
      <c r="AN258" s="68"/>
      <c r="AO258" s="68"/>
      <c r="AP258" s="68"/>
      <c r="AQ258" s="68"/>
      <c r="AR258" s="68"/>
      <c r="AS258" s="68"/>
      <c r="AT258" s="68"/>
      <c r="AU258" s="68"/>
      <c r="AV258" s="68"/>
      <c r="AW258" s="68"/>
      <c r="AX258" s="68"/>
      <c r="AY258" s="68"/>
      <c r="AZ258" s="68"/>
      <c r="BA258" s="68"/>
      <c r="BB258" s="68"/>
      <c r="BC258" s="68"/>
      <c r="BD258" s="68"/>
      <c r="BE258" s="68"/>
      <c r="BF258" s="68"/>
      <c r="BG258" s="68"/>
      <c r="BH258" s="68"/>
      <c r="BI258" s="68"/>
      <c r="BJ258" s="68"/>
      <c r="BK258" s="68"/>
      <c r="BL258" s="68"/>
      <c r="BM258" s="68"/>
      <c r="BN258" s="68"/>
    </row>
    <row r="259" spans="1:66" ht="17">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c r="AG259" s="68"/>
      <c r="AH259" s="68"/>
      <c r="AI259" s="68"/>
      <c r="AJ259" s="68"/>
      <c r="AK259" s="68"/>
      <c r="AL259" s="68"/>
      <c r="AM259" s="68"/>
      <c r="AN259" s="68"/>
      <c r="AO259" s="68"/>
      <c r="AP259" s="68"/>
      <c r="AQ259" s="68"/>
      <c r="AR259" s="68"/>
      <c r="AS259" s="68"/>
      <c r="AT259" s="68"/>
      <c r="AU259" s="68"/>
      <c r="AV259" s="68"/>
      <c r="AW259" s="68"/>
      <c r="AX259" s="68"/>
      <c r="AY259" s="68"/>
      <c r="AZ259" s="68"/>
      <c r="BA259" s="68"/>
      <c r="BB259" s="68"/>
      <c r="BC259" s="68"/>
      <c r="BD259" s="68"/>
      <c r="BE259" s="68"/>
      <c r="BF259" s="68"/>
      <c r="BG259" s="68"/>
      <c r="BH259" s="68"/>
      <c r="BI259" s="68"/>
      <c r="BJ259" s="68"/>
      <c r="BK259" s="68"/>
      <c r="BL259" s="68"/>
      <c r="BM259" s="68"/>
      <c r="BN259" s="68"/>
    </row>
    <row r="260" spans="1:66" ht="17">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c r="AG260" s="68"/>
      <c r="AH260" s="68"/>
      <c r="AI260" s="68"/>
      <c r="AJ260" s="68"/>
      <c r="AK260" s="68"/>
      <c r="AL260" s="68"/>
      <c r="AM260" s="68"/>
      <c r="AN260" s="68"/>
      <c r="AO260" s="68"/>
      <c r="AP260" s="68"/>
      <c r="AQ260" s="68"/>
      <c r="AR260" s="68"/>
      <c r="AS260" s="68"/>
      <c r="AT260" s="68"/>
      <c r="AU260" s="68"/>
      <c r="AV260" s="68"/>
      <c r="AW260" s="68"/>
      <c r="AX260" s="68"/>
      <c r="AY260" s="68"/>
      <c r="AZ260" s="68"/>
      <c r="BA260" s="68"/>
      <c r="BB260" s="68"/>
      <c r="BC260" s="68"/>
      <c r="BD260" s="68"/>
      <c r="BE260" s="68"/>
      <c r="BF260" s="68"/>
      <c r="BG260" s="68"/>
      <c r="BH260" s="68"/>
      <c r="BI260" s="68"/>
      <c r="BJ260" s="68"/>
      <c r="BK260" s="68"/>
      <c r="BL260" s="68"/>
      <c r="BM260" s="68"/>
      <c r="BN260" s="68"/>
    </row>
    <row r="261" spans="1:66" ht="17">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68"/>
      <c r="AG261" s="68"/>
      <c r="AH261" s="68"/>
      <c r="AI261" s="68"/>
      <c r="AJ261" s="68"/>
      <c r="AK261" s="68"/>
      <c r="AL261" s="68"/>
      <c r="AM261" s="68"/>
      <c r="AN261" s="68"/>
      <c r="AO261" s="68"/>
      <c r="AP261" s="68"/>
      <c r="AQ261" s="68"/>
      <c r="AR261" s="68"/>
      <c r="AS261" s="68"/>
      <c r="AT261" s="68"/>
      <c r="AU261" s="68"/>
      <c r="AV261" s="68"/>
      <c r="AW261" s="68"/>
      <c r="AX261" s="68"/>
      <c r="AY261" s="68"/>
      <c r="AZ261" s="68"/>
      <c r="BA261" s="68"/>
      <c r="BB261" s="68"/>
      <c r="BC261" s="68"/>
      <c r="BD261" s="68"/>
      <c r="BE261" s="68"/>
      <c r="BF261" s="68"/>
      <c r="BG261" s="68"/>
      <c r="BH261" s="68"/>
      <c r="BI261" s="68"/>
      <c r="BJ261" s="68"/>
      <c r="BK261" s="68"/>
      <c r="BL261" s="68"/>
      <c r="BM261" s="68"/>
      <c r="BN261" s="68"/>
    </row>
    <row r="262" spans="1:66" ht="17">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c r="AG262" s="68"/>
      <c r="AH262" s="68"/>
      <c r="AI262" s="68"/>
      <c r="AJ262" s="68"/>
      <c r="AK262" s="68"/>
      <c r="AL262" s="68"/>
      <c r="AM262" s="68"/>
      <c r="AN262" s="68"/>
      <c r="AO262" s="68"/>
      <c r="AP262" s="68"/>
      <c r="AQ262" s="68"/>
      <c r="AR262" s="68"/>
      <c r="AS262" s="68"/>
      <c r="AT262" s="68"/>
      <c r="AU262" s="68"/>
      <c r="AV262" s="68"/>
      <c r="AW262" s="68"/>
      <c r="AX262" s="68"/>
      <c r="AY262" s="68"/>
      <c r="AZ262" s="68"/>
      <c r="BA262" s="68"/>
      <c r="BB262" s="68"/>
      <c r="BC262" s="68"/>
      <c r="BD262" s="68"/>
      <c r="BE262" s="68"/>
      <c r="BF262" s="68"/>
      <c r="BG262" s="68"/>
      <c r="BH262" s="68"/>
      <c r="BI262" s="68"/>
      <c r="BJ262" s="68"/>
      <c r="BK262" s="68"/>
      <c r="BL262" s="68"/>
      <c r="BM262" s="68"/>
      <c r="BN262" s="68"/>
    </row>
    <row r="263" spans="1:66" ht="17">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68"/>
      <c r="AG263" s="68"/>
      <c r="AH263" s="68"/>
      <c r="AI263" s="68"/>
      <c r="AJ263" s="68"/>
      <c r="AK263" s="68"/>
      <c r="AL263" s="68"/>
      <c r="AM263" s="68"/>
      <c r="AN263" s="68"/>
      <c r="AO263" s="68"/>
      <c r="AP263" s="68"/>
      <c r="AQ263" s="68"/>
      <c r="AR263" s="68"/>
      <c r="AS263" s="68"/>
      <c r="AT263" s="68"/>
      <c r="AU263" s="68"/>
      <c r="AV263" s="68"/>
      <c r="AW263" s="68"/>
      <c r="AX263" s="68"/>
      <c r="AY263" s="68"/>
      <c r="AZ263" s="68"/>
      <c r="BA263" s="68"/>
      <c r="BB263" s="68"/>
      <c r="BC263" s="68"/>
      <c r="BD263" s="68"/>
      <c r="BE263" s="68"/>
      <c r="BF263" s="68"/>
      <c r="BG263" s="68"/>
      <c r="BH263" s="68"/>
      <c r="BI263" s="68"/>
      <c r="BJ263" s="68"/>
      <c r="BK263" s="68"/>
      <c r="BL263" s="68"/>
      <c r="BM263" s="68"/>
      <c r="BN263" s="68"/>
    </row>
    <row r="264" spans="1:66" ht="17">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c r="AG264" s="68"/>
      <c r="AH264" s="68"/>
      <c r="AI264" s="68"/>
      <c r="AJ264" s="68"/>
      <c r="AK264" s="68"/>
      <c r="AL264" s="68"/>
      <c r="AM264" s="68"/>
      <c r="AN264" s="68"/>
      <c r="AO264" s="68"/>
      <c r="AP264" s="68"/>
      <c r="AQ264" s="68"/>
      <c r="AR264" s="68"/>
      <c r="AS264" s="68"/>
      <c r="AT264" s="68"/>
      <c r="AU264" s="68"/>
      <c r="AV264" s="68"/>
      <c r="AW264" s="68"/>
      <c r="AX264" s="68"/>
      <c r="AY264" s="68"/>
      <c r="AZ264" s="68"/>
      <c r="BA264" s="68"/>
      <c r="BB264" s="68"/>
      <c r="BC264" s="68"/>
      <c r="BD264" s="68"/>
      <c r="BE264" s="68"/>
      <c r="BF264" s="68"/>
      <c r="BG264" s="68"/>
      <c r="BH264" s="68"/>
      <c r="BI264" s="68"/>
      <c r="BJ264" s="68"/>
      <c r="BK264" s="68"/>
      <c r="BL264" s="68"/>
      <c r="BM264" s="68"/>
      <c r="BN264" s="68"/>
    </row>
    <row r="265" spans="1:66" ht="17">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68"/>
      <c r="AG265" s="68"/>
      <c r="AH265" s="68"/>
      <c r="AI265" s="68"/>
      <c r="AJ265" s="68"/>
      <c r="AK265" s="68"/>
      <c r="AL265" s="68"/>
      <c r="AM265" s="68"/>
      <c r="AN265" s="68"/>
      <c r="AO265" s="68"/>
      <c r="AP265" s="68"/>
      <c r="AQ265" s="68"/>
      <c r="AR265" s="68"/>
      <c r="AS265" s="68"/>
      <c r="AT265" s="68"/>
      <c r="AU265" s="68"/>
      <c r="AV265" s="68"/>
      <c r="AW265" s="68"/>
      <c r="AX265" s="68"/>
      <c r="AY265" s="68"/>
      <c r="AZ265" s="68"/>
      <c r="BA265" s="68"/>
      <c r="BB265" s="68"/>
      <c r="BC265" s="68"/>
      <c r="BD265" s="68"/>
      <c r="BE265" s="68"/>
      <c r="BF265" s="68"/>
      <c r="BG265" s="68"/>
      <c r="BH265" s="68"/>
      <c r="BI265" s="68"/>
      <c r="BJ265" s="68"/>
      <c r="BK265" s="68"/>
      <c r="BL265" s="68"/>
      <c r="BM265" s="68"/>
      <c r="BN265" s="68"/>
    </row>
    <row r="266" spans="1:66" ht="17">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c r="AJ266" s="68"/>
      <c r="AK266" s="68"/>
      <c r="AL266" s="68"/>
      <c r="AM266" s="68"/>
      <c r="AN266" s="68"/>
      <c r="AO266" s="68"/>
      <c r="AP266" s="68"/>
      <c r="AQ266" s="68"/>
      <c r="AR266" s="68"/>
      <c r="AS266" s="68"/>
      <c r="AT266" s="68"/>
      <c r="AU266" s="68"/>
      <c r="AV266" s="68"/>
      <c r="AW266" s="68"/>
      <c r="AX266" s="68"/>
      <c r="AY266" s="68"/>
      <c r="AZ266" s="68"/>
      <c r="BA266" s="68"/>
      <c r="BB266" s="68"/>
      <c r="BC266" s="68"/>
      <c r="BD266" s="68"/>
      <c r="BE266" s="68"/>
      <c r="BF266" s="68"/>
      <c r="BG266" s="68"/>
      <c r="BH266" s="68"/>
      <c r="BI266" s="68"/>
      <c r="BJ266" s="68"/>
      <c r="BK266" s="68"/>
      <c r="BL266" s="68"/>
      <c r="BM266" s="68"/>
      <c r="BN266" s="68"/>
    </row>
    <row r="267" spans="1:66" ht="1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68"/>
      <c r="AI267" s="68"/>
      <c r="AJ267" s="68"/>
      <c r="AK267" s="68"/>
      <c r="AL267" s="68"/>
      <c r="AM267" s="68"/>
      <c r="AN267" s="68"/>
      <c r="AO267" s="68"/>
      <c r="AP267" s="68"/>
      <c r="AQ267" s="68"/>
      <c r="AR267" s="68"/>
      <c r="AS267" s="68"/>
      <c r="AT267" s="68"/>
      <c r="AU267" s="68"/>
      <c r="AV267" s="68"/>
      <c r="AW267" s="68"/>
      <c r="AX267" s="68"/>
      <c r="AY267" s="68"/>
      <c r="AZ267" s="68"/>
      <c r="BA267" s="68"/>
      <c r="BB267" s="68"/>
      <c r="BC267" s="68"/>
      <c r="BD267" s="68"/>
      <c r="BE267" s="68"/>
      <c r="BF267" s="68"/>
      <c r="BG267" s="68"/>
      <c r="BH267" s="68"/>
      <c r="BI267" s="68"/>
      <c r="BJ267" s="68"/>
      <c r="BK267" s="68"/>
      <c r="BL267" s="68"/>
      <c r="BM267" s="68"/>
      <c r="BN267" s="68"/>
    </row>
    <row r="268" spans="1:66" ht="17">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c r="AH268" s="68"/>
      <c r="AI268" s="68"/>
      <c r="AJ268" s="68"/>
      <c r="AK268" s="68"/>
      <c r="AL268" s="68"/>
      <c r="AM268" s="68"/>
      <c r="AN268" s="68"/>
      <c r="AO268" s="68"/>
      <c r="AP268" s="68"/>
      <c r="AQ268" s="68"/>
      <c r="AR268" s="68"/>
      <c r="AS268" s="68"/>
      <c r="AT268" s="68"/>
      <c r="AU268" s="68"/>
      <c r="AV268" s="68"/>
      <c r="AW268" s="68"/>
      <c r="AX268" s="68"/>
      <c r="AY268" s="68"/>
      <c r="AZ268" s="68"/>
      <c r="BA268" s="68"/>
      <c r="BB268" s="68"/>
      <c r="BC268" s="68"/>
      <c r="BD268" s="68"/>
      <c r="BE268" s="68"/>
      <c r="BF268" s="68"/>
      <c r="BG268" s="68"/>
      <c r="BH268" s="68"/>
      <c r="BI268" s="68"/>
      <c r="BJ268" s="68"/>
      <c r="BK268" s="68"/>
      <c r="BL268" s="68"/>
      <c r="BM268" s="68"/>
      <c r="BN268" s="68"/>
    </row>
    <row r="269" spans="1:66" ht="17">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c r="AJ269" s="68"/>
      <c r="AK269" s="68"/>
      <c r="AL269" s="68"/>
      <c r="AM269" s="68"/>
      <c r="AN269" s="68"/>
      <c r="AO269" s="68"/>
      <c r="AP269" s="68"/>
      <c r="AQ269" s="68"/>
      <c r="AR269" s="68"/>
      <c r="AS269" s="68"/>
      <c r="AT269" s="68"/>
      <c r="AU269" s="68"/>
      <c r="AV269" s="68"/>
      <c r="AW269" s="68"/>
      <c r="AX269" s="68"/>
      <c r="AY269" s="68"/>
      <c r="AZ269" s="68"/>
      <c r="BA269" s="68"/>
      <c r="BB269" s="68"/>
      <c r="BC269" s="68"/>
      <c r="BD269" s="68"/>
      <c r="BE269" s="68"/>
      <c r="BF269" s="68"/>
      <c r="BG269" s="68"/>
      <c r="BH269" s="68"/>
      <c r="BI269" s="68"/>
      <c r="BJ269" s="68"/>
      <c r="BK269" s="68"/>
      <c r="BL269" s="68"/>
      <c r="BM269" s="68"/>
      <c r="BN269" s="68"/>
    </row>
    <row r="270" spans="1:66" ht="17">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68"/>
      <c r="AK270" s="68"/>
      <c r="AL270" s="68"/>
      <c r="AM270" s="68"/>
      <c r="AN270" s="68"/>
      <c r="AO270" s="68"/>
      <c r="AP270" s="68"/>
      <c r="AQ270" s="68"/>
      <c r="AR270" s="68"/>
      <c r="AS270" s="68"/>
      <c r="AT270" s="68"/>
      <c r="AU270" s="68"/>
      <c r="AV270" s="68"/>
      <c r="AW270" s="68"/>
      <c r="AX270" s="68"/>
      <c r="AY270" s="68"/>
      <c r="AZ270" s="68"/>
      <c r="BA270" s="68"/>
      <c r="BB270" s="68"/>
      <c r="BC270" s="68"/>
      <c r="BD270" s="68"/>
      <c r="BE270" s="68"/>
      <c r="BF270" s="68"/>
      <c r="BG270" s="68"/>
      <c r="BH270" s="68"/>
      <c r="BI270" s="68"/>
      <c r="BJ270" s="68"/>
      <c r="BK270" s="68"/>
      <c r="BL270" s="68"/>
      <c r="BM270" s="68"/>
      <c r="BN270" s="68"/>
    </row>
    <row r="271" spans="1:66" ht="17">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c r="AJ271" s="68"/>
      <c r="AK271" s="68"/>
      <c r="AL271" s="68"/>
      <c r="AM271" s="68"/>
      <c r="AN271" s="68"/>
      <c r="AO271" s="68"/>
      <c r="AP271" s="68"/>
      <c r="AQ271" s="68"/>
      <c r="AR271" s="68"/>
      <c r="AS271" s="68"/>
      <c r="AT271" s="68"/>
      <c r="AU271" s="68"/>
      <c r="AV271" s="68"/>
      <c r="AW271" s="68"/>
      <c r="AX271" s="68"/>
      <c r="AY271" s="68"/>
      <c r="AZ271" s="68"/>
      <c r="BA271" s="68"/>
      <c r="BB271" s="68"/>
      <c r="BC271" s="68"/>
      <c r="BD271" s="68"/>
      <c r="BE271" s="68"/>
      <c r="BF271" s="68"/>
      <c r="BG271" s="68"/>
      <c r="BH271" s="68"/>
      <c r="BI271" s="68"/>
      <c r="BJ271" s="68"/>
      <c r="BK271" s="68"/>
      <c r="BL271" s="68"/>
      <c r="BM271" s="68"/>
      <c r="BN271" s="68"/>
    </row>
    <row r="272" spans="1:66" ht="17">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c r="AH272" s="68"/>
      <c r="AI272" s="68"/>
      <c r="AJ272" s="68"/>
      <c r="AK272" s="68"/>
      <c r="AL272" s="68"/>
      <c r="AM272" s="68"/>
      <c r="AN272" s="68"/>
      <c r="AO272" s="68"/>
      <c r="AP272" s="68"/>
      <c r="AQ272" s="68"/>
      <c r="AR272" s="68"/>
      <c r="AS272" s="68"/>
      <c r="AT272" s="68"/>
      <c r="AU272" s="68"/>
      <c r="AV272" s="68"/>
      <c r="AW272" s="68"/>
      <c r="AX272" s="68"/>
      <c r="AY272" s="68"/>
      <c r="AZ272" s="68"/>
      <c r="BA272" s="68"/>
      <c r="BB272" s="68"/>
      <c r="BC272" s="68"/>
      <c r="BD272" s="68"/>
      <c r="BE272" s="68"/>
      <c r="BF272" s="68"/>
      <c r="BG272" s="68"/>
      <c r="BH272" s="68"/>
      <c r="BI272" s="68"/>
      <c r="BJ272" s="68"/>
      <c r="BK272" s="68"/>
      <c r="BL272" s="68"/>
      <c r="BM272" s="68"/>
      <c r="BN272" s="68"/>
    </row>
    <row r="273" spans="1:66" ht="17">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c r="AJ273" s="68"/>
      <c r="AK273" s="68"/>
      <c r="AL273" s="68"/>
      <c r="AM273" s="68"/>
      <c r="AN273" s="68"/>
      <c r="AO273" s="68"/>
      <c r="AP273" s="68"/>
      <c r="AQ273" s="68"/>
      <c r="AR273" s="68"/>
      <c r="AS273" s="68"/>
      <c r="AT273" s="68"/>
      <c r="AU273" s="68"/>
      <c r="AV273" s="68"/>
      <c r="AW273" s="68"/>
      <c r="AX273" s="68"/>
      <c r="AY273" s="68"/>
      <c r="AZ273" s="68"/>
      <c r="BA273" s="68"/>
      <c r="BB273" s="68"/>
      <c r="BC273" s="68"/>
      <c r="BD273" s="68"/>
      <c r="BE273" s="68"/>
      <c r="BF273" s="68"/>
      <c r="BG273" s="68"/>
      <c r="BH273" s="68"/>
      <c r="BI273" s="68"/>
      <c r="BJ273" s="68"/>
      <c r="BK273" s="68"/>
      <c r="BL273" s="68"/>
      <c r="BM273" s="68"/>
      <c r="BN273" s="68"/>
    </row>
    <row r="274" spans="1:66" ht="17">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s="68"/>
      <c r="AL274" s="68"/>
      <c r="AM274" s="68"/>
      <c r="AN274" s="68"/>
      <c r="AO274" s="68"/>
      <c r="AP274" s="68"/>
      <c r="AQ274" s="68"/>
      <c r="AR274" s="68"/>
      <c r="AS274" s="68"/>
      <c r="AT274" s="68"/>
      <c r="AU274" s="68"/>
      <c r="AV274" s="68"/>
      <c r="AW274" s="68"/>
      <c r="AX274" s="68"/>
      <c r="AY274" s="68"/>
      <c r="AZ274" s="68"/>
      <c r="BA274" s="68"/>
      <c r="BB274" s="68"/>
      <c r="BC274" s="68"/>
      <c r="BD274" s="68"/>
      <c r="BE274" s="68"/>
      <c r="BF274" s="68"/>
      <c r="BG274" s="68"/>
      <c r="BH274" s="68"/>
      <c r="BI274" s="68"/>
      <c r="BJ274" s="68"/>
      <c r="BK274" s="68"/>
      <c r="BL274" s="68"/>
      <c r="BM274" s="68"/>
      <c r="BN274" s="68"/>
    </row>
    <row r="275" spans="1:66" ht="17">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s="68"/>
      <c r="AL275" s="68"/>
      <c r="AM275" s="68"/>
      <c r="AN275" s="68"/>
      <c r="AO275" s="68"/>
      <c r="AP275" s="68"/>
      <c r="AQ275" s="68"/>
      <c r="AR275" s="68"/>
      <c r="AS275" s="68"/>
      <c r="AT275" s="68"/>
      <c r="AU275" s="68"/>
      <c r="AV275" s="68"/>
      <c r="AW275" s="68"/>
      <c r="AX275" s="68"/>
      <c r="AY275" s="68"/>
      <c r="AZ275" s="68"/>
      <c r="BA275" s="68"/>
      <c r="BB275" s="68"/>
      <c r="BC275" s="68"/>
      <c r="BD275" s="68"/>
      <c r="BE275" s="68"/>
      <c r="BF275" s="68"/>
      <c r="BG275" s="68"/>
      <c r="BH275" s="68"/>
      <c r="BI275" s="68"/>
      <c r="BJ275" s="68"/>
      <c r="BK275" s="68"/>
      <c r="BL275" s="68"/>
      <c r="BM275" s="68"/>
      <c r="BN275" s="68"/>
    </row>
    <row r="276" spans="1:66" ht="17">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s="68"/>
      <c r="AL276" s="68"/>
      <c r="AM276" s="68"/>
      <c r="AN276" s="68"/>
      <c r="AO276" s="68"/>
      <c r="AP276" s="68"/>
      <c r="AQ276" s="68"/>
      <c r="AR276" s="68"/>
      <c r="AS276" s="68"/>
      <c r="AT276" s="68"/>
      <c r="AU276" s="68"/>
      <c r="AV276" s="68"/>
      <c r="AW276" s="68"/>
      <c r="AX276" s="68"/>
      <c r="AY276" s="68"/>
      <c r="AZ276" s="68"/>
      <c r="BA276" s="68"/>
      <c r="BB276" s="68"/>
      <c r="BC276" s="68"/>
      <c r="BD276" s="68"/>
      <c r="BE276" s="68"/>
      <c r="BF276" s="68"/>
      <c r="BG276" s="68"/>
      <c r="BH276" s="68"/>
      <c r="BI276" s="68"/>
      <c r="BJ276" s="68"/>
      <c r="BK276" s="68"/>
      <c r="BL276" s="68"/>
      <c r="BM276" s="68"/>
      <c r="BN276" s="68"/>
    </row>
    <row r="277" spans="1:66" ht="1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68"/>
      <c r="AK277" s="68"/>
      <c r="AL277" s="68"/>
      <c r="AM277" s="68"/>
      <c r="AN277" s="68"/>
      <c r="AO277" s="68"/>
      <c r="AP277" s="68"/>
      <c r="AQ277" s="68"/>
      <c r="AR277" s="68"/>
      <c r="AS277" s="68"/>
      <c r="AT277" s="68"/>
      <c r="AU277" s="68"/>
      <c r="AV277" s="68"/>
      <c r="AW277" s="68"/>
      <c r="AX277" s="68"/>
      <c r="AY277" s="68"/>
      <c r="AZ277" s="68"/>
      <c r="BA277" s="68"/>
      <c r="BB277" s="68"/>
      <c r="BC277" s="68"/>
      <c r="BD277" s="68"/>
      <c r="BE277" s="68"/>
      <c r="BF277" s="68"/>
      <c r="BG277" s="68"/>
      <c r="BH277" s="68"/>
      <c r="BI277" s="68"/>
      <c r="BJ277" s="68"/>
      <c r="BK277" s="68"/>
      <c r="BL277" s="68"/>
      <c r="BM277" s="68"/>
      <c r="BN277" s="68"/>
    </row>
    <row r="278" spans="1:66" ht="17">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68"/>
      <c r="AK278" s="68"/>
      <c r="AL278" s="68"/>
      <c r="AM278" s="68"/>
      <c r="AN278" s="68"/>
      <c r="AO278" s="68"/>
      <c r="AP278" s="68"/>
      <c r="AQ278" s="68"/>
      <c r="AR278" s="68"/>
      <c r="AS278" s="68"/>
      <c r="AT278" s="68"/>
      <c r="AU278" s="68"/>
      <c r="AV278" s="68"/>
      <c r="AW278" s="68"/>
      <c r="AX278" s="68"/>
      <c r="AY278" s="68"/>
      <c r="AZ278" s="68"/>
      <c r="BA278" s="68"/>
      <c r="BB278" s="68"/>
      <c r="BC278" s="68"/>
      <c r="BD278" s="68"/>
      <c r="BE278" s="68"/>
      <c r="BF278" s="68"/>
      <c r="BG278" s="68"/>
      <c r="BH278" s="68"/>
      <c r="BI278" s="68"/>
      <c r="BJ278" s="68"/>
      <c r="BK278" s="68"/>
      <c r="BL278" s="68"/>
      <c r="BM278" s="68"/>
      <c r="BN278" s="68"/>
    </row>
    <row r="279" spans="1:66" ht="17">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c r="AH279" s="68"/>
      <c r="AI279" s="68"/>
      <c r="AJ279" s="68"/>
      <c r="AK279" s="68"/>
      <c r="AL279" s="68"/>
      <c r="AM279" s="68"/>
      <c r="AN279" s="68"/>
      <c r="AO279" s="68"/>
      <c r="AP279" s="68"/>
      <c r="AQ279" s="68"/>
      <c r="AR279" s="68"/>
      <c r="AS279" s="68"/>
      <c r="AT279" s="68"/>
      <c r="AU279" s="68"/>
      <c r="AV279" s="68"/>
      <c r="AW279" s="68"/>
      <c r="AX279" s="68"/>
      <c r="AY279" s="68"/>
      <c r="AZ279" s="68"/>
      <c r="BA279" s="68"/>
      <c r="BB279" s="68"/>
      <c r="BC279" s="68"/>
      <c r="BD279" s="68"/>
      <c r="BE279" s="68"/>
      <c r="BF279" s="68"/>
      <c r="BG279" s="68"/>
      <c r="BH279" s="68"/>
      <c r="BI279" s="68"/>
      <c r="BJ279" s="68"/>
      <c r="BK279" s="68"/>
      <c r="BL279" s="68"/>
      <c r="BM279" s="68"/>
      <c r="BN279" s="68"/>
    </row>
    <row r="280" spans="1:66" ht="17">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68"/>
      <c r="AG280" s="68"/>
      <c r="AH280" s="68"/>
      <c r="AI280" s="68"/>
      <c r="AJ280" s="68"/>
      <c r="AK280" s="68"/>
      <c r="AL280" s="68"/>
      <c r="AM280" s="68"/>
      <c r="AN280" s="68"/>
      <c r="AO280" s="68"/>
      <c r="AP280" s="68"/>
      <c r="AQ280" s="68"/>
      <c r="AR280" s="68"/>
      <c r="AS280" s="68"/>
      <c r="AT280" s="68"/>
      <c r="AU280" s="68"/>
      <c r="AV280" s="68"/>
      <c r="AW280" s="68"/>
      <c r="AX280" s="68"/>
      <c r="AY280" s="68"/>
      <c r="AZ280" s="68"/>
      <c r="BA280" s="68"/>
      <c r="BB280" s="68"/>
      <c r="BC280" s="68"/>
      <c r="BD280" s="68"/>
      <c r="BE280" s="68"/>
      <c r="BF280" s="68"/>
      <c r="BG280" s="68"/>
      <c r="BH280" s="68"/>
      <c r="BI280" s="68"/>
      <c r="BJ280" s="68"/>
      <c r="BK280" s="68"/>
      <c r="BL280" s="68"/>
      <c r="BM280" s="68"/>
      <c r="BN280" s="68"/>
    </row>
    <row r="281" spans="1:66" ht="17">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c r="AG281" s="68"/>
      <c r="AH281" s="68"/>
      <c r="AI281" s="68"/>
      <c r="AJ281" s="68"/>
      <c r="AK281" s="68"/>
      <c r="AL281" s="68"/>
      <c r="AM281" s="68"/>
      <c r="AN281" s="68"/>
      <c r="AO281" s="68"/>
      <c r="AP281" s="68"/>
      <c r="AQ281" s="68"/>
      <c r="AR281" s="68"/>
      <c r="AS281" s="68"/>
      <c r="AT281" s="68"/>
      <c r="AU281" s="68"/>
      <c r="AV281" s="68"/>
      <c r="AW281" s="68"/>
      <c r="AX281" s="68"/>
      <c r="AY281" s="68"/>
      <c r="AZ281" s="68"/>
      <c r="BA281" s="68"/>
      <c r="BB281" s="68"/>
      <c r="BC281" s="68"/>
      <c r="BD281" s="68"/>
      <c r="BE281" s="68"/>
      <c r="BF281" s="68"/>
      <c r="BG281" s="68"/>
      <c r="BH281" s="68"/>
      <c r="BI281" s="68"/>
      <c r="BJ281" s="68"/>
      <c r="BK281" s="68"/>
      <c r="BL281" s="68"/>
      <c r="BM281" s="68"/>
      <c r="BN281" s="68"/>
    </row>
    <row r="282" spans="1:66" ht="17">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c r="AG282" s="68"/>
      <c r="AH282" s="68"/>
      <c r="AI282" s="68"/>
      <c r="AJ282" s="68"/>
      <c r="AK282" s="68"/>
      <c r="AL282" s="68"/>
      <c r="AM282" s="68"/>
      <c r="AN282" s="68"/>
      <c r="AO282" s="68"/>
      <c r="AP282" s="68"/>
      <c r="AQ282" s="68"/>
      <c r="AR282" s="68"/>
      <c r="AS282" s="68"/>
      <c r="AT282" s="68"/>
      <c r="AU282" s="68"/>
      <c r="AV282" s="68"/>
      <c r="AW282" s="68"/>
      <c r="AX282" s="68"/>
      <c r="AY282" s="68"/>
      <c r="AZ282" s="68"/>
      <c r="BA282" s="68"/>
      <c r="BB282" s="68"/>
      <c r="BC282" s="68"/>
      <c r="BD282" s="68"/>
      <c r="BE282" s="68"/>
      <c r="BF282" s="68"/>
      <c r="BG282" s="68"/>
      <c r="BH282" s="68"/>
      <c r="BI282" s="68"/>
      <c r="BJ282" s="68"/>
      <c r="BK282" s="68"/>
      <c r="BL282" s="68"/>
      <c r="BM282" s="68"/>
      <c r="BN282" s="68"/>
    </row>
    <row r="283" spans="1:66" ht="17">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8"/>
      <c r="AJ283" s="68"/>
      <c r="AK283" s="68"/>
      <c r="AL283" s="68"/>
      <c r="AM283" s="68"/>
      <c r="AN283" s="68"/>
      <c r="AO283" s="68"/>
      <c r="AP283" s="68"/>
      <c r="AQ283" s="68"/>
      <c r="AR283" s="68"/>
      <c r="AS283" s="68"/>
      <c r="AT283" s="68"/>
      <c r="AU283" s="68"/>
      <c r="AV283" s="68"/>
      <c r="AW283" s="68"/>
      <c r="AX283" s="68"/>
      <c r="AY283" s="68"/>
      <c r="AZ283" s="68"/>
      <c r="BA283" s="68"/>
      <c r="BB283" s="68"/>
      <c r="BC283" s="68"/>
      <c r="BD283" s="68"/>
      <c r="BE283" s="68"/>
      <c r="BF283" s="68"/>
      <c r="BG283" s="68"/>
      <c r="BH283" s="68"/>
      <c r="BI283" s="68"/>
      <c r="BJ283" s="68"/>
      <c r="BK283" s="68"/>
      <c r="BL283" s="68"/>
      <c r="BM283" s="68"/>
      <c r="BN283" s="68"/>
    </row>
    <row r="284" spans="1:66" ht="17">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c r="AH284" s="68"/>
      <c r="AI284" s="68"/>
      <c r="AJ284" s="68"/>
      <c r="AK284" s="68"/>
      <c r="AL284" s="68"/>
      <c r="AM284" s="68"/>
      <c r="AN284" s="68"/>
      <c r="AO284" s="68"/>
      <c r="AP284" s="68"/>
      <c r="AQ284" s="68"/>
      <c r="AR284" s="68"/>
      <c r="AS284" s="68"/>
      <c r="AT284" s="68"/>
      <c r="AU284" s="68"/>
      <c r="AV284" s="68"/>
      <c r="AW284" s="68"/>
      <c r="AX284" s="68"/>
      <c r="AY284" s="68"/>
      <c r="AZ284" s="68"/>
      <c r="BA284" s="68"/>
      <c r="BB284" s="68"/>
      <c r="BC284" s="68"/>
      <c r="BD284" s="68"/>
      <c r="BE284" s="68"/>
      <c r="BF284" s="68"/>
      <c r="BG284" s="68"/>
      <c r="BH284" s="68"/>
      <c r="BI284" s="68"/>
      <c r="BJ284" s="68"/>
      <c r="BK284" s="68"/>
      <c r="BL284" s="68"/>
      <c r="BM284" s="68"/>
      <c r="BN284" s="68"/>
    </row>
    <row r="285" spans="1:66" ht="17">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c r="AG285" s="68"/>
      <c r="AH285" s="68"/>
      <c r="AI285" s="68"/>
      <c r="AJ285" s="68"/>
      <c r="AK285" s="68"/>
      <c r="AL285" s="68"/>
      <c r="AM285" s="68"/>
      <c r="AN285" s="68"/>
      <c r="AO285" s="68"/>
      <c r="AP285" s="68"/>
      <c r="AQ285" s="68"/>
      <c r="AR285" s="68"/>
      <c r="AS285" s="68"/>
      <c r="AT285" s="68"/>
      <c r="AU285" s="68"/>
      <c r="AV285" s="68"/>
      <c r="AW285" s="68"/>
      <c r="AX285" s="68"/>
      <c r="AY285" s="68"/>
      <c r="AZ285" s="68"/>
      <c r="BA285" s="68"/>
      <c r="BB285" s="68"/>
      <c r="BC285" s="68"/>
      <c r="BD285" s="68"/>
      <c r="BE285" s="68"/>
      <c r="BF285" s="68"/>
      <c r="BG285" s="68"/>
      <c r="BH285" s="68"/>
      <c r="BI285" s="68"/>
      <c r="BJ285" s="68"/>
      <c r="BK285" s="68"/>
      <c r="BL285" s="68"/>
      <c r="BM285" s="68"/>
      <c r="BN285" s="68"/>
    </row>
    <row r="286" spans="1:66" ht="17">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c r="AG286" s="68"/>
      <c r="AH286" s="68"/>
      <c r="AI286" s="68"/>
      <c r="AJ286" s="68"/>
      <c r="AK286" s="68"/>
      <c r="AL286" s="68"/>
      <c r="AM286" s="68"/>
      <c r="AN286" s="68"/>
      <c r="AO286" s="68"/>
      <c r="AP286" s="68"/>
      <c r="AQ286" s="68"/>
      <c r="AR286" s="68"/>
      <c r="AS286" s="68"/>
      <c r="AT286" s="68"/>
      <c r="AU286" s="68"/>
      <c r="AV286" s="68"/>
      <c r="AW286" s="68"/>
      <c r="AX286" s="68"/>
      <c r="AY286" s="68"/>
      <c r="AZ286" s="68"/>
      <c r="BA286" s="68"/>
      <c r="BB286" s="68"/>
      <c r="BC286" s="68"/>
      <c r="BD286" s="68"/>
      <c r="BE286" s="68"/>
      <c r="BF286" s="68"/>
      <c r="BG286" s="68"/>
      <c r="BH286" s="68"/>
      <c r="BI286" s="68"/>
      <c r="BJ286" s="68"/>
      <c r="BK286" s="68"/>
      <c r="BL286" s="68"/>
      <c r="BM286" s="68"/>
      <c r="BN286" s="68"/>
    </row>
    <row r="287" spans="1:66" ht="1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c r="AH287" s="68"/>
      <c r="AI287" s="68"/>
      <c r="AJ287" s="68"/>
      <c r="AK287" s="68"/>
      <c r="AL287" s="68"/>
      <c r="AM287" s="68"/>
      <c r="AN287" s="68"/>
      <c r="AO287" s="68"/>
      <c r="AP287" s="68"/>
      <c r="AQ287" s="68"/>
      <c r="AR287" s="68"/>
      <c r="AS287" s="68"/>
      <c r="AT287" s="68"/>
      <c r="AU287" s="68"/>
      <c r="AV287" s="68"/>
      <c r="AW287" s="68"/>
      <c r="AX287" s="68"/>
      <c r="AY287" s="68"/>
      <c r="AZ287" s="68"/>
      <c r="BA287" s="68"/>
      <c r="BB287" s="68"/>
      <c r="BC287" s="68"/>
      <c r="BD287" s="68"/>
      <c r="BE287" s="68"/>
      <c r="BF287" s="68"/>
      <c r="BG287" s="68"/>
      <c r="BH287" s="68"/>
      <c r="BI287" s="68"/>
      <c r="BJ287" s="68"/>
      <c r="BK287" s="68"/>
      <c r="BL287" s="68"/>
      <c r="BM287" s="68"/>
      <c r="BN287" s="68"/>
    </row>
    <row r="288" spans="1:66" ht="17">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c r="AG288" s="68"/>
      <c r="AH288" s="68"/>
      <c r="AI288" s="68"/>
      <c r="AJ288" s="68"/>
      <c r="AK288" s="68"/>
      <c r="AL288" s="68"/>
      <c r="AM288" s="68"/>
      <c r="AN288" s="68"/>
      <c r="AO288" s="68"/>
      <c r="AP288" s="68"/>
      <c r="AQ288" s="68"/>
      <c r="AR288" s="68"/>
      <c r="AS288" s="68"/>
      <c r="AT288" s="68"/>
      <c r="AU288" s="68"/>
      <c r="AV288" s="68"/>
      <c r="AW288" s="68"/>
      <c r="AX288" s="68"/>
      <c r="AY288" s="68"/>
      <c r="AZ288" s="68"/>
      <c r="BA288" s="68"/>
      <c r="BB288" s="68"/>
      <c r="BC288" s="68"/>
      <c r="BD288" s="68"/>
      <c r="BE288" s="68"/>
      <c r="BF288" s="68"/>
      <c r="BG288" s="68"/>
      <c r="BH288" s="68"/>
      <c r="BI288" s="68"/>
      <c r="BJ288" s="68"/>
      <c r="BK288" s="68"/>
      <c r="BL288" s="68"/>
      <c r="BM288" s="68"/>
      <c r="BN288" s="68"/>
    </row>
    <row r="289" spans="1:66" ht="17">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c r="AG289" s="68"/>
      <c r="AH289" s="68"/>
      <c r="AI289" s="68"/>
      <c r="AJ289" s="68"/>
      <c r="AK289" s="68"/>
      <c r="AL289" s="68"/>
      <c r="AM289" s="68"/>
      <c r="AN289" s="68"/>
      <c r="AO289" s="68"/>
      <c r="AP289" s="68"/>
      <c r="AQ289" s="68"/>
      <c r="AR289" s="68"/>
      <c r="AS289" s="68"/>
      <c r="AT289" s="68"/>
      <c r="AU289" s="68"/>
      <c r="AV289" s="68"/>
      <c r="AW289" s="68"/>
      <c r="AX289" s="68"/>
      <c r="AY289" s="68"/>
      <c r="AZ289" s="68"/>
      <c r="BA289" s="68"/>
      <c r="BB289" s="68"/>
      <c r="BC289" s="68"/>
      <c r="BD289" s="68"/>
      <c r="BE289" s="68"/>
      <c r="BF289" s="68"/>
      <c r="BG289" s="68"/>
      <c r="BH289" s="68"/>
      <c r="BI289" s="68"/>
      <c r="BJ289" s="68"/>
      <c r="BK289" s="68"/>
      <c r="BL289" s="68"/>
      <c r="BM289" s="68"/>
      <c r="BN289" s="68"/>
    </row>
    <row r="290" spans="1:66" ht="17">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c r="AG290" s="68"/>
      <c r="AH290" s="68"/>
      <c r="AI290" s="68"/>
      <c r="AJ290" s="68"/>
      <c r="AK290" s="68"/>
      <c r="AL290" s="68"/>
      <c r="AM290" s="68"/>
      <c r="AN290" s="68"/>
      <c r="AO290" s="68"/>
      <c r="AP290" s="68"/>
      <c r="AQ290" s="68"/>
      <c r="AR290" s="68"/>
      <c r="AS290" s="68"/>
      <c r="AT290" s="68"/>
      <c r="AU290" s="68"/>
      <c r="AV290" s="68"/>
      <c r="AW290" s="68"/>
      <c r="AX290" s="68"/>
      <c r="AY290" s="68"/>
      <c r="AZ290" s="68"/>
      <c r="BA290" s="68"/>
      <c r="BB290" s="68"/>
      <c r="BC290" s="68"/>
      <c r="BD290" s="68"/>
      <c r="BE290" s="68"/>
      <c r="BF290" s="68"/>
      <c r="BG290" s="68"/>
      <c r="BH290" s="68"/>
      <c r="BI290" s="68"/>
      <c r="BJ290" s="68"/>
      <c r="BK290" s="68"/>
      <c r="BL290" s="68"/>
      <c r="BM290" s="68"/>
      <c r="BN290" s="68"/>
    </row>
    <row r="291" spans="1:66" ht="17">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c r="AH291" s="68"/>
      <c r="AI291" s="68"/>
      <c r="AJ291" s="68"/>
      <c r="AK291" s="68"/>
      <c r="AL291" s="68"/>
      <c r="AM291" s="68"/>
      <c r="AN291" s="68"/>
      <c r="AO291" s="68"/>
      <c r="AP291" s="68"/>
      <c r="AQ291" s="68"/>
      <c r="AR291" s="68"/>
      <c r="AS291" s="68"/>
      <c r="AT291" s="68"/>
      <c r="AU291" s="68"/>
      <c r="AV291" s="68"/>
      <c r="AW291" s="68"/>
      <c r="AX291" s="68"/>
      <c r="AY291" s="68"/>
      <c r="AZ291" s="68"/>
      <c r="BA291" s="68"/>
      <c r="BB291" s="68"/>
      <c r="BC291" s="68"/>
      <c r="BD291" s="68"/>
      <c r="BE291" s="68"/>
      <c r="BF291" s="68"/>
      <c r="BG291" s="68"/>
      <c r="BH291" s="68"/>
      <c r="BI291" s="68"/>
      <c r="BJ291" s="68"/>
      <c r="BK291" s="68"/>
      <c r="BL291" s="68"/>
      <c r="BM291" s="68"/>
      <c r="BN291" s="68"/>
    </row>
    <row r="292" spans="1:66" ht="17">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c r="AG292" s="68"/>
      <c r="AH292" s="68"/>
      <c r="AI292" s="68"/>
      <c r="AJ292" s="68"/>
      <c r="AK292" s="68"/>
      <c r="AL292" s="68"/>
      <c r="AM292" s="68"/>
      <c r="AN292" s="68"/>
      <c r="AO292" s="68"/>
      <c r="AP292" s="68"/>
      <c r="AQ292" s="68"/>
      <c r="AR292" s="68"/>
      <c r="AS292" s="68"/>
      <c r="AT292" s="68"/>
      <c r="AU292" s="68"/>
      <c r="AV292" s="68"/>
      <c r="AW292" s="68"/>
      <c r="AX292" s="68"/>
      <c r="AY292" s="68"/>
      <c r="AZ292" s="68"/>
      <c r="BA292" s="68"/>
      <c r="BB292" s="68"/>
      <c r="BC292" s="68"/>
      <c r="BD292" s="68"/>
      <c r="BE292" s="68"/>
      <c r="BF292" s="68"/>
      <c r="BG292" s="68"/>
      <c r="BH292" s="68"/>
      <c r="BI292" s="68"/>
      <c r="BJ292" s="68"/>
      <c r="BK292" s="68"/>
      <c r="BL292" s="68"/>
      <c r="BM292" s="68"/>
      <c r="BN292" s="68"/>
    </row>
    <row r="293" spans="1:66" ht="17">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68"/>
      <c r="AG293" s="68"/>
      <c r="AH293" s="68"/>
      <c r="AI293" s="68"/>
      <c r="AJ293" s="68"/>
      <c r="AK293" s="68"/>
      <c r="AL293" s="68"/>
      <c r="AM293" s="68"/>
      <c r="AN293" s="68"/>
      <c r="AO293" s="68"/>
      <c r="AP293" s="68"/>
      <c r="AQ293" s="68"/>
      <c r="AR293" s="68"/>
      <c r="AS293" s="68"/>
      <c r="AT293" s="68"/>
      <c r="AU293" s="68"/>
      <c r="AV293" s="68"/>
      <c r="AW293" s="68"/>
      <c r="AX293" s="68"/>
      <c r="AY293" s="68"/>
      <c r="AZ293" s="68"/>
      <c r="BA293" s="68"/>
      <c r="BB293" s="68"/>
      <c r="BC293" s="68"/>
      <c r="BD293" s="68"/>
      <c r="BE293" s="68"/>
      <c r="BF293" s="68"/>
      <c r="BG293" s="68"/>
      <c r="BH293" s="68"/>
      <c r="BI293" s="68"/>
      <c r="BJ293" s="68"/>
      <c r="BK293" s="68"/>
      <c r="BL293" s="68"/>
      <c r="BM293" s="68"/>
      <c r="BN293" s="68"/>
    </row>
    <row r="294" spans="1:66" ht="17">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c r="AG294" s="68"/>
      <c r="AH294" s="68"/>
      <c r="AI294" s="68"/>
      <c r="AJ294" s="68"/>
      <c r="AK294" s="68"/>
      <c r="AL294" s="68"/>
      <c r="AM294" s="68"/>
      <c r="AN294" s="68"/>
      <c r="AO294" s="68"/>
      <c r="AP294" s="68"/>
      <c r="AQ294" s="68"/>
      <c r="AR294" s="68"/>
      <c r="AS294" s="68"/>
      <c r="AT294" s="68"/>
      <c r="AU294" s="68"/>
      <c r="AV294" s="68"/>
      <c r="AW294" s="68"/>
      <c r="AX294" s="68"/>
      <c r="AY294" s="68"/>
      <c r="AZ294" s="68"/>
      <c r="BA294" s="68"/>
      <c r="BB294" s="68"/>
      <c r="BC294" s="68"/>
      <c r="BD294" s="68"/>
      <c r="BE294" s="68"/>
      <c r="BF294" s="68"/>
      <c r="BG294" s="68"/>
      <c r="BH294" s="68"/>
      <c r="BI294" s="68"/>
      <c r="BJ294" s="68"/>
      <c r="BK294" s="68"/>
      <c r="BL294" s="68"/>
      <c r="BM294" s="68"/>
      <c r="BN294" s="68"/>
    </row>
    <row r="295" spans="1:66" ht="17">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68"/>
      <c r="AG295" s="68"/>
      <c r="AH295" s="68"/>
      <c r="AI295" s="68"/>
      <c r="AJ295" s="68"/>
      <c r="AK295" s="68"/>
      <c r="AL295" s="68"/>
      <c r="AM295" s="68"/>
      <c r="AN295" s="68"/>
      <c r="AO295" s="68"/>
      <c r="AP295" s="68"/>
      <c r="AQ295" s="68"/>
      <c r="AR295" s="68"/>
      <c r="AS295" s="68"/>
      <c r="AT295" s="68"/>
      <c r="AU295" s="68"/>
      <c r="AV295" s="68"/>
      <c r="AW295" s="68"/>
      <c r="AX295" s="68"/>
      <c r="AY295" s="68"/>
      <c r="AZ295" s="68"/>
      <c r="BA295" s="68"/>
      <c r="BB295" s="68"/>
      <c r="BC295" s="68"/>
      <c r="BD295" s="68"/>
      <c r="BE295" s="68"/>
      <c r="BF295" s="68"/>
      <c r="BG295" s="68"/>
      <c r="BH295" s="68"/>
      <c r="BI295" s="68"/>
      <c r="BJ295" s="68"/>
      <c r="BK295" s="68"/>
      <c r="BL295" s="68"/>
      <c r="BM295" s="68"/>
      <c r="BN295" s="68"/>
    </row>
    <row r="296" spans="1:66" ht="17">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c r="AG296" s="68"/>
      <c r="AH296" s="68"/>
      <c r="AI296" s="68"/>
      <c r="AJ296" s="68"/>
      <c r="AK296" s="68"/>
      <c r="AL296" s="68"/>
      <c r="AM296" s="68"/>
      <c r="AN296" s="68"/>
      <c r="AO296" s="68"/>
      <c r="AP296" s="68"/>
      <c r="AQ296" s="68"/>
      <c r="AR296" s="68"/>
      <c r="AS296" s="68"/>
      <c r="AT296" s="68"/>
      <c r="AU296" s="68"/>
      <c r="AV296" s="68"/>
      <c r="AW296" s="68"/>
      <c r="AX296" s="68"/>
      <c r="AY296" s="68"/>
      <c r="AZ296" s="68"/>
      <c r="BA296" s="68"/>
      <c r="BB296" s="68"/>
      <c r="BC296" s="68"/>
      <c r="BD296" s="68"/>
      <c r="BE296" s="68"/>
      <c r="BF296" s="68"/>
      <c r="BG296" s="68"/>
      <c r="BH296" s="68"/>
      <c r="BI296" s="68"/>
      <c r="BJ296" s="68"/>
      <c r="BK296" s="68"/>
      <c r="BL296" s="68"/>
      <c r="BM296" s="68"/>
      <c r="BN296" s="68"/>
    </row>
    <row r="297" spans="1:66" ht="1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c r="AH297" s="68"/>
      <c r="AI297" s="68"/>
      <c r="AJ297" s="68"/>
      <c r="AK297" s="68"/>
      <c r="AL297" s="68"/>
      <c r="AM297" s="68"/>
      <c r="AN297" s="68"/>
      <c r="AO297" s="68"/>
      <c r="AP297" s="68"/>
      <c r="AQ297" s="68"/>
      <c r="AR297" s="68"/>
      <c r="AS297" s="68"/>
      <c r="AT297" s="68"/>
      <c r="AU297" s="68"/>
      <c r="AV297" s="68"/>
      <c r="AW297" s="68"/>
      <c r="AX297" s="68"/>
      <c r="AY297" s="68"/>
      <c r="AZ297" s="68"/>
      <c r="BA297" s="68"/>
      <c r="BB297" s="68"/>
      <c r="BC297" s="68"/>
      <c r="BD297" s="68"/>
      <c r="BE297" s="68"/>
      <c r="BF297" s="68"/>
      <c r="BG297" s="68"/>
      <c r="BH297" s="68"/>
      <c r="BI297" s="68"/>
      <c r="BJ297" s="68"/>
      <c r="BK297" s="68"/>
      <c r="BL297" s="68"/>
      <c r="BM297" s="68"/>
      <c r="BN297" s="68"/>
    </row>
    <row r="298" spans="1:66" ht="17">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68"/>
      <c r="AG298" s="68"/>
      <c r="AH298" s="68"/>
      <c r="AI298" s="68"/>
      <c r="AJ298" s="68"/>
      <c r="AK298" s="68"/>
      <c r="AL298" s="68"/>
      <c r="AM298" s="68"/>
      <c r="AN298" s="68"/>
      <c r="AO298" s="68"/>
      <c r="AP298" s="68"/>
      <c r="AQ298" s="68"/>
      <c r="AR298" s="68"/>
      <c r="AS298" s="68"/>
      <c r="AT298" s="68"/>
      <c r="AU298" s="68"/>
      <c r="AV298" s="68"/>
      <c r="AW298" s="68"/>
      <c r="AX298" s="68"/>
      <c r="AY298" s="68"/>
      <c r="AZ298" s="68"/>
      <c r="BA298" s="68"/>
      <c r="BB298" s="68"/>
      <c r="BC298" s="68"/>
      <c r="BD298" s="68"/>
      <c r="BE298" s="68"/>
      <c r="BF298" s="68"/>
      <c r="BG298" s="68"/>
      <c r="BH298" s="68"/>
      <c r="BI298" s="68"/>
      <c r="BJ298" s="68"/>
      <c r="BK298" s="68"/>
      <c r="BL298" s="68"/>
      <c r="BM298" s="68"/>
      <c r="BN298" s="68"/>
    </row>
    <row r="299" spans="1:66" ht="17">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c r="AG299" s="68"/>
      <c r="AH299" s="68"/>
      <c r="AI299" s="68"/>
      <c r="AJ299" s="68"/>
      <c r="AK299" s="68"/>
      <c r="AL299" s="68"/>
      <c r="AM299" s="68"/>
      <c r="AN299" s="68"/>
      <c r="AO299" s="68"/>
      <c r="AP299" s="68"/>
      <c r="AQ299" s="68"/>
      <c r="AR299" s="68"/>
      <c r="AS299" s="68"/>
      <c r="AT299" s="68"/>
      <c r="AU299" s="68"/>
      <c r="AV299" s="68"/>
      <c r="AW299" s="68"/>
      <c r="AX299" s="68"/>
      <c r="AY299" s="68"/>
      <c r="AZ299" s="68"/>
      <c r="BA299" s="68"/>
      <c r="BB299" s="68"/>
      <c r="BC299" s="68"/>
      <c r="BD299" s="68"/>
      <c r="BE299" s="68"/>
      <c r="BF299" s="68"/>
      <c r="BG299" s="68"/>
      <c r="BH299" s="68"/>
      <c r="BI299" s="68"/>
      <c r="BJ299" s="68"/>
      <c r="BK299" s="68"/>
      <c r="BL299" s="68"/>
      <c r="BM299" s="68"/>
      <c r="BN299" s="68"/>
    </row>
    <row r="300" spans="1:66" ht="17">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68"/>
      <c r="AG300" s="68"/>
      <c r="AH300" s="68"/>
      <c r="AI300" s="68"/>
      <c r="AJ300" s="68"/>
      <c r="AK300" s="68"/>
      <c r="AL300" s="68"/>
      <c r="AM300" s="68"/>
      <c r="AN300" s="68"/>
      <c r="AO300" s="68"/>
      <c r="AP300" s="68"/>
      <c r="AQ300" s="68"/>
      <c r="AR300" s="68"/>
      <c r="AS300" s="68"/>
      <c r="AT300" s="68"/>
      <c r="AU300" s="68"/>
      <c r="AV300" s="68"/>
      <c r="AW300" s="68"/>
      <c r="AX300" s="68"/>
      <c r="AY300" s="68"/>
      <c r="AZ300" s="68"/>
      <c r="BA300" s="68"/>
      <c r="BB300" s="68"/>
      <c r="BC300" s="68"/>
      <c r="BD300" s="68"/>
      <c r="BE300" s="68"/>
      <c r="BF300" s="68"/>
      <c r="BG300" s="68"/>
      <c r="BH300" s="68"/>
      <c r="BI300" s="68"/>
      <c r="BJ300" s="68"/>
      <c r="BK300" s="68"/>
      <c r="BL300" s="68"/>
      <c r="BM300" s="68"/>
      <c r="BN300" s="68"/>
    </row>
    <row r="301" spans="1:66" ht="17">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68"/>
      <c r="AG301" s="68"/>
      <c r="AH301" s="68"/>
      <c r="AI301" s="68"/>
      <c r="AJ301" s="68"/>
      <c r="AK301" s="68"/>
      <c r="AL301" s="68"/>
      <c r="AM301" s="68"/>
      <c r="AN301" s="68"/>
      <c r="AO301" s="68"/>
      <c r="AP301" s="68"/>
      <c r="AQ301" s="68"/>
      <c r="AR301" s="68"/>
      <c r="AS301" s="68"/>
      <c r="AT301" s="68"/>
      <c r="AU301" s="68"/>
      <c r="AV301" s="68"/>
      <c r="AW301" s="68"/>
      <c r="AX301" s="68"/>
      <c r="AY301" s="68"/>
      <c r="AZ301" s="68"/>
      <c r="BA301" s="68"/>
      <c r="BB301" s="68"/>
      <c r="BC301" s="68"/>
      <c r="BD301" s="68"/>
      <c r="BE301" s="68"/>
      <c r="BF301" s="68"/>
      <c r="BG301" s="68"/>
      <c r="BH301" s="68"/>
      <c r="BI301" s="68"/>
      <c r="BJ301" s="68"/>
      <c r="BK301" s="68"/>
      <c r="BL301" s="68"/>
      <c r="BM301" s="68"/>
      <c r="BN301" s="68"/>
    </row>
    <row r="302" spans="1:66" ht="17">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c r="AG302" s="68"/>
      <c r="AH302" s="68"/>
      <c r="AI302" s="68"/>
      <c r="AJ302" s="68"/>
      <c r="AK302" s="68"/>
      <c r="AL302" s="68"/>
      <c r="AM302" s="68"/>
      <c r="AN302" s="68"/>
      <c r="AO302" s="68"/>
      <c r="AP302" s="68"/>
      <c r="AQ302" s="68"/>
      <c r="AR302" s="68"/>
      <c r="AS302" s="68"/>
      <c r="AT302" s="68"/>
      <c r="AU302" s="68"/>
      <c r="AV302" s="68"/>
      <c r="AW302" s="68"/>
      <c r="AX302" s="68"/>
      <c r="AY302" s="68"/>
      <c r="AZ302" s="68"/>
      <c r="BA302" s="68"/>
      <c r="BB302" s="68"/>
      <c r="BC302" s="68"/>
      <c r="BD302" s="68"/>
      <c r="BE302" s="68"/>
      <c r="BF302" s="68"/>
      <c r="BG302" s="68"/>
      <c r="BH302" s="68"/>
      <c r="BI302" s="68"/>
      <c r="BJ302" s="68"/>
      <c r="BK302" s="68"/>
      <c r="BL302" s="68"/>
      <c r="BM302" s="68"/>
      <c r="BN302" s="68"/>
    </row>
    <row r="303" spans="1:66" ht="17">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c r="AG303" s="68"/>
      <c r="AH303" s="68"/>
      <c r="AI303" s="68"/>
      <c r="AJ303" s="68"/>
      <c r="AK303" s="68"/>
      <c r="AL303" s="68"/>
      <c r="AM303" s="68"/>
      <c r="AN303" s="68"/>
      <c r="AO303" s="68"/>
      <c r="AP303" s="68"/>
      <c r="AQ303" s="68"/>
      <c r="AR303" s="68"/>
      <c r="AS303" s="68"/>
      <c r="AT303" s="68"/>
      <c r="AU303" s="68"/>
      <c r="AV303" s="68"/>
      <c r="AW303" s="68"/>
      <c r="AX303" s="68"/>
      <c r="AY303" s="68"/>
      <c r="AZ303" s="68"/>
      <c r="BA303" s="68"/>
      <c r="BB303" s="68"/>
      <c r="BC303" s="68"/>
      <c r="BD303" s="68"/>
      <c r="BE303" s="68"/>
      <c r="BF303" s="68"/>
      <c r="BG303" s="68"/>
      <c r="BH303" s="68"/>
      <c r="BI303" s="68"/>
      <c r="BJ303" s="68"/>
      <c r="BK303" s="68"/>
      <c r="BL303" s="68"/>
      <c r="BM303" s="68"/>
      <c r="BN303" s="68"/>
    </row>
    <row r="304" spans="1:66" ht="17">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68"/>
      <c r="AG304" s="68"/>
      <c r="AH304" s="68"/>
      <c r="AI304" s="68"/>
      <c r="AJ304" s="68"/>
      <c r="AK304" s="68"/>
      <c r="AL304" s="68"/>
      <c r="AM304" s="68"/>
      <c r="AN304" s="68"/>
      <c r="AO304" s="68"/>
      <c r="AP304" s="68"/>
      <c r="AQ304" s="68"/>
      <c r="AR304" s="68"/>
      <c r="AS304" s="68"/>
      <c r="AT304" s="68"/>
      <c r="AU304" s="68"/>
      <c r="AV304" s="68"/>
      <c r="AW304" s="68"/>
      <c r="AX304" s="68"/>
      <c r="AY304" s="68"/>
      <c r="AZ304" s="68"/>
      <c r="BA304" s="68"/>
      <c r="BB304" s="68"/>
      <c r="BC304" s="68"/>
      <c r="BD304" s="68"/>
      <c r="BE304" s="68"/>
      <c r="BF304" s="68"/>
      <c r="BG304" s="68"/>
      <c r="BH304" s="68"/>
      <c r="BI304" s="68"/>
      <c r="BJ304" s="68"/>
      <c r="BK304" s="68"/>
      <c r="BL304" s="68"/>
      <c r="BM304" s="68"/>
      <c r="BN304" s="68"/>
    </row>
    <row r="305" spans="1:66" ht="17">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68"/>
      <c r="AG305" s="68"/>
      <c r="AH305" s="68"/>
      <c r="AI305" s="68"/>
      <c r="AJ305" s="68"/>
      <c r="AK305" s="68"/>
      <c r="AL305" s="68"/>
      <c r="AM305" s="68"/>
      <c r="AN305" s="68"/>
      <c r="AO305" s="68"/>
      <c r="AP305" s="68"/>
      <c r="AQ305" s="68"/>
      <c r="AR305" s="68"/>
      <c r="AS305" s="68"/>
      <c r="AT305" s="68"/>
      <c r="AU305" s="68"/>
      <c r="AV305" s="68"/>
      <c r="AW305" s="68"/>
      <c r="AX305" s="68"/>
      <c r="AY305" s="68"/>
      <c r="AZ305" s="68"/>
      <c r="BA305" s="68"/>
      <c r="BB305" s="68"/>
      <c r="BC305" s="68"/>
      <c r="BD305" s="68"/>
      <c r="BE305" s="68"/>
      <c r="BF305" s="68"/>
      <c r="BG305" s="68"/>
      <c r="BH305" s="68"/>
      <c r="BI305" s="68"/>
      <c r="BJ305" s="68"/>
      <c r="BK305" s="68"/>
      <c r="BL305" s="68"/>
      <c r="BM305" s="68"/>
      <c r="BN305" s="68"/>
    </row>
    <row r="306" spans="1:66" ht="17">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c r="AG306" s="68"/>
      <c r="AH306" s="68"/>
      <c r="AI306" s="68"/>
      <c r="AJ306" s="68"/>
      <c r="AK306" s="68"/>
      <c r="AL306" s="68"/>
      <c r="AM306" s="68"/>
      <c r="AN306" s="68"/>
      <c r="AO306" s="68"/>
      <c r="AP306" s="68"/>
      <c r="AQ306" s="68"/>
      <c r="AR306" s="68"/>
      <c r="AS306" s="68"/>
      <c r="AT306" s="68"/>
      <c r="AU306" s="68"/>
      <c r="AV306" s="68"/>
      <c r="AW306" s="68"/>
      <c r="AX306" s="68"/>
      <c r="AY306" s="68"/>
      <c r="AZ306" s="68"/>
      <c r="BA306" s="68"/>
      <c r="BB306" s="68"/>
      <c r="BC306" s="68"/>
      <c r="BD306" s="68"/>
      <c r="BE306" s="68"/>
      <c r="BF306" s="68"/>
      <c r="BG306" s="68"/>
      <c r="BH306" s="68"/>
      <c r="BI306" s="68"/>
      <c r="BJ306" s="68"/>
      <c r="BK306" s="68"/>
      <c r="BL306" s="68"/>
      <c r="BM306" s="68"/>
      <c r="BN306" s="68"/>
    </row>
    <row r="307" spans="1:66" ht="1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68"/>
      <c r="AG307" s="68"/>
      <c r="AH307" s="68"/>
      <c r="AI307" s="68"/>
      <c r="AJ307" s="68"/>
      <c r="AK307" s="68"/>
      <c r="AL307" s="68"/>
      <c r="AM307" s="68"/>
      <c r="AN307" s="68"/>
      <c r="AO307" s="68"/>
      <c r="AP307" s="68"/>
      <c r="AQ307" s="68"/>
      <c r="AR307" s="68"/>
      <c r="AS307" s="68"/>
      <c r="AT307" s="68"/>
      <c r="AU307" s="68"/>
      <c r="AV307" s="68"/>
      <c r="AW307" s="68"/>
      <c r="AX307" s="68"/>
      <c r="AY307" s="68"/>
      <c r="AZ307" s="68"/>
      <c r="BA307" s="68"/>
      <c r="BB307" s="68"/>
      <c r="BC307" s="68"/>
      <c r="BD307" s="68"/>
      <c r="BE307" s="68"/>
      <c r="BF307" s="68"/>
      <c r="BG307" s="68"/>
      <c r="BH307" s="68"/>
      <c r="BI307" s="68"/>
      <c r="BJ307" s="68"/>
      <c r="BK307" s="68"/>
      <c r="BL307" s="68"/>
      <c r="BM307" s="68"/>
      <c r="BN307" s="68"/>
    </row>
    <row r="308" spans="1:66" ht="17">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68"/>
      <c r="AG308" s="68"/>
      <c r="AH308" s="68"/>
      <c r="AI308" s="68"/>
      <c r="AJ308" s="68"/>
      <c r="AK308" s="68"/>
      <c r="AL308" s="68"/>
      <c r="AM308" s="68"/>
      <c r="AN308" s="68"/>
      <c r="AO308" s="68"/>
      <c r="AP308" s="68"/>
      <c r="AQ308" s="68"/>
      <c r="AR308" s="68"/>
      <c r="AS308" s="68"/>
      <c r="AT308" s="68"/>
      <c r="AU308" s="68"/>
      <c r="AV308" s="68"/>
      <c r="AW308" s="68"/>
      <c r="AX308" s="68"/>
      <c r="AY308" s="68"/>
      <c r="AZ308" s="68"/>
      <c r="BA308" s="68"/>
      <c r="BB308" s="68"/>
      <c r="BC308" s="68"/>
      <c r="BD308" s="68"/>
      <c r="BE308" s="68"/>
      <c r="BF308" s="68"/>
      <c r="BG308" s="68"/>
      <c r="BH308" s="68"/>
      <c r="BI308" s="68"/>
      <c r="BJ308" s="68"/>
      <c r="BK308" s="68"/>
      <c r="BL308" s="68"/>
      <c r="BM308" s="68"/>
      <c r="BN308" s="68"/>
    </row>
    <row r="309" spans="1:66" ht="17">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68"/>
      <c r="AG309" s="68"/>
      <c r="AH309" s="68"/>
      <c r="AI309" s="68"/>
      <c r="AJ309" s="68"/>
      <c r="AK309" s="68"/>
      <c r="AL309" s="68"/>
      <c r="AM309" s="68"/>
      <c r="AN309" s="68"/>
      <c r="AO309" s="68"/>
      <c r="AP309" s="68"/>
      <c r="AQ309" s="68"/>
      <c r="AR309" s="68"/>
      <c r="AS309" s="68"/>
      <c r="AT309" s="68"/>
      <c r="AU309" s="68"/>
      <c r="AV309" s="68"/>
      <c r="AW309" s="68"/>
      <c r="AX309" s="68"/>
      <c r="AY309" s="68"/>
      <c r="AZ309" s="68"/>
      <c r="BA309" s="68"/>
      <c r="BB309" s="68"/>
      <c r="BC309" s="68"/>
      <c r="BD309" s="68"/>
      <c r="BE309" s="68"/>
      <c r="BF309" s="68"/>
      <c r="BG309" s="68"/>
      <c r="BH309" s="68"/>
      <c r="BI309" s="68"/>
      <c r="BJ309" s="68"/>
      <c r="BK309" s="68"/>
      <c r="BL309" s="68"/>
      <c r="BM309" s="68"/>
      <c r="BN309" s="68"/>
    </row>
    <row r="310" spans="1:66" ht="17">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68"/>
      <c r="AG310" s="68"/>
      <c r="AH310" s="68"/>
      <c r="AI310" s="68"/>
      <c r="AJ310" s="68"/>
      <c r="AK310" s="68"/>
      <c r="AL310" s="68"/>
      <c r="AM310" s="68"/>
      <c r="AN310" s="68"/>
      <c r="AO310" s="68"/>
      <c r="AP310" s="68"/>
      <c r="AQ310" s="68"/>
      <c r="AR310" s="68"/>
      <c r="AS310" s="68"/>
      <c r="AT310" s="68"/>
      <c r="AU310" s="68"/>
      <c r="AV310" s="68"/>
      <c r="AW310" s="68"/>
      <c r="AX310" s="68"/>
      <c r="AY310" s="68"/>
      <c r="AZ310" s="68"/>
      <c r="BA310" s="68"/>
      <c r="BB310" s="68"/>
      <c r="BC310" s="68"/>
      <c r="BD310" s="68"/>
      <c r="BE310" s="68"/>
      <c r="BF310" s="68"/>
      <c r="BG310" s="68"/>
      <c r="BH310" s="68"/>
      <c r="BI310" s="68"/>
      <c r="BJ310" s="68"/>
      <c r="BK310" s="68"/>
      <c r="BL310" s="68"/>
      <c r="BM310" s="68"/>
      <c r="BN310" s="68"/>
    </row>
    <row r="311" spans="1:66" ht="17">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c r="AG311" s="68"/>
      <c r="AH311" s="68"/>
      <c r="AI311" s="68"/>
      <c r="AJ311" s="68"/>
      <c r="AK311" s="68"/>
      <c r="AL311" s="68"/>
      <c r="AM311" s="68"/>
      <c r="AN311" s="68"/>
      <c r="AO311" s="68"/>
      <c r="AP311" s="68"/>
      <c r="AQ311" s="68"/>
      <c r="AR311" s="68"/>
      <c r="AS311" s="68"/>
      <c r="AT311" s="68"/>
      <c r="AU311" s="68"/>
      <c r="AV311" s="68"/>
      <c r="AW311" s="68"/>
      <c r="AX311" s="68"/>
      <c r="AY311" s="68"/>
      <c r="AZ311" s="68"/>
      <c r="BA311" s="68"/>
      <c r="BB311" s="68"/>
      <c r="BC311" s="68"/>
      <c r="BD311" s="68"/>
      <c r="BE311" s="68"/>
      <c r="BF311" s="68"/>
      <c r="BG311" s="68"/>
      <c r="BH311" s="68"/>
      <c r="BI311" s="68"/>
      <c r="BJ311" s="68"/>
      <c r="BK311" s="68"/>
      <c r="BL311" s="68"/>
      <c r="BM311" s="68"/>
      <c r="BN311" s="68"/>
    </row>
    <row r="312" spans="1:66" ht="17">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68"/>
      <c r="AG312" s="68"/>
      <c r="AH312" s="68"/>
      <c r="AI312" s="68"/>
      <c r="AJ312" s="68"/>
      <c r="AK312" s="68"/>
      <c r="AL312" s="68"/>
      <c r="AM312" s="68"/>
      <c r="AN312" s="68"/>
      <c r="AO312" s="68"/>
      <c r="AP312" s="68"/>
      <c r="AQ312" s="68"/>
      <c r="AR312" s="68"/>
      <c r="AS312" s="68"/>
      <c r="AT312" s="68"/>
      <c r="AU312" s="68"/>
      <c r="AV312" s="68"/>
      <c r="AW312" s="68"/>
      <c r="AX312" s="68"/>
      <c r="AY312" s="68"/>
      <c r="AZ312" s="68"/>
      <c r="BA312" s="68"/>
      <c r="BB312" s="68"/>
      <c r="BC312" s="68"/>
      <c r="BD312" s="68"/>
      <c r="BE312" s="68"/>
      <c r="BF312" s="68"/>
      <c r="BG312" s="68"/>
      <c r="BH312" s="68"/>
      <c r="BI312" s="68"/>
      <c r="BJ312" s="68"/>
      <c r="BK312" s="68"/>
      <c r="BL312" s="68"/>
      <c r="BM312" s="68"/>
      <c r="BN312" s="68"/>
    </row>
    <row r="313" spans="1:66" ht="17">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68"/>
      <c r="AG313" s="68"/>
      <c r="AH313" s="68"/>
      <c r="AI313" s="68"/>
      <c r="AJ313" s="68"/>
      <c r="AK313" s="68"/>
      <c r="AL313" s="68"/>
      <c r="AM313" s="68"/>
      <c r="AN313" s="68"/>
      <c r="AO313" s="68"/>
      <c r="AP313" s="68"/>
      <c r="AQ313" s="68"/>
      <c r="AR313" s="68"/>
      <c r="AS313" s="68"/>
      <c r="AT313" s="68"/>
      <c r="AU313" s="68"/>
      <c r="AV313" s="68"/>
      <c r="AW313" s="68"/>
      <c r="AX313" s="68"/>
      <c r="AY313" s="68"/>
      <c r="AZ313" s="68"/>
      <c r="BA313" s="68"/>
      <c r="BB313" s="68"/>
      <c r="BC313" s="68"/>
      <c r="BD313" s="68"/>
      <c r="BE313" s="68"/>
      <c r="BF313" s="68"/>
      <c r="BG313" s="68"/>
      <c r="BH313" s="68"/>
      <c r="BI313" s="68"/>
      <c r="BJ313" s="68"/>
      <c r="BK313" s="68"/>
      <c r="BL313" s="68"/>
      <c r="BM313" s="68"/>
      <c r="BN313" s="68"/>
    </row>
    <row r="314" spans="1:66" ht="17">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68"/>
      <c r="AG314" s="68"/>
      <c r="AH314" s="68"/>
      <c r="AI314" s="68"/>
      <c r="AJ314" s="68"/>
      <c r="AK314" s="68"/>
      <c r="AL314" s="68"/>
      <c r="AM314" s="68"/>
      <c r="AN314" s="68"/>
      <c r="AO314" s="68"/>
      <c r="AP314" s="68"/>
      <c r="AQ314" s="68"/>
      <c r="AR314" s="68"/>
      <c r="AS314" s="68"/>
      <c r="AT314" s="68"/>
      <c r="AU314" s="68"/>
      <c r="AV314" s="68"/>
      <c r="AW314" s="68"/>
      <c r="AX314" s="68"/>
      <c r="AY314" s="68"/>
      <c r="AZ314" s="68"/>
      <c r="BA314" s="68"/>
      <c r="BB314" s="68"/>
      <c r="BC314" s="68"/>
      <c r="BD314" s="68"/>
      <c r="BE314" s="68"/>
      <c r="BF314" s="68"/>
      <c r="BG314" s="68"/>
      <c r="BH314" s="68"/>
      <c r="BI314" s="68"/>
      <c r="BJ314" s="68"/>
      <c r="BK314" s="68"/>
      <c r="BL314" s="68"/>
      <c r="BM314" s="68"/>
      <c r="BN314" s="68"/>
    </row>
    <row r="315" spans="1:66" ht="17">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c r="AG315" s="68"/>
      <c r="AH315" s="68"/>
      <c r="AI315" s="68"/>
      <c r="AJ315" s="68"/>
      <c r="AK315" s="68"/>
      <c r="AL315" s="68"/>
      <c r="AM315" s="68"/>
      <c r="AN315" s="68"/>
      <c r="AO315" s="68"/>
      <c r="AP315" s="68"/>
      <c r="AQ315" s="68"/>
      <c r="AR315" s="68"/>
      <c r="AS315" s="68"/>
      <c r="AT315" s="68"/>
      <c r="AU315" s="68"/>
      <c r="AV315" s="68"/>
      <c r="AW315" s="68"/>
      <c r="AX315" s="68"/>
      <c r="AY315" s="68"/>
      <c r="AZ315" s="68"/>
      <c r="BA315" s="68"/>
      <c r="BB315" s="68"/>
      <c r="BC315" s="68"/>
      <c r="BD315" s="68"/>
      <c r="BE315" s="68"/>
      <c r="BF315" s="68"/>
      <c r="BG315" s="68"/>
      <c r="BH315" s="68"/>
      <c r="BI315" s="68"/>
      <c r="BJ315" s="68"/>
      <c r="BK315" s="68"/>
      <c r="BL315" s="68"/>
      <c r="BM315" s="68"/>
      <c r="BN315" s="68"/>
    </row>
    <row r="316" spans="1:66" ht="17">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68"/>
      <c r="AG316" s="68"/>
      <c r="AH316" s="68"/>
      <c r="AI316" s="68"/>
      <c r="AJ316" s="68"/>
      <c r="AK316" s="68"/>
      <c r="AL316" s="68"/>
      <c r="AM316" s="68"/>
      <c r="AN316" s="68"/>
      <c r="AO316" s="68"/>
      <c r="AP316" s="68"/>
      <c r="AQ316" s="68"/>
      <c r="AR316" s="68"/>
      <c r="AS316" s="68"/>
      <c r="AT316" s="68"/>
      <c r="AU316" s="68"/>
      <c r="AV316" s="68"/>
      <c r="AW316" s="68"/>
      <c r="AX316" s="68"/>
      <c r="AY316" s="68"/>
      <c r="AZ316" s="68"/>
      <c r="BA316" s="68"/>
      <c r="BB316" s="68"/>
      <c r="BC316" s="68"/>
      <c r="BD316" s="68"/>
      <c r="BE316" s="68"/>
      <c r="BF316" s="68"/>
      <c r="BG316" s="68"/>
      <c r="BH316" s="68"/>
      <c r="BI316" s="68"/>
      <c r="BJ316" s="68"/>
      <c r="BK316" s="68"/>
      <c r="BL316" s="68"/>
      <c r="BM316" s="68"/>
      <c r="BN316" s="68"/>
    </row>
    <row r="317" spans="1:66" ht="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c r="AH317" s="68"/>
      <c r="AI317" s="68"/>
      <c r="AJ317" s="68"/>
      <c r="AK317" s="68"/>
      <c r="AL317" s="68"/>
      <c r="AM317" s="68"/>
      <c r="AN317" s="68"/>
      <c r="AO317" s="68"/>
      <c r="AP317" s="68"/>
      <c r="AQ317" s="68"/>
      <c r="AR317" s="68"/>
      <c r="AS317" s="68"/>
      <c r="AT317" s="68"/>
      <c r="AU317" s="68"/>
      <c r="AV317" s="68"/>
      <c r="AW317" s="68"/>
      <c r="AX317" s="68"/>
      <c r="AY317" s="68"/>
      <c r="AZ317" s="68"/>
      <c r="BA317" s="68"/>
      <c r="BB317" s="68"/>
      <c r="BC317" s="68"/>
      <c r="BD317" s="68"/>
      <c r="BE317" s="68"/>
      <c r="BF317" s="68"/>
      <c r="BG317" s="68"/>
      <c r="BH317" s="68"/>
      <c r="BI317" s="68"/>
      <c r="BJ317" s="68"/>
      <c r="BK317" s="68"/>
      <c r="BL317" s="68"/>
      <c r="BM317" s="68"/>
      <c r="BN317" s="68"/>
    </row>
    <row r="318" spans="1:66" ht="17">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c r="AH318" s="68"/>
      <c r="AI318" s="68"/>
      <c r="AJ318" s="68"/>
      <c r="AK318" s="68"/>
      <c r="AL318" s="68"/>
      <c r="AM318" s="68"/>
      <c r="AN318" s="68"/>
      <c r="AO318" s="68"/>
      <c r="AP318" s="68"/>
      <c r="AQ318" s="68"/>
      <c r="AR318" s="68"/>
      <c r="AS318" s="68"/>
      <c r="AT318" s="68"/>
      <c r="AU318" s="68"/>
      <c r="AV318" s="68"/>
      <c r="AW318" s="68"/>
      <c r="AX318" s="68"/>
      <c r="AY318" s="68"/>
      <c r="AZ318" s="68"/>
      <c r="BA318" s="68"/>
      <c r="BB318" s="68"/>
      <c r="BC318" s="68"/>
      <c r="BD318" s="68"/>
      <c r="BE318" s="68"/>
      <c r="BF318" s="68"/>
      <c r="BG318" s="68"/>
      <c r="BH318" s="68"/>
      <c r="BI318" s="68"/>
      <c r="BJ318" s="68"/>
      <c r="BK318" s="68"/>
      <c r="BL318" s="68"/>
      <c r="BM318" s="68"/>
      <c r="BN318" s="68"/>
    </row>
    <row r="319" spans="1:66" ht="17">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68"/>
      <c r="AG319" s="68"/>
      <c r="AH319" s="68"/>
      <c r="AI319" s="68"/>
      <c r="AJ319" s="68"/>
      <c r="AK319" s="68"/>
      <c r="AL319" s="68"/>
      <c r="AM319" s="68"/>
      <c r="AN319" s="68"/>
      <c r="AO319" s="68"/>
      <c r="AP319" s="68"/>
      <c r="AQ319" s="68"/>
      <c r="AR319" s="68"/>
      <c r="AS319" s="68"/>
      <c r="AT319" s="68"/>
      <c r="AU319" s="68"/>
      <c r="AV319" s="68"/>
      <c r="AW319" s="68"/>
      <c r="AX319" s="68"/>
      <c r="AY319" s="68"/>
      <c r="AZ319" s="68"/>
      <c r="BA319" s="68"/>
      <c r="BB319" s="68"/>
      <c r="BC319" s="68"/>
      <c r="BD319" s="68"/>
      <c r="BE319" s="68"/>
      <c r="BF319" s="68"/>
      <c r="BG319" s="68"/>
      <c r="BH319" s="68"/>
      <c r="BI319" s="68"/>
      <c r="BJ319" s="68"/>
      <c r="BK319" s="68"/>
      <c r="BL319" s="68"/>
      <c r="BM319" s="68"/>
      <c r="BN319" s="68"/>
    </row>
    <row r="320" spans="1:66" ht="17">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68"/>
      <c r="AK320" s="68"/>
      <c r="AL320" s="68"/>
      <c r="AM320" s="68"/>
      <c r="AN320" s="68"/>
      <c r="AO320" s="68"/>
      <c r="AP320" s="68"/>
      <c r="AQ320" s="68"/>
      <c r="AR320" s="68"/>
      <c r="AS320" s="68"/>
      <c r="AT320" s="68"/>
      <c r="AU320" s="68"/>
      <c r="AV320" s="68"/>
      <c r="AW320" s="68"/>
      <c r="AX320" s="68"/>
      <c r="AY320" s="68"/>
      <c r="AZ320" s="68"/>
      <c r="BA320" s="68"/>
      <c r="BB320" s="68"/>
      <c r="BC320" s="68"/>
      <c r="BD320" s="68"/>
      <c r="BE320" s="68"/>
      <c r="BF320" s="68"/>
      <c r="BG320" s="68"/>
      <c r="BH320" s="68"/>
      <c r="BI320" s="68"/>
      <c r="BJ320" s="68"/>
      <c r="BK320" s="68"/>
      <c r="BL320" s="68"/>
      <c r="BM320" s="68"/>
      <c r="BN320" s="68"/>
    </row>
    <row r="321" spans="1:66" ht="17">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c r="AH321" s="68"/>
      <c r="AI321" s="68"/>
      <c r="AJ321" s="68"/>
      <c r="AK321" s="68"/>
      <c r="AL321" s="68"/>
      <c r="AM321" s="68"/>
      <c r="AN321" s="68"/>
      <c r="AO321" s="68"/>
      <c r="AP321" s="68"/>
      <c r="AQ321" s="68"/>
      <c r="AR321" s="68"/>
      <c r="AS321" s="68"/>
      <c r="AT321" s="68"/>
      <c r="AU321" s="68"/>
      <c r="AV321" s="68"/>
      <c r="AW321" s="68"/>
      <c r="AX321" s="68"/>
      <c r="AY321" s="68"/>
      <c r="AZ321" s="68"/>
      <c r="BA321" s="68"/>
      <c r="BB321" s="68"/>
      <c r="BC321" s="68"/>
      <c r="BD321" s="68"/>
      <c r="BE321" s="68"/>
      <c r="BF321" s="68"/>
      <c r="BG321" s="68"/>
      <c r="BH321" s="68"/>
      <c r="BI321" s="68"/>
      <c r="BJ321" s="68"/>
      <c r="BK321" s="68"/>
      <c r="BL321" s="68"/>
      <c r="BM321" s="68"/>
      <c r="BN321" s="68"/>
    </row>
    <row r="322" spans="1:66" ht="17">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c r="AG322" s="68"/>
      <c r="AH322" s="68"/>
      <c r="AI322" s="68"/>
      <c r="AJ322" s="68"/>
      <c r="AK322" s="68"/>
      <c r="AL322" s="68"/>
      <c r="AM322" s="68"/>
      <c r="AN322" s="68"/>
      <c r="AO322" s="68"/>
      <c r="AP322" s="68"/>
      <c r="AQ322" s="68"/>
      <c r="AR322" s="68"/>
      <c r="AS322" s="68"/>
      <c r="AT322" s="68"/>
      <c r="AU322" s="68"/>
      <c r="AV322" s="68"/>
      <c r="AW322" s="68"/>
      <c r="AX322" s="68"/>
      <c r="AY322" s="68"/>
      <c r="AZ322" s="68"/>
      <c r="BA322" s="68"/>
      <c r="BB322" s="68"/>
      <c r="BC322" s="68"/>
      <c r="BD322" s="68"/>
      <c r="BE322" s="68"/>
      <c r="BF322" s="68"/>
      <c r="BG322" s="68"/>
      <c r="BH322" s="68"/>
      <c r="BI322" s="68"/>
      <c r="BJ322" s="68"/>
      <c r="BK322" s="68"/>
      <c r="BL322" s="68"/>
      <c r="BM322" s="68"/>
      <c r="BN322" s="68"/>
    </row>
    <row r="323" spans="1:66" ht="17">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c r="AJ323" s="68"/>
      <c r="AK323" s="68"/>
      <c r="AL323" s="68"/>
      <c r="AM323" s="68"/>
      <c r="AN323" s="68"/>
      <c r="AO323" s="68"/>
      <c r="AP323" s="68"/>
      <c r="AQ323" s="68"/>
      <c r="AR323" s="68"/>
      <c r="AS323" s="68"/>
      <c r="AT323" s="68"/>
      <c r="AU323" s="68"/>
      <c r="AV323" s="68"/>
      <c r="AW323" s="68"/>
      <c r="AX323" s="68"/>
      <c r="AY323" s="68"/>
      <c r="AZ323" s="68"/>
      <c r="BA323" s="68"/>
      <c r="BB323" s="68"/>
      <c r="BC323" s="68"/>
      <c r="BD323" s="68"/>
      <c r="BE323" s="68"/>
      <c r="BF323" s="68"/>
      <c r="BG323" s="68"/>
      <c r="BH323" s="68"/>
      <c r="BI323" s="68"/>
      <c r="BJ323" s="68"/>
      <c r="BK323" s="68"/>
      <c r="BL323" s="68"/>
      <c r="BM323" s="68"/>
      <c r="BN323" s="68"/>
    </row>
    <row r="324" spans="1:66" ht="17">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c r="AH324" s="68"/>
      <c r="AI324" s="68"/>
      <c r="AJ324" s="68"/>
      <c r="AK324" s="68"/>
      <c r="AL324" s="68"/>
      <c r="AM324" s="68"/>
      <c r="AN324" s="68"/>
      <c r="AO324" s="68"/>
      <c r="AP324" s="68"/>
      <c r="AQ324" s="68"/>
      <c r="AR324" s="68"/>
      <c r="AS324" s="68"/>
      <c r="AT324" s="68"/>
      <c r="AU324" s="68"/>
      <c r="AV324" s="68"/>
      <c r="AW324" s="68"/>
      <c r="AX324" s="68"/>
      <c r="AY324" s="68"/>
      <c r="AZ324" s="68"/>
      <c r="BA324" s="68"/>
      <c r="BB324" s="68"/>
      <c r="BC324" s="68"/>
      <c r="BD324" s="68"/>
      <c r="BE324" s="68"/>
      <c r="BF324" s="68"/>
      <c r="BG324" s="68"/>
      <c r="BH324" s="68"/>
      <c r="BI324" s="68"/>
      <c r="BJ324" s="68"/>
      <c r="BK324" s="68"/>
      <c r="BL324" s="68"/>
      <c r="BM324" s="68"/>
      <c r="BN324" s="68"/>
    </row>
    <row r="325" spans="1:66" ht="17">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68"/>
      <c r="AG325" s="68"/>
      <c r="AH325" s="68"/>
      <c r="AI325" s="68"/>
      <c r="AJ325" s="68"/>
      <c r="AK325" s="68"/>
      <c r="AL325" s="68"/>
      <c r="AM325" s="68"/>
      <c r="AN325" s="68"/>
      <c r="AO325" s="68"/>
      <c r="AP325" s="68"/>
      <c r="AQ325" s="68"/>
      <c r="AR325" s="68"/>
      <c r="AS325" s="68"/>
      <c r="AT325" s="68"/>
      <c r="AU325" s="68"/>
      <c r="AV325" s="68"/>
      <c r="AW325" s="68"/>
      <c r="AX325" s="68"/>
      <c r="AY325" s="68"/>
      <c r="AZ325" s="68"/>
      <c r="BA325" s="68"/>
      <c r="BB325" s="68"/>
      <c r="BC325" s="68"/>
      <c r="BD325" s="68"/>
      <c r="BE325" s="68"/>
      <c r="BF325" s="68"/>
      <c r="BG325" s="68"/>
      <c r="BH325" s="68"/>
      <c r="BI325" s="68"/>
      <c r="BJ325" s="68"/>
      <c r="BK325" s="68"/>
      <c r="BL325" s="68"/>
      <c r="BM325" s="68"/>
      <c r="BN325" s="68"/>
    </row>
    <row r="326" spans="1:66" ht="17">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c r="AH326" s="68"/>
      <c r="AI326" s="68"/>
      <c r="AJ326" s="68"/>
      <c r="AK326" s="68"/>
      <c r="AL326" s="68"/>
      <c r="AM326" s="68"/>
      <c r="AN326" s="68"/>
      <c r="AO326" s="68"/>
      <c r="AP326" s="68"/>
      <c r="AQ326" s="68"/>
      <c r="AR326" s="68"/>
      <c r="AS326" s="68"/>
      <c r="AT326" s="68"/>
      <c r="AU326" s="68"/>
      <c r="AV326" s="68"/>
      <c r="AW326" s="68"/>
      <c r="AX326" s="68"/>
      <c r="AY326" s="68"/>
      <c r="AZ326" s="68"/>
      <c r="BA326" s="68"/>
      <c r="BB326" s="68"/>
      <c r="BC326" s="68"/>
      <c r="BD326" s="68"/>
      <c r="BE326" s="68"/>
      <c r="BF326" s="68"/>
      <c r="BG326" s="68"/>
      <c r="BH326" s="68"/>
      <c r="BI326" s="68"/>
      <c r="BJ326" s="68"/>
      <c r="BK326" s="68"/>
      <c r="BL326" s="68"/>
      <c r="BM326" s="68"/>
      <c r="BN326" s="68"/>
    </row>
    <row r="327" spans="1:66" ht="1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c r="AH327" s="68"/>
      <c r="AI327" s="68"/>
      <c r="AJ327" s="68"/>
      <c r="AK327" s="68"/>
      <c r="AL327" s="68"/>
      <c r="AM327" s="68"/>
      <c r="AN327" s="68"/>
      <c r="AO327" s="68"/>
      <c r="AP327" s="68"/>
      <c r="AQ327" s="68"/>
      <c r="AR327" s="68"/>
      <c r="AS327" s="68"/>
      <c r="AT327" s="68"/>
      <c r="AU327" s="68"/>
      <c r="AV327" s="68"/>
      <c r="AW327" s="68"/>
      <c r="AX327" s="68"/>
      <c r="AY327" s="68"/>
      <c r="AZ327" s="68"/>
      <c r="BA327" s="68"/>
      <c r="BB327" s="68"/>
      <c r="BC327" s="68"/>
      <c r="BD327" s="68"/>
      <c r="BE327" s="68"/>
      <c r="BF327" s="68"/>
      <c r="BG327" s="68"/>
      <c r="BH327" s="68"/>
      <c r="BI327" s="68"/>
      <c r="BJ327" s="68"/>
      <c r="BK327" s="68"/>
      <c r="BL327" s="68"/>
      <c r="BM327" s="68"/>
      <c r="BN327" s="68"/>
    </row>
    <row r="328" spans="1:66" ht="17">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68"/>
      <c r="AM328" s="68"/>
      <c r="AN328" s="68"/>
      <c r="AO328" s="68"/>
      <c r="AP328" s="68"/>
      <c r="AQ328" s="68"/>
      <c r="AR328" s="68"/>
      <c r="AS328" s="68"/>
      <c r="AT328" s="68"/>
      <c r="AU328" s="68"/>
      <c r="AV328" s="68"/>
      <c r="AW328" s="68"/>
      <c r="AX328" s="68"/>
      <c r="AY328" s="68"/>
      <c r="AZ328" s="68"/>
      <c r="BA328" s="68"/>
      <c r="BB328" s="68"/>
      <c r="BC328" s="68"/>
      <c r="BD328" s="68"/>
      <c r="BE328" s="68"/>
      <c r="BF328" s="68"/>
      <c r="BG328" s="68"/>
      <c r="BH328" s="68"/>
      <c r="BI328" s="68"/>
      <c r="BJ328" s="68"/>
      <c r="BK328" s="68"/>
      <c r="BL328" s="68"/>
      <c r="BM328" s="68"/>
      <c r="BN328" s="68"/>
    </row>
    <row r="329" spans="1:66" ht="17">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68"/>
      <c r="AK329" s="68"/>
      <c r="AL329" s="68"/>
      <c r="AM329" s="68"/>
      <c r="AN329" s="68"/>
      <c r="AO329" s="68"/>
      <c r="AP329" s="68"/>
      <c r="AQ329" s="68"/>
      <c r="AR329" s="68"/>
      <c r="AS329" s="68"/>
      <c r="AT329" s="68"/>
      <c r="AU329" s="68"/>
      <c r="AV329" s="68"/>
      <c r="AW329" s="68"/>
      <c r="AX329" s="68"/>
      <c r="AY329" s="68"/>
      <c r="AZ329" s="68"/>
      <c r="BA329" s="68"/>
      <c r="BB329" s="68"/>
      <c r="BC329" s="68"/>
      <c r="BD329" s="68"/>
      <c r="BE329" s="68"/>
      <c r="BF329" s="68"/>
      <c r="BG329" s="68"/>
      <c r="BH329" s="68"/>
      <c r="BI329" s="68"/>
      <c r="BJ329" s="68"/>
      <c r="BK329" s="68"/>
      <c r="BL329" s="68"/>
      <c r="BM329" s="68"/>
      <c r="BN329" s="68"/>
    </row>
    <row r="330" spans="1:66" ht="17">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c r="AJ330" s="68"/>
      <c r="AK330" s="68"/>
      <c r="AL330" s="68"/>
      <c r="AM330" s="68"/>
      <c r="AN330" s="68"/>
      <c r="AO330" s="68"/>
      <c r="AP330" s="68"/>
      <c r="AQ330" s="68"/>
      <c r="AR330" s="68"/>
      <c r="AS330" s="68"/>
      <c r="AT330" s="68"/>
      <c r="AU330" s="68"/>
      <c r="AV330" s="68"/>
      <c r="AW330" s="68"/>
      <c r="AX330" s="68"/>
      <c r="AY330" s="68"/>
      <c r="AZ330" s="68"/>
      <c r="BA330" s="68"/>
      <c r="BB330" s="68"/>
      <c r="BC330" s="68"/>
      <c r="BD330" s="68"/>
      <c r="BE330" s="68"/>
      <c r="BF330" s="68"/>
      <c r="BG330" s="68"/>
      <c r="BH330" s="68"/>
      <c r="BI330" s="68"/>
      <c r="BJ330" s="68"/>
      <c r="BK330" s="68"/>
      <c r="BL330" s="68"/>
      <c r="BM330" s="68"/>
      <c r="BN330" s="68"/>
    </row>
    <row r="331" spans="1:66" ht="17">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c r="AH331" s="68"/>
      <c r="AI331" s="68"/>
      <c r="AJ331" s="68"/>
      <c r="AK331" s="68"/>
      <c r="AL331" s="68"/>
      <c r="AM331" s="68"/>
      <c r="AN331" s="68"/>
      <c r="AO331" s="68"/>
      <c r="AP331" s="68"/>
      <c r="AQ331" s="68"/>
      <c r="AR331" s="68"/>
      <c r="AS331" s="68"/>
      <c r="AT331" s="68"/>
      <c r="AU331" s="68"/>
      <c r="AV331" s="68"/>
      <c r="AW331" s="68"/>
      <c r="AX331" s="68"/>
      <c r="AY331" s="68"/>
      <c r="AZ331" s="68"/>
      <c r="BA331" s="68"/>
      <c r="BB331" s="68"/>
      <c r="BC331" s="68"/>
      <c r="BD331" s="68"/>
      <c r="BE331" s="68"/>
      <c r="BF331" s="68"/>
      <c r="BG331" s="68"/>
      <c r="BH331" s="68"/>
      <c r="BI331" s="68"/>
      <c r="BJ331" s="68"/>
      <c r="BK331" s="68"/>
      <c r="BL331" s="68"/>
      <c r="BM331" s="68"/>
      <c r="BN331" s="68"/>
    </row>
    <row r="332" spans="1:66" ht="17">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c r="AH332" s="68"/>
      <c r="AI332" s="68"/>
      <c r="AJ332" s="68"/>
      <c r="AK332" s="68"/>
      <c r="AL332" s="68"/>
      <c r="AM332" s="68"/>
      <c r="AN332" s="68"/>
      <c r="AO332" s="68"/>
      <c r="AP332" s="68"/>
      <c r="AQ332" s="68"/>
      <c r="AR332" s="68"/>
      <c r="AS332" s="68"/>
      <c r="AT332" s="68"/>
      <c r="AU332" s="68"/>
      <c r="AV332" s="68"/>
      <c r="AW332" s="68"/>
      <c r="AX332" s="68"/>
      <c r="AY332" s="68"/>
      <c r="AZ332" s="68"/>
      <c r="BA332" s="68"/>
      <c r="BB332" s="68"/>
      <c r="BC332" s="68"/>
      <c r="BD332" s="68"/>
      <c r="BE332" s="68"/>
      <c r="BF332" s="68"/>
      <c r="BG332" s="68"/>
      <c r="BH332" s="68"/>
      <c r="BI332" s="68"/>
      <c r="BJ332" s="68"/>
      <c r="BK332" s="68"/>
      <c r="BL332" s="68"/>
      <c r="BM332" s="68"/>
      <c r="BN332" s="68"/>
    </row>
    <row r="333" spans="1:66" ht="17">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8"/>
      <c r="AJ333" s="68"/>
      <c r="AK333" s="68"/>
      <c r="AL333" s="68"/>
      <c r="AM333" s="68"/>
      <c r="AN333" s="68"/>
      <c r="AO333" s="68"/>
      <c r="AP333" s="68"/>
      <c r="AQ333" s="68"/>
      <c r="AR333" s="68"/>
      <c r="AS333" s="68"/>
      <c r="AT333" s="68"/>
      <c r="AU333" s="68"/>
      <c r="AV333" s="68"/>
      <c r="AW333" s="68"/>
      <c r="AX333" s="68"/>
      <c r="AY333" s="68"/>
      <c r="AZ333" s="68"/>
      <c r="BA333" s="68"/>
      <c r="BB333" s="68"/>
      <c r="BC333" s="68"/>
      <c r="BD333" s="68"/>
      <c r="BE333" s="68"/>
      <c r="BF333" s="68"/>
      <c r="BG333" s="68"/>
      <c r="BH333" s="68"/>
      <c r="BI333" s="68"/>
      <c r="BJ333" s="68"/>
      <c r="BK333" s="68"/>
      <c r="BL333" s="68"/>
      <c r="BM333" s="68"/>
      <c r="BN333" s="68"/>
    </row>
    <row r="334" spans="1:66" ht="17">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c r="AG334" s="68"/>
      <c r="AH334" s="68"/>
      <c r="AI334" s="68"/>
      <c r="AJ334" s="68"/>
      <c r="AK334" s="68"/>
      <c r="AL334" s="68"/>
      <c r="AM334" s="68"/>
      <c r="AN334" s="68"/>
      <c r="AO334" s="68"/>
      <c r="AP334" s="68"/>
      <c r="AQ334" s="68"/>
      <c r="AR334" s="68"/>
      <c r="AS334" s="68"/>
      <c r="AT334" s="68"/>
      <c r="AU334" s="68"/>
      <c r="AV334" s="68"/>
      <c r="AW334" s="68"/>
      <c r="AX334" s="68"/>
      <c r="AY334" s="68"/>
      <c r="AZ334" s="68"/>
      <c r="BA334" s="68"/>
      <c r="BB334" s="68"/>
      <c r="BC334" s="68"/>
      <c r="BD334" s="68"/>
      <c r="BE334" s="68"/>
      <c r="BF334" s="68"/>
      <c r="BG334" s="68"/>
      <c r="BH334" s="68"/>
      <c r="BI334" s="68"/>
      <c r="BJ334" s="68"/>
      <c r="BK334" s="68"/>
      <c r="BL334" s="68"/>
      <c r="BM334" s="68"/>
      <c r="BN334" s="68"/>
    </row>
    <row r="335" spans="1:66" ht="17">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8"/>
      <c r="AJ335" s="68"/>
      <c r="AK335" s="68"/>
      <c r="AL335" s="68"/>
      <c r="AM335" s="68"/>
      <c r="AN335" s="68"/>
      <c r="AO335" s="68"/>
      <c r="AP335" s="68"/>
      <c r="AQ335" s="68"/>
      <c r="AR335" s="68"/>
      <c r="AS335" s="68"/>
      <c r="AT335" s="68"/>
      <c r="AU335" s="68"/>
      <c r="AV335" s="68"/>
      <c r="AW335" s="68"/>
      <c r="AX335" s="68"/>
      <c r="AY335" s="68"/>
      <c r="AZ335" s="68"/>
      <c r="BA335" s="68"/>
      <c r="BB335" s="68"/>
      <c r="BC335" s="68"/>
      <c r="BD335" s="68"/>
      <c r="BE335" s="68"/>
      <c r="BF335" s="68"/>
      <c r="BG335" s="68"/>
      <c r="BH335" s="68"/>
      <c r="BI335" s="68"/>
      <c r="BJ335" s="68"/>
      <c r="BK335" s="68"/>
      <c r="BL335" s="68"/>
      <c r="BM335" s="68"/>
      <c r="BN335" s="68"/>
    </row>
    <row r="336" spans="1:66" ht="17">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c r="AG336" s="68"/>
      <c r="AH336" s="68"/>
      <c r="AI336" s="68"/>
      <c r="AJ336" s="68"/>
      <c r="AK336" s="68"/>
      <c r="AL336" s="68"/>
      <c r="AM336" s="68"/>
      <c r="AN336" s="68"/>
      <c r="AO336" s="68"/>
      <c r="AP336" s="68"/>
      <c r="AQ336" s="68"/>
      <c r="AR336" s="68"/>
      <c r="AS336" s="68"/>
      <c r="AT336" s="68"/>
      <c r="AU336" s="68"/>
      <c r="AV336" s="68"/>
      <c r="AW336" s="68"/>
      <c r="AX336" s="68"/>
      <c r="AY336" s="68"/>
      <c r="AZ336" s="68"/>
      <c r="BA336" s="68"/>
      <c r="BB336" s="68"/>
      <c r="BC336" s="68"/>
      <c r="BD336" s="68"/>
      <c r="BE336" s="68"/>
      <c r="BF336" s="68"/>
      <c r="BG336" s="68"/>
      <c r="BH336" s="68"/>
      <c r="BI336" s="68"/>
      <c r="BJ336" s="68"/>
      <c r="BK336" s="68"/>
      <c r="BL336" s="68"/>
      <c r="BM336" s="68"/>
      <c r="BN336" s="68"/>
    </row>
    <row r="337" spans="1:66" ht="1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c r="AJ337" s="68"/>
      <c r="AK337" s="68"/>
      <c r="AL337" s="68"/>
      <c r="AM337" s="68"/>
      <c r="AN337" s="68"/>
      <c r="AO337" s="68"/>
      <c r="AP337" s="68"/>
      <c r="AQ337" s="68"/>
      <c r="AR337" s="68"/>
      <c r="AS337" s="68"/>
      <c r="AT337" s="68"/>
      <c r="AU337" s="68"/>
      <c r="AV337" s="68"/>
      <c r="AW337" s="68"/>
      <c r="AX337" s="68"/>
      <c r="AY337" s="68"/>
      <c r="AZ337" s="68"/>
      <c r="BA337" s="68"/>
      <c r="BB337" s="68"/>
      <c r="BC337" s="68"/>
      <c r="BD337" s="68"/>
      <c r="BE337" s="68"/>
      <c r="BF337" s="68"/>
      <c r="BG337" s="68"/>
      <c r="BH337" s="68"/>
      <c r="BI337" s="68"/>
      <c r="BJ337" s="68"/>
      <c r="BK337" s="68"/>
      <c r="BL337" s="68"/>
      <c r="BM337" s="68"/>
      <c r="BN337" s="68"/>
    </row>
    <row r="338" spans="1:66" ht="17">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c r="AG338" s="68"/>
      <c r="AH338" s="68"/>
      <c r="AI338" s="68"/>
      <c r="AJ338" s="68"/>
      <c r="AK338" s="68"/>
      <c r="AL338" s="68"/>
      <c r="AM338" s="68"/>
      <c r="AN338" s="68"/>
      <c r="AO338" s="68"/>
      <c r="AP338" s="68"/>
      <c r="AQ338" s="68"/>
      <c r="AR338" s="68"/>
      <c r="AS338" s="68"/>
      <c r="AT338" s="68"/>
      <c r="AU338" s="68"/>
      <c r="AV338" s="68"/>
      <c r="AW338" s="68"/>
      <c r="AX338" s="68"/>
      <c r="AY338" s="68"/>
      <c r="AZ338" s="68"/>
      <c r="BA338" s="68"/>
      <c r="BB338" s="68"/>
      <c r="BC338" s="68"/>
      <c r="BD338" s="68"/>
      <c r="BE338" s="68"/>
      <c r="BF338" s="68"/>
      <c r="BG338" s="68"/>
      <c r="BH338" s="68"/>
      <c r="BI338" s="68"/>
      <c r="BJ338" s="68"/>
      <c r="BK338" s="68"/>
      <c r="BL338" s="68"/>
      <c r="BM338" s="68"/>
      <c r="BN338" s="68"/>
    </row>
    <row r="339" spans="1:66" ht="17">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8"/>
      <c r="AJ339" s="68"/>
      <c r="AK339" s="68"/>
      <c r="AL339" s="68"/>
      <c r="AM339" s="68"/>
      <c r="AN339" s="68"/>
      <c r="AO339" s="68"/>
      <c r="AP339" s="68"/>
      <c r="AQ339" s="68"/>
      <c r="AR339" s="68"/>
      <c r="AS339" s="68"/>
      <c r="AT339" s="68"/>
      <c r="AU339" s="68"/>
      <c r="AV339" s="68"/>
      <c r="AW339" s="68"/>
      <c r="AX339" s="68"/>
      <c r="AY339" s="68"/>
      <c r="AZ339" s="68"/>
      <c r="BA339" s="68"/>
      <c r="BB339" s="68"/>
      <c r="BC339" s="68"/>
      <c r="BD339" s="68"/>
      <c r="BE339" s="68"/>
      <c r="BF339" s="68"/>
      <c r="BG339" s="68"/>
      <c r="BH339" s="68"/>
      <c r="BI339" s="68"/>
      <c r="BJ339" s="68"/>
      <c r="BK339" s="68"/>
      <c r="BL339" s="68"/>
      <c r="BM339" s="68"/>
      <c r="BN339" s="68"/>
    </row>
    <row r="340" spans="1:66" ht="17">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c r="AG340" s="68"/>
      <c r="AH340" s="68"/>
      <c r="AI340" s="68"/>
      <c r="AJ340" s="68"/>
      <c r="AK340" s="68"/>
      <c r="AL340" s="68"/>
      <c r="AM340" s="68"/>
      <c r="AN340" s="68"/>
      <c r="AO340" s="68"/>
      <c r="AP340" s="68"/>
      <c r="AQ340" s="68"/>
      <c r="AR340" s="68"/>
      <c r="AS340" s="68"/>
      <c r="AT340" s="68"/>
      <c r="AU340" s="68"/>
      <c r="AV340" s="68"/>
      <c r="AW340" s="68"/>
      <c r="AX340" s="68"/>
      <c r="AY340" s="68"/>
      <c r="AZ340" s="68"/>
      <c r="BA340" s="68"/>
      <c r="BB340" s="68"/>
      <c r="BC340" s="68"/>
      <c r="BD340" s="68"/>
      <c r="BE340" s="68"/>
      <c r="BF340" s="68"/>
      <c r="BG340" s="68"/>
      <c r="BH340" s="68"/>
      <c r="BI340" s="68"/>
      <c r="BJ340" s="68"/>
      <c r="BK340" s="68"/>
      <c r="BL340" s="68"/>
      <c r="BM340" s="68"/>
      <c r="BN340" s="68"/>
    </row>
    <row r="341" spans="1:66" ht="17">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8"/>
      <c r="AJ341" s="68"/>
      <c r="AK341" s="68"/>
      <c r="AL341" s="68"/>
      <c r="AM341" s="68"/>
      <c r="AN341" s="68"/>
      <c r="AO341" s="68"/>
      <c r="AP341" s="68"/>
      <c r="AQ341" s="68"/>
      <c r="AR341" s="68"/>
      <c r="AS341" s="68"/>
      <c r="AT341" s="68"/>
      <c r="AU341" s="68"/>
      <c r="AV341" s="68"/>
      <c r="AW341" s="68"/>
      <c r="AX341" s="68"/>
      <c r="AY341" s="68"/>
      <c r="AZ341" s="68"/>
      <c r="BA341" s="68"/>
      <c r="BB341" s="68"/>
      <c r="BC341" s="68"/>
      <c r="BD341" s="68"/>
      <c r="BE341" s="68"/>
      <c r="BF341" s="68"/>
      <c r="BG341" s="68"/>
      <c r="BH341" s="68"/>
      <c r="BI341" s="68"/>
      <c r="BJ341" s="68"/>
      <c r="BK341" s="68"/>
      <c r="BL341" s="68"/>
      <c r="BM341" s="68"/>
      <c r="BN341" s="68"/>
    </row>
    <row r="342" spans="1:66" ht="17">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c r="AG342" s="68"/>
      <c r="AH342" s="68"/>
      <c r="AI342" s="68"/>
      <c r="AJ342" s="68"/>
      <c r="AK342" s="68"/>
      <c r="AL342" s="68"/>
      <c r="AM342" s="68"/>
      <c r="AN342" s="68"/>
      <c r="AO342" s="68"/>
      <c r="AP342" s="68"/>
      <c r="AQ342" s="68"/>
      <c r="AR342" s="68"/>
      <c r="AS342" s="68"/>
      <c r="AT342" s="68"/>
      <c r="AU342" s="68"/>
      <c r="AV342" s="68"/>
      <c r="AW342" s="68"/>
      <c r="AX342" s="68"/>
      <c r="AY342" s="68"/>
      <c r="AZ342" s="68"/>
      <c r="BA342" s="68"/>
      <c r="BB342" s="68"/>
      <c r="BC342" s="68"/>
      <c r="BD342" s="68"/>
      <c r="BE342" s="68"/>
      <c r="BF342" s="68"/>
      <c r="BG342" s="68"/>
      <c r="BH342" s="68"/>
      <c r="BI342" s="68"/>
      <c r="BJ342" s="68"/>
      <c r="BK342" s="68"/>
      <c r="BL342" s="68"/>
      <c r="BM342" s="68"/>
      <c r="BN342" s="68"/>
    </row>
    <row r="343" spans="1:66" ht="17">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c r="AG343" s="68"/>
      <c r="AH343" s="68"/>
      <c r="AI343" s="68"/>
      <c r="AJ343" s="68"/>
      <c r="AK343" s="68"/>
      <c r="AL343" s="68"/>
      <c r="AM343" s="68"/>
      <c r="AN343" s="68"/>
      <c r="AO343" s="68"/>
      <c r="AP343" s="68"/>
      <c r="AQ343" s="68"/>
      <c r="AR343" s="68"/>
      <c r="AS343" s="68"/>
      <c r="AT343" s="68"/>
      <c r="AU343" s="68"/>
      <c r="AV343" s="68"/>
      <c r="AW343" s="68"/>
      <c r="AX343" s="68"/>
      <c r="AY343" s="68"/>
      <c r="AZ343" s="68"/>
      <c r="BA343" s="68"/>
      <c r="BB343" s="68"/>
      <c r="BC343" s="68"/>
      <c r="BD343" s="68"/>
      <c r="BE343" s="68"/>
      <c r="BF343" s="68"/>
      <c r="BG343" s="68"/>
      <c r="BH343" s="68"/>
      <c r="BI343" s="68"/>
      <c r="BJ343" s="68"/>
      <c r="BK343" s="68"/>
      <c r="BL343" s="68"/>
      <c r="BM343" s="68"/>
      <c r="BN343" s="68"/>
    </row>
    <row r="344" spans="1:66" ht="17">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68"/>
      <c r="AG344" s="68"/>
      <c r="AH344" s="68"/>
      <c r="AI344" s="68"/>
      <c r="AJ344" s="68"/>
      <c r="AK344" s="68"/>
      <c r="AL344" s="68"/>
      <c r="AM344" s="68"/>
      <c r="AN344" s="68"/>
      <c r="AO344" s="68"/>
      <c r="AP344" s="68"/>
      <c r="AQ344" s="68"/>
      <c r="AR344" s="68"/>
      <c r="AS344" s="68"/>
      <c r="AT344" s="68"/>
      <c r="AU344" s="68"/>
      <c r="AV344" s="68"/>
      <c r="AW344" s="68"/>
      <c r="AX344" s="68"/>
      <c r="AY344" s="68"/>
      <c r="AZ344" s="68"/>
      <c r="BA344" s="68"/>
      <c r="BB344" s="68"/>
      <c r="BC344" s="68"/>
      <c r="BD344" s="68"/>
      <c r="BE344" s="68"/>
      <c r="BF344" s="68"/>
      <c r="BG344" s="68"/>
      <c r="BH344" s="68"/>
      <c r="BI344" s="68"/>
      <c r="BJ344" s="68"/>
      <c r="BK344" s="68"/>
      <c r="BL344" s="68"/>
      <c r="BM344" s="68"/>
      <c r="BN344" s="68"/>
    </row>
    <row r="345" spans="1:66" ht="17">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68"/>
      <c r="AG345" s="68"/>
      <c r="AH345" s="68"/>
      <c r="AI345" s="68"/>
      <c r="AJ345" s="68"/>
      <c r="AK345" s="68"/>
      <c r="AL345" s="68"/>
      <c r="AM345" s="68"/>
      <c r="AN345" s="68"/>
      <c r="AO345" s="68"/>
      <c r="AP345" s="68"/>
      <c r="AQ345" s="68"/>
      <c r="AR345" s="68"/>
      <c r="AS345" s="68"/>
      <c r="AT345" s="68"/>
      <c r="AU345" s="68"/>
      <c r="AV345" s="68"/>
      <c r="AW345" s="68"/>
      <c r="AX345" s="68"/>
      <c r="AY345" s="68"/>
      <c r="AZ345" s="68"/>
      <c r="BA345" s="68"/>
      <c r="BB345" s="68"/>
      <c r="BC345" s="68"/>
      <c r="BD345" s="68"/>
      <c r="BE345" s="68"/>
      <c r="BF345" s="68"/>
      <c r="BG345" s="68"/>
      <c r="BH345" s="68"/>
      <c r="BI345" s="68"/>
      <c r="BJ345" s="68"/>
      <c r="BK345" s="68"/>
      <c r="BL345" s="68"/>
      <c r="BM345" s="68"/>
      <c r="BN345" s="68"/>
    </row>
    <row r="346" spans="1:66" ht="17">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68"/>
      <c r="AG346" s="68"/>
      <c r="AH346" s="68"/>
      <c r="AI346" s="68"/>
      <c r="AJ346" s="68"/>
      <c r="AK346" s="68"/>
      <c r="AL346" s="68"/>
      <c r="AM346" s="68"/>
      <c r="AN346" s="68"/>
      <c r="AO346" s="68"/>
      <c r="AP346" s="68"/>
      <c r="AQ346" s="68"/>
      <c r="AR346" s="68"/>
      <c r="AS346" s="68"/>
      <c r="AT346" s="68"/>
      <c r="AU346" s="68"/>
      <c r="AV346" s="68"/>
      <c r="AW346" s="68"/>
      <c r="AX346" s="68"/>
      <c r="AY346" s="68"/>
      <c r="AZ346" s="68"/>
      <c r="BA346" s="68"/>
      <c r="BB346" s="68"/>
      <c r="BC346" s="68"/>
      <c r="BD346" s="68"/>
      <c r="BE346" s="68"/>
      <c r="BF346" s="68"/>
      <c r="BG346" s="68"/>
      <c r="BH346" s="68"/>
      <c r="BI346" s="68"/>
      <c r="BJ346" s="68"/>
      <c r="BK346" s="68"/>
      <c r="BL346" s="68"/>
      <c r="BM346" s="68"/>
      <c r="BN346" s="68"/>
    </row>
    <row r="347" spans="1:66" ht="1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68"/>
      <c r="AG347" s="68"/>
      <c r="AH347" s="68"/>
      <c r="AI347" s="68"/>
      <c r="AJ347" s="68"/>
      <c r="AK347" s="68"/>
      <c r="AL347" s="68"/>
      <c r="AM347" s="68"/>
      <c r="AN347" s="68"/>
      <c r="AO347" s="68"/>
      <c r="AP347" s="68"/>
      <c r="AQ347" s="68"/>
      <c r="AR347" s="68"/>
      <c r="AS347" s="68"/>
      <c r="AT347" s="68"/>
      <c r="AU347" s="68"/>
      <c r="AV347" s="68"/>
      <c r="AW347" s="68"/>
      <c r="AX347" s="68"/>
      <c r="AY347" s="68"/>
      <c r="AZ347" s="68"/>
      <c r="BA347" s="68"/>
      <c r="BB347" s="68"/>
      <c r="BC347" s="68"/>
      <c r="BD347" s="68"/>
      <c r="BE347" s="68"/>
      <c r="BF347" s="68"/>
      <c r="BG347" s="68"/>
      <c r="BH347" s="68"/>
      <c r="BI347" s="68"/>
      <c r="BJ347" s="68"/>
      <c r="BK347" s="68"/>
      <c r="BL347" s="68"/>
      <c r="BM347" s="68"/>
      <c r="BN347" s="68"/>
    </row>
    <row r="348" spans="1:66" ht="17">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68"/>
      <c r="AG348" s="68"/>
      <c r="AH348" s="68"/>
      <c r="AI348" s="68"/>
      <c r="AJ348" s="68"/>
      <c r="AK348" s="68"/>
      <c r="AL348" s="68"/>
      <c r="AM348" s="68"/>
      <c r="AN348" s="68"/>
      <c r="AO348" s="68"/>
      <c r="AP348" s="68"/>
      <c r="AQ348" s="68"/>
      <c r="AR348" s="68"/>
      <c r="AS348" s="68"/>
      <c r="AT348" s="68"/>
      <c r="AU348" s="68"/>
      <c r="AV348" s="68"/>
      <c r="AW348" s="68"/>
      <c r="AX348" s="68"/>
      <c r="AY348" s="68"/>
      <c r="AZ348" s="68"/>
      <c r="BA348" s="68"/>
      <c r="BB348" s="68"/>
      <c r="BC348" s="68"/>
      <c r="BD348" s="68"/>
      <c r="BE348" s="68"/>
      <c r="BF348" s="68"/>
      <c r="BG348" s="68"/>
      <c r="BH348" s="68"/>
      <c r="BI348" s="68"/>
      <c r="BJ348" s="68"/>
      <c r="BK348" s="68"/>
      <c r="BL348" s="68"/>
      <c r="BM348" s="68"/>
      <c r="BN348" s="68"/>
    </row>
    <row r="349" spans="1:66" ht="17">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68"/>
      <c r="AG349" s="68"/>
      <c r="AH349" s="68"/>
      <c r="AI349" s="68"/>
      <c r="AJ349" s="68"/>
      <c r="AK349" s="68"/>
      <c r="AL349" s="68"/>
      <c r="AM349" s="68"/>
      <c r="AN349" s="68"/>
      <c r="AO349" s="68"/>
      <c r="AP349" s="68"/>
      <c r="AQ349" s="68"/>
      <c r="AR349" s="68"/>
      <c r="AS349" s="68"/>
      <c r="AT349" s="68"/>
      <c r="AU349" s="68"/>
      <c r="AV349" s="68"/>
      <c r="AW349" s="68"/>
      <c r="AX349" s="68"/>
      <c r="AY349" s="68"/>
      <c r="AZ349" s="68"/>
      <c r="BA349" s="68"/>
      <c r="BB349" s="68"/>
      <c r="BC349" s="68"/>
      <c r="BD349" s="68"/>
      <c r="BE349" s="68"/>
      <c r="BF349" s="68"/>
      <c r="BG349" s="68"/>
      <c r="BH349" s="68"/>
      <c r="BI349" s="68"/>
      <c r="BJ349" s="68"/>
      <c r="BK349" s="68"/>
      <c r="BL349" s="68"/>
      <c r="BM349" s="68"/>
      <c r="BN349" s="68"/>
    </row>
    <row r="350" spans="1:66" ht="17">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68"/>
      <c r="AG350" s="68"/>
      <c r="AH350" s="68"/>
      <c r="AI350" s="68"/>
      <c r="AJ350" s="68"/>
      <c r="AK350" s="68"/>
      <c r="AL350" s="68"/>
      <c r="AM350" s="68"/>
      <c r="AN350" s="68"/>
      <c r="AO350" s="68"/>
      <c r="AP350" s="68"/>
      <c r="AQ350" s="68"/>
      <c r="AR350" s="68"/>
      <c r="AS350" s="68"/>
      <c r="AT350" s="68"/>
      <c r="AU350" s="68"/>
      <c r="AV350" s="68"/>
      <c r="AW350" s="68"/>
      <c r="AX350" s="68"/>
      <c r="AY350" s="68"/>
      <c r="AZ350" s="68"/>
      <c r="BA350" s="68"/>
      <c r="BB350" s="68"/>
      <c r="BC350" s="68"/>
      <c r="BD350" s="68"/>
      <c r="BE350" s="68"/>
      <c r="BF350" s="68"/>
      <c r="BG350" s="68"/>
      <c r="BH350" s="68"/>
      <c r="BI350" s="68"/>
      <c r="BJ350" s="68"/>
      <c r="BK350" s="68"/>
      <c r="BL350" s="68"/>
      <c r="BM350" s="68"/>
      <c r="BN350" s="68"/>
    </row>
    <row r="351" spans="1:66" ht="17">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68"/>
      <c r="AG351" s="68"/>
      <c r="AH351" s="68"/>
      <c r="AI351" s="68"/>
      <c r="AJ351" s="68"/>
      <c r="AK351" s="68"/>
      <c r="AL351" s="68"/>
      <c r="AM351" s="68"/>
      <c r="AN351" s="68"/>
      <c r="AO351" s="68"/>
      <c r="AP351" s="68"/>
      <c r="AQ351" s="68"/>
      <c r="AR351" s="68"/>
      <c r="AS351" s="68"/>
      <c r="AT351" s="68"/>
      <c r="AU351" s="68"/>
      <c r="AV351" s="68"/>
      <c r="AW351" s="68"/>
      <c r="AX351" s="68"/>
      <c r="AY351" s="68"/>
      <c r="AZ351" s="68"/>
      <c r="BA351" s="68"/>
      <c r="BB351" s="68"/>
      <c r="BC351" s="68"/>
      <c r="BD351" s="68"/>
      <c r="BE351" s="68"/>
      <c r="BF351" s="68"/>
      <c r="BG351" s="68"/>
      <c r="BH351" s="68"/>
      <c r="BI351" s="68"/>
      <c r="BJ351" s="68"/>
      <c r="BK351" s="68"/>
      <c r="BL351" s="68"/>
      <c r="BM351" s="68"/>
      <c r="BN351" s="68"/>
    </row>
    <row r="352" spans="1:66" ht="17">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68"/>
      <c r="AG352" s="68"/>
      <c r="AH352" s="68"/>
      <c r="AI352" s="68"/>
      <c r="AJ352" s="68"/>
      <c r="AK352" s="68"/>
      <c r="AL352" s="68"/>
      <c r="AM352" s="68"/>
      <c r="AN352" s="68"/>
      <c r="AO352" s="68"/>
      <c r="AP352" s="68"/>
      <c r="AQ352" s="68"/>
      <c r="AR352" s="68"/>
      <c r="AS352" s="68"/>
      <c r="AT352" s="68"/>
      <c r="AU352" s="68"/>
      <c r="AV352" s="68"/>
      <c r="AW352" s="68"/>
      <c r="AX352" s="68"/>
      <c r="AY352" s="68"/>
      <c r="AZ352" s="68"/>
      <c r="BA352" s="68"/>
      <c r="BB352" s="68"/>
      <c r="BC352" s="68"/>
      <c r="BD352" s="68"/>
      <c r="BE352" s="68"/>
      <c r="BF352" s="68"/>
      <c r="BG352" s="68"/>
      <c r="BH352" s="68"/>
      <c r="BI352" s="68"/>
      <c r="BJ352" s="68"/>
      <c r="BK352" s="68"/>
      <c r="BL352" s="68"/>
      <c r="BM352" s="68"/>
      <c r="BN352" s="68"/>
    </row>
    <row r="353" spans="1:66" ht="17">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68"/>
      <c r="AG353" s="68"/>
      <c r="AH353" s="68"/>
      <c r="AI353" s="68"/>
      <c r="AJ353" s="68"/>
      <c r="AK353" s="68"/>
      <c r="AL353" s="68"/>
      <c r="AM353" s="68"/>
      <c r="AN353" s="68"/>
      <c r="AO353" s="68"/>
      <c r="AP353" s="68"/>
      <c r="AQ353" s="68"/>
      <c r="AR353" s="68"/>
      <c r="AS353" s="68"/>
      <c r="AT353" s="68"/>
      <c r="AU353" s="68"/>
      <c r="AV353" s="68"/>
      <c r="AW353" s="68"/>
      <c r="AX353" s="68"/>
      <c r="AY353" s="68"/>
      <c r="AZ353" s="68"/>
      <c r="BA353" s="68"/>
      <c r="BB353" s="68"/>
      <c r="BC353" s="68"/>
      <c r="BD353" s="68"/>
      <c r="BE353" s="68"/>
      <c r="BF353" s="68"/>
      <c r="BG353" s="68"/>
      <c r="BH353" s="68"/>
      <c r="BI353" s="68"/>
      <c r="BJ353" s="68"/>
      <c r="BK353" s="68"/>
      <c r="BL353" s="68"/>
      <c r="BM353" s="68"/>
      <c r="BN353" s="68"/>
    </row>
    <row r="354" spans="1:66" ht="17">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68"/>
      <c r="AG354" s="68"/>
      <c r="AH354" s="68"/>
      <c r="AI354" s="68"/>
      <c r="AJ354" s="68"/>
      <c r="AK354" s="68"/>
      <c r="AL354" s="68"/>
      <c r="AM354" s="68"/>
      <c r="AN354" s="68"/>
      <c r="AO354" s="68"/>
      <c r="AP354" s="68"/>
      <c r="AQ354" s="68"/>
      <c r="AR354" s="68"/>
      <c r="AS354" s="68"/>
      <c r="AT354" s="68"/>
      <c r="AU354" s="68"/>
      <c r="AV354" s="68"/>
      <c r="AW354" s="68"/>
      <c r="AX354" s="68"/>
      <c r="AY354" s="68"/>
      <c r="AZ354" s="68"/>
      <c r="BA354" s="68"/>
      <c r="BB354" s="68"/>
      <c r="BC354" s="68"/>
      <c r="BD354" s="68"/>
      <c r="BE354" s="68"/>
      <c r="BF354" s="68"/>
      <c r="BG354" s="68"/>
      <c r="BH354" s="68"/>
      <c r="BI354" s="68"/>
      <c r="BJ354" s="68"/>
      <c r="BK354" s="68"/>
      <c r="BL354" s="68"/>
      <c r="BM354" s="68"/>
      <c r="BN354" s="68"/>
    </row>
    <row r="355" spans="1:66" ht="17">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68"/>
      <c r="AG355" s="68"/>
      <c r="AH355" s="68"/>
      <c r="AI355" s="68"/>
      <c r="AJ355" s="68"/>
      <c r="AK355" s="68"/>
      <c r="AL355" s="68"/>
      <c r="AM355" s="68"/>
      <c r="AN355" s="68"/>
      <c r="AO355" s="68"/>
      <c r="AP355" s="68"/>
      <c r="AQ355" s="68"/>
      <c r="AR355" s="68"/>
      <c r="AS355" s="68"/>
      <c r="AT355" s="68"/>
      <c r="AU355" s="68"/>
      <c r="AV355" s="68"/>
      <c r="AW355" s="68"/>
      <c r="AX355" s="68"/>
      <c r="AY355" s="68"/>
      <c r="AZ355" s="68"/>
      <c r="BA355" s="68"/>
      <c r="BB355" s="68"/>
      <c r="BC355" s="68"/>
      <c r="BD355" s="68"/>
      <c r="BE355" s="68"/>
      <c r="BF355" s="68"/>
      <c r="BG355" s="68"/>
      <c r="BH355" s="68"/>
      <c r="BI355" s="68"/>
      <c r="BJ355" s="68"/>
      <c r="BK355" s="68"/>
      <c r="BL355" s="68"/>
      <c r="BM355" s="68"/>
      <c r="BN355" s="68"/>
    </row>
    <row r="356" spans="1:66" ht="17">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68"/>
      <c r="AG356" s="68"/>
      <c r="AH356" s="68"/>
      <c r="AI356" s="68"/>
      <c r="AJ356" s="68"/>
      <c r="AK356" s="68"/>
      <c r="AL356" s="68"/>
      <c r="AM356" s="68"/>
      <c r="AN356" s="68"/>
      <c r="AO356" s="68"/>
      <c r="AP356" s="68"/>
      <c r="AQ356" s="68"/>
      <c r="AR356" s="68"/>
      <c r="AS356" s="68"/>
      <c r="AT356" s="68"/>
      <c r="AU356" s="68"/>
      <c r="AV356" s="68"/>
      <c r="AW356" s="68"/>
      <c r="AX356" s="68"/>
      <c r="AY356" s="68"/>
      <c r="AZ356" s="68"/>
      <c r="BA356" s="68"/>
      <c r="BB356" s="68"/>
      <c r="BC356" s="68"/>
      <c r="BD356" s="68"/>
      <c r="BE356" s="68"/>
      <c r="BF356" s="68"/>
      <c r="BG356" s="68"/>
      <c r="BH356" s="68"/>
      <c r="BI356" s="68"/>
      <c r="BJ356" s="68"/>
      <c r="BK356" s="68"/>
      <c r="BL356" s="68"/>
      <c r="BM356" s="68"/>
      <c r="BN356" s="68"/>
    </row>
    <row r="357" spans="1:66" ht="1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68"/>
      <c r="AG357" s="68"/>
      <c r="AH357" s="68"/>
      <c r="AI357" s="68"/>
      <c r="AJ357" s="68"/>
      <c r="AK357" s="68"/>
      <c r="AL357" s="68"/>
      <c r="AM357" s="68"/>
      <c r="AN357" s="68"/>
      <c r="AO357" s="68"/>
      <c r="AP357" s="68"/>
      <c r="AQ357" s="68"/>
      <c r="AR357" s="68"/>
      <c r="AS357" s="68"/>
      <c r="AT357" s="68"/>
      <c r="AU357" s="68"/>
      <c r="AV357" s="68"/>
      <c r="AW357" s="68"/>
      <c r="AX357" s="68"/>
      <c r="AY357" s="68"/>
      <c r="AZ357" s="68"/>
      <c r="BA357" s="68"/>
      <c r="BB357" s="68"/>
      <c r="BC357" s="68"/>
      <c r="BD357" s="68"/>
      <c r="BE357" s="68"/>
      <c r="BF357" s="68"/>
      <c r="BG357" s="68"/>
      <c r="BH357" s="68"/>
      <c r="BI357" s="68"/>
      <c r="BJ357" s="68"/>
      <c r="BK357" s="68"/>
      <c r="BL357" s="68"/>
      <c r="BM357" s="68"/>
      <c r="BN357" s="68"/>
    </row>
    <row r="358" spans="1:66" ht="17">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68"/>
      <c r="AG358" s="68"/>
      <c r="AH358" s="68"/>
      <c r="AI358" s="68"/>
      <c r="AJ358" s="68"/>
      <c r="AK358" s="68"/>
      <c r="AL358" s="68"/>
      <c r="AM358" s="68"/>
      <c r="AN358" s="68"/>
      <c r="AO358" s="68"/>
      <c r="AP358" s="68"/>
      <c r="AQ358" s="68"/>
      <c r="AR358" s="68"/>
      <c r="AS358" s="68"/>
      <c r="AT358" s="68"/>
      <c r="AU358" s="68"/>
      <c r="AV358" s="68"/>
      <c r="AW358" s="68"/>
      <c r="AX358" s="68"/>
      <c r="AY358" s="68"/>
      <c r="AZ358" s="68"/>
      <c r="BA358" s="68"/>
      <c r="BB358" s="68"/>
      <c r="BC358" s="68"/>
      <c r="BD358" s="68"/>
      <c r="BE358" s="68"/>
      <c r="BF358" s="68"/>
      <c r="BG358" s="68"/>
      <c r="BH358" s="68"/>
      <c r="BI358" s="68"/>
      <c r="BJ358" s="68"/>
      <c r="BK358" s="68"/>
      <c r="BL358" s="68"/>
      <c r="BM358" s="68"/>
      <c r="BN358" s="68"/>
    </row>
    <row r="359" spans="1:66" ht="17">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68"/>
      <c r="AG359" s="68"/>
      <c r="AH359" s="68"/>
      <c r="AI359" s="68"/>
      <c r="AJ359" s="68"/>
      <c r="AK359" s="68"/>
      <c r="AL359" s="68"/>
      <c r="AM359" s="68"/>
      <c r="AN359" s="68"/>
      <c r="AO359" s="68"/>
      <c r="AP359" s="68"/>
      <c r="AQ359" s="68"/>
      <c r="AR359" s="68"/>
      <c r="AS359" s="68"/>
      <c r="AT359" s="68"/>
      <c r="AU359" s="68"/>
      <c r="AV359" s="68"/>
      <c r="AW359" s="68"/>
      <c r="AX359" s="68"/>
      <c r="AY359" s="68"/>
      <c r="AZ359" s="68"/>
      <c r="BA359" s="68"/>
      <c r="BB359" s="68"/>
      <c r="BC359" s="68"/>
      <c r="BD359" s="68"/>
      <c r="BE359" s="68"/>
      <c r="BF359" s="68"/>
      <c r="BG359" s="68"/>
      <c r="BH359" s="68"/>
      <c r="BI359" s="68"/>
      <c r="BJ359" s="68"/>
      <c r="BK359" s="68"/>
      <c r="BL359" s="68"/>
      <c r="BM359" s="68"/>
      <c r="BN359" s="68"/>
    </row>
    <row r="360" spans="1:66" ht="17">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68"/>
      <c r="AG360" s="68"/>
      <c r="AH360" s="68"/>
      <c r="AI360" s="68"/>
      <c r="AJ360" s="68"/>
      <c r="AK360" s="68"/>
      <c r="AL360" s="68"/>
      <c r="AM360" s="68"/>
      <c r="AN360" s="68"/>
      <c r="AO360" s="68"/>
      <c r="AP360" s="68"/>
      <c r="AQ360" s="68"/>
      <c r="AR360" s="68"/>
      <c r="AS360" s="68"/>
      <c r="AT360" s="68"/>
      <c r="AU360" s="68"/>
      <c r="AV360" s="68"/>
      <c r="AW360" s="68"/>
      <c r="AX360" s="68"/>
      <c r="AY360" s="68"/>
      <c r="AZ360" s="68"/>
      <c r="BA360" s="68"/>
      <c r="BB360" s="68"/>
      <c r="BC360" s="68"/>
      <c r="BD360" s="68"/>
      <c r="BE360" s="68"/>
      <c r="BF360" s="68"/>
      <c r="BG360" s="68"/>
      <c r="BH360" s="68"/>
      <c r="BI360" s="68"/>
      <c r="BJ360" s="68"/>
      <c r="BK360" s="68"/>
      <c r="BL360" s="68"/>
      <c r="BM360" s="68"/>
      <c r="BN360" s="68"/>
    </row>
    <row r="361" spans="1:66" ht="17">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68"/>
      <c r="AG361" s="68"/>
      <c r="AH361" s="68"/>
      <c r="AI361" s="68"/>
      <c r="AJ361" s="68"/>
      <c r="AK361" s="68"/>
      <c r="AL361" s="68"/>
      <c r="AM361" s="68"/>
      <c r="AN361" s="68"/>
      <c r="AO361" s="68"/>
      <c r="AP361" s="68"/>
      <c r="AQ361" s="68"/>
      <c r="AR361" s="68"/>
      <c r="AS361" s="68"/>
      <c r="AT361" s="68"/>
      <c r="AU361" s="68"/>
      <c r="AV361" s="68"/>
      <c r="AW361" s="68"/>
      <c r="AX361" s="68"/>
      <c r="AY361" s="68"/>
      <c r="AZ361" s="68"/>
      <c r="BA361" s="68"/>
      <c r="BB361" s="68"/>
      <c r="BC361" s="68"/>
      <c r="BD361" s="68"/>
      <c r="BE361" s="68"/>
      <c r="BF361" s="68"/>
      <c r="BG361" s="68"/>
      <c r="BH361" s="68"/>
      <c r="BI361" s="68"/>
      <c r="BJ361" s="68"/>
      <c r="BK361" s="68"/>
      <c r="BL361" s="68"/>
      <c r="BM361" s="68"/>
      <c r="BN361" s="68"/>
    </row>
    <row r="362" spans="1:66" ht="17">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68"/>
      <c r="AG362" s="68"/>
      <c r="AH362" s="68"/>
      <c r="AI362" s="68"/>
      <c r="AJ362" s="68"/>
      <c r="AK362" s="68"/>
      <c r="AL362" s="68"/>
      <c r="AM362" s="68"/>
      <c r="AN362" s="68"/>
      <c r="AO362" s="68"/>
      <c r="AP362" s="68"/>
      <c r="AQ362" s="68"/>
      <c r="AR362" s="68"/>
      <c r="AS362" s="68"/>
      <c r="AT362" s="68"/>
      <c r="AU362" s="68"/>
      <c r="AV362" s="68"/>
      <c r="AW362" s="68"/>
      <c r="AX362" s="68"/>
      <c r="AY362" s="68"/>
      <c r="AZ362" s="68"/>
      <c r="BA362" s="68"/>
      <c r="BB362" s="68"/>
      <c r="BC362" s="68"/>
      <c r="BD362" s="68"/>
      <c r="BE362" s="68"/>
      <c r="BF362" s="68"/>
      <c r="BG362" s="68"/>
      <c r="BH362" s="68"/>
      <c r="BI362" s="68"/>
      <c r="BJ362" s="68"/>
      <c r="BK362" s="68"/>
      <c r="BL362" s="68"/>
      <c r="BM362" s="68"/>
      <c r="BN362" s="68"/>
    </row>
    <row r="363" spans="1:66" ht="17">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68"/>
      <c r="AG363" s="68"/>
      <c r="AH363" s="68"/>
      <c r="AI363" s="68"/>
      <c r="AJ363" s="68"/>
      <c r="AK363" s="68"/>
      <c r="AL363" s="68"/>
      <c r="AM363" s="68"/>
      <c r="AN363" s="68"/>
      <c r="AO363" s="68"/>
      <c r="AP363" s="68"/>
      <c r="AQ363" s="68"/>
      <c r="AR363" s="68"/>
      <c r="AS363" s="68"/>
      <c r="AT363" s="68"/>
      <c r="AU363" s="68"/>
      <c r="AV363" s="68"/>
      <c r="AW363" s="68"/>
      <c r="AX363" s="68"/>
      <c r="AY363" s="68"/>
      <c r="AZ363" s="68"/>
      <c r="BA363" s="68"/>
      <c r="BB363" s="68"/>
      <c r="BC363" s="68"/>
      <c r="BD363" s="68"/>
      <c r="BE363" s="68"/>
      <c r="BF363" s="68"/>
      <c r="BG363" s="68"/>
      <c r="BH363" s="68"/>
      <c r="BI363" s="68"/>
      <c r="BJ363" s="68"/>
      <c r="BK363" s="68"/>
      <c r="BL363" s="68"/>
      <c r="BM363" s="68"/>
      <c r="BN363" s="68"/>
    </row>
    <row r="364" spans="1:66" ht="17">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68"/>
      <c r="AG364" s="68"/>
      <c r="AH364" s="68"/>
      <c r="AI364" s="68"/>
      <c r="AJ364" s="68"/>
      <c r="AK364" s="68"/>
      <c r="AL364" s="68"/>
      <c r="AM364" s="68"/>
      <c r="AN364" s="68"/>
      <c r="AO364" s="68"/>
      <c r="AP364" s="68"/>
      <c r="AQ364" s="68"/>
      <c r="AR364" s="68"/>
      <c r="AS364" s="68"/>
      <c r="AT364" s="68"/>
      <c r="AU364" s="68"/>
      <c r="AV364" s="68"/>
      <c r="AW364" s="68"/>
      <c r="AX364" s="68"/>
      <c r="AY364" s="68"/>
      <c r="AZ364" s="68"/>
      <c r="BA364" s="68"/>
      <c r="BB364" s="68"/>
      <c r="BC364" s="68"/>
      <c r="BD364" s="68"/>
      <c r="BE364" s="68"/>
      <c r="BF364" s="68"/>
      <c r="BG364" s="68"/>
      <c r="BH364" s="68"/>
      <c r="BI364" s="68"/>
      <c r="BJ364" s="68"/>
      <c r="BK364" s="68"/>
      <c r="BL364" s="68"/>
      <c r="BM364" s="68"/>
      <c r="BN364" s="68"/>
    </row>
    <row r="365" spans="1:66" ht="17">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c r="AJ365" s="68"/>
      <c r="AK365" s="68"/>
      <c r="AL365" s="68"/>
      <c r="AM365" s="68"/>
      <c r="AN365" s="68"/>
      <c r="AO365" s="68"/>
      <c r="AP365" s="68"/>
      <c r="AQ365" s="68"/>
      <c r="AR365" s="68"/>
      <c r="AS365" s="68"/>
      <c r="AT365" s="68"/>
      <c r="AU365" s="68"/>
      <c r="AV365" s="68"/>
      <c r="AW365" s="68"/>
      <c r="AX365" s="68"/>
      <c r="AY365" s="68"/>
      <c r="AZ365" s="68"/>
      <c r="BA365" s="68"/>
      <c r="BB365" s="68"/>
      <c r="BC365" s="68"/>
      <c r="BD365" s="68"/>
      <c r="BE365" s="68"/>
      <c r="BF365" s="68"/>
      <c r="BG365" s="68"/>
      <c r="BH365" s="68"/>
      <c r="BI365" s="68"/>
      <c r="BJ365" s="68"/>
      <c r="BK365" s="68"/>
      <c r="BL365" s="68"/>
      <c r="BM365" s="68"/>
      <c r="BN365" s="68"/>
    </row>
    <row r="366" spans="1:66" ht="17">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68"/>
      <c r="AG366" s="68"/>
      <c r="AH366" s="68"/>
      <c r="AI366" s="68"/>
      <c r="AJ366" s="68"/>
      <c r="AK366" s="68"/>
      <c r="AL366" s="68"/>
      <c r="AM366" s="68"/>
      <c r="AN366" s="68"/>
      <c r="AO366" s="68"/>
      <c r="AP366" s="68"/>
      <c r="AQ366" s="68"/>
      <c r="AR366" s="68"/>
      <c r="AS366" s="68"/>
      <c r="AT366" s="68"/>
      <c r="AU366" s="68"/>
      <c r="AV366" s="68"/>
      <c r="AW366" s="68"/>
      <c r="AX366" s="68"/>
      <c r="AY366" s="68"/>
      <c r="AZ366" s="68"/>
      <c r="BA366" s="68"/>
      <c r="BB366" s="68"/>
      <c r="BC366" s="68"/>
      <c r="BD366" s="68"/>
      <c r="BE366" s="68"/>
      <c r="BF366" s="68"/>
      <c r="BG366" s="68"/>
      <c r="BH366" s="68"/>
      <c r="BI366" s="68"/>
      <c r="BJ366" s="68"/>
      <c r="BK366" s="68"/>
      <c r="BL366" s="68"/>
      <c r="BM366" s="68"/>
      <c r="BN366" s="68"/>
    </row>
    <row r="367" spans="1:66" ht="1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68"/>
      <c r="AG367" s="68"/>
      <c r="AH367" s="68"/>
      <c r="AI367" s="68"/>
      <c r="AJ367" s="68"/>
      <c r="AK367" s="68"/>
      <c r="AL367" s="68"/>
      <c r="AM367" s="68"/>
      <c r="AN367" s="68"/>
      <c r="AO367" s="68"/>
      <c r="AP367" s="68"/>
      <c r="AQ367" s="68"/>
      <c r="AR367" s="68"/>
      <c r="AS367" s="68"/>
      <c r="AT367" s="68"/>
      <c r="AU367" s="68"/>
      <c r="AV367" s="68"/>
      <c r="AW367" s="68"/>
      <c r="AX367" s="68"/>
      <c r="AY367" s="68"/>
      <c r="AZ367" s="68"/>
      <c r="BA367" s="68"/>
      <c r="BB367" s="68"/>
      <c r="BC367" s="68"/>
      <c r="BD367" s="68"/>
      <c r="BE367" s="68"/>
      <c r="BF367" s="68"/>
      <c r="BG367" s="68"/>
      <c r="BH367" s="68"/>
      <c r="BI367" s="68"/>
      <c r="BJ367" s="68"/>
      <c r="BK367" s="68"/>
      <c r="BL367" s="68"/>
      <c r="BM367" s="68"/>
      <c r="BN367" s="68"/>
    </row>
    <row r="368" spans="1:66" ht="17">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68"/>
      <c r="AG368" s="68"/>
      <c r="AH368" s="68"/>
      <c r="AI368" s="68"/>
      <c r="AJ368" s="68"/>
      <c r="AK368" s="68"/>
      <c r="AL368" s="68"/>
      <c r="AM368" s="68"/>
      <c r="AN368" s="68"/>
      <c r="AO368" s="68"/>
      <c r="AP368" s="68"/>
      <c r="AQ368" s="68"/>
      <c r="AR368" s="68"/>
      <c r="AS368" s="68"/>
      <c r="AT368" s="68"/>
      <c r="AU368" s="68"/>
      <c r="AV368" s="68"/>
      <c r="AW368" s="68"/>
      <c r="AX368" s="68"/>
      <c r="AY368" s="68"/>
      <c r="AZ368" s="68"/>
      <c r="BA368" s="68"/>
      <c r="BB368" s="68"/>
      <c r="BC368" s="68"/>
      <c r="BD368" s="68"/>
      <c r="BE368" s="68"/>
      <c r="BF368" s="68"/>
      <c r="BG368" s="68"/>
      <c r="BH368" s="68"/>
      <c r="BI368" s="68"/>
      <c r="BJ368" s="68"/>
      <c r="BK368" s="68"/>
      <c r="BL368" s="68"/>
      <c r="BM368" s="68"/>
      <c r="BN368" s="68"/>
    </row>
    <row r="369" spans="1:66" ht="17">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c r="AG369" s="68"/>
      <c r="AH369" s="68"/>
      <c r="AI369" s="68"/>
      <c r="AJ369" s="68"/>
      <c r="AK369" s="68"/>
      <c r="AL369" s="68"/>
      <c r="AM369" s="68"/>
      <c r="AN369" s="68"/>
      <c r="AO369" s="68"/>
      <c r="AP369" s="68"/>
      <c r="AQ369" s="68"/>
      <c r="AR369" s="68"/>
      <c r="AS369" s="68"/>
      <c r="AT369" s="68"/>
      <c r="AU369" s="68"/>
      <c r="AV369" s="68"/>
      <c r="AW369" s="68"/>
      <c r="AX369" s="68"/>
      <c r="AY369" s="68"/>
      <c r="AZ369" s="68"/>
      <c r="BA369" s="68"/>
      <c r="BB369" s="68"/>
      <c r="BC369" s="68"/>
      <c r="BD369" s="68"/>
      <c r="BE369" s="68"/>
      <c r="BF369" s="68"/>
      <c r="BG369" s="68"/>
      <c r="BH369" s="68"/>
      <c r="BI369" s="68"/>
      <c r="BJ369" s="68"/>
      <c r="BK369" s="68"/>
      <c r="BL369" s="68"/>
      <c r="BM369" s="68"/>
      <c r="BN369" s="68"/>
    </row>
    <row r="370" spans="1:66" ht="17">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68"/>
      <c r="AG370" s="68"/>
      <c r="AH370" s="68"/>
      <c r="AI370" s="68"/>
      <c r="AJ370" s="68"/>
      <c r="AK370" s="68"/>
      <c r="AL370" s="68"/>
      <c r="AM370" s="68"/>
      <c r="AN370" s="68"/>
      <c r="AO370" s="68"/>
      <c r="AP370" s="68"/>
      <c r="AQ370" s="68"/>
      <c r="AR370" s="68"/>
      <c r="AS370" s="68"/>
      <c r="AT370" s="68"/>
      <c r="AU370" s="68"/>
      <c r="AV370" s="68"/>
      <c r="AW370" s="68"/>
      <c r="AX370" s="68"/>
      <c r="AY370" s="68"/>
      <c r="AZ370" s="68"/>
      <c r="BA370" s="68"/>
      <c r="BB370" s="68"/>
      <c r="BC370" s="68"/>
      <c r="BD370" s="68"/>
      <c r="BE370" s="68"/>
      <c r="BF370" s="68"/>
      <c r="BG370" s="68"/>
      <c r="BH370" s="68"/>
      <c r="BI370" s="68"/>
      <c r="BJ370" s="68"/>
      <c r="BK370" s="68"/>
      <c r="BL370" s="68"/>
      <c r="BM370" s="68"/>
      <c r="BN370" s="68"/>
    </row>
    <row r="371" spans="1:66" ht="17">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68"/>
      <c r="AG371" s="68"/>
      <c r="AH371" s="68"/>
      <c r="AI371" s="68"/>
      <c r="AJ371" s="68"/>
      <c r="AK371" s="68"/>
      <c r="AL371" s="68"/>
      <c r="AM371" s="68"/>
      <c r="AN371" s="68"/>
      <c r="AO371" s="68"/>
      <c r="AP371" s="68"/>
      <c r="AQ371" s="68"/>
      <c r="AR371" s="68"/>
      <c r="AS371" s="68"/>
      <c r="AT371" s="68"/>
      <c r="AU371" s="68"/>
      <c r="AV371" s="68"/>
      <c r="AW371" s="68"/>
      <c r="AX371" s="68"/>
      <c r="AY371" s="68"/>
      <c r="AZ371" s="68"/>
      <c r="BA371" s="68"/>
      <c r="BB371" s="68"/>
      <c r="BC371" s="68"/>
      <c r="BD371" s="68"/>
      <c r="BE371" s="68"/>
      <c r="BF371" s="68"/>
      <c r="BG371" s="68"/>
      <c r="BH371" s="68"/>
      <c r="BI371" s="68"/>
      <c r="BJ371" s="68"/>
      <c r="BK371" s="68"/>
      <c r="BL371" s="68"/>
      <c r="BM371" s="68"/>
      <c r="BN371" s="68"/>
    </row>
    <row r="372" spans="1:66" ht="17">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68"/>
      <c r="AG372" s="68"/>
      <c r="AH372" s="68"/>
      <c r="AI372" s="68"/>
      <c r="AJ372" s="68"/>
      <c r="AK372" s="68"/>
      <c r="AL372" s="68"/>
      <c r="AM372" s="68"/>
      <c r="AN372" s="68"/>
      <c r="AO372" s="68"/>
      <c r="AP372" s="68"/>
      <c r="AQ372" s="68"/>
      <c r="AR372" s="68"/>
      <c r="AS372" s="68"/>
      <c r="AT372" s="68"/>
      <c r="AU372" s="68"/>
      <c r="AV372" s="68"/>
      <c r="AW372" s="68"/>
      <c r="AX372" s="68"/>
      <c r="AY372" s="68"/>
      <c r="AZ372" s="68"/>
      <c r="BA372" s="68"/>
      <c r="BB372" s="68"/>
      <c r="BC372" s="68"/>
      <c r="BD372" s="68"/>
      <c r="BE372" s="68"/>
      <c r="BF372" s="68"/>
      <c r="BG372" s="68"/>
      <c r="BH372" s="68"/>
      <c r="BI372" s="68"/>
      <c r="BJ372" s="68"/>
      <c r="BK372" s="68"/>
      <c r="BL372" s="68"/>
      <c r="BM372" s="68"/>
      <c r="BN372" s="68"/>
    </row>
    <row r="373" spans="1:66" ht="17">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68"/>
      <c r="AG373" s="68"/>
      <c r="AH373" s="68"/>
      <c r="AI373" s="68"/>
      <c r="AJ373" s="68"/>
      <c r="AK373" s="68"/>
      <c r="AL373" s="68"/>
      <c r="AM373" s="68"/>
      <c r="AN373" s="68"/>
      <c r="AO373" s="68"/>
      <c r="AP373" s="68"/>
      <c r="AQ373" s="68"/>
      <c r="AR373" s="68"/>
      <c r="AS373" s="68"/>
      <c r="AT373" s="68"/>
      <c r="AU373" s="68"/>
      <c r="AV373" s="68"/>
      <c r="AW373" s="68"/>
      <c r="AX373" s="68"/>
      <c r="AY373" s="68"/>
      <c r="AZ373" s="68"/>
      <c r="BA373" s="68"/>
      <c r="BB373" s="68"/>
      <c r="BC373" s="68"/>
      <c r="BD373" s="68"/>
      <c r="BE373" s="68"/>
      <c r="BF373" s="68"/>
      <c r="BG373" s="68"/>
      <c r="BH373" s="68"/>
      <c r="BI373" s="68"/>
      <c r="BJ373" s="68"/>
      <c r="BK373" s="68"/>
      <c r="BL373" s="68"/>
      <c r="BM373" s="68"/>
      <c r="BN373" s="68"/>
    </row>
    <row r="374" spans="1:66" ht="17">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68"/>
      <c r="AG374" s="68"/>
      <c r="AH374" s="68"/>
      <c r="AI374" s="68"/>
      <c r="AJ374" s="68"/>
      <c r="AK374" s="68"/>
      <c r="AL374" s="68"/>
      <c r="AM374" s="68"/>
      <c r="AN374" s="68"/>
      <c r="AO374" s="68"/>
      <c r="AP374" s="68"/>
      <c r="AQ374" s="68"/>
      <c r="AR374" s="68"/>
      <c r="AS374" s="68"/>
      <c r="AT374" s="68"/>
      <c r="AU374" s="68"/>
      <c r="AV374" s="68"/>
      <c r="AW374" s="68"/>
      <c r="AX374" s="68"/>
      <c r="AY374" s="68"/>
      <c r="AZ374" s="68"/>
      <c r="BA374" s="68"/>
      <c r="BB374" s="68"/>
      <c r="BC374" s="68"/>
      <c r="BD374" s="68"/>
      <c r="BE374" s="68"/>
      <c r="BF374" s="68"/>
      <c r="BG374" s="68"/>
      <c r="BH374" s="68"/>
      <c r="BI374" s="68"/>
      <c r="BJ374" s="68"/>
      <c r="BK374" s="68"/>
      <c r="BL374" s="68"/>
      <c r="BM374" s="68"/>
      <c r="BN374" s="68"/>
    </row>
    <row r="375" spans="1:66" ht="17">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68"/>
      <c r="AG375" s="68"/>
      <c r="AH375" s="68"/>
      <c r="AI375" s="68"/>
      <c r="AJ375" s="68"/>
      <c r="AK375" s="68"/>
      <c r="AL375" s="68"/>
      <c r="AM375" s="68"/>
      <c r="AN375" s="68"/>
      <c r="AO375" s="68"/>
      <c r="AP375" s="68"/>
      <c r="AQ375" s="68"/>
      <c r="AR375" s="68"/>
      <c r="AS375" s="68"/>
      <c r="AT375" s="68"/>
      <c r="AU375" s="68"/>
      <c r="AV375" s="68"/>
      <c r="AW375" s="68"/>
      <c r="AX375" s="68"/>
      <c r="AY375" s="68"/>
      <c r="AZ375" s="68"/>
      <c r="BA375" s="68"/>
      <c r="BB375" s="68"/>
      <c r="BC375" s="68"/>
      <c r="BD375" s="68"/>
      <c r="BE375" s="68"/>
      <c r="BF375" s="68"/>
      <c r="BG375" s="68"/>
      <c r="BH375" s="68"/>
      <c r="BI375" s="68"/>
      <c r="BJ375" s="68"/>
      <c r="BK375" s="68"/>
      <c r="BL375" s="68"/>
      <c r="BM375" s="68"/>
      <c r="BN375" s="68"/>
    </row>
    <row r="376" spans="1:66" ht="17">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68"/>
      <c r="AG376" s="68"/>
      <c r="AH376" s="68"/>
      <c r="AI376" s="68"/>
      <c r="AJ376" s="68"/>
      <c r="AK376" s="68"/>
      <c r="AL376" s="68"/>
      <c r="AM376" s="68"/>
      <c r="AN376" s="68"/>
      <c r="AO376" s="68"/>
      <c r="AP376" s="68"/>
      <c r="AQ376" s="68"/>
      <c r="AR376" s="68"/>
      <c r="AS376" s="68"/>
      <c r="AT376" s="68"/>
      <c r="AU376" s="68"/>
      <c r="AV376" s="68"/>
      <c r="AW376" s="68"/>
      <c r="AX376" s="68"/>
      <c r="AY376" s="68"/>
      <c r="AZ376" s="68"/>
      <c r="BA376" s="68"/>
      <c r="BB376" s="68"/>
      <c r="BC376" s="68"/>
      <c r="BD376" s="68"/>
      <c r="BE376" s="68"/>
      <c r="BF376" s="68"/>
      <c r="BG376" s="68"/>
      <c r="BH376" s="68"/>
      <c r="BI376" s="68"/>
      <c r="BJ376" s="68"/>
      <c r="BK376" s="68"/>
      <c r="BL376" s="68"/>
      <c r="BM376" s="68"/>
      <c r="BN376" s="68"/>
    </row>
    <row r="377" spans="1:66" ht="1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68"/>
      <c r="AG377" s="68"/>
      <c r="AH377" s="68"/>
      <c r="AI377" s="68"/>
      <c r="AJ377" s="68"/>
      <c r="AK377" s="68"/>
      <c r="AL377" s="68"/>
      <c r="AM377" s="68"/>
      <c r="AN377" s="68"/>
      <c r="AO377" s="68"/>
      <c r="AP377" s="68"/>
      <c r="AQ377" s="68"/>
      <c r="AR377" s="68"/>
      <c r="AS377" s="68"/>
      <c r="AT377" s="68"/>
      <c r="AU377" s="68"/>
      <c r="AV377" s="68"/>
      <c r="AW377" s="68"/>
      <c r="AX377" s="68"/>
      <c r="AY377" s="68"/>
      <c r="AZ377" s="68"/>
      <c r="BA377" s="68"/>
      <c r="BB377" s="68"/>
      <c r="BC377" s="68"/>
      <c r="BD377" s="68"/>
      <c r="BE377" s="68"/>
      <c r="BF377" s="68"/>
      <c r="BG377" s="68"/>
      <c r="BH377" s="68"/>
      <c r="BI377" s="68"/>
      <c r="BJ377" s="68"/>
      <c r="BK377" s="68"/>
      <c r="BL377" s="68"/>
      <c r="BM377" s="68"/>
      <c r="BN377" s="68"/>
    </row>
    <row r="378" spans="1:66" ht="17">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68"/>
      <c r="AG378" s="68"/>
      <c r="AH378" s="68"/>
      <c r="AI378" s="68"/>
      <c r="AJ378" s="68"/>
      <c r="AK378" s="68"/>
      <c r="AL378" s="68"/>
      <c r="AM378" s="68"/>
      <c r="AN378" s="68"/>
      <c r="AO378" s="68"/>
      <c r="AP378" s="68"/>
      <c r="AQ378" s="68"/>
      <c r="AR378" s="68"/>
      <c r="AS378" s="68"/>
      <c r="AT378" s="68"/>
      <c r="AU378" s="68"/>
      <c r="AV378" s="68"/>
      <c r="AW378" s="68"/>
      <c r="AX378" s="68"/>
      <c r="AY378" s="68"/>
      <c r="AZ378" s="68"/>
      <c r="BA378" s="68"/>
      <c r="BB378" s="68"/>
      <c r="BC378" s="68"/>
      <c r="BD378" s="68"/>
      <c r="BE378" s="68"/>
      <c r="BF378" s="68"/>
      <c r="BG378" s="68"/>
      <c r="BH378" s="68"/>
      <c r="BI378" s="68"/>
      <c r="BJ378" s="68"/>
      <c r="BK378" s="68"/>
      <c r="BL378" s="68"/>
      <c r="BM378" s="68"/>
      <c r="BN378" s="68"/>
    </row>
    <row r="379" spans="1:66" ht="17">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68"/>
      <c r="AG379" s="68"/>
      <c r="AH379" s="68"/>
      <c r="AI379" s="68"/>
      <c r="AJ379" s="68"/>
      <c r="AK379" s="68"/>
      <c r="AL379" s="68"/>
      <c r="AM379" s="68"/>
      <c r="AN379" s="68"/>
      <c r="AO379" s="68"/>
      <c r="AP379" s="68"/>
      <c r="AQ379" s="68"/>
      <c r="AR379" s="68"/>
      <c r="AS379" s="68"/>
      <c r="AT379" s="68"/>
      <c r="AU379" s="68"/>
      <c r="AV379" s="68"/>
      <c r="AW379" s="68"/>
      <c r="AX379" s="68"/>
      <c r="AY379" s="68"/>
      <c r="AZ379" s="68"/>
      <c r="BA379" s="68"/>
      <c r="BB379" s="68"/>
      <c r="BC379" s="68"/>
      <c r="BD379" s="68"/>
      <c r="BE379" s="68"/>
      <c r="BF379" s="68"/>
      <c r="BG379" s="68"/>
      <c r="BH379" s="68"/>
      <c r="BI379" s="68"/>
      <c r="BJ379" s="68"/>
      <c r="BK379" s="68"/>
      <c r="BL379" s="68"/>
      <c r="BM379" s="68"/>
      <c r="BN379" s="68"/>
    </row>
    <row r="380" spans="1:66" ht="17">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68"/>
      <c r="AG380" s="68"/>
      <c r="AH380" s="68"/>
      <c r="AI380" s="68"/>
      <c r="AJ380" s="68"/>
      <c r="AK380" s="68"/>
      <c r="AL380" s="68"/>
      <c r="AM380" s="68"/>
      <c r="AN380" s="68"/>
      <c r="AO380" s="68"/>
      <c r="AP380" s="68"/>
      <c r="AQ380" s="68"/>
      <c r="AR380" s="68"/>
      <c r="AS380" s="68"/>
      <c r="AT380" s="68"/>
      <c r="AU380" s="68"/>
      <c r="AV380" s="68"/>
      <c r="AW380" s="68"/>
      <c r="AX380" s="68"/>
      <c r="AY380" s="68"/>
      <c r="AZ380" s="68"/>
      <c r="BA380" s="68"/>
      <c r="BB380" s="68"/>
      <c r="BC380" s="68"/>
      <c r="BD380" s="68"/>
      <c r="BE380" s="68"/>
      <c r="BF380" s="68"/>
      <c r="BG380" s="68"/>
      <c r="BH380" s="68"/>
      <c r="BI380" s="68"/>
      <c r="BJ380" s="68"/>
      <c r="BK380" s="68"/>
      <c r="BL380" s="68"/>
      <c r="BM380" s="68"/>
      <c r="BN380" s="68"/>
    </row>
    <row r="381" spans="1:66" ht="17">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c r="AG381" s="68"/>
      <c r="AH381" s="68"/>
      <c r="AI381" s="68"/>
      <c r="AJ381" s="68"/>
      <c r="AK381" s="68"/>
      <c r="AL381" s="68"/>
      <c r="AM381" s="68"/>
      <c r="AN381" s="68"/>
      <c r="AO381" s="68"/>
      <c r="AP381" s="68"/>
      <c r="AQ381" s="68"/>
      <c r="AR381" s="68"/>
      <c r="AS381" s="68"/>
      <c r="AT381" s="68"/>
      <c r="AU381" s="68"/>
      <c r="AV381" s="68"/>
      <c r="AW381" s="68"/>
      <c r="AX381" s="68"/>
      <c r="AY381" s="68"/>
      <c r="AZ381" s="68"/>
      <c r="BA381" s="68"/>
      <c r="BB381" s="68"/>
      <c r="BC381" s="68"/>
      <c r="BD381" s="68"/>
      <c r="BE381" s="68"/>
      <c r="BF381" s="68"/>
      <c r="BG381" s="68"/>
      <c r="BH381" s="68"/>
      <c r="BI381" s="68"/>
      <c r="BJ381" s="68"/>
      <c r="BK381" s="68"/>
      <c r="BL381" s="68"/>
      <c r="BM381" s="68"/>
      <c r="BN381" s="68"/>
    </row>
    <row r="382" spans="1:66" ht="17">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c r="AG382" s="68"/>
      <c r="AH382" s="68"/>
      <c r="AI382" s="68"/>
      <c r="AJ382" s="68"/>
      <c r="AK382" s="68"/>
      <c r="AL382" s="68"/>
      <c r="AM382" s="68"/>
      <c r="AN382" s="68"/>
      <c r="AO382" s="68"/>
      <c r="AP382" s="68"/>
      <c r="AQ382" s="68"/>
      <c r="AR382" s="68"/>
      <c r="AS382" s="68"/>
      <c r="AT382" s="68"/>
      <c r="AU382" s="68"/>
      <c r="AV382" s="68"/>
      <c r="AW382" s="68"/>
      <c r="AX382" s="68"/>
      <c r="AY382" s="68"/>
      <c r="AZ382" s="68"/>
      <c r="BA382" s="68"/>
      <c r="BB382" s="68"/>
      <c r="BC382" s="68"/>
      <c r="BD382" s="68"/>
      <c r="BE382" s="68"/>
      <c r="BF382" s="68"/>
      <c r="BG382" s="68"/>
      <c r="BH382" s="68"/>
      <c r="BI382" s="68"/>
      <c r="BJ382" s="68"/>
      <c r="BK382" s="68"/>
      <c r="BL382" s="68"/>
      <c r="BM382" s="68"/>
      <c r="BN382" s="68"/>
    </row>
    <row r="383" spans="1:66" ht="17">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68"/>
      <c r="AG383" s="68"/>
      <c r="AH383" s="68"/>
      <c r="AI383" s="68"/>
      <c r="AJ383" s="68"/>
      <c r="AK383" s="68"/>
      <c r="AL383" s="68"/>
      <c r="AM383" s="68"/>
      <c r="AN383" s="68"/>
      <c r="AO383" s="68"/>
      <c r="AP383" s="68"/>
      <c r="AQ383" s="68"/>
      <c r="AR383" s="68"/>
      <c r="AS383" s="68"/>
      <c r="AT383" s="68"/>
      <c r="AU383" s="68"/>
      <c r="AV383" s="68"/>
      <c r="AW383" s="68"/>
      <c r="AX383" s="68"/>
      <c r="AY383" s="68"/>
      <c r="AZ383" s="68"/>
      <c r="BA383" s="68"/>
      <c r="BB383" s="68"/>
      <c r="BC383" s="68"/>
      <c r="BD383" s="68"/>
      <c r="BE383" s="68"/>
      <c r="BF383" s="68"/>
      <c r="BG383" s="68"/>
      <c r="BH383" s="68"/>
      <c r="BI383" s="68"/>
      <c r="BJ383" s="68"/>
      <c r="BK383" s="68"/>
      <c r="BL383" s="68"/>
      <c r="BM383" s="68"/>
      <c r="BN383" s="68"/>
    </row>
    <row r="384" spans="1:66" ht="17">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c r="AH384" s="68"/>
      <c r="AI384" s="68"/>
      <c r="AJ384" s="68"/>
      <c r="AK384" s="68"/>
      <c r="AL384" s="68"/>
      <c r="AM384" s="68"/>
      <c r="AN384" s="68"/>
      <c r="AO384" s="68"/>
      <c r="AP384" s="68"/>
      <c r="AQ384" s="68"/>
      <c r="AR384" s="68"/>
      <c r="AS384" s="68"/>
      <c r="AT384" s="68"/>
      <c r="AU384" s="68"/>
      <c r="AV384" s="68"/>
      <c r="AW384" s="68"/>
      <c r="AX384" s="68"/>
      <c r="AY384" s="68"/>
      <c r="AZ384" s="68"/>
      <c r="BA384" s="68"/>
      <c r="BB384" s="68"/>
      <c r="BC384" s="68"/>
      <c r="BD384" s="68"/>
      <c r="BE384" s="68"/>
      <c r="BF384" s="68"/>
      <c r="BG384" s="68"/>
      <c r="BH384" s="68"/>
      <c r="BI384" s="68"/>
      <c r="BJ384" s="68"/>
      <c r="BK384" s="68"/>
      <c r="BL384" s="68"/>
      <c r="BM384" s="68"/>
      <c r="BN384" s="68"/>
    </row>
    <row r="385" spans="1:66" ht="17">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68"/>
      <c r="AG385" s="68"/>
      <c r="AH385" s="68"/>
      <c r="AI385" s="68"/>
      <c r="AJ385" s="68"/>
      <c r="AK385" s="68"/>
      <c r="AL385" s="68"/>
      <c r="AM385" s="68"/>
      <c r="AN385" s="68"/>
      <c r="AO385" s="68"/>
      <c r="AP385" s="68"/>
      <c r="AQ385" s="68"/>
      <c r="AR385" s="68"/>
      <c r="AS385" s="68"/>
      <c r="AT385" s="68"/>
      <c r="AU385" s="68"/>
      <c r="AV385" s="68"/>
      <c r="AW385" s="68"/>
      <c r="AX385" s="68"/>
      <c r="AY385" s="68"/>
      <c r="AZ385" s="68"/>
      <c r="BA385" s="68"/>
      <c r="BB385" s="68"/>
      <c r="BC385" s="68"/>
      <c r="BD385" s="68"/>
      <c r="BE385" s="68"/>
      <c r="BF385" s="68"/>
      <c r="BG385" s="68"/>
      <c r="BH385" s="68"/>
      <c r="BI385" s="68"/>
      <c r="BJ385" s="68"/>
      <c r="BK385" s="68"/>
      <c r="BL385" s="68"/>
      <c r="BM385" s="68"/>
      <c r="BN385" s="68"/>
    </row>
    <row r="386" spans="1:66" ht="17">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c r="AG386" s="68"/>
      <c r="AH386" s="68"/>
      <c r="AI386" s="68"/>
      <c r="AJ386" s="68"/>
      <c r="AK386" s="68"/>
      <c r="AL386" s="68"/>
      <c r="AM386" s="68"/>
      <c r="AN386" s="68"/>
      <c r="AO386" s="68"/>
      <c r="AP386" s="68"/>
      <c r="AQ386" s="68"/>
      <c r="AR386" s="68"/>
      <c r="AS386" s="68"/>
      <c r="AT386" s="68"/>
      <c r="AU386" s="68"/>
      <c r="AV386" s="68"/>
      <c r="AW386" s="68"/>
      <c r="AX386" s="68"/>
      <c r="AY386" s="68"/>
      <c r="AZ386" s="68"/>
      <c r="BA386" s="68"/>
      <c r="BB386" s="68"/>
      <c r="BC386" s="68"/>
      <c r="BD386" s="68"/>
      <c r="BE386" s="68"/>
      <c r="BF386" s="68"/>
      <c r="BG386" s="68"/>
      <c r="BH386" s="68"/>
      <c r="BI386" s="68"/>
      <c r="BJ386" s="68"/>
      <c r="BK386" s="68"/>
      <c r="BL386" s="68"/>
      <c r="BM386" s="68"/>
      <c r="BN386" s="68"/>
    </row>
    <row r="387" spans="1:66" ht="1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c r="AG387" s="68"/>
      <c r="AH387" s="68"/>
      <c r="AI387" s="68"/>
      <c r="AJ387" s="68"/>
      <c r="AK387" s="68"/>
      <c r="AL387" s="68"/>
      <c r="AM387" s="68"/>
      <c r="AN387" s="68"/>
      <c r="AO387" s="68"/>
      <c r="AP387" s="68"/>
      <c r="AQ387" s="68"/>
      <c r="AR387" s="68"/>
      <c r="AS387" s="68"/>
      <c r="AT387" s="68"/>
      <c r="AU387" s="68"/>
      <c r="AV387" s="68"/>
      <c r="AW387" s="68"/>
      <c r="AX387" s="68"/>
      <c r="AY387" s="68"/>
      <c r="AZ387" s="68"/>
      <c r="BA387" s="68"/>
      <c r="BB387" s="68"/>
      <c r="BC387" s="68"/>
      <c r="BD387" s="68"/>
      <c r="BE387" s="68"/>
      <c r="BF387" s="68"/>
      <c r="BG387" s="68"/>
      <c r="BH387" s="68"/>
      <c r="BI387" s="68"/>
      <c r="BJ387" s="68"/>
      <c r="BK387" s="68"/>
      <c r="BL387" s="68"/>
      <c r="BM387" s="68"/>
      <c r="BN387" s="68"/>
    </row>
    <row r="388" spans="1:66" ht="17">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c r="AG388" s="68"/>
      <c r="AH388" s="68"/>
      <c r="AI388" s="68"/>
      <c r="AJ388" s="68"/>
      <c r="AK388" s="68"/>
      <c r="AL388" s="68"/>
      <c r="AM388" s="68"/>
      <c r="AN388" s="68"/>
      <c r="AO388" s="68"/>
      <c r="AP388" s="68"/>
      <c r="AQ388" s="68"/>
      <c r="AR388" s="68"/>
      <c r="AS388" s="68"/>
      <c r="AT388" s="68"/>
      <c r="AU388" s="68"/>
      <c r="AV388" s="68"/>
      <c r="AW388" s="68"/>
      <c r="AX388" s="68"/>
      <c r="AY388" s="68"/>
      <c r="AZ388" s="68"/>
      <c r="BA388" s="68"/>
      <c r="BB388" s="68"/>
      <c r="BC388" s="68"/>
      <c r="BD388" s="68"/>
      <c r="BE388" s="68"/>
      <c r="BF388" s="68"/>
      <c r="BG388" s="68"/>
      <c r="BH388" s="68"/>
      <c r="BI388" s="68"/>
      <c r="BJ388" s="68"/>
      <c r="BK388" s="68"/>
      <c r="BL388" s="68"/>
      <c r="BM388" s="68"/>
      <c r="BN388" s="68"/>
    </row>
    <row r="389" spans="1:66" ht="17">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68"/>
      <c r="AH389" s="68"/>
      <c r="AI389" s="68"/>
      <c r="AJ389" s="68"/>
      <c r="AK389" s="68"/>
      <c r="AL389" s="68"/>
      <c r="AM389" s="68"/>
      <c r="AN389" s="68"/>
      <c r="AO389" s="68"/>
      <c r="AP389" s="68"/>
      <c r="AQ389" s="68"/>
      <c r="AR389" s="68"/>
      <c r="AS389" s="68"/>
      <c r="AT389" s="68"/>
      <c r="AU389" s="68"/>
      <c r="AV389" s="68"/>
      <c r="AW389" s="68"/>
      <c r="AX389" s="68"/>
      <c r="AY389" s="68"/>
      <c r="AZ389" s="68"/>
      <c r="BA389" s="68"/>
      <c r="BB389" s="68"/>
      <c r="BC389" s="68"/>
      <c r="BD389" s="68"/>
      <c r="BE389" s="68"/>
      <c r="BF389" s="68"/>
      <c r="BG389" s="68"/>
      <c r="BH389" s="68"/>
      <c r="BI389" s="68"/>
      <c r="BJ389" s="68"/>
      <c r="BK389" s="68"/>
      <c r="BL389" s="68"/>
      <c r="BM389" s="68"/>
      <c r="BN389" s="68"/>
    </row>
    <row r="390" spans="1:66" ht="17">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68"/>
      <c r="AG390" s="68"/>
      <c r="AH390" s="68"/>
      <c r="AI390" s="68"/>
      <c r="AJ390" s="68"/>
      <c r="AK390" s="68"/>
      <c r="AL390" s="68"/>
      <c r="AM390" s="68"/>
      <c r="AN390" s="68"/>
      <c r="AO390" s="68"/>
      <c r="AP390" s="68"/>
      <c r="AQ390" s="68"/>
      <c r="AR390" s="68"/>
      <c r="AS390" s="68"/>
      <c r="AT390" s="68"/>
      <c r="AU390" s="68"/>
      <c r="AV390" s="68"/>
      <c r="AW390" s="68"/>
      <c r="AX390" s="68"/>
      <c r="AY390" s="68"/>
      <c r="AZ390" s="68"/>
      <c r="BA390" s="68"/>
      <c r="BB390" s="68"/>
      <c r="BC390" s="68"/>
      <c r="BD390" s="68"/>
      <c r="BE390" s="68"/>
      <c r="BF390" s="68"/>
      <c r="BG390" s="68"/>
      <c r="BH390" s="68"/>
      <c r="BI390" s="68"/>
      <c r="BJ390" s="68"/>
      <c r="BK390" s="68"/>
      <c r="BL390" s="68"/>
      <c r="BM390" s="68"/>
      <c r="BN390" s="68"/>
    </row>
    <row r="391" spans="1:66" ht="17">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c r="AG391" s="68"/>
      <c r="AH391" s="68"/>
      <c r="AI391" s="68"/>
      <c r="AJ391" s="68"/>
      <c r="AK391" s="68"/>
      <c r="AL391" s="68"/>
      <c r="AM391" s="68"/>
      <c r="AN391" s="68"/>
      <c r="AO391" s="68"/>
      <c r="AP391" s="68"/>
      <c r="AQ391" s="68"/>
      <c r="AR391" s="68"/>
      <c r="AS391" s="68"/>
      <c r="AT391" s="68"/>
      <c r="AU391" s="68"/>
      <c r="AV391" s="68"/>
      <c r="AW391" s="68"/>
      <c r="AX391" s="68"/>
      <c r="AY391" s="68"/>
      <c r="AZ391" s="68"/>
      <c r="BA391" s="68"/>
      <c r="BB391" s="68"/>
      <c r="BC391" s="68"/>
      <c r="BD391" s="68"/>
      <c r="BE391" s="68"/>
      <c r="BF391" s="68"/>
      <c r="BG391" s="68"/>
      <c r="BH391" s="68"/>
      <c r="BI391" s="68"/>
      <c r="BJ391" s="68"/>
      <c r="BK391" s="68"/>
      <c r="BL391" s="68"/>
      <c r="BM391" s="68"/>
      <c r="BN391" s="68"/>
    </row>
    <row r="392" spans="1:66" ht="17">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68"/>
      <c r="AG392" s="68"/>
      <c r="AH392" s="68"/>
      <c r="AI392" s="68"/>
      <c r="AJ392" s="68"/>
      <c r="AK392" s="68"/>
      <c r="AL392" s="68"/>
      <c r="AM392" s="68"/>
      <c r="AN392" s="68"/>
      <c r="AO392" s="68"/>
      <c r="AP392" s="68"/>
      <c r="AQ392" s="68"/>
      <c r="AR392" s="68"/>
      <c r="AS392" s="68"/>
      <c r="AT392" s="68"/>
      <c r="AU392" s="68"/>
      <c r="AV392" s="68"/>
      <c r="AW392" s="68"/>
      <c r="AX392" s="68"/>
      <c r="AY392" s="68"/>
      <c r="AZ392" s="68"/>
      <c r="BA392" s="68"/>
      <c r="BB392" s="68"/>
      <c r="BC392" s="68"/>
      <c r="BD392" s="68"/>
      <c r="BE392" s="68"/>
      <c r="BF392" s="68"/>
      <c r="BG392" s="68"/>
      <c r="BH392" s="68"/>
      <c r="BI392" s="68"/>
      <c r="BJ392" s="68"/>
      <c r="BK392" s="68"/>
      <c r="BL392" s="68"/>
      <c r="BM392" s="68"/>
      <c r="BN392" s="68"/>
    </row>
    <row r="393" spans="1:66" ht="17">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68"/>
      <c r="AG393" s="68"/>
      <c r="AH393" s="68"/>
      <c r="AI393" s="68"/>
      <c r="AJ393" s="68"/>
      <c r="AK393" s="68"/>
      <c r="AL393" s="68"/>
      <c r="AM393" s="68"/>
      <c r="AN393" s="68"/>
      <c r="AO393" s="68"/>
      <c r="AP393" s="68"/>
      <c r="AQ393" s="68"/>
      <c r="AR393" s="68"/>
      <c r="AS393" s="68"/>
      <c r="AT393" s="68"/>
      <c r="AU393" s="68"/>
      <c r="AV393" s="68"/>
      <c r="AW393" s="68"/>
      <c r="AX393" s="68"/>
      <c r="AY393" s="68"/>
      <c r="AZ393" s="68"/>
      <c r="BA393" s="68"/>
      <c r="BB393" s="68"/>
      <c r="BC393" s="68"/>
      <c r="BD393" s="68"/>
      <c r="BE393" s="68"/>
      <c r="BF393" s="68"/>
      <c r="BG393" s="68"/>
      <c r="BH393" s="68"/>
      <c r="BI393" s="68"/>
      <c r="BJ393" s="68"/>
      <c r="BK393" s="68"/>
      <c r="BL393" s="68"/>
      <c r="BM393" s="68"/>
      <c r="BN393" s="68"/>
    </row>
    <row r="394" spans="1:66" ht="17">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68"/>
      <c r="AG394" s="68"/>
      <c r="AH394" s="68"/>
      <c r="AI394" s="68"/>
      <c r="AJ394" s="68"/>
      <c r="AK394" s="68"/>
      <c r="AL394" s="68"/>
      <c r="AM394" s="68"/>
      <c r="AN394" s="68"/>
      <c r="AO394" s="68"/>
      <c r="AP394" s="68"/>
      <c r="AQ394" s="68"/>
      <c r="AR394" s="68"/>
      <c r="AS394" s="68"/>
      <c r="AT394" s="68"/>
      <c r="AU394" s="68"/>
      <c r="AV394" s="68"/>
      <c r="AW394" s="68"/>
      <c r="AX394" s="68"/>
      <c r="AY394" s="68"/>
      <c r="AZ394" s="68"/>
      <c r="BA394" s="68"/>
      <c r="BB394" s="68"/>
      <c r="BC394" s="68"/>
      <c r="BD394" s="68"/>
      <c r="BE394" s="68"/>
      <c r="BF394" s="68"/>
      <c r="BG394" s="68"/>
      <c r="BH394" s="68"/>
      <c r="BI394" s="68"/>
      <c r="BJ394" s="68"/>
      <c r="BK394" s="68"/>
      <c r="BL394" s="68"/>
      <c r="BM394" s="68"/>
      <c r="BN394" s="68"/>
    </row>
    <row r="395" spans="1:66" ht="17">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68"/>
      <c r="AG395" s="68"/>
      <c r="AH395" s="68"/>
      <c r="AI395" s="68"/>
      <c r="AJ395" s="68"/>
      <c r="AK395" s="68"/>
      <c r="AL395" s="68"/>
      <c r="AM395" s="68"/>
      <c r="AN395" s="68"/>
      <c r="AO395" s="68"/>
      <c r="AP395" s="68"/>
      <c r="AQ395" s="68"/>
      <c r="AR395" s="68"/>
      <c r="AS395" s="68"/>
      <c r="AT395" s="68"/>
      <c r="AU395" s="68"/>
      <c r="AV395" s="68"/>
      <c r="AW395" s="68"/>
      <c r="AX395" s="68"/>
      <c r="AY395" s="68"/>
      <c r="AZ395" s="68"/>
      <c r="BA395" s="68"/>
      <c r="BB395" s="68"/>
      <c r="BC395" s="68"/>
      <c r="BD395" s="68"/>
      <c r="BE395" s="68"/>
      <c r="BF395" s="68"/>
      <c r="BG395" s="68"/>
      <c r="BH395" s="68"/>
      <c r="BI395" s="68"/>
      <c r="BJ395" s="68"/>
      <c r="BK395" s="68"/>
      <c r="BL395" s="68"/>
      <c r="BM395" s="68"/>
      <c r="BN395" s="68"/>
    </row>
    <row r="396" spans="1:66" ht="17">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68"/>
      <c r="AG396" s="68"/>
      <c r="AH396" s="68"/>
      <c r="AI396" s="68"/>
      <c r="AJ396" s="68"/>
      <c r="AK396" s="68"/>
      <c r="AL396" s="68"/>
      <c r="AM396" s="68"/>
      <c r="AN396" s="68"/>
      <c r="AO396" s="68"/>
      <c r="AP396" s="68"/>
      <c r="AQ396" s="68"/>
      <c r="AR396" s="68"/>
      <c r="AS396" s="68"/>
      <c r="AT396" s="68"/>
      <c r="AU396" s="68"/>
      <c r="AV396" s="68"/>
      <c r="AW396" s="68"/>
      <c r="AX396" s="68"/>
      <c r="AY396" s="68"/>
      <c r="AZ396" s="68"/>
      <c r="BA396" s="68"/>
      <c r="BB396" s="68"/>
      <c r="BC396" s="68"/>
      <c r="BD396" s="68"/>
      <c r="BE396" s="68"/>
      <c r="BF396" s="68"/>
      <c r="BG396" s="68"/>
      <c r="BH396" s="68"/>
      <c r="BI396" s="68"/>
      <c r="BJ396" s="68"/>
      <c r="BK396" s="68"/>
      <c r="BL396" s="68"/>
      <c r="BM396" s="68"/>
      <c r="BN396" s="68"/>
    </row>
    <row r="397" spans="1:66" ht="1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68"/>
      <c r="AG397" s="68"/>
      <c r="AH397" s="68"/>
      <c r="AI397" s="68"/>
      <c r="AJ397" s="68"/>
      <c r="AK397" s="68"/>
      <c r="AL397" s="68"/>
      <c r="AM397" s="68"/>
      <c r="AN397" s="68"/>
      <c r="AO397" s="68"/>
      <c r="AP397" s="68"/>
      <c r="AQ397" s="68"/>
      <c r="AR397" s="68"/>
      <c r="AS397" s="68"/>
      <c r="AT397" s="68"/>
      <c r="AU397" s="68"/>
      <c r="AV397" s="68"/>
      <c r="AW397" s="68"/>
      <c r="AX397" s="68"/>
      <c r="AY397" s="68"/>
      <c r="AZ397" s="68"/>
      <c r="BA397" s="68"/>
      <c r="BB397" s="68"/>
      <c r="BC397" s="68"/>
      <c r="BD397" s="68"/>
      <c r="BE397" s="68"/>
      <c r="BF397" s="68"/>
      <c r="BG397" s="68"/>
      <c r="BH397" s="68"/>
      <c r="BI397" s="68"/>
      <c r="BJ397" s="68"/>
      <c r="BK397" s="68"/>
      <c r="BL397" s="68"/>
      <c r="BM397" s="68"/>
      <c r="BN397" s="68"/>
    </row>
    <row r="398" spans="1:66" ht="17">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68"/>
      <c r="AG398" s="68"/>
      <c r="AH398" s="68"/>
      <c r="AI398" s="68"/>
      <c r="AJ398" s="68"/>
      <c r="AK398" s="68"/>
      <c r="AL398" s="68"/>
      <c r="AM398" s="68"/>
      <c r="AN398" s="68"/>
      <c r="AO398" s="68"/>
      <c r="AP398" s="68"/>
      <c r="AQ398" s="68"/>
      <c r="AR398" s="68"/>
      <c r="AS398" s="68"/>
      <c r="AT398" s="68"/>
      <c r="AU398" s="68"/>
      <c r="AV398" s="68"/>
      <c r="AW398" s="68"/>
      <c r="AX398" s="68"/>
      <c r="AY398" s="68"/>
      <c r="AZ398" s="68"/>
      <c r="BA398" s="68"/>
      <c r="BB398" s="68"/>
      <c r="BC398" s="68"/>
      <c r="BD398" s="68"/>
      <c r="BE398" s="68"/>
      <c r="BF398" s="68"/>
      <c r="BG398" s="68"/>
      <c r="BH398" s="68"/>
      <c r="BI398" s="68"/>
      <c r="BJ398" s="68"/>
      <c r="BK398" s="68"/>
      <c r="BL398" s="68"/>
      <c r="BM398" s="68"/>
      <c r="BN398" s="68"/>
    </row>
    <row r="399" spans="1:66" ht="17">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68"/>
      <c r="AG399" s="68"/>
      <c r="AH399" s="68"/>
      <c r="AI399" s="68"/>
      <c r="AJ399" s="68"/>
      <c r="AK399" s="68"/>
      <c r="AL399" s="68"/>
      <c r="AM399" s="68"/>
      <c r="AN399" s="68"/>
      <c r="AO399" s="68"/>
      <c r="AP399" s="68"/>
      <c r="AQ399" s="68"/>
      <c r="AR399" s="68"/>
      <c r="AS399" s="68"/>
      <c r="AT399" s="68"/>
      <c r="AU399" s="68"/>
      <c r="AV399" s="68"/>
      <c r="AW399" s="68"/>
      <c r="AX399" s="68"/>
      <c r="AY399" s="68"/>
      <c r="AZ399" s="68"/>
      <c r="BA399" s="68"/>
      <c r="BB399" s="68"/>
      <c r="BC399" s="68"/>
      <c r="BD399" s="68"/>
      <c r="BE399" s="68"/>
      <c r="BF399" s="68"/>
      <c r="BG399" s="68"/>
      <c r="BH399" s="68"/>
      <c r="BI399" s="68"/>
      <c r="BJ399" s="68"/>
      <c r="BK399" s="68"/>
      <c r="BL399" s="68"/>
      <c r="BM399" s="68"/>
      <c r="BN399" s="68"/>
    </row>
    <row r="400" spans="1:66" ht="17">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68"/>
      <c r="AG400" s="68"/>
      <c r="AH400" s="68"/>
      <c r="AI400" s="68"/>
      <c r="AJ400" s="68"/>
      <c r="AK400" s="68"/>
      <c r="AL400" s="68"/>
      <c r="AM400" s="68"/>
      <c r="AN400" s="68"/>
      <c r="AO400" s="68"/>
      <c r="AP400" s="68"/>
      <c r="AQ400" s="68"/>
      <c r="AR400" s="68"/>
      <c r="AS400" s="68"/>
      <c r="AT400" s="68"/>
      <c r="AU400" s="68"/>
      <c r="AV400" s="68"/>
      <c r="AW400" s="68"/>
      <c r="AX400" s="68"/>
      <c r="AY400" s="68"/>
      <c r="AZ400" s="68"/>
      <c r="BA400" s="68"/>
      <c r="BB400" s="68"/>
      <c r="BC400" s="68"/>
      <c r="BD400" s="68"/>
      <c r="BE400" s="68"/>
      <c r="BF400" s="68"/>
      <c r="BG400" s="68"/>
      <c r="BH400" s="68"/>
      <c r="BI400" s="68"/>
      <c r="BJ400" s="68"/>
      <c r="BK400" s="68"/>
      <c r="BL400" s="68"/>
      <c r="BM400" s="68"/>
      <c r="BN400" s="68"/>
    </row>
    <row r="401" spans="1:66" ht="17">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68"/>
      <c r="AG401" s="68"/>
      <c r="AH401" s="68"/>
      <c r="AI401" s="68"/>
      <c r="AJ401" s="68"/>
      <c r="AK401" s="68"/>
      <c r="AL401" s="68"/>
      <c r="AM401" s="68"/>
      <c r="AN401" s="68"/>
      <c r="AO401" s="68"/>
      <c r="AP401" s="68"/>
      <c r="AQ401" s="68"/>
      <c r="AR401" s="68"/>
      <c r="AS401" s="68"/>
      <c r="AT401" s="68"/>
      <c r="AU401" s="68"/>
      <c r="AV401" s="68"/>
      <c r="AW401" s="68"/>
      <c r="AX401" s="68"/>
      <c r="AY401" s="68"/>
      <c r="AZ401" s="68"/>
      <c r="BA401" s="68"/>
      <c r="BB401" s="68"/>
      <c r="BC401" s="68"/>
      <c r="BD401" s="68"/>
      <c r="BE401" s="68"/>
      <c r="BF401" s="68"/>
      <c r="BG401" s="68"/>
      <c r="BH401" s="68"/>
      <c r="BI401" s="68"/>
      <c r="BJ401" s="68"/>
      <c r="BK401" s="68"/>
      <c r="BL401" s="68"/>
      <c r="BM401" s="68"/>
      <c r="BN401" s="68"/>
    </row>
    <row r="402" spans="1:66" ht="17">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68"/>
      <c r="AG402" s="68"/>
      <c r="AH402" s="68"/>
      <c r="AI402" s="68"/>
      <c r="AJ402" s="68"/>
      <c r="AK402" s="68"/>
      <c r="AL402" s="68"/>
      <c r="AM402" s="68"/>
      <c r="AN402" s="68"/>
      <c r="AO402" s="68"/>
      <c r="AP402" s="68"/>
      <c r="AQ402" s="68"/>
      <c r="AR402" s="68"/>
      <c r="AS402" s="68"/>
      <c r="AT402" s="68"/>
      <c r="AU402" s="68"/>
      <c r="AV402" s="68"/>
      <c r="AW402" s="68"/>
      <c r="AX402" s="68"/>
      <c r="AY402" s="68"/>
      <c r="AZ402" s="68"/>
      <c r="BA402" s="68"/>
      <c r="BB402" s="68"/>
      <c r="BC402" s="68"/>
      <c r="BD402" s="68"/>
      <c r="BE402" s="68"/>
      <c r="BF402" s="68"/>
      <c r="BG402" s="68"/>
      <c r="BH402" s="68"/>
      <c r="BI402" s="68"/>
      <c r="BJ402" s="68"/>
      <c r="BK402" s="68"/>
      <c r="BL402" s="68"/>
      <c r="BM402" s="68"/>
      <c r="BN402" s="68"/>
    </row>
    <row r="403" spans="1:66" ht="17">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68"/>
      <c r="AG403" s="68"/>
      <c r="AH403" s="68"/>
      <c r="AI403" s="68"/>
      <c r="AJ403" s="68"/>
      <c r="AK403" s="68"/>
      <c r="AL403" s="68"/>
      <c r="AM403" s="68"/>
      <c r="AN403" s="68"/>
      <c r="AO403" s="68"/>
      <c r="AP403" s="68"/>
      <c r="AQ403" s="68"/>
      <c r="AR403" s="68"/>
      <c r="AS403" s="68"/>
      <c r="AT403" s="68"/>
      <c r="AU403" s="68"/>
      <c r="AV403" s="68"/>
      <c r="AW403" s="68"/>
      <c r="AX403" s="68"/>
      <c r="AY403" s="68"/>
      <c r="AZ403" s="68"/>
      <c r="BA403" s="68"/>
      <c r="BB403" s="68"/>
      <c r="BC403" s="68"/>
      <c r="BD403" s="68"/>
      <c r="BE403" s="68"/>
      <c r="BF403" s="68"/>
      <c r="BG403" s="68"/>
      <c r="BH403" s="68"/>
      <c r="BI403" s="68"/>
      <c r="BJ403" s="68"/>
      <c r="BK403" s="68"/>
      <c r="BL403" s="68"/>
      <c r="BM403" s="68"/>
      <c r="BN403" s="68"/>
    </row>
    <row r="404" spans="1:66" ht="17">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68"/>
      <c r="AG404" s="68"/>
      <c r="AH404" s="68"/>
      <c r="AI404" s="68"/>
      <c r="AJ404" s="68"/>
      <c r="AK404" s="68"/>
      <c r="AL404" s="68"/>
      <c r="AM404" s="68"/>
      <c r="AN404" s="68"/>
      <c r="AO404" s="68"/>
      <c r="AP404" s="68"/>
      <c r="AQ404" s="68"/>
      <c r="AR404" s="68"/>
      <c r="AS404" s="68"/>
      <c r="AT404" s="68"/>
      <c r="AU404" s="68"/>
      <c r="AV404" s="68"/>
      <c r="AW404" s="68"/>
      <c r="AX404" s="68"/>
      <c r="AY404" s="68"/>
      <c r="AZ404" s="68"/>
      <c r="BA404" s="68"/>
      <c r="BB404" s="68"/>
      <c r="BC404" s="68"/>
      <c r="BD404" s="68"/>
      <c r="BE404" s="68"/>
      <c r="BF404" s="68"/>
      <c r="BG404" s="68"/>
      <c r="BH404" s="68"/>
      <c r="BI404" s="68"/>
      <c r="BJ404" s="68"/>
      <c r="BK404" s="68"/>
      <c r="BL404" s="68"/>
      <c r="BM404" s="68"/>
      <c r="BN404" s="68"/>
    </row>
    <row r="405" spans="1:66" ht="17">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68"/>
      <c r="AG405" s="68"/>
      <c r="AH405" s="68"/>
      <c r="AI405" s="68"/>
      <c r="AJ405" s="68"/>
      <c r="AK405" s="68"/>
      <c r="AL405" s="68"/>
      <c r="AM405" s="68"/>
      <c r="AN405" s="68"/>
      <c r="AO405" s="68"/>
      <c r="AP405" s="68"/>
      <c r="AQ405" s="68"/>
      <c r="AR405" s="68"/>
      <c r="AS405" s="68"/>
      <c r="AT405" s="68"/>
      <c r="AU405" s="68"/>
      <c r="AV405" s="68"/>
      <c r="AW405" s="68"/>
      <c r="AX405" s="68"/>
      <c r="AY405" s="68"/>
      <c r="AZ405" s="68"/>
      <c r="BA405" s="68"/>
      <c r="BB405" s="68"/>
      <c r="BC405" s="68"/>
      <c r="BD405" s="68"/>
      <c r="BE405" s="68"/>
      <c r="BF405" s="68"/>
      <c r="BG405" s="68"/>
      <c r="BH405" s="68"/>
      <c r="BI405" s="68"/>
      <c r="BJ405" s="68"/>
      <c r="BK405" s="68"/>
      <c r="BL405" s="68"/>
      <c r="BM405" s="68"/>
      <c r="BN405" s="68"/>
    </row>
    <row r="406" spans="1:66" ht="17">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c r="AG406" s="68"/>
      <c r="AH406" s="68"/>
      <c r="AI406" s="68"/>
      <c r="AJ406" s="68"/>
      <c r="AK406" s="68"/>
      <c r="AL406" s="68"/>
      <c r="AM406" s="68"/>
      <c r="AN406" s="68"/>
      <c r="AO406" s="68"/>
      <c r="AP406" s="68"/>
      <c r="AQ406" s="68"/>
      <c r="AR406" s="68"/>
      <c r="AS406" s="68"/>
      <c r="AT406" s="68"/>
      <c r="AU406" s="68"/>
      <c r="AV406" s="68"/>
      <c r="AW406" s="68"/>
      <c r="AX406" s="68"/>
      <c r="AY406" s="68"/>
      <c r="AZ406" s="68"/>
      <c r="BA406" s="68"/>
      <c r="BB406" s="68"/>
      <c r="BC406" s="68"/>
      <c r="BD406" s="68"/>
      <c r="BE406" s="68"/>
      <c r="BF406" s="68"/>
      <c r="BG406" s="68"/>
      <c r="BH406" s="68"/>
      <c r="BI406" s="68"/>
      <c r="BJ406" s="68"/>
      <c r="BK406" s="68"/>
      <c r="BL406" s="68"/>
      <c r="BM406" s="68"/>
      <c r="BN406" s="68"/>
    </row>
    <row r="407" spans="1:66" ht="1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c r="AG407" s="68"/>
      <c r="AH407" s="68"/>
      <c r="AI407" s="68"/>
      <c r="AJ407" s="68"/>
      <c r="AK407" s="68"/>
      <c r="AL407" s="68"/>
      <c r="AM407" s="68"/>
      <c r="AN407" s="68"/>
      <c r="AO407" s="68"/>
      <c r="AP407" s="68"/>
      <c r="AQ407" s="68"/>
      <c r="AR407" s="68"/>
      <c r="AS407" s="68"/>
      <c r="AT407" s="68"/>
      <c r="AU407" s="68"/>
      <c r="AV407" s="68"/>
      <c r="AW407" s="68"/>
      <c r="AX407" s="68"/>
      <c r="AY407" s="68"/>
      <c r="AZ407" s="68"/>
      <c r="BA407" s="68"/>
      <c r="BB407" s="68"/>
      <c r="BC407" s="68"/>
      <c r="BD407" s="68"/>
      <c r="BE407" s="68"/>
      <c r="BF407" s="68"/>
      <c r="BG407" s="68"/>
      <c r="BH407" s="68"/>
      <c r="BI407" s="68"/>
      <c r="BJ407" s="68"/>
      <c r="BK407" s="68"/>
      <c r="BL407" s="68"/>
      <c r="BM407" s="68"/>
      <c r="BN407" s="68"/>
    </row>
    <row r="408" spans="1:66" ht="17">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c r="AG408" s="68"/>
      <c r="AH408" s="68"/>
      <c r="AI408" s="68"/>
      <c r="AJ408" s="68"/>
      <c r="AK408" s="68"/>
      <c r="AL408" s="68"/>
      <c r="AM408" s="68"/>
      <c r="AN408" s="68"/>
      <c r="AO408" s="68"/>
      <c r="AP408" s="68"/>
      <c r="AQ408" s="68"/>
      <c r="AR408" s="68"/>
      <c r="AS408" s="68"/>
      <c r="AT408" s="68"/>
      <c r="AU408" s="68"/>
      <c r="AV408" s="68"/>
      <c r="AW408" s="68"/>
      <c r="AX408" s="68"/>
      <c r="AY408" s="68"/>
      <c r="AZ408" s="68"/>
      <c r="BA408" s="68"/>
      <c r="BB408" s="68"/>
      <c r="BC408" s="68"/>
      <c r="BD408" s="68"/>
      <c r="BE408" s="68"/>
      <c r="BF408" s="68"/>
      <c r="BG408" s="68"/>
      <c r="BH408" s="68"/>
      <c r="BI408" s="68"/>
      <c r="BJ408" s="68"/>
      <c r="BK408" s="68"/>
      <c r="BL408" s="68"/>
      <c r="BM408" s="68"/>
      <c r="BN408" s="68"/>
    </row>
    <row r="409" spans="1:66" ht="17">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c r="AG409" s="68"/>
      <c r="AH409" s="68"/>
      <c r="AI409" s="68"/>
      <c r="AJ409" s="68"/>
      <c r="AK409" s="68"/>
      <c r="AL409" s="68"/>
      <c r="AM409" s="68"/>
      <c r="AN409" s="68"/>
      <c r="AO409" s="68"/>
      <c r="AP409" s="68"/>
      <c r="AQ409" s="68"/>
      <c r="AR409" s="68"/>
      <c r="AS409" s="68"/>
      <c r="AT409" s="68"/>
      <c r="AU409" s="68"/>
      <c r="AV409" s="68"/>
      <c r="AW409" s="68"/>
      <c r="AX409" s="68"/>
      <c r="AY409" s="68"/>
      <c r="AZ409" s="68"/>
      <c r="BA409" s="68"/>
      <c r="BB409" s="68"/>
      <c r="BC409" s="68"/>
      <c r="BD409" s="68"/>
      <c r="BE409" s="68"/>
      <c r="BF409" s="68"/>
      <c r="BG409" s="68"/>
      <c r="BH409" s="68"/>
      <c r="BI409" s="68"/>
      <c r="BJ409" s="68"/>
      <c r="BK409" s="68"/>
      <c r="BL409" s="68"/>
      <c r="BM409" s="68"/>
      <c r="BN409" s="68"/>
    </row>
    <row r="410" spans="1:66" ht="17">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c r="AG410" s="68"/>
      <c r="AH410" s="68"/>
      <c r="AI410" s="68"/>
      <c r="AJ410" s="68"/>
      <c r="AK410" s="68"/>
      <c r="AL410" s="68"/>
      <c r="AM410" s="68"/>
      <c r="AN410" s="68"/>
      <c r="AO410" s="68"/>
      <c r="AP410" s="68"/>
      <c r="AQ410" s="68"/>
      <c r="AR410" s="68"/>
      <c r="AS410" s="68"/>
      <c r="AT410" s="68"/>
      <c r="AU410" s="68"/>
      <c r="AV410" s="68"/>
      <c r="AW410" s="68"/>
      <c r="AX410" s="68"/>
      <c r="AY410" s="68"/>
      <c r="AZ410" s="68"/>
      <c r="BA410" s="68"/>
      <c r="BB410" s="68"/>
      <c r="BC410" s="68"/>
      <c r="BD410" s="68"/>
      <c r="BE410" s="68"/>
      <c r="BF410" s="68"/>
      <c r="BG410" s="68"/>
      <c r="BH410" s="68"/>
      <c r="BI410" s="68"/>
      <c r="BJ410" s="68"/>
      <c r="BK410" s="68"/>
      <c r="BL410" s="68"/>
      <c r="BM410" s="68"/>
      <c r="BN410" s="68"/>
    </row>
    <row r="411" spans="1:66" ht="17">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c r="AG411" s="68"/>
      <c r="AH411" s="68"/>
      <c r="AI411" s="68"/>
      <c r="AJ411" s="68"/>
      <c r="AK411" s="68"/>
      <c r="AL411" s="68"/>
      <c r="AM411" s="68"/>
      <c r="AN411" s="68"/>
      <c r="AO411" s="68"/>
      <c r="AP411" s="68"/>
      <c r="AQ411" s="68"/>
      <c r="AR411" s="68"/>
      <c r="AS411" s="68"/>
      <c r="AT411" s="68"/>
      <c r="AU411" s="68"/>
      <c r="AV411" s="68"/>
      <c r="AW411" s="68"/>
      <c r="AX411" s="68"/>
      <c r="AY411" s="68"/>
      <c r="AZ411" s="68"/>
      <c r="BA411" s="68"/>
      <c r="BB411" s="68"/>
      <c r="BC411" s="68"/>
      <c r="BD411" s="68"/>
      <c r="BE411" s="68"/>
      <c r="BF411" s="68"/>
      <c r="BG411" s="68"/>
      <c r="BH411" s="68"/>
      <c r="BI411" s="68"/>
      <c r="BJ411" s="68"/>
      <c r="BK411" s="68"/>
      <c r="BL411" s="68"/>
      <c r="BM411" s="68"/>
      <c r="BN411" s="68"/>
    </row>
    <row r="412" spans="1:66" ht="17">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c r="AG412" s="68"/>
      <c r="AH412" s="68"/>
      <c r="AI412" s="68"/>
      <c r="AJ412" s="68"/>
      <c r="AK412" s="68"/>
      <c r="AL412" s="68"/>
      <c r="AM412" s="68"/>
      <c r="AN412" s="68"/>
      <c r="AO412" s="68"/>
      <c r="AP412" s="68"/>
      <c r="AQ412" s="68"/>
      <c r="AR412" s="68"/>
      <c r="AS412" s="68"/>
      <c r="AT412" s="68"/>
      <c r="AU412" s="68"/>
      <c r="AV412" s="68"/>
      <c r="AW412" s="68"/>
      <c r="AX412" s="68"/>
      <c r="AY412" s="68"/>
      <c r="AZ412" s="68"/>
      <c r="BA412" s="68"/>
      <c r="BB412" s="68"/>
      <c r="BC412" s="68"/>
      <c r="BD412" s="68"/>
      <c r="BE412" s="68"/>
      <c r="BF412" s="68"/>
      <c r="BG412" s="68"/>
      <c r="BH412" s="68"/>
      <c r="BI412" s="68"/>
      <c r="BJ412" s="68"/>
      <c r="BK412" s="68"/>
      <c r="BL412" s="68"/>
      <c r="BM412" s="68"/>
      <c r="BN412" s="68"/>
    </row>
    <row r="413" spans="1:66" ht="17">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c r="AG413" s="68"/>
      <c r="AH413" s="68"/>
      <c r="AI413" s="68"/>
      <c r="AJ413" s="68"/>
      <c r="AK413" s="68"/>
      <c r="AL413" s="68"/>
      <c r="AM413" s="68"/>
      <c r="AN413" s="68"/>
      <c r="AO413" s="68"/>
      <c r="AP413" s="68"/>
      <c r="AQ413" s="68"/>
      <c r="AR413" s="68"/>
      <c r="AS413" s="68"/>
      <c r="AT413" s="68"/>
      <c r="AU413" s="68"/>
      <c r="AV413" s="68"/>
      <c r="AW413" s="68"/>
      <c r="AX413" s="68"/>
      <c r="AY413" s="68"/>
      <c r="AZ413" s="68"/>
      <c r="BA413" s="68"/>
      <c r="BB413" s="68"/>
      <c r="BC413" s="68"/>
      <c r="BD413" s="68"/>
      <c r="BE413" s="68"/>
      <c r="BF413" s="68"/>
      <c r="BG413" s="68"/>
      <c r="BH413" s="68"/>
      <c r="BI413" s="68"/>
      <c r="BJ413" s="68"/>
      <c r="BK413" s="68"/>
      <c r="BL413" s="68"/>
      <c r="BM413" s="68"/>
      <c r="BN413" s="68"/>
    </row>
    <row r="414" spans="1:66" ht="17">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c r="AG414" s="68"/>
      <c r="AH414" s="68"/>
      <c r="AI414" s="68"/>
      <c r="AJ414" s="68"/>
      <c r="AK414" s="68"/>
      <c r="AL414" s="68"/>
      <c r="AM414" s="68"/>
      <c r="AN414" s="68"/>
      <c r="AO414" s="68"/>
      <c r="AP414" s="68"/>
      <c r="AQ414" s="68"/>
      <c r="AR414" s="68"/>
      <c r="AS414" s="68"/>
      <c r="AT414" s="68"/>
      <c r="AU414" s="68"/>
      <c r="AV414" s="68"/>
      <c r="AW414" s="68"/>
      <c r="AX414" s="68"/>
      <c r="AY414" s="68"/>
      <c r="AZ414" s="68"/>
      <c r="BA414" s="68"/>
      <c r="BB414" s="68"/>
      <c r="BC414" s="68"/>
      <c r="BD414" s="68"/>
      <c r="BE414" s="68"/>
      <c r="BF414" s="68"/>
      <c r="BG414" s="68"/>
      <c r="BH414" s="68"/>
      <c r="BI414" s="68"/>
      <c r="BJ414" s="68"/>
      <c r="BK414" s="68"/>
      <c r="BL414" s="68"/>
      <c r="BM414" s="68"/>
      <c r="BN414" s="68"/>
    </row>
    <row r="415" spans="1:66" ht="17">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c r="AH415" s="68"/>
      <c r="AI415" s="68"/>
      <c r="AJ415" s="68"/>
      <c r="AK415" s="68"/>
      <c r="AL415" s="68"/>
      <c r="AM415" s="68"/>
      <c r="AN415" s="68"/>
      <c r="AO415" s="68"/>
      <c r="AP415" s="68"/>
      <c r="AQ415" s="68"/>
      <c r="AR415" s="68"/>
      <c r="AS415" s="68"/>
      <c r="AT415" s="68"/>
      <c r="AU415" s="68"/>
      <c r="AV415" s="68"/>
      <c r="AW415" s="68"/>
      <c r="AX415" s="68"/>
      <c r="AY415" s="68"/>
      <c r="AZ415" s="68"/>
      <c r="BA415" s="68"/>
      <c r="BB415" s="68"/>
      <c r="BC415" s="68"/>
      <c r="BD415" s="68"/>
      <c r="BE415" s="68"/>
      <c r="BF415" s="68"/>
      <c r="BG415" s="68"/>
      <c r="BH415" s="68"/>
      <c r="BI415" s="68"/>
      <c r="BJ415" s="68"/>
      <c r="BK415" s="68"/>
      <c r="BL415" s="68"/>
      <c r="BM415" s="68"/>
      <c r="BN415" s="68"/>
    </row>
    <row r="416" spans="1:66" ht="17">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c r="AH416" s="68"/>
      <c r="AI416" s="68"/>
      <c r="AJ416" s="68"/>
      <c r="AK416" s="68"/>
      <c r="AL416" s="68"/>
      <c r="AM416" s="68"/>
      <c r="AN416" s="68"/>
      <c r="AO416" s="68"/>
      <c r="AP416" s="68"/>
      <c r="AQ416" s="68"/>
      <c r="AR416" s="68"/>
      <c r="AS416" s="68"/>
      <c r="AT416" s="68"/>
      <c r="AU416" s="68"/>
      <c r="AV416" s="68"/>
      <c r="AW416" s="68"/>
      <c r="AX416" s="68"/>
      <c r="AY416" s="68"/>
      <c r="AZ416" s="68"/>
      <c r="BA416" s="68"/>
      <c r="BB416" s="68"/>
      <c r="BC416" s="68"/>
      <c r="BD416" s="68"/>
      <c r="BE416" s="68"/>
      <c r="BF416" s="68"/>
      <c r="BG416" s="68"/>
      <c r="BH416" s="68"/>
      <c r="BI416" s="68"/>
      <c r="BJ416" s="68"/>
      <c r="BK416" s="68"/>
      <c r="BL416" s="68"/>
      <c r="BM416" s="68"/>
      <c r="BN416" s="68"/>
    </row>
    <row r="417" spans="1:66" ht="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68"/>
      <c r="AG417" s="68"/>
      <c r="AH417" s="68"/>
      <c r="AI417" s="68"/>
      <c r="AJ417" s="68"/>
      <c r="AK417" s="68"/>
      <c r="AL417" s="68"/>
      <c r="AM417" s="68"/>
      <c r="AN417" s="68"/>
      <c r="AO417" s="68"/>
      <c r="AP417" s="68"/>
      <c r="AQ417" s="68"/>
      <c r="AR417" s="68"/>
      <c r="AS417" s="68"/>
      <c r="AT417" s="68"/>
      <c r="AU417" s="68"/>
      <c r="AV417" s="68"/>
      <c r="AW417" s="68"/>
      <c r="AX417" s="68"/>
      <c r="AY417" s="68"/>
      <c r="AZ417" s="68"/>
      <c r="BA417" s="68"/>
      <c r="BB417" s="68"/>
      <c r="BC417" s="68"/>
      <c r="BD417" s="68"/>
      <c r="BE417" s="68"/>
      <c r="BF417" s="68"/>
      <c r="BG417" s="68"/>
      <c r="BH417" s="68"/>
      <c r="BI417" s="68"/>
      <c r="BJ417" s="68"/>
      <c r="BK417" s="68"/>
      <c r="BL417" s="68"/>
      <c r="BM417" s="68"/>
      <c r="BN417" s="68"/>
    </row>
    <row r="418" spans="1:66" ht="17">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68"/>
      <c r="AG418" s="68"/>
      <c r="AH418" s="68"/>
      <c r="AI418" s="68"/>
      <c r="AJ418" s="68"/>
      <c r="AK418" s="68"/>
      <c r="AL418" s="68"/>
      <c r="AM418" s="68"/>
      <c r="AN418" s="68"/>
      <c r="AO418" s="68"/>
      <c r="AP418" s="68"/>
      <c r="AQ418" s="68"/>
      <c r="AR418" s="68"/>
      <c r="AS418" s="68"/>
      <c r="AT418" s="68"/>
      <c r="AU418" s="68"/>
      <c r="AV418" s="68"/>
      <c r="AW418" s="68"/>
      <c r="AX418" s="68"/>
      <c r="AY418" s="68"/>
      <c r="AZ418" s="68"/>
      <c r="BA418" s="68"/>
      <c r="BB418" s="68"/>
      <c r="BC418" s="68"/>
      <c r="BD418" s="68"/>
      <c r="BE418" s="68"/>
      <c r="BF418" s="68"/>
      <c r="BG418" s="68"/>
      <c r="BH418" s="68"/>
      <c r="BI418" s="68"/>
      <c r="BJ418" s="68"/>
      <c r="BK418" s="68"/>
      <c r="BL418" s="68"/>
      <c r="BM418" s="68"/>
      <c r="BN418" s="68"/>
    </row>
    <row r="419" spans="1:66" ht="17">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68"/>
      <c r="AG419" s="68"/>
      <c r="AH419" s="68"/>
      <c r="AI419" s="68"/>
      <c r="AJ419" s="68"/>
      <c r="AK419" s="68"/>
      <c r="AL419" s="68"/>
      <c r="AM419" s="68"/>
      <c r="AN419" s="68"/>
      <c r="AO419" s="68"/>
      <c r="AP419" s="68"/>
      <c r="AQ419" s="68"/>
      <c r="AR419" s="68"/>
      <c r="AS419" s="68"/>
      <c r="AT419" s="68"/>
      <c r="AU419" s="68"/>
      <c r="AV419" s="68"/>
      <c r="AW419" s="68"/>
      <c r="AX419" s="68"/>
      <c r="AY419" s="68"/>
      <c r="AZ419" s="68"/>
      <c r="BA419" s="68"/>
      <c r="BB419" s="68"/>
      <c r="BC419" s="68"/>
      <c r="BD419" s="68"/>
      <c r="BE419" s="68"/>
      <c r="BF419" s="68"/>
      <c r="BG419" s="68"/>
      <c r="BH419" s="68"/>
      <c r="BI419" s="68"/>
      <c r="BJ419" s="68"/>
      <c r="BK419" s="68"/>
      <c r="BL419" s="68"/>
      <c r="BM419" s="68"/>
      <c r="BN419" s="68"/>
    </row>
    <row r="420" spans="1:66" ht="17">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68"/>
      <c r="AG420" s="68"/>
      <c r="AH420" s="68"/>
      <c r="AI420" s="68"/>
      <c r="AJ420" s="68"/>
      <c r="AK420" s="68"/>
      <c r="AL420" s="68"/>
      <c r="AM420" s="68"/>
      <c r="AN420" s="68"/>
      <c r="AO420" s="68"/>
      <c r="AP420" s="68"/>
      <c r="AQ420" s="68"/>
      <c r="AR420" s="68"/>
      <c r="AS420" s="68"/>
      <c r="AT420" s="68"/>
      <c r="AU420" s="68"/>
      <c r="AV420" s="68"/>
      <c r="AW420" s="68"/>
      <c r="AX420" s="68"/>
      <c r="AY420" s="68"/>
      <c r="AZ420" s="68"/>
      <c r="BA420" s="68"/>
      <c r="BB420" s="68"/>
      <c r="BC420" s="68"/>
      <c r="BD420" s="68"/>
      <c r="BE420" s="68"/>
      <c r="BF420" s="68"/>
      <c r="BG420" s="68"/>
      <c r="BH420" s="68"/>
      <c r="BI420" s="68"/>
      <c r="BJ420" s="68"/>
      <c r="BK420" s="68"/>
      <c r="BL420" s="68"/>
      <c r="BM420" s="68"/>
      <c r="BN420" s="68"/>
    </row>
    <row r="421" spans="1:66" ht="17">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68"/>
      <c r="AG421" s="68"/>
      <c r="AH421" s="68"/>
      <c r="AI421" s="68"/>
      <c r="AJ421" s="68"/>
      <c r="AK421" s="68"/>
      <c r="AL421" s="68"/>
      <c r="AM421" s="68"/>
      <c r="AN421" s="68"/>
      <c r="AO421" s="68"/>
      <c r="AP421" s="68"/>
      <c r="AQ421" s="68"/>
      <c r="AR421" s="68"/>
      <c r="AS421" s="68"/>
      <c r="AT421" s="68"/>
      <c r="AU421" s="68"/>
      <c r="AV421" s="68"/>
      <c r="AW421" s="68"/>
      <c r="AX421" s="68"/>
      <c r="AY421" s="68"/>
      <c r="AZ421" s="68"/>
      <c r="BA421" s="68"/>
      <c r="BB421" s="68"/>
      <c r="BC421" s="68"/>
      <c r="BD421" s="68"/>
      <c r="BE421" s="68"/>
      <c r="BF421" s="68"/>
      <c r="BG421" s="68"/>
      <c r="BH421" s="68"/>
      <c r="BI421" s="68"/>
      <c r="BJ421" s="68"/>
      <c r="BK421" s="68"/>
      <c r="BL421" s="68"/>
      <c r="BM421" s="68"/>
      <c r="BN421" s="68"/>
    </row>
    <row r="422" spans="1:66" ht="17">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68"/>
      <c r="AG422" s="68"/>
      <c r="AH422" s="68"/>
      <c r="AI422" s="68"/>
      <c r="AJ422" s="68"/>
      <c r="AK422" s="68"/>
      <c r="AL422" s="68"/>
      <c r="AM422" s="68"/>
      <c r="AN422" s="68"/>
      <c r="AO422" s="68"/>
      <c r="AP422" s="68"/>
      <c r="AQ422" s="68"/>
      <c r="AR422" s="68"/>
      <c r="AS422" s="68"/>
      <c r="AT422" s="68"/>
      <c r="AU422" s="68"/>
      <c r="AV422" s="68"/>
      <c r="AW422" s="68"/>
      <c r="AX422" s="68"/>
      <c r="AY422" s="68"/>
      <c r="AZ422" s="68"/>
      <c r="BA422" s="68"/>
      <c r="BB422" s="68"/>
      <c r="BC422" s="68"/>
      <c r="BD422" s="68"/>
      <c r="BE422" s="68"/>
      <c r="BF422" s="68"/>
      <c r="BG422" s="68"/>
      <c r="BH422" s="68"/>
      <c r="BI422" s="68"/>
      <c r="BJ422" s="68"/>
      <c r="BK422" s="68"/>
      <c r="BL422" s="68"/>
      <c r="BM422" s="68"/>
      <c r="BN422" s="68"/>
    </row>
    <row r="423" spans="1:66" ht="17">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68"/>
      <c r="AG423" s="68"/>
      <c r="AH423" s="68"/>
      <c r="AI423" s="68"/>
      <c r="AJ423" s="68"/>
      <c r="AK423" s="68"/>
      <c r="AL423" s="68"/>
      <c r="AM423" s="68"/>
      <c r="AN423" s="68"/>
      <c r="AO423" s="68"/>
      <c r="AP423" s="68"/>
      <c r="AQ423" s="68"/>
      <c r="AR423" s="68"/>
      <c r="AS423" s="68"/>
      <c r="AT423" s="68"/>
      <c r="AU423" s="68"/>
      <c r="AV423" s="68"/>
      <c r="AW423" s="68"/>
      <c r="AX423" s="68"/>
      <c r="AY423" s="68"/>
      <c r="AZ423" s="68"/>
      <c r="BA423" s="68"/>
      <c r="BB423" s="68"/>
      <c r="BC423" s="68"/>
      <c r="BD423" s="68"/>
      <c r="BE423" s="68"/>
      <c r="BF423" s="68"/>
      <c r="BG423" s="68"/>
      <c r="BH423" s="68"/>
      <c r="BI423" s="68"/>
      <c r="BJ423" s="68"/>
      <c r="BK423" s="68"/>
      <c r="BL423" s="68"/>
      <c r="BM423" s="68"/>
      <c r="BN423" s="68"/>
    </row>
    <row r="424" spans="1:66" ht="17">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68"/>
      <c r="AG424" s="68"/>
      <c r="AH424" s="68"/>
      <c r="AI424" s="68"/>
      <c r="AJ424" s="68"/>
      <c r="AK424" s="68"/>
      <c r="AL424" s="68"/>
      <c r="AM424" s="68"/>
      <c r="AN424" s="68"/>
      <c r="AO424" s="68"/>
      <c r="AP424" s="68"/>
      <c r="AQ424" s="68"/>
      <c r="AR424" s="68"/>
      <c r="AS424" s="68"/>
      <c r="AT424" s="68"/>
      <c r="AU424" s="68"/>
      <c r="AV424" s="68"/>
      <c r="AW424" s="68"/>
      <c r="AX424" s="68"/>
      <c r="AY424" s="68"/>
      <c r="AZ424" s="68"/>
      <c r="BA424" s="68"/>
      <c r="BB424" s="68"/>
      <c r="BC424" s="68"/>
      <c r="BD424" s="68"/>
      <c r="BE424" s="68"/>
      <c r="BF424" s="68"/>
      <c r="BG424" s="68"/>
      <c r="BH424" s="68"/>
      <c r="BI424" s="68"/>
      <c r="BJ424" s="68"/>
      <c r="BK424" s="68"/>
      <c r="BL424" s="68"/>
      <c r="BM424" s="68"/>
      <c r="BN424" s="68"/>
    </row>
    <row r="425" spans="1:66" ht="17">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68"/>
      <c r="AG425" s="68"/>
      <c r="AH425" s="68"/>
      <c r="AI425" s="68"/>
      <c r="AJ425" s="68"/>
      <c r="AK425" s="68"/>
      <c r="AL425" s="68"/>
      <c r="AM425" s="68"/>
      <c r="AN425" s="68"/>
      <c r="AO425" s="68"/>
      <c r="AP425" s="68"/>
      <c r="AQ425" s="68"/>
      <c r="AR425" s="68"/>
      <c r="AS425" s="68"/>
      <c r="AT425" s="68"/>
      <c r="AU425" s="68"/>
      <c r="AV425" s="68"/>
      <c r="AW425" s="68"/>
      <c r="AX425" s="68"/>
      <c r="AY425" s="68"/>
      <c r="AZ425" s="68"/>
      <c r="BA425" s="68"/>
      <c r="BB425" s="68"/>
      <c r="BC425" s="68"/>
      <c r="BD425" s="68"/>
      <c r="BE425" s="68"/>
      <c r="BF425" s="68"/>
      <c r="BG425" s="68"/>
      <c r="BH425" s="68"/>
      <c r="BI425" s="68"/>
      <c r="BJ425" s="68"/>
      <c r="BK425" s="68"/>
      <c r="BL425" s="68"/>
      <c r="BM425" s="68"/>
      <c r="BN425" s="68"/>
    </row>
    <row r="426" spans="1:66" ht="17">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68"/>
      <c r="AG426" s="68"/>
      <c r="AH426" s="68"/>
      <c r="AI426" s="68"/>
      <c r="AJ426" s="68"/>
      <c r="AK426" s="68"/>
      <c r="AL426" s="68"/>
      <c r="AM426" s="68"/>
      <c r="AN426" s="68"/>
      <c r="AO426" s="68"/>
      <c r="AP426" s="68"/>
      <c r="AQ426" s="68"/>
      <c r="AR426" s="68"/>
      <c r="AS426" s="68"/>
      <c r="AT426" s="68"/>
      <c r="AU426" s="68"/>
      <c r="AV426" s="68"/>
      <c r="AW426" s="68"/>
      <c r="AX426" s="68"/>
      <c r="AY426" s="68"/>
      <c r="AZ426" s="68"/>
      <c r="BA426" s="68"/>
      <c r="BB426" s="68"/>
      <c r="BC426" s="68"/>
      <c r="BD426" s="68"/>
      <c r="BE426" s="68"/>
      <c r="BF426" s="68"/>
      <c r="BG426" s="68"/>
      <c r="BH426" s="68"/>
      <c r="BI426" s="68"/>
      <c r="BJ426" s="68"/>
      <c r="BK426" s="68"/>
      <c r="BL426" s="68"/>
      <c r="BM426" s="68"/>
      <c r="BN426" s="68"/>
    </row>
    <row r="427" spans="1:66" ht="1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68"/>
      <c r="AG427" s="68"/>
      <c r="AH427" s="68"/>
      <c r="AI427" s="68"/>
      <c r="AJ427" s="68"/>
      <c r="AK427" s="68"/>
      <c r="AL427" s="68"/>
      <c r="AM427" s="68"/>
      <c r="AN427" s="68"/>
      <c r="AO427" s="68"/>
      <c r="AP427" s="68"/>
      <c r="AQ427" s="68"/>
      <c r="AR427" s="68"/>
      <c r="AS427" s="68"/>
      <c r="AT427" s="68"/>
      <c r="AU427" s="68"/>
      <c r="AV427" s="68"/>
      <c r="AW427" s="68"/>
      <c r="AX427" s="68"/>
      <c r="AY427" s="68"/>
      <c r="AZ427" s="68"/>
      <c r="BA427" s="68"/>
      <c r="BB427" s="68"/>
      <c r="BC427" s="68"/>
      <c r="BD427" s="68"/>
      <c r="BE427" s="68"/>
      <c r="BF427" s="68"/>
      <c r="BG427" s="68"/>
      <c r="BH427" s="68"/>
      <c r="BI427" s="68"/>
      <c r="BJ427" s="68"/>
      <c r="BK427" s="68"/>
      <c r="BL427" s="68"/>
      <c r="BM427" s="68"/>
      <c r="BN427" s="68"/>
    </row>
    <row r="428" spans="1:66" ht="17">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68"/>
      <c r="AG428" s="68"/>
      <c r="AH428" s="68"/>
      <c r="AI428" s="68"/>
      <c r="AJ428" s="68"/>
      <c r="AK428" s="68"/>
      <c r="AL428" s="68"/>
      <c r="AM428" s="68"/>
      <c r="AN428" s="68"/>
      <c r="AO428" s="68"/>
      <c r="AP428" s="68"/>
      <c r="AQ428" s="68"/>
      <c r="AR428" s="68"/>
      <c r="AS428" s="68"/>
      <c r="AT428" s="68"/>
      <c r="AU428" s="68"/>
      <c r="AV428" s="68"/>
      <c r="AW428" s="68"/>
      <c r="AX428" s="68"/>
      <c r="AY428" s="68"/>
      <c r="AZ428" s="68"/>
      <c r="BA428" s="68"/>
      <c r="BB428" s="68"/>
      <c r="BC428" s="68"/>
      <c r="BD428" s="68"/>
      <c r="BE428" s="68"/>
      <c r="BF428" s="68"/>
      <c r="BG428" s="68"/>
      <c r="BH428" s="68"/>
      <c r="BI428" s="68"/>
      <c r="BJ428" s="68"/>
      <c r="BK428" s="68"/>
      <c r="BL428" s="68"/>
      <c r="BM428" s="68"/>
      <c r="BN428" s="68"/>
    </row>
    <row r="429" spans="1:66" ht="17">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68"/>
      <c r="AG429" s="68"/>
      <c r="AH429" s="68"/>
      <c r="AI429" s="68"/>
      <c r="AJ429" s="68"/>
      <c r="AK429" s="68"/>
      <c r="AL429" s="68"/>
      <c r="AM429" s="68"/>
      <c r="AN429" s="68"/>
      <c r="AO429" s="68"/>
      <c r="AP429" s="68"/>
      <c r="AQ429" s="68"/>
      <c r="AR429" s="68"/>
      <c r="AS429" s="68"/>
      <c r="AT429" s="68"/>
      <c r="AU429" s="68"/>
      <c r="AV429" s="68"/>
      <c r="AW429" s="68"/>
      <c r="AX429" s="68"/>
      <c r="AY429" s="68"/>
      <c r="AZ429" s="68"/>
      <c r="BA429" s="68"/>
      <c r="BB429" s="68"/>
      <c r="BC429" s="68"/>
      <c r="BD429" s="68"/>
      <c r="BE429" s="68"/>
      <c r="BF429" s="68"/>
      <c r="BG429" s="68"/>
      <c r="BH429" s="68"/>
      <c r="BI429" s="68"/>
      <c r="BJ429" s="68"/>
      <c r="BK429" s="68"/>
      <c r="BL429" s="68"/>
      <c r="BM429" s="68"/>
      <c r="BN429" s="68"/>
    </row>
    <row r="430" spans="1:66" ht="17">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68"/>
      <c r="AG430" s="68"/>
      <c r="AH430" s="68"/>
      <c r="AI430" s="68"/>
      <c r="AJ430" s="68"/>
      <c r="AK430" s="68"/>
      <c r="AL430" s="68"/>
      <c r="AM430" s="68"/>
      <c r="AN430" s="68"/>
      <c r="AO430" s="68"/>
      <c r="AP430" s="68"/>
      <c r="AQ430" s="68"/>
      <c r="AR430" s="68"/>
      <c r="AS430" s="68"/>
      <c r="AT430" s="68"/>
      <c r="AU430" s="68"/>
      <c r="AV430" s="68"/>
      <c r="AW430" s="68"/>
      <c r="AX430" s="68"/>
      <c r="AY430" s="68"/>
      <c r="AZ430" s="68"/>
      <c r="BA430" s="68"/>
      <c r="BB430" s="68"/>
      <c r="BC430" s="68"/>
      <c r="BD430" s="68"/>
      <c r="BE430" s="68"/>
      <c r="BF430" s="68"/>
      <c r="BG430" s="68"/>
      <c r="BH430" s="68"/>
      <c r="BI430" s="68"/>
      <c r="BJ430" s="68"/>
      <c r="BK430" s="68"/>
      <c r="BL430" s="68"/>
      <c r="BM430" s="68"/>
      <c r="BN430" s="68"/>
    </row>
    <row r="431" spans="1:66" ht="17">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68"/>
      <c r="AG431" s="68"/>
      <c r="AH431" s="68"/>
      <c r="AI431" s="68"/>
      <c r="AJ431" s="68"/>
      <c r="AK431" s="68"/>
      <c r="AL431" s="68"/>
      <c r="AM431" s="68"/>
      <c r="AN431" s="68"/>
      <c r="AO431" s="68"/>
      <c r="AP431" s="68"/>
      <c r="AQ431" s="68"/>
      <c r="AR431" s="68"/>
      <c r="AS431" s="68"/>
      <c r="AT431" s="68"/>
      <c r="AU431" s="68"/>
      <c r="AV431" s="68"/>
      <c r="AW431" s="68"/>
      <c r="AX431" s="68"/>
      <c r="AY431" s="68"/>
      <c r="AZ431" s="68"/>
      <c r="BA431" s="68"/>
      <c r="BB431" s="68"/>
      <c r="BC431" s="68"/>
      <c r="BD431" s="68"/>
      <c r="BE431" s="68"/>
      <c r="BF431" s="68"/>
      <c r="BG431" s="68"/>
      <c r="BH431" s="68"/>
      <c r="BI431" s="68"/>
      <c r="BJ431" s="68"/>
      <c r="BK431" s="68"/>
      <c r="BL431" s="68"/>
      <c r="BM431" s="68"/>
      <c r="BN431" s="68"/>
    </row>
    <row r="432" spans="1:66" ht="17">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68"/>
      <c r="AG432" s="68"/>
      <c r="AH432" s="68"/>
      <c r="AI432" s="68"/>
      <c r="AJ432" s="68"/>
      <c r="AK432" s="68"/>
      <c r="AL432" s="68"/>
      <c r="AM432" s="68"/>
      <c r="AN432" s="68"/>
      <c r="AO432" s="68"/>
      <c r="AP432" s="68"/>
      <c r="AQ432" s="68"/>
      <c r="AR432" s="68"/>
      <c r="AS432" s="68"/>
      <c r="AT432" s="68"/>
      <c r="AU432" s="68"/>
      <c r="AV432" s="68"/>
      <c r="AW432" s="68"/>
      <c r="AX432" s="68"/>
      <c r="AY432" s="68"/>
      <c r="AZ432" s="68"/>
      <c r="BA432" s="68"/>
      <c r="BB432" s="68"/>
      <c r="BC432" s="68"/>
      <c r="BD432" s="68"/>
      <c r="BE432" s="68"/>
      <c r="BF432" s="68"/>
      <c r="BG432" s="68"/>
      <c r="BH432" s="68"/>
      <c r="BI432" s="68"/>
      <c r="BJ432" s="68"/>
      <c r="BK432" s="68"/>
      <c r="BL432" s="68"/>
      <c r="BM432" s="68"/>
      <c r="BN432" s="68"/>
    </row>
    <row r="433" spans="1:66" ht="17">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68"/>
      <c r="AG433" s="68"/>
      <c r="AH433" s="68"/>
      <c r="AI433" s="68"/>
      <c r="AJ433" s="68"/>
      <c r="AK433" s="68"/>
      <c r="AL433" s="68"/>
      <c r="AM433" s="68"/>
      <c r="AN433" s="68"/>
      <c r="AO433" s="68"/>
      <c r="AP433" s="68"/>
      <c r="AQ433" s="68"/>
      <c r="AR433" s="68"/>
      <c r="AS433" s="68"/>
      <c r="AT433" s="68"/>
      <c r="AU433" s="68"/>
      <c r="AV433" s="68"/>
      <c r="AW433" s="68"/>
      <c r="AX433" s="68"/>
      <c r="AY433" s="68"/>
      <c r="AZ433" s="68"/>
      <c r="BA433" s="68"/>
      <c r="BB433" s="68"/>
      <c r="BC433" s="68"/>
      <c r="BD433" s="68"/>
      <c r="BE433" s="68"/>
      <c r="BF433" s="68"/>
      <c r="BG433" s="68"/>
      <c r="BH433" s="68"/>
      <c r="BI433" s="68"/>
      <c r="BJ433" s="68"/>
      <c r="BK433" s="68"/>
      <c r="BL433" s="68"/>
      <c r="BM433" s="68"/>
      <c r="BN433" s="68"/>
    </row>
    <row r="434" spans="1:66" ht="17">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68"/>
      <c r="AG434" s="68"/>
      <c r="AH434" s="68"/>
      <c r="AI434" s="68"/>
      <c r="AJ434" s="68"/>
      <c r="AK434" s="68"/>
      <c r="AL434" s="68"/>
      <c r="AM434" s="68"/>
      <c r="AN434" s="68"/>
      <c r="AO434" s="68"/>
      <c r="AP434" s="68"/>
      <c r="AQ434" s="68"/>
      <c r="AR434" s="68"/>
      <c r="AS434" s="68"/>
      <c r="AT434" s="68"/>
      <c r="AU434" s="68"/>
      <c r="AV434" s="68"/>
      <c r="AW434" s="68"/>
      <c r="AX434" s="68"/>
      <c r="AY434" s="68"/>
      <c r="AZ434" s="68"/>
      <c r="BA434" s="68"/>
      <c r="BB434" s="68"/>
      <c r="BC434" s="68"/>
      <c r="BD434" s="68"/>
      <c r="BE434" s="68"/>
      <c r="BF434" s="68"/>
      <c r="BG434" s="68"/>
      <c r="BH434" s="68"/>
      <c r="BI434" s="68"/>
      <c r="BJ434" s="68"/>
      <c r="BK434" s="68"/>
      <c r="BL434" s="68"/>
      <c r="BM434" s="68"/>
      <c r="BN434" s="68"/>
    </row>
    <row r="435" spans="1:66" ht="17">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68"/>
      <c r="AG435" s="68"/>
      <c r="AH435" s="68"/>
      <c r="AI435" s="68"/>
      <c r="AJ435" s="68"/>
      <c r="AK435" s="68"/>
      <c r="AL435" s="68"/>
      <c r="AM435" s="68"/>
      <c r="AN435" s="68"/>
      <c r="AO435" s="68"/>
      <c r="AP435" s="68"/>
      <c r="AQ435" s="68"/>
      <c r="AR435" s="68"/>
      <c r="AS435" s="68"/>
      <c r="AT435" s="68"/>
      <c r="AU435" s="68"/>
      <c r="AV435" s="68"/>
      <c r="AW435" s="68"/>
      <c r="AX435" s="68"/>
      <c r="AY435" s="68"/>
      <c r="AZ435" s="68"/>
      <c r="BA435" s="68"/>
      <c r="BB435" s="68"/>
      <c r="BC435" s="68"/>
      <c r="BD435" s="68"/>
      <c r="BE435" s="68"/>
      <c r="BF435" s="68"/>
      <c r="BG435" s="68"/>
      <c r="BH435" s="68"/>
      <c r="BI435" s="68"/>
      <c r="BJ435" s="68"/>
      <c r="BK435" s="68"/>
      <c r="BL435" s="68"/>
      <c r="BM435" s="68"/>
      <c r="BN435" s="68"/>
    </row>
    <row r="436" spans="1:66" ht="17">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68"/>
      <c r="AG436" s="68"/>
      <c r="AH436" s="68"/>
      <c r="AI436" s="68"/>
      <c r="AJ436" s="68"/>
      <c r="AK436" s="68"/>
      <c r="AL436" s="68"/>
      <c r="AM436" s="68"/>
      <c r="AN436" s="68"/>
      <c r="AO436" s="68"/>
      <c r="AP436" s="68"/>
      <c r="AQ436" s="68"/>
      <c r="AR436" s="68"/>
      <c r="AS436" s="68"/>
      <c r="AT436" s="68"/>
      <c r="AU436" s="68"/>
      <c r="AV436" s="68"/>
      <c r="AW436" s="68"/>
      <c r="AX436" s="68"/>
      <c r="AY436" s="68"/>
      <c r="AZ436" s="68"/>
      <c r="BA436" s="68"/>
      <c r="BB436" s="68"/>
      <c r="BC436" s="68"/>
      <c r="BD436" s="68"/>
      <c r="BE436" s="68"/>
      <c r="BF436" s="68"/>
      <c r="BG436" s="68"/>
      <c r="BH436" s="68"/>
      <c r="BI436" s="68"/>
      <c r="BJ436" s="68"/>
      <c r="BK436" s="68"/>
      <c r="BL436" s="68"/>
      <c r="BM436" s="68"/>
      <c r="BN436" s="68"/>
    </row>
    <row r="437" spans="1:66" ht="1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68"/>
      <c r="AG437" s="68"/>
      <c r="AH437" s="68"/>
      <c r="AI437" s="68"/>
      <c r="AJ437" s="68"/>
      <c r="AK437" s="68"/>
      <c r="AL437" s="68"/>
      <c r="AM437" s="68"/>
      <c r="AN437" s="68"/>
      <c r="AO437" s="68"/>
      <c r="AP437" s="68"/>
      <c r="AQ437" s="68"/>
      <c r="AR437" s="68"/>
      <c r="AS437" s="68"/>
      <c r="AT437" s="68"/>
      <c r="AU437" s="68"/>
      <c r="AV437" s="68"/>
      <c r="AW437" s="68"/>
      <c r="AX437" s="68"/>
      <c r="AY437" s="68"/>
      <c r="AZ437" s="68"/>
      <c r="BA437" s="68"/>
      <c r="BB437" s="68"/>
      <c r="BC437" s="68"/>
      <c r="BD437" s="68"/>
      <c r="BE437" s="68"/>
      <c r="BF437" s="68"/>
      <c r="BG437" s="68"/>
      <c r="BH437" s="68"/>
      <c r="BI437" s="68"/>
      <c r="BJ437" s="68"/>
      <c r="BK437" s="68"/>
      <c r="BL437" s="68"/>
      <c r="BM437" s="68"/>
      <c r="BN437" s="68"/>
    </row>
    <row r="438" spans="1:66" ht="17">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68"/>
      <c r="AG438" s="68"/>
      <c r="AH438" s="68"/>
      <c r="AI438" s="68"/>
      <c r="AJ438" s="68"/>
      <c r="AK438" s="68"/>
      <c r="AL438" s="68"/>
      <c r="AM438" s="68"/>
      <c r="AN438" s="68"/>
      <c r="AO438" s="68"/>
      <c r="AP438" s="68"/>
      <c r="AQ438" s="68"/>
      <c r="AR438" s="68"/>
      <c r="AS438" s="68"/>
      <c r="AT438" s="68"/>
      <c r="AU438" s="68"/>
      <c r="AV438" s="68"/>
      <c r="AW438" s="68"/>
      <c r="AX438" s="68"/>
      <c r="AY438" s="68"/>
      <c r="AZ438" s="68"/>
      <c r="BA438" s="68"/>
      <c r="BB438" s="68"/>
      <c r="BC438" s="68"/>
      <c r="BD438" s="68"/>
      <c r="BE438" s="68"/>
      <c r="BF438" s="68"/>
      <c r="BG438" s="68"/>
      <c r="BH438" s="68"/>
      <c r="BI438" s="68"/>
      <c r="BJ438" s="68"/>
      <c r="BK438" s="68"/>
      <c r="BL438" s="68"/>
      <c r="BM438" s="68"/>
      <c r="BN438" s="68"/>
    </row>
    <row r="439" spans="1:66" ht="17">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68"/>
      <c r="AG439" s="68"/>
      <c r="AH439" s="68"/>
      <c r="AI439" s="68"/>
      <c r="AJ439" s="68"/>
      <c r="AK439" s="68"/>
      <c r="AL439" s="68"/>
      <c r="AM439" s="68"/>
      <c r="AN439" s="68"/>
      <c r="AO439" s="68"/>
      <c r="AP439" s="68"/>
      <c r="AQ439" s="68"/>
      <c r="AR439" s="68"/>
      <c r="AS439" s="68"/>
      <c r="AT439" s="68"/>
      <c r="AU439" s="68"/>
      <c r="AV439" s="68"/>
      <c r="AW439" s="68"/>
      <c r="AX439" s="68"/>
      <c r="AY439" s="68"/>
      <c r="AZ439" s="68"/>
      <c r="BA439" s="68"/>
      <c r="BB439" s="68"/>
      <c r="BC439" s="68"/>
      <c r="BD439" s="68"/>
      <c r="BE439" s="68"/>
      <c r="BF439" s="68"/>
      <c r="BG439" s="68"/>
      <c r="BH439" s="68"/>
      <c r="BI439" s="68"/>
      <c r="BJ439" s="68"/>
      <c r="BK439" s="68"/>
      <c r="BL439" s="68"/>
      <c r="BM439" s="68"/>
      <c r="BN439" s="68"/>
    </row>
    <row r="440" spans="1:66" ht="17">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68"/>
      <c r="AG440" s="68"/>
      <c r="AH440" s="68"/>
      <c r="AI440" s="68"/>
      <c r="AJ440" s="68"/>
      <c r="AK440" s="68"/>
      <c r="AL440" s="68"/>
      <c r="AM440" s="68"/>
      <c r="AN440" s="68"/>
      <c r="AO440" s="68"/>
      <c r="AP440" s="68"/>
      <c r="AQ440" s="68"/>
      <c r="AR440" s="68"/>
      <c r="AS440" s="68"/>
      <c r="AT440" s="68"/>
      <c r="AU440" s="68"/>
      <c r="AV440" s="68"/>
      <c r="AW440" s="68"/>
      <c r="AX440" s="68"/>
      <c r="AY440" s="68"/>
      <c r="AZ440" s="68"/>
      <c r="BA440" s="68"/>
      <c r="BB440" s="68"/>
      <c r="BC440" s="68"/>
      <c r="BD440" s="68"/>
      <c r="BE440" s="68"/>
      <c r="BF440" s="68"/>
      <c r="BG440" s="68"/>
      <c r="BH440" s="68"/>
      <c r="BI440" s="68"/>
      <c r="BJ440" s="68"/>
      <c r="BK440" s="68"/>
      <c r="BL440" s="68"/>
      <c r="BM440" s="68"/>
      <c r="BN440" s="68"/>
    </row>
    <row r="441" spans="1:66" ht="17">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68"/>
      <c r="AG441" s="68"/>
      <c r="AH441" s="68"/>
      <c r="AI441" s="68"/>
      <c r="AJ441" s="68"/>
      <c r="AK441" s="68"/>
      <c r="AL441" s="68"/>
      <c r="AM441" s="68"/>
      <c r="AN441" s="68"/>
      <c r="AO441" s="68"/>
      <c r="AP441" s="68"/>
      <c r="AQ441" s="68"/>
      <c r="AR441" s="68"/>
      <c r="AS441" s="68"/>
      <c r="AT441" s="68"/>
      <c r="AU441" s="68"/>
      <c r="AV441" s="68"/>
      <c r="AW441" s="68"/>
      <c r="AX441" s="68"/>
      <c r="AY441" s="68"/>
      <c r="AZ441" s="68"/>
      <c r="BA441" s="68"/>
      <c r="BB441" s="68"/>
      <c r="BC441" s="68"/>
      <c r="BD441" s="68"/>
      <c r="BE441" s="68"/>
      <c r="BF441" s="68"/>
      <c r="BG441" s="68"/>
      <c r="BH441" s="68"/>
      <c r="BI441" s="68"/>
      <c r="BJ441" s="68"/>
      <c r="BK441" s="68"/>
      <c r="BL441" s="68"/>
      <c r="BM441" s="68"/>
      <c r="BN441" s="68"/>
    </row>
    <row r="442" spans="1:66" ht="17">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68"/>
      <c r="AG442" s="68"/>
      <c r="AH442" s="68"/>
      <c r="AI442" s="68"/>
      <c r="AJ442" s="68"/>
      <c r="AK442" s="68"/>
      <c r="AL442" s="68"/>
      <c r="AM442" s="68"/>
      <c r="AN442" s="68"/>
      <c r="AO442" s="68"/>
      <c r="AP442" s="68"/>
      <c r="AQ442" s="68"/>
      <c r="AR442" s="68"/>
      <c r="AS442" s="68"/>
      <c r="AT442" s="68"/>
      <c r="AU442" s="68"/>
      <c r="AV442" s="68"/>
      <c r="AW442" s="68"/>
      <c r="AX442" s="68"/>
      <c r="AY442" s="68"/>
      <c r="AZ442" s="68"/>
      <c r="BA442" s="68"/>
      <c r="BB442" s="68"/>
      <c r="BC442" s="68"/>
      <c r="BD442" s="68"/>
      <c r="BE442" s="68"/>
      <c r="BF442" s="68"/>
      <c r="BG442" s="68"/>
      <c r="BH442" s="68"/>
      <c r="BI442" s="68"/>
      <c r="BJ442" s="68"/>
      <c r="BK442" s="68"/>
      <c r="BL442" s="68"/>
      <c r="BM442" s="68"/>
      <c r="BN442" s="68"/>
    </row>
    <row r="443" spans="1:66" ht="17">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68"/>
      <c r="AG443" s="68"/>
      <c r="AH443" s="68"/>
      <c r="AI443" s="68"/>
      <c r="AJ443" s="68"/>
      <c r="AK443" s="68"/>
      <c r="AL443" s="68"/>
      <c r="AM443" s="68"/>
      <c r="AN443" s="68"/>
      <c r="AO443" s="68"/>
      <c r="AP443" s="68"/>
      <c r="AQ443" s="68"/>
      <c r="AR443" s="68"/>
      <c r="AS443" s="68"/>
      <c r="AT443" s="68"/>
      <c r="AU443" s="68"/>
      <c r="AV443" s="68"/>
      <c r="AW443" s="68"/>
      <c r="AX443" s="68"/>
      <c r="AY443" s="68"/>
      <c r="AZ443" s="68"/>
      <c r="BA443" s="68"/>
      <c r="BB443" s="68"/>
      <c r="BC443" s="68"/>
      <c r="BD443" s="68"/>
      <c r="BE443" s="68"/>
      <c r="BF443" s="68"/>
      <c r="BG443" s="68"/>
      <c r="BH443" s="68"/>
      <c r="BI443" s="68"/>
      <c r="BJ443" s="68"/>
      <c r="BK443" s="68"/>
      <c r="BL443" s="68"/>
      <c r="BM443" s="68"/>
      <c r="BN443" s="68"/>
    </row>
    <row r="444" spans="1:66" ht="17">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68"/>
      <c r="AG444" s="68"/>
      <c r="AH444" s="68"/>
      <c r="AI444" s="68"/>
      <c r="AJ444" s="68"/>
      <c r="AK444" s="68"/>
      <c r="AL444" s="68"/>
      <c r="AM444" s="68"/>
      <c r="AN444" s="68"/>
      <c r="AO444" s="68"/>
      <c r="AP444" s="68"/>
      <c r="AQ444" s="68"/>
      <c r="AR444" s="68"/>
      <c r="AS444" s="68"/>
      <c r="AT444" s="68"/>
      <c r="AU444" s="68"/>
      <c r="AV444" s="68"/>
      <c r="AW444" s="68"/>
      <c r="AX444" s="68"/>
      <c r="AY444" s="68"/>
      <c r="AZ444" s="68"/>
      <c r="BA444" s="68"/>
      <c r="BB444" s="68"/>
      <c r="BC444" s="68"/>
      <c r="BD444" s="68"/>
      <c r="BE444" s="68"/>
      <c r="BF444" s="68"/>
      <c r="BG444" s="68"/>
      <c r="BH444" s="68"/>
      <c r="BI444" s="68"/>
      <c r="BJ444" s="68"/>
      <c r="BK444" s="68"/>
      <c r="BL444" s="68"/>
      <c r="BM444" s="68"/>
      <c r="BN444" s="68"/>
    </row>
    <row r="445" spans="1:66" ht="17">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68"/>
      <c r="AG445" s="68"/>
      <c r="AH445" s="68"/>
      <c r="AI445" s="68"/>
      <c r="AJ445" s="68"/>
      <c r="AK445" s="68"/>
      <c r="AL445" s="68"/>
      <c r="AM445" s="68"/>
      <c r="AN445" s="68"/>
      <c r="AO445" s="68"/>
      <c r="AP445" s="68"/>
      <c r="AQ445" s="68"/>
      <c r="AR445" s="68"/>
      <c r="AS445" s="68"/>
      <c r="AT445" s="68"/>
      <c r="AU445" s="68"/>
      <c r="AV445" s="68"/>
      <c r="AW445" s="68"/>
      <c r="AX445" s="68"/>
      <c r="AY445" s="68"/>
      <c r="AZ445" s="68"/>
      <c r="BA445" s="68"/>
      <c r="BB445" s="68"/>
      <c r="BC445" s="68"/>
      <c r="BD445" s="68"/>
      <c r="BE445" s="68"/>
      <c r="BF445" s="68"/>
      <c r="BG445" s="68"/>
      <c r="BH445" s="68"/>
      <c r="BI445" s="68"/>
      <c r="BJ445" s="68"/>
      <c r="BK445" s="68"/>
      <c r="BL445" s="68"/>
      <c r="BM445" s="68"/>
      <c r="BN445" s="68"/>
    </row>
    <row r="446" spans="1:66" ht="17">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68"/>
      <c r="AG446" s="68"/>
      <c r="AH446" s="68"/>
      <c r="AI446" s="68"/>
      <c r="AJ446" s="68"/>
      <c r="AK446" s="68"/>
      <c r="AL446" s="68"/>
      <c r="AM446" s="68"/>
      <c r="AN446" s="68"/>
      <c r="AO446" s="68"/>
      <c r="AP446" s="68"/>
      <c r="AQ446" s="68"/>
      <c r="AR446" s="68"/>
      <c r="AS446" s="68"/>
      <c r="AT446" s="68"/>
      <c r="AU446" s="68"/>
      <c r="AV446" s="68"/>
      <c r="AW446" s="68"/>
      <c r="AX446" s="68"/>
      <c r="AY446" s="68"/>
      <c r="AZ446" s="68"/>
      <c r="BA446" s="68"/>
      <c r="BB446" s="68"/>
      <c r="BC446" s="68"/>
      <c r="BD446" s="68"/>
      <c r="BE446" s="68"/>
      <c r="BF446" s="68"/>
      <c r="BG446" s="68"/>
      <c r="BH446" s="68"/>
      <c r="BI446" s="68"/>
      <c r="BJ446" s="68"/>
      <c r="BK446" s="68"/>
      <c r="BL446" s="68"/>
      <c r="BM446" s="68"/>
      <c r="BN446" s="68"/>
    </row>
    <row r="447" spans="1:66" ht="1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68"/>
      <c r="AG447" s="68"/>
      <c r="AH447" s="68"/>
      <c r="AI447" s="68"/>
      <c r="AJ447" s="68"/>
      <c r="AK447" s="68"/>
      <c r="AL447" s="68"/>
      <c r="AM447" s="68"/>
      <c r="AN447" s="68"/>
      <c r="AO447" s="68"/>
      <c r="AP447" s="68"/>
      <c r="AQ447" s="68"/>
      <c r="AR447" s="68"/>
      <c r="AS447" s="68"/>
      <c r="AT447" s="68"/>
      <c r="AU447" s="68"/>
      <c r="AV447" s="68"/>
      <c r="AW447" s="68"/>
      <c r="AX447" s="68"/>
      <c r="AY447" s="68"/>
      <c r="AZ447" s="68"/>
      <c r="BA447" s="68"/>
      <c r="BB447" s="68"/>
      <c r="BC447" s="68"/>
      <c r="BD447" s="68"/>
      <c r="BE447" s="68"/>
      <c r="BF447" s="68"/>
      <c r="BG447" s="68"/>
      <c r="BH447" s="68"/>
      <c r="BI447" s="68"/>
      <c r="BJ447" s="68"/>
      <c r="BK447" s="68"/>
      <c r="BL447" s="68"/>
      <c r="BM447" s="68"/>
      <c r="BN447" s="68"/>
    </row>
    <row r="448" spans="1:66" ht="17">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68"/>
      <c r="AG448" s="68"/>
      <c r="AH448" s="68"/>
      <c r="AI448" s="68"/>
      <c r="AJ448" s="68"/>
      <c r="AK448" s="68"/>
      <c r="AL448" s="68"/>
      <c r="AM448" s="68"/>
      <c r="AN448" s="68"/>
      <c r="AO448" s="68"/>
      <c r="AP448" s="68"/>
      <c r="AQ448" s="68"/>
      <c r="AR448" s="68"/>
      <c r="AS448" s="68"/>
      <c r="AT448" s="68"/>
      <c r="AU448" s="68"/>
      <c r="AV448" s="68"/>
      <c r="AW448" s="68"/>
      <c r="AX448" s="68"/>
      <c r="AY448" s="68"/>
      <c r="AZ448" s="68"/>
      <c r="BA448" s="68"/>
      <c r="BB448" s="68"/>
      <c r="BC448" s="68"/>
      <c r="BD448" s="68"/>
      <c r="BE448" s="68"/>
      <c r="BF448" s="68"/>
      <c r="BG448" s="68"/>
      <c r="BH448" s="68"/>
      <c r="BI448" s="68"/>
      <c r="BJ448" s="68"/>
      <c r="BK448" s="68"/>
      <c r="BL448" s="68"/>
      <c r="BM448" s="68"/>
      <c r="BN448" s="68"/>
    </row>
    <row r="449" spans="1:66" ht="17">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68"/>
      <c r="AG449" s="68"/>
      <c r="AH449" s="68"/>
      <c r="AI449" s="68"/>
      <c r="AJ449" s="68"/>
      <c r="AK449" s="68"/>
      <c r="AL449" s="68"/>
      <c r="AM449" s="68"/>
      <c r="AN449" s="68"/>
      <c r="AO449" s="68"/>
      <c r="AP449" s="68"/>
      <c r="AQ449" s="68"/>
      <c r="AR449" s="68"/>
      <c r="AS449" s="68"/>
      <c r="AT449" s="68"/>
      <c r="AU449" s="68"/>
      <c r="AV449" s="68"/>
      <c r="AW449" s="68"/>
      <c r="AX449" s="68"/>
      <c r="AY449" s="68"/>
      <c r="AZ449" s="68"/>
      <c r="BA449" s="68"/>
      <c r="BB449" s="68"/>
      <c r="BC449" s="68"/>
      <c r="BD449" s="68"/>
      <c r="BE449" s="68"/>
      <c r="BF449" s="68"/>
      <c r="BG449" s="68"/>
      <c r="BH449" s="68"/>
      <c r="BI449" s="68"/>
      <c r="BJ449" s="68"/>
      <c r="BK449" s="68"/>
      <c r="BL449" s="68"/>
      <c r="BM449" s="68"/>
      <c r="BN449" s="68"/>
    </row>
    <row r="450" spans="1:66" ht="17">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68"/>
      <c r="AG450" s="68"/>
      <c r="AH450" s="68"/>
      <c r="AI450" s="68"/>
      <c r="AJ450" s="68"/>
      <c r="AK450" s="68"/>
      <c r="AL450" s="68"/>
      <c r="AM450" s="68"/>
      <c r="AN450" s="68"/>
      <c r="AO450" s="68"/>
      <c r="AP450" s="68"/>
      <c r="AQ450" s="68"/>
      <c r="AR450" s="68"/>
      <c r="AS450" s="68"/>
      <c r="AT450" s="68"/>
      <c r="AU450" s="68"/>
      <c r="AV450" s="68"/>
      <c r="AW450" s="68"/>
      <c r="AX450" s="68"/>
      <c r="AY450" s="68"/>
      <c r="AZ450" s="68"/>
      <c r="BA450" s="68"/>
      <c r="BB450" s="68"/>
      <c r="BC450" s="68"/>
      <c r="BD450" s="68"/>
      <c r="BE450" s="68"/>
      <c r="BF450" s="68"/>
      <c r="BG450" s="68"/>
      <c r="BH450" s="68"/>
      <c r="BI450" s="68"/>
      <c r="BJ450" s="68"/>
      <c r="BK450" s="68"/>
      <c r="BL450" s="68"/>
      <c r="BM450" s="68"/>
      <c r="BN450" s="68"/>
    </row>
    <row r="451" spans="1:66" ht="17">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68"/>
      <c r="AG451" s="68"/>
      <c r="AH451" s="68"/>
      <c r="AI451" s="68"/>
      <c r="AJ451" s="68"/>
      <c r="AK451" s="68"/>
      <c r="AL451" s="68"/>
      <c r="AM451" s="68"/>
      <c r="AN451" s="68"/>
      <c r="AO451" s="68"/>
      <c r="AP451" s="68"/>
      <c r="AQ451" s="68"/>
      <c r="AR451" s="68"/>
      <c r="AS451" s="68"/>
      <c r="AT451" s="68"/>
      <c r="AU451" s="68"/>
      <c r="AV451" s="68"/>
      <c r="AW451" s="68"/>
      <c r="AX451" s="68"/>
      <c r="AY451" s="68"/>
      <c r="AZ451" s="68"/>
      <c r="BA451" s="68"/>
      <c r="BB451" s="68"/>
      <c r="BC451" s="68"/>
      <c r="BD451" s="68"/>
      <c r="BE451" s="68"/>
      <c r="BF451" s="68"/>
      <c r="BG451" s="68"/>
      <c r="BH451" s="68"/>
      <c r="BI451" s="68"/>
      <c r="BJ451" s="68"/>
      <c r="BK451" s="68"/>
      <c r="BL451" s="68"/>
      <c r="BM451" s="68"/>
      <c r="BN451" s="68"/>
    </row>
    <row r="452" spans="1:66" ht="17">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68"/>
      <c r="AG452" s="68"/>
      <c r="AH452" s="68"/>
      <c r="AI452" s="68"/>
      <c r="AJ452" s="68"/>
      <c r="AK452" s="68"/>
      <c r="AL452" s="68"/>
      <c r="AM452" s="68"/>
      <c r="AN452" s="68"/>
      <c r="AO452" s="68"/>
      <c r="AP452" s="68"/>
      <c r="AQ452" s="68"/>
      <c r="AR452" s="68"/>
      <c r="AS452" s="68"/>
      <c r="AT452" s="68"/>
      <c r="AU452" s="68"/>
      <c r="AV452" s="68"/>
      <c r="AW452" s="68"/>
      <c r="AX452" s="68"/>
      <c r="AY452" s="68"/>
      <c r="AZ452" s="68"/>
      <c r="BA452" s="68"/>
      <c r="BB452" s="68"/>
      <c r="BC452" s="68"/>
      <c r="BD452" s="68"/>
      <c r="BE452" s="68"/>
      <c r="BF452" s="68"/>
      <c r="BG452" s="68"/>
      <c r="BH452" s="68"/>
      <c r="BI452" s="68"/>
      <c r="BJ452" s="68"/>
      <c r="BK452" s="68"/>
      <c r="BL452" s="68"/>
      <c r="BM452" s="68"/>
      <c r="BN452" s="68"/>
    </row>
    <row r="453" spans="1:66" ht="17">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68"/>
      <c r="AG453" s="68"/>
      <c r="AH453" s="68"/>
      <c r="AI453" s="68"/>
      <c r="AJ453" s="68"/>
      <c r="AK453" s="68"/>
      <c r="AL453" s="68"/>
      <c r="AM453" s="68"/>
      <c r="AN453" s="68"/>
      <c r="AO453" s="68"/>
      <c r="AP453" s="68"/>
      <c r="AQ453" s="68"/>
      <c r="AR453" s="68"/>
      <c r="AS453" s="68"/>
      <c r="AT453" s="68"/>
      <c r="AU453" s="68"/>
      <c r="AV453" s="68"/>
      <c r="AW453" s="68"/>
      <c r="AX453" s="68"/>
      <c r="AY453" s="68"/>
      <c r="AZ453" s="68"/>
      <c r="BA453" s="68"/>
      <c r="BB453" s="68"/>
      <c r="BC453" s="68"/>
      <c r="BD453" s="68"/>
      <c r="BE453" s="68"/>
      <c r="BF453" s="68"/>
      <c r="BG453" s="68"/>
      <c r="BH453" s="68"/>
      <c r="BI453" s="68"/>
      <c r="BJ453" s="68"/>
      <c r="BK453" s="68"/>
      <c r="BL453" s="68"/>
      <c r="BM453" s="68"/>
      <c r="BN453" s="68"/>
    </row>
    <row r="454" spans="1:66" ht="17">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68"/>
      <c r="AG454" s="68"/>
      <c r="AH454" s="68"/>
      <c r="AI454" s="68"/>
      <c r="AJ454" s="68"/>
      <c r="AK454" s="68"/>
      <c r="AL454" s="68"/>
      <c r="AM454" s="68"/>
      <c r="AN454" s="68"/>
      <c r="AO454" s="68"/>
      <c r="AP454" s="68"/>
      <c r="AQ454" s="68"/>
      <c r="AR454" s="68"/>
      <c r="AS454" s="68"/>
      <c r="AT454" s="68"/>
      <c r="AU454" s="68"/>
      <c r="AV454" s="68"/>
      <c r="AW454" s="68"/>
      <c r="AX454" s="68"/>
      <c r="AY454" s="68"/>
      <c r="AZ454" s="68"/>
      <c r="BA454" s="68"/>
      <c r="BB454" s="68"/>
      <c r="BC454" s="68"/>
      <c r="BD454" s="68"/>
      <c r="BE454" s="68"/>
      <c r="BF454" s="68"/>
      <c r="BG454" s="68"/>
      <c r="BH454" s="68"/>
      <c r="BI454" s="68"/>
      <c r="BJ454" s="68"/>
      <c r="BK454" s="68"/>
      <c r="BL454" s="68"/>
      <c r="BM454" s="68"/>
      <c r="BN454" s="68"/>
    </row>
    <row r="455" spans="1:66" ht="17">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68"/>
      <c r="AG455" s="68"/>
      <c r="AH455" s="68"/>
      <c r="AI455" s="68"/>
      <c r="AJ455" s="68"/>
      <c r="AK455" s="68"/>
      <c r="AL455" s="68"/>
      <c r="AM455" s="68"/>
      <c r="AN455" s="68"/>
      <c r="AO455" s="68"/>
      <c r="AP455" s="68"/>
      <c r="AQ455" s="68"/>
      <c r="AR455" s="68"/>
      <c r="AS455" s="68"/>
      <c r="AT455" s="68"/>
      <c r="AU455" s="68"/>
      <c r="AV455" s="68"/>
      <c r="AW455" s="68"/>
      <c r="AX455" s="68"/>
      <c r="AY455" s="68"/>
      <c r="AZ455" s="68"/>
      <c r="BA455" s="68"/>
      <c r="BB455" s="68"/>
      <c r="BC455" s="68"/>
      <c r="BD455" s="68"/>
      <c r="BE455" s="68"/>
      <c r="BF455" s="68"/>
      <c r="BG455" s="68"/>
      <c r="BH455" s="68"/>
      <c r="BI455" s="68"/>
      <c r="BJ455" s="68"/>
      <c r="BK455" s="68"/>
      <c r="BL455" s="68"/>
      <c r="BM455" s="68"/>
      <c r="BN455" s="68"/>
    </row>
    <row r="456" spans="1:66" ht="17">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68"/>
      <c r="AG456" s="68"/>
      <c r="AH456" s="68"/>
      <c r="AI456" s="68"/>
      <c r="AJ456" s="68"/>
      <c r="AK456" s="68"/>
      <c r="AL456" s="68"/>
      <c r="AM456" s="68"/>
      <c r="AN456" s="68"/>
      <c r="AO456" s="68"/>
      <c r="AP456" s="68"/>
      <c r="AQ456" s="68"/>
      <c r="AR456" s="68"/>
      <c r="AS456" s="68"/>
      <c r="AT456" s="68"/>
      <c r="AU456" s="68"/>
      <c r="AV456" s="68"/>
      <c r="AW456" s="68"/>
      <c r="AX456" s="68"/>
      <c r="AY456" s="68"/>
      <c r="AZ456" s="68"/>
      <c r="BA456" s="68"/>
      <c r="BB456" s="68"/>
      <c r="BC456" s="68"/>
      <c r="BD456" s="68"/>
      <c r="BE456" s="68"/>
      <c r="BF456" s="68"/>
      <c r="BG456" s="68"/>
      <c r="BH456" s="68"/>
      <c r="BI456" s="68"/>
      <c r="BJ456" s="68"/>
      <c r="BK456" s="68"/>
      <c r="BL456" s="68"/>
      <c r="BM456" s="68"/>
      <c r="BN456" s="68"/>
    </row>
    <row r="457" spans="1:66" ht="1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68"/>
      <c r="AG457" s="68"/>
      <c r="AH457" s="68"/>
      <c r="AI457" s="68"/>
      <c r="AJ457" s="68"/>
      <c r="AK457" s="68"/>
      <c r="AL457" s="68"/>
      <c r="AM457" s="68"/>
      <c r="AN457" s="68"/>
      <c r="AO457" s="68"/>
      <c r="AP457" s="68"/>
      <c r="AQ457" s="68"/>
      <c r="AR457" s="68"/>
      <c r="AS457" s="68"/>
      <c r="AT457" s="68"/>
      <c r="AU457" s="68"/>
      <c r="AV457" s="68"/>
      <c r="AW457" s="68"/>
      <c r="AX457" s="68"/>
      <c r="AY457" s="68"/>
      <c r="AZ457" s="68"/>
      <c r="BA457" s="68"/>
      <c r="BB457" s="68"/>
      <c r="BC457" s="68"/>
      <c r="BD457" s="68"/>
      <c r="BE457" s="68"/>
      <c r="BF457" s="68"/>
      <c r="BG457" s="68"/>
      <c r="BH457" s="68"/>
      <c r="BI457" s="68"/>
      <c r="BJ457" s="68"/>
      <c r="BK457" s="68"/>
      <c r="BL457" s="68"/>
      <c r="BM457" s="68"/>
      <c r="BN457" s="68"/>
    </row>
    <row r="458" spans="1:66" ht="17">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68"/>
      <c r="AG458" s="68"/>
      <c r="AH458" s="68"/>
      <c r="AI458" s="68"/>
      <c r="AJ458" s="68"/>
      <c r="AK458" s="68"/>
      <c r="AL458" s="68"/>
      <c r="AM458" s="68"/>
      <c r="AN458" s="68"/>
      <c r="AO458" s="68"/>
      <c r="AP458" s="68"/>
      <c r="AQ458" s="68"/>
      <c r="AR458" s="68"/>
      <c r="AS458" s="68"/>
      <c r="AT458" s="68"/>
      <c r="AU458" s="68"/>
      <c r="AV458" s="68"/>
      <c r="AW458" s="68"/>
      <c r="AX458" s="68"/>
      <c r="AY458" s="68"/>
      <c r="AZ458" s="68"/>
      <c r="BA458" s="68"/>
      <c r="BB458" s="68"/>
      <c r="BC458" s="68"/>
      <c r="BD458" s="68"/>
      <c r="BE458" s="68"/>
      <c r="BF458" s="68"/>
      <c r="BG458" s="68"/>
      <c r="BH458" s="68"/>
      <c r="BI458" s="68"/>
      <c r="BJ458" s="68"/>
      <c r="BK458" s="68"/>
      <c r="BL458" s="68"/>
      <c r="BM458" s="68"/>
      <c r="BN458" s="68"/>
    </row>
    <row r="459" spans="1:66" ht="17">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68"/>
      <c r="AG459" s="68"/>
      <c r="AH459" s="68"/>
      <c r="AI459" s="68"/>
      <c r="AJ459" s="68"/>
      <c r="AK459" s="68"/>
      <c r="AL459" s="68"/>
      <c r="AM459" s="68"/>
      <c r="AN459" s="68"/>
      <c r="AO459" s="68"/>
      <c r="AP459" s="68"/>
      <c r="AQ459" s="68"/>
      <c r="AR459" s="68"/>
      <c r="AS459" s="68"/>
      <c r="AT459" s="68"/>
      <c r="AU459" s="68"/>
      <c r="AV459" s="68"/>
      <c r="AW459" s="68"/>
      <c r="AX459" s="68"/>
      <c r="AY459" s="68"/>
      <c r="AZ459" s="68"/>
      <c r="BA459" s="68"/>
      <c r="BB459" s="68"/>
      <c r="BC459" s="68"/>
      <c r="BD459" s="68"/>
      <c r="BE459" s="68"/>
      <c r="BF459" s="68"/>
      <c r="BG459" s="68"/>
      <c r="BH459" s="68"/>
      <c r="BI459" s="68"/>
      <c r="BJ459" s="68"/>
      <c r="BK459" s="68"/>
      <c r="BL459" s="68"/>
      <c r="BM459" s="68"/>
      <c r="BN459" s="68"/>
    </row>
    <row r="460" spans="1:66" ht="17">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68"/>
      <c r="AG460" s="68"/>
      <c r="AH460" s="68"/>
      <c r="AI460" s="68"/>
      <c r="AJ460" s="68"/>
      <c r="AK460" s="68"/>
      <c r="AL460" s="68"/>
      <c r="AM460" s="68"/>
      <c r="AN460" s="68"/>
      <c r="AO460" s="68"/>
      <c r="AP460" s="68"/>
      <c r="AQ460" s="68"/>
      <c r="AR460" s="68"/>
      <c r="AS460" s="68"/>
      <c r="AT460" s="68"/>
      <c r="AU460" s="68"/>
      <c r="AV460" s="68"/>
      <c r="AW460" s="68"/>
      <c r="AX460" s="68"/>
      <c r="AY460" s="68"/>
      <c r="AZ460" s="68"/>
      <c r="BA460" s="68"/>
      <c r="BB460" s="68"/>
      <c r="BC460" s="68"/>
      <c r="BD460" s="68"/>
      <c r="BE460" s="68"/>
      <c r="BF460" s="68"/>
      <c r="BG460" s="68"/>
      <c r="BH460" s="68"/>
      <c r="BI460" s="68"/>
      <c r="BJ460" s="68"/>
      <c r="BK460" s="68"/>
      <c r="BL460" s="68"/>
      <c r="BM460" s="68"/>
      <c r="BN460" s="68"/>
    </row>
    <row r="461" spans="1:66" ht="17">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68"/>
      <c r="AG461" s="68"/>
      <c r="AH461" s="68"/>
      <c r="AI461" s="68"/>
      <c r="AJ461" s="68"/>
      <c r="AK461" s="68"/>
      <c r="AL461" s="68"/>
      <c r="AM461" s="68"/>
      <c r="AN461" s="68"/>
      <c r="AO461" s="68"/>
      <c r="AP461" s="68"/>
      <c r="AQ461" s="68"/>
      <c r="AR461" s="68"/>
      <c r="AS461" s="68"/>
      <c r="AT461" s="68"/>
      <c r="AU461" s="68"/>
      <c r="AV461" s="68"/>
      <c r="AW461" s="68"/>
      <c r="AX461" s="68"/>
      <c r="AY461" s="68"/>
      <c r="AZ461" s="68"/>
      <c r="BA461" s="68"/>
      <c r="BB461" s="68"/>
      <c r="BC461" s="68"/>
      <c r="BD461" s="68"/>
      <c r="BE461" s="68"/>
      <c r="BF461" s="68"/>
      <c r="BG461" s="68"/>
      <c r="BH461" s="68"/>
      <c r="BI461" s="68"/>
      <c r="BJ461" s="68"/>
      <c r="BK461" s="68"/>
      <c r="BL461" s="68"/>
      <c r="BM461" s="68"/>
      <c r="BN461" s="68"/>
    </row>
    <row r="462" spans="1:66" ht="17">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68"/>
      <c r="AG462" s="68"/>
      <c r="AH462" s="68"/>
      <c r="AI462" s="68"/>
      <c r="AJ462" s="68"/>
      <c r="AK462" s="68"/>
      <c r="AL462" s="68"/>
      <c r="AM462" s="68"/>
      <c r="AN462" s="68"/>
      <c r="AO462" s="68"/>
      <c r="AP462" s="68"/>
      <c r="AQ462" s="68"/>
      <c r="AR462" s="68"/>
      <c r="AS462" s="68"/>
      <c r="AT462" s="68"/>
      <c r="AU462" s="68"/>
      <c r="AV462" s="68"/>
      <c r="AW462" s="68"/>
      <c r="AX462" s="68"/>
      <c r="AY462" s="68"/>
      <c r="AZ462" s="68"/>
      <c r="BA462" s="68"/>
      <c r="BB462" s="68"/>
      <c r="BC462" s="68"/>
      <c r="BD462" s="68"/>
      <c r="BE462" s="68"/>
      <c r="BF462" s="68"/>
      <c r="BG462" s="68"/>
      <c r="BH462" s="68"/>
      <c r="BI462" s="68"/>
      <c r="BJ462" s="68"/>
      <c r="BK462" s="68"/>
      <c r="BL462" s="68"/>
      <c r="BM462" s="68"/>
      <c r="BN462" s="68"/>
    </row>
    <row r="463" spans="1:66" ht="17">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68"/>
      <c r="AG463" s="68"/>
      <c r="AH463" s="68"/>
      <c r="AI463" s="68"/>
      <c r="AJ463" s="68"/>
      <c r="AK463" s="68"/>
      <c r="AL463" s="68"/>
      <c r="AM463" s="68"/>
      <c r="AN463" s="68"/>
      <c r="AO463" s="68"/>
      <c r="AP463" s="68"/>
      <c r="AQ463" s="68"/>
      <c r="AR463" s="68"/>
      <c r="AS463" s="68"/>
      <c r="AT463" s="68"/>
      <c r="AU463" s="68"/>
      <c r="AV463" s="68"/>
      <c r="AW463" s="68"/>
      <c r="AX463" s="68"/>
      <c r="AY463" s="68"/>
      <c r="AZ463" s="68"/>
      <c r="BA463" s="68"/>
      <c r="BB463" s="68"/>
      <c r="BC463" s="68"/>
      <c r="BD463" s="68"/>
      <c r="BE463" s="68"/>
      <c r="BF463" s="68"/>
      <c r="BG463" s="68"/>
      <c r="BH463" s="68"/>
      <c r="BI463" s="68"/>
      <c r="BJ463" s="68"/>
      <c r="BK463" s="68"/>
      <c r="BL463" s="68"/>
      <c r="BM463" s="68"/>
      <c r="BN463" s="68"/>
    </row>
    <row r="464" spans="1:66" ht="17">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68"/>
      <c r="AG464" s="68"/>
      <c r="AH464" s="68"/>
      <c r="AI464" s="68"/>
      <c r="AJ464" s="68"/>
      <c r="AK464" s="68"/>
      <c r="AL464" s="68"/>
      <c r="AM464" s="68"/>
      <c r="AN464" s="68"/>
      <c r="AO464" s="68"/>
      <c r="AP464" s="68"/>
      <c r="AQ464" s="68"/>
      <c r="AR464" s="68"/>
      <c r="AS464" s="68"/>
      <c r="AT464" s="68"/>
      <c r="AU464" s="68"/>
      <c r="AV464" s="68"/>
      <c r="AW464" s="68"/>
      <c r="AX464" s="68"/>
      <c r="AY464" s="68"/>
      <c r="AZ464" s="68"/>
      <c r="BA464" s="68"/>
      <c r="BB464" s="68"/>
      <c r="BC464" s="68"/>
      <c r="BD464" s="68"/>
      <c r="BE464" s="68"/>
      <c r="BF464" s="68"/>
      <c r="BG464" s="68"/>
      <c r="BH464" s="68"/>
      <c r="BI464" s="68"/>
      <c r="BJ464" s="68"/>
      <c r="BK464" s="68"/>
      <c r="BL464" s="68"/>
      <c r="BM464" s="68"/>
      <c r="BN464" s="68"/>
    </row>
    <row r="465" spans="1:66" ht="17">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68"/>
      <c r="AG465" s="68"/>
      <c r="AH465" s="68"/>
      <c r="AI465" s="68"/>
      <c r="AJ465" s="68"/>
      <c r="AK465" s="68"/>
      <c r="AL465" s="68"/>
      <c r="AM465" s="68"/>
      <c r="AN465" s="68"/>
      <c r="AO465" s="68"/>
      <c r="AP465" s="68"/>
      <c r="AQ465" s="68"/>
      <c r="AR465" s="68"/>
      <c r="AS465" s="68"/>
      <c r="AT465" s="68"/>
      <c r="AU465" s="68"/>
      <c r="AV465" s="68"/>
      <c r="AW465" s="68"/>
      <c r="AX465" s="68"/>
      <c r="AY465" s="68"/>
      <c r="AZ465" s="68"/>
      <c r="BA465" s="68"/>
      <c r="BB465" s="68"/>
      <c r="BC465" s="68"/>
      <c r="BD465" s="68"/>
      <c r="BE465" s="68"/>
      <c r="BF465" s="68"/>
      <c r="BG465" s="68"/>
      <c r="BH465" s="68"/>
      <c r="BI465" s="68"/>
      <c r="BJ465" s="68"/>
      <c r="BK465" s="68"/>
      <c r="BL465" s="68"/>
      <c r="BM465" s="68"/>
      <c r="BN465" s="68"/>
    </row>
    <row r="466" spans="1:66" ht="17">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68"/>
      <c r="AG466" s="68"/>
      <c r="AH466" s="68"/>
      <c r="AI466" s="68"/>
      <c r="AJ466" s="68"/>
      <c r="AK466" s="68"/>
      <c r="AL466" s="68"/>
      <c r="AM466" s="68"/>
      <c r="AN466" s="68"/>
      <c r="AO466" s="68"/>
      <c r="AP466" s="68"/>
      <c r="AQ466" s="68"/>
      <c r="AR466" s="68"/>
      <c r="AS466" s="68"/>
      <c r="AT466" s="68"/>
      <c r="AU466" s="68"/>
      <c r="AV466" s="68"/>
      <c r="AW466" s="68"/>
      <c r="AX466" s="68"/>
      <c r="AY466" s="68"/>
      <c r="AZ466" s="68"/>
      <c r="BA466" s="68"/>
      <c r="BB466" s="68"/>
      <c r="BC466" s="68"/>
      <c r="BD466" s="68"/>
      <c r="BE466" s="68"/>
      <c r="BF466" s="68"/>
      <c r="BG466" s="68"/>
      <c r="BH466" s="68"/>
      <c r="BI466" s="68"/>
      <c r="BJ466" s="68"/>
      <c r="BK466" s="68"/>
      <c r="BL466" s="68"/>
      <c r="BM466" s="68"/>
      <c r="BN466" s="68"/>
    </row>
    <row r="467" spans="1:66" ht="1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68"/>
      <c r="AG467" s="68"/>
      <c r="AH467" s="68"/>
      <c r="AI467" s="68"/>
      <c r="AJ467" s="68"/>
      <c r="AK467" s="68"/>
      <c r="AL467" s="68"/>
      <c r="AM467" s="68"/>
      <c r="AN467" s="68"/>
      <c r="AO467" s="68"/>
      <c r="AP467" s="68"/>
      <c r="AQ467" s="68"/>
      <c r="AR467" s="68"/>
      <c r="AS467" s="68"/>
      <c r="AT467" s="68"/>
      <c r="AU467" s="68"/>
      <c r="AV467" s="68"/>
      <c r="AW467" s="68"/>
      <c r="AX467" s="68"/>
      <c r="AY467" s="68"/>
      <c r="AZ467" s="68"/>
      <c r="BA467" s="68"/>
      <c r="BB467" s="68"/>
      <c r="BC467" s="68"/>
      <c r="BD467" s="68"/>
      <c r="BE467" s="68"/>
      <c r="BF467" s="68"/>
      <c r="BG467" s="68"/>
      <c r="BH467" s="68"/>
      <c r="BI467" s="68"/>
      <c r="BJ467" s="68"/>
      <c r="BK467" s="68"/>
      <c r="BL467" s="68"/>
      <c r="BM467" s="68"/>
      <c r="BN467" s="68"/>
    </row>
    <row r="468" spans="1:66" ht="17">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68"/>
      <c r="AG468" s="68"/>
      <c r="AH468" s="68"/>
      <c r="AI468" s="68"/>
      <c r="AJ468" s="68"/>
      <c r="AK468" s="68"/>
      <c r="AL468" s="68"/>
      <c r="AM468" s="68"/>
      <c r="AN468" s="68"/>
      <c r="AO468" s="68"/>
      <c r="AP468" s="68"/>
      <c r="AQ468" s="68"/>
      <c r="AR468" s="68"/>
      <c r="AS468" s="68"/>
      <c r="AT468" s="68"/>
      <c r="AU468" s="68"/>
      <c r="AV468" s="68"/>
      <c r="AW468" s="68"/>
      <c r="AX468" s="68"/>
      <c r="AY468" s="68"/>
      <c r="AZ468" s="68"/>
      <c r="BA468" s="68"/>
      <c r="BB468" s="68"/>
      <c r="BC468" s="68"/>
      <c r="BD468" s="68"/>
      <c r="BE468" s="68"/>
      <c r="BF468" s="68"/>
      <c r="BG468" s="68"/>
      <c r="BH468" s="68"/>
      <c r="BI468" s="68"/>
      <c r="BJ468" s="68"/>
      <c r="BK468" s="68"/>
      <c r="BL468" s="68"/>
      <c r="BM468" s="68"/>
      <c r="BN468" s="68"/>
    </row>
    <row r="469" spans="1:66" ht="17">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68"/>
      <c r="AG469" s="68"/>
      <c r="AH469" s="68"/>
      <c r="AI469" s="68"/>
      <c r="AJ469" s="68"/>
      <c r="AK469" s="68"/>
      <c r="AL469" s="68"/>
      <c r="AM469" s="68"/>
      <c r="AN469" s="68"/>
      <c r="AO469" s="68"/>
      <c r="AP469" s="68"/>
      <c r="AQ469" s="68"/>
      <c r="AR469" s="68"/>
      <c r="AS469" s="68"/>
      <c r="AT469" s="68"/>
      <c r="AU469" s="68"/>
      <c r="AV469" s="68"/>
      <c r="AW469" s="68"/>
      <c r="AX469" s="68"/>
      <c r="AY469" s="68"/>
      <c r="AZ469" s="68"/>
      <c r="BA469" s="68"/>
      <c r="BB469" s="68"/>
      <c r="BC469" s="68"/>
      <c r="BD469" s="68"/>
      <c r="BE469" s="68"/>
      <c r="BF469" s="68"/>
      <c r="BG469" s="68"/>
      <c r="BH469" s="68"/>
      <c r="BI469" s="68"/>
      <c r="BJ469" s="68"/>
      <c r="BK469" s="68"/>
      <c r="BL469" s="68"/>
      <c r="BM469" s="68"/>
      <c r="BN469" s="68"/>
    </row>
    <row r="470" spans="1:66" ht="17">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68"/>
      <c r="AG470" s="68"/>
      <c r="AH470" s="68"/>
      <c r="AI470" s="68"/>
      <c r="AJ470" s="68"/>
      <c r="AK470" s="68"/>
      <c r="AL470" s="68"/>
      <c r="AM470" s="68"/>
      <c r="AN470" s="68"/>
      <c r="AO470" s="68"/>
      <c r="AP470" s="68"/>
      <c r="AQ470" s="68"/>
      <c r="AR470" s="68"/>
      <c r="AS470" s="68"/>
      <c r="AT470" s="68"/>
      <c r="AU470" s="68"/>
      <c r="AV470" s="68"/>
      <c r="AW470" s="68"/>
      <c r="AX470" s="68"/>
      <c r="AY470" s="68"/>
      <c r="AZ470" s="68"/>
      <c r="BA470" s="68"/>
      <c r="BB470" s="68"/>
      <c r="BC470" s="68"/>
      <c r="BD470" s="68"/>
      <c r="BE470" s="68"/>
      <c r="BF470" s="68"/>
      <c r="BG470" s="68"/>
      <c r="BH470" s="68"/>
      <c r="BI470" s="68"/>
      <c r="BJ470" s="68"/>
      <c r="BK470" s="68"/>
      <c r="BL470" s="68"/>
      <c r="BM470" s="68"/>
      <c r="BN470" s="68"/>
    </row>
    <row r="471" spans="1:66" ht="17">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68"/>
      <c r="AG471" s="68"/>
      <c r="AH471" s="68"/>
      <c r="AI471" s="68"/>
      <c r="AJ471" s="68"/>
      <c r="AK471" s="68"/>
      <c r="AL471" s="68"/>
      <c r="AM471" s="68"/>
      <c r="AN471" s="68"/>
      <c r="AO471" s="68"/>
      <c r="AP471" s="68"/>
      <c r="AQ471" s="68"/>
      <c r="AR471" s="68"/>
      <c r="AS471" s="68"/>
      <c r="AT471" s="68"/>
      <c r="AU471" s="68"/>
      <c r="AV471" s="68"/>
      <c r="AW471" s="68"/>
      <c r="AX471" s="68"/>
      <c r="AY471" s="68"/>
      <c r="AZ471" s="68"/>
      <c r="BA471" s="68"/>
      <c r="BB471" s="68"/>
      <c r="BC471" s="68"/>
      <c r="BD471" s="68"/>
      <c r="BE471" s="68"/>
      <c r="BF471" s="68"/>
      <c r="BG471" s="68"/>
      <c r="BH471" s="68"/>
      <c r="BI471" s="68"/>
      <c r="BJ471" s="68"/>
      <c r="BK471" s="68"/>
      <c r="BL471" s="68"/>
      <c r="BM471" s="68"/>
      <c r="BN471" s="68"/>
    </row>
    <row r="472" spans="1:66" ht="17">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68"/>
      <c r="AG472" s="68"/>
      <c r="AH472" s="68"/>
      <c r="AI472" s="68"/>
      <c r="AJ472" s="68"/>
      <c r="AK472" s="68"/>
      <c r="AL472" s="68"/>
      <c r="AM472" s="68"/>
      <c r="AN472" s="68"/>
      <c r="AO472" s="68"/>
      <c r="AP472" s="68"/>
      <c r="AQ472" s="68"/>
      <c r="AR472" s="68"/>
      <c r="AS472" s="68"/>
      <c r="AT472" s="68"/>
      <c r="AU472" s="68"/>
      <c r="AV472" s="68"/>
      <c r="AW472" s="68"/>
      <c r="AX472" s="68"/>
      <c r="AY472" s="68"/>
      <c r="AZ472" s="68"/>
      <c r="BA472" s="68"/>
      <c r="BB472" s="68"/>
      <c r="BC472" s="68"/>
      <c r="BD472" s="68"/>
      <c r="BE472" s="68"/>
      <c r="BF472" s="68"/>
      <c r="BG472" s="68"/>
      <c r="BH472" s="68"/>
      <c r="BI472" s="68"/>
      <c r="BJ472" s="68"/>
      <c r="BK472" s="68"/>
      <c r="BL472" s="68"/>
      <c r="BM472" s="68"/>
      <c r="BN472" s="68"/>
    </row>
    <row r="473" spans="1:66" ht="17">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68"/>
      <c r="AG473" s="68"/>
      <c r="AH473" s="68"/>
      <c r="AI473" s="68"/>
      <c r="AJ473" s="68"/>
      <c r="AK473" s="68"/>
      <c r="AL473" s="68"/>
      <c r="AM473" s="68"/>
      <c r="AN473" s="68"/>
      <c r="AO473" s="68"/>
      <c r="AP473" s="68"/>
      <c r="AQ473" s="68"/>
      <c r="AR473" s="68"/>
      <c r="AS473" s="68"/>
      <c r="AT473" s="68"/>
      <c r="AU473" s="68"/>
      <c r="AV473" s="68"/>
      <c r="AW473" s="68"/>
      <c r="AX473" s="68"/>
      <c r="AY473" s="68"/>
      <c r="AZ473" s="68"/>
      <c r="BA473" s="68"/>
      <c r="BB473" s="68"/>
      <c r="BC473" s="68"/>
      <c r="BD473" s="68"/>
      <c r="BE473" s="68"/>
      <c r="BF473" s="68"/>
      <c r="BG473" s="68"/>
      <c r="BH473" s="68"/>
      <c r="BI473" s="68"/>
      <c r="BJ473" s="68"/>
      <c r="BK473" s="68"/>
      <c r="BL473" s="68"/>
      <c r="BM473" s="68"/>
      <c r="BN473" s="68"/>
    </row>
    <row r="474" spans="1:66" ht="17">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68"/>
      <c r="AG474" s="68"/>
      <c r="AH474" s="68"/>
      <c r="AI474" s="68"/>
      <c r="AJ474" s="68"/>
      <c r="AK474" s="68"/>
      <c r="AL474" s="68"/>
      <c r="AM474" s="68"/>
      <c r="AN474" s="68"/>
      <c r="AO474" s="68"/>
      <c r="AP474" s="68"/>
      <c r="AQ474" s="68"/>
      <c r="AR474" s="68"/>
      <c r="AS474" s="68"/>
      <c r="AT474" s="68"/>
      <c r="AU474" s="68"/>
      <c r="AV474" s="68"/>
      <c r="AW474" s="68"/>
      <c r="AX474" s="68"/>
      <c r="AY474" s="68"/>
      <c r="AZ474" s="68"/>
      <c r="BA474" s="68"/>
      <c r="BB474" s="68"/>
      <c r="BC474" s="68"/>
      <c r="BD474" s="68"/>
      <c r="BE474" s="68"/>
      <c r="BF474" s="68"/>
      <c r="BG474" s="68"/>
      <c r="BH474" s="68"/>
      <c r="BI474" s="68"/>
      <c r="BJ474" s="68"/>
      <c r="BK474" s="68"/>
      <c r="BL474" s="68"/>
      <c r="BM474" s="68"/>
      <c r="BN474" s="68"/>
    </row>
    <row r="475" spans="1:66" ht="17">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68"/>
      <c r="AG475" s="68"/>
      <c r="AH475" s="68"/>
      <c r="AI475" s="68"/>
      <c r="AJ475" s="68"/>
      <c r="AK475" s="68"/>
      <c r="AL475" s="68"/>
      <c r="AM475" s="68"/>
      <c r="AN475" s="68"/>
      <c r="AO475" s="68"/>
      <c r="AP475" s="68"/>
      <c r="AQ475" s="68"/>
      <c r="AR475" s="68"/>
      <c r="AS475" s="68"/>
      <c r="AT475" s="68"/>
      <c r="AU475" s="68"/>
      <c r="AV475" s="68"/>
      <c r="AW475" s="68"/>
      <c r="AX475" s="68"/>
      <c r="AY475" s="68"/>
      <c r="AZ475" s="68"/>
      <c r="BA475" s="68"/>
      <c r="BB475" s="68"/>
      <c r="BC475" s="68"/>
      <c r="BD475" s="68"/>
      <c r="BE475" s="68"/>
      <c r="BF475" s="68"/>
      <c r="BG475" s="68"/>
      <c r="BH475" s="68"/>
      <c r="BI475" s="68"/>
      <c r="BJ475" s="68"/>
      <c r="BK475" s="68"/>
      <c r="BL475" s="68"/>
      <c r="BM475" s="68"/>
      <c r="BN475" s="68"/>
    </row>
    <row r="476" spans="1:66" ht="17">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68"/>
      <c r="AG476" s="68"/>
      <c r="AH476" s="68"/>
      <c r="AI476" s="68"/>
      <c r="AJ476" s="68"/>
      <c r="AK476" s="68"/>
      <c r="AL476" s="68"/>
      <c r="AM476" s="68"/>
      <c r="AN476" s="68"/>
      <c r="AO476" s="68"/>
      <c r="AP476" s="68"/>
      <c r="AQ476" s="68"/>
      <c r="AR476" s="68"/>
      <c r="AS476" s="68"/>
      <c r="AT476" s="68"/>
      <c r="AU476" s="68"/>
      <c r="AV476" s="68"/>
      <c r="AW476" s="68"/>
      <c r="AX476" s="68"/>
      <c r="AY476" s="68"/>
      <c r="AZ476" s="68"/>
      <c r="BA476" s="68"/>
      <c r="BB476" s="68"/>
      <c r="BC476" s="68"/>
      <c r="BD476" s="68"/>
      <c r="BE476" s="68"/>
      <c r="BF476" s="68"/>
      <c r="BG476" s="68"/>
      <c r="BH476" s="68"/>
      <c r="BI476" s="68"/>
      <c r="BJ476" s="68"/>
      <c r="BK476" s="68"/>
      <c r="BL476" s="68"/>
      <c r="BM476" s="68"/>
      <c r="BN476" s="68"/>
    </row>
    <row r="477" spans="1:66" ht="1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68"/>
      <c r="AG477" s="68"/>
      <c r="AH477" s="68"/>
      <c r="AI477" s="68"/>
      <c r="AJ477" s="68"/>
      <c r="AK477" s="68"/>
      <c r="AL477" s="68"/>
      <c r="AM477" s="68"/>
      <c r="AN477" s="68"/>
      <c r="AO477" s="68"/>
      <c r="AP477" s="68"/>
      <c r="AQ477" s="68"/>
      <c r="AR477" s="68"/>
      <c r="AS477" s="68"/>
      <c r="AT477" s="68"/>
      <c r="AU477" s="68"/>
      <c r="AV477" s="68"/>
      <c r="AW477" s="68"/>
      <c r="AX477" s="68"/>
      <c r="AY477" s="68"/>
      <c r="AZ477" s="68"/>
      <c r="BA477" s="68"/>
      <c r="BB477" s="68"/>
      <c r="BC477" s="68"/>
      <c r="BD477" s="68"/>
      <c r="BE477" s="68"/>
      <c r="BF477" s="68"/>
      <c r="BG477" s="68"/>
      <c r="BH477" s="68"/>
      <c r="BI477" s="68"/>
      <c r="BJ477" s="68"/>
      <c r="BK477" s="68"/>
      <c r="BL477" s="68"/>
      <c r="BM477" s="68"/>
      <c r="BN477" s="68"/>
    </row>
    <row r="478" spans="1:66" ht="17">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68"/>
      <c r="AG478" s="68"/>
      <c r="AH478" s="68"/>
      <c r="AI478" s="68"/>
      <c r="AJ478" s="68"/>
      <c r="AK478" s="68"/>
      <c r="AL478" s="68"/>
      <c r="AM478" s="68"/>
      <c r="AN478" s="68"/>
      <c r="AO478" s="68"/>
      <c r="AP478" s="68"/>
      <c r="AQ478" s="68"/>
      <c r="AR478" s="68"/>
      <c r="AS478" s="68"/>
      <c r="AT478" s="68"/>
      <c r="AU478" s="68"/>
      <c r="AV478" s="68"/>
      <c r="AW478" s="68"/>
      <c r="AX478" s="68"/>
      <c r="AY478" s="68"/>
      <c r="AZ478" s="68"/>
      <c r="BA478" s="68"/>
      <c r="BB478" s="68"/>
      <c r="BC478" s="68"/>
      <c r="BD478" s="68"/>
      <c r="BE478" s="68"/>
      <c r="BF478" s="68"/>
      <c r="BG478" s="68"/>
      <c r="BH478" s="68"/>
      <c r="BI478" s="68"/>
      <c r="BJ478" s="68"/>
      <c r="BK478" s="68"/>
      <c r="BL478" s="68"/>
      <c r="BM478" s="68"/>
      <c r="BN478" s="68"/>
    </row>
    <row r="479" spans="1:66" ht="17">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68"/>
      <c r="AG479" s="68"/>
      <c r="AH479" s="68"/>
      <c r="AI479" s="68"/>
      <c r="AJ479" s="68"/>
      <c r="AK479" s="68"/>
      <c r="AL479" s="68"/>
      <c r="AM479" s="68"/>
      <c r="AN479" s="68"/>
      <c r="AO479" s="68"/>
      <c r="AP479" s="68"/>
      <c r="AQ479" s="68"/>
      <c r="AR479" s="68"/>
      <c r="AS479" s="68"/>
      <c r="AT479" s="68"/>
      <c r="AU479" s="68"/>
      <c r="AV479" s="68"/>
      <c r="AW479" s="68"/>
      <c r="AX479" s="68"/>
      <c r="AY479" s="68"/>
      <c r="AZ479" s="68"/>
      <c r="BA479" s="68"/>
      <c r="BB479" s="68"/>
      <c r="BC479" s="68"/>
      <c r="BD479" s="68"/>
      <c r="BE479" s="68"/>
      <c r="BF479" s="68"/>
      <c r="BG479" s="68"/>
      <c r="BH479" s="68"/>
      <c r="BI479" s="68"/>
      <c r="BJ479" s="68"/>
      <c r="BK479" s="68"/>
      <c r="BL479" s="68"/>
      <c r="BM479" s="68"/>
      <c r="BN479" s="68"/>
    </row>
    <row r="480" spans="1:66" ht="17">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68"/>
      <c r="AG480" s="68"/>
      <c r="AH480" s="68"/>
      <c r="AI480" s="68"/>
      <c r="AJ480" s="68"/>
      <c r="AK480" s="68"/>
      <c r="AL480" s="68"/>
      <c r="AM480" s="68"/>
      <c r="AN480" s="68"/>
      <c r="AO480" s="68"/>
      <c r="AP480" s="68"/>
      <c r="AQ480" s="68"/>
      <c r="AR480" s="68"/>
      <c r="AS480" s="68"/>
      <c r="AT480" s="68"/>
      <c r="AU480" s="68"/>
      <c r="AV480" s="68"/>
      <c r="AW480" s="68"/>
      <c r="AX480" s="68"/>
      <c r="AY480" s="68"/>
      <c r="AZ480" s="68"/>
      <c r="BA480" s="68"/>
      <c r="BB480" s="68"/>
      <c r="BC480" s="68"/>
      <c r="BD480" s="68"/>
      <c r="BE480" s="68"/>
      <c r="BF480" s="68"/>
      <c r="BG480" s="68"/>
      <c r="BH480" s="68"/>
      <c r="BI480" s="68"/>
      <c r="BJ480" s="68"/>
      <c r="BK480" s="68"/>
      <c r="BL480" s="68"/>
      <c r="BM480" s="68"/>
      <c r="BN480" s="68"/>
    </row>
    <row r="481" spans="1:66" ht="17">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68"/>
      <c r="AG481" s="68"/>
      <c r="AH481" s="68"/>
      <c r="AI481" s="68"/>
      <c r="AJ481" s="68"/>
      <c r="AK481" s="68"/>
      <c r="AL481" s="68"/>
      <c r="AM481" s="68"/>
      <c r="AN481" s="68"/>
      <c r="AO481" s="68"/>
      <c r="AP481" s="68"/>
      <c r="AQ481" s="68"/>
      <c r="AR481" s="68"/>
      <c r="AS481" s="68"/>
      <c r="AT481" s="68"/>
      <c r="AU481" s="68"/>
      <c r="AV481" s="68"/>
      <c r="AW481" s="68"/>
      <c r="AX481" s="68"/>
      <c r="AY481" s="68"/>
      <c r="AZ481" s="68"/>
      <c r="BA481" s="68"/>
      <c r="BB481" s="68"/>
      <c r="BC481" s="68"/>
      <c r="BD481" s="68"/>
      <c r="BE481" s="68"/>
      <c r="BF481" s="68"/>
      <c r="BG481" s="68"/>
      <c r="BH481" s="68"/>
      <c r="BI481" s="68"/>
      <c r="BJ481" s="68"/>
      <c r="BK481" s="68"/>
      <c r="BL481" s="68"/>
      <c r="BM481" s="68"/>
      <c r="BN481" s="68"/>
    </row>
    <row r="482" spans="1:66" ht="17">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68"/>
      <c r="AG482" s="68"/>
      <c r="AH482" s="68"/>
      <c r="AI482" s="68"/>
      <c r="AJ482" s="68"/>
      <c r="AK482" s="68"/>
      <c r="AL482" s="68"/>
      <c r="AM482" s="68"/>
      <c r="AN482" s="68"/>
      <c r="AO482" s="68"/>
      <c r="AP482" s="68"/>
      <c r="AQ482" s="68"/>
      <c r="AR482" s="68"/>
      <c r="AS482" s="68"/>
      <c r="AT482" s="68"/>
      <c r="AU482" s="68"/>
      <c r="AV482" s="68"/>
      <c r="AW482" s="68"/>
      <c r="AX482" s="68"/>
      <c r="AY482" s="68"/>
      <c r="AZ482" s="68"/>
      <c r="BA482" s="68"/>
      <c r="BB482" s="68"/>
      <c r="BC482" s="68"/>
      <c r="BD482" s="68"/>
      <c r="BE482" s="68"/>
      <c r="BF482" s="68"/>
      <c r="BG482" s="68"/>
      <c r="BH482" s="68"/>
      <c r="BI482" s="68"/>
      <c r="BJ482" s="68"/>
      <c r="BK482" s="68"/>
      <c r="BL482" s="68"/>
      <c r="BM482" s="68"/>
      <c r="BN482" s="68"/>
    </row>
    <row r="483" spans="1:66" ht="17">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68"/>
      <c r="AG483" s="68"/>
      <c r="AH483" s="68"/>
      <c r="AI483" s="68"/>
      <c r="AJ483" s="68"/>
      <c r="AK483" s="68"/>
      <c r="AL483" s="68"/>
      <c r="AM483" s="68"/>
      <c r="AN483" s="68"/>
      <c r="AO483" s="68"/>
      <c r="AP483" s="68"/>
      <c r="AQ483" s="68"/>
      <c r="AR483" s="68"/>
      <c r="AS483" s="68"/>
      <c r="AT483" s="68"/>
      <c r="AU483" s="68"/>
      <c r="AV483" s="68"/>
      <c r="AW483" s="68"/>
      <c r="AX483" s="68"/>
      <c r="AY483" s="68"/>
      <c r="AZ483" s="68"/>
      <c r="BA483" s="68"/>
      <c r="BB483" s="68"/>
      <c r="BC483" s="68"/>
      <c r="BD483" s="68"/>
      <c r="BE483" s="68"/>
      <c r="BF483" s="68"/>
      <c r="BG483" s="68"/>
      <c r="BH483" s="68"/>
      <c r="BI483" s="68"/>
      <c r="BJ483" s="68"/>
      <c r="BK483" s="68"/>
      <c r="BL483" s="68"/>
      <c r="BM483" s="68"/>
      <c r="BN483" s="68"/>
    </row>
    <row r="484" spans="1:66" ht="17">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68"/>
      <c r="AG484" s="68"/>
      <c r="AH484" s="68"/>
      <c r="AI484" s="68"/>
      <c r="AJ484" s="68"/>
      <c r="AK484" s="68"/>
      <c r="AL484" s="68"/>
      <c r="AM484" s="68"/>
      <c r="AN484" s="68"/>
      <c r="AO484" s="68"/>
      <c r="AP484" s="68"/>
      <c r="AQ484" s="68"/>
      <c r="AR484" s="68"/>
      <c r="AS484" s="68"/>
      <c r="AT484" s="68"/>
      <c r="AU484" s="68"/>
      <c r="AV484" s="68"/>
      <c r="AW484" s="68"/>
      <c r="AX484" s="68"/>
      <c r="AY484" s="68"/>
      <c r="AZ484" s="68"/>
      <c r="BA484" s="68"/>
      <c r="BB484" s="68"/>
      <c r="BC484" s="68"/>
      <c r="BD484" s="68"/>
      <c r="BE484" s="68"/>
      <c r="BF484" s="68"/>
      <c r="BG484" s="68"/>
      <c r="BH484" s="68"/>
      <c r="BI484" s="68"/>
      <c r="BJ484" s="68"/>
      <c r="BK484" s="68"/>
      <c r="BL484" s="68"/>
      <c r="BM484" s="68"/>
      <c r="BN484" s="68"/>
    </row>
    <row r="485" spans="1:66" ht="17">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68"/>
      <c r="AG485" s="68"/>
      <c r="AH485" s="68"/>
      <c r="AI485" s="68"/>
      <c r="AJ485" s="68"/>
      <c r="AK485" s="68"/>
      <c r="AL485" s="68"/>
      <c r="AM485" s="68"/>
      <c r="AN485" s="68"/>
      <c r="AO485" s="68"/>
      <c r="AP485" s="68"/>
      <c r="AQ485" s="68"/>
      <c r="AR485" s="68"/>
      <c r="AS485" s="68"/>
      <c r="AT485" s="68"/>
      <c r="AU485" s="68"/>
      <c r="AV485" s="68"/>
      <c r="AW485" s="68"/>
      <c r="AX485" s="68"/>
      <c r="AY485" s="68"/>
      <c r="AZ485" s="68"/>
      <c r="BA485" s="68"/>
      <c r="BB485" s="68"/>
      <c r="BC485" s="68"/>
      <c r="BD485" s="68"/>
      <c r="BE485" s="68"/>
      <c r="BF485" s="68"/>
      <c r="BG485" s="68"/>
      <c r="BH485" s="68"/>
      <c r="BI485" s="68"/>
      <c r="BJ485" s="68"/>
      <c r="BK485" s="68"/>
      <c r="BL485" s="68"/>
      <c r="BM485" s="68"/>
      <c r="BN485" s="68"/>
    </row>
    <row r="486" spans="1:66" ht="17">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68"/>
      <c r="AG486" s="68"/>
      <c r="AH486" s="68"/>
      <c r="AI486" s="68"/>
      <c r="AJ486" s="68"/>
      <c r="AK486" s="68"/>
      <c r="AL486" s="68"/>
      <c r="AM486" s="68"/>
      <c r="AN486" s="68"/>
      <c r="AO486" s="68"/>
      <c r="AP486" s="68"/>
      <c r="AQ486" s="68"/>
      <c r="AR486" s="68"/>
      <c r="AS486" s="68"/>
      <c r="AT486" s="68"/>
      <c r="AU486" s="68"/>
      <c r="AV486" s="68"/>
      <c r="AW486" s="68"/>
      <c r="AX486" s="68"/>
      <c r="AY486" s="68"/>
      <c r="AZ486" s="68"/>
      <c r="BA486" s="68"/>
      <c r="BB486" s="68"/>
      <c r="BC486" s="68"/>
      <c r="BD486" s="68"/>
      <c r="BE486" s="68"/>
      <c r="BF486" s="68"/>
      <c r="BG486" s="68"/>
      <c r="BH486" s="68"/>
      <c r="BI486" s="68"/>
      <c r="BJ486" s="68"/>
      <c r="BK486" s="68"/>
      <c r="BL486" s="68"/>
      <c r="BM486" s="68"/>
      <c r="BN486" s="68"/>
    </row>
    <row r="487" spans="1:66" ht="1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68"/>
      <c r="AG487" s="68"/>
      <c r="AH487" s="68"/>
      <c r="AI487" s="68"/>
      <c r="AJ487" s="68"/>
      <c r="AK487" s="68"/>
      <c r="AL487" s="68"/>
      <c r="AM487" s="68"/>
      <c r="AN487" s="68"/>
      <c r="AO487" s="68"/>
      <c r="AP487" s="68"/>
      <c r="AQ487" s="68"/>
      <c r="AR487" s="68"/>
      <c r="AS487" s="68"/>
      <c r="AT487" s="68"/>
      <c r="AU487" s="68"/>
      <c r="AV487" s="68"/>
      <c r="AW487" s="68"/>
      <c r="AX487" s="68"/>
      <c r="AY487" s="68"/>
      <c r="AZ487" s="68"/>
      <c r="BA487" s="68"/>
      <c r="BB487" s="68"/>
      <c r="BC487" s="68"/>
      <c r="BD487" s="68"/>
      <c r="BE487" s="68"/>
      <c r="BF487" s="68"/>
      <c r="BG487" s="68"/>
      <c r="BH487" s="68"/>
      <c r="BI487" s="68"/>
      <c r="BJ487" s="68"/>
      <c r="BK487" s="68"/>
      <c r="BL487" s="68"/>
      <c r="BM487" s="68"/>
      <c r="BN487" s="68"/>
    </row>
    <row r="488" spans="1:66" ht="17">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68"/>
      <c r="AG488" s="68"/>
      <c r="AH488" s="68"/>
      <c r="AI488" s="68"/>
      <c r="AJ488" s="68"/>
      <c r="AK488" s="68"/>
      <c r="AL488" s="68"/>
      <c r="AM488" s="68"/>
      <c r="AN488" s="68"/>
      <c r="AO488" s="68"/>
      <c r="AP488" s="68"/>
      <c r="AQ488" s="68"/>
      <c r="AR488" s="68"/>
      <c r="AS488" s="68"/>
      <c r="AT488" s="68"/>
      <c r="AU488" s="68"/>
      <c r="AV488" s="68"/>
      <c r="AW488" s="68"/>
      <c r="AX488" s="68"/>
      <c r="AY488" s="68"/>
      <c r="AZ488" s="68"/>
      <c r="BA488" s="68"/>
      <c r="BB488" s="68"/>
      <c r="BC488" s="68"/>
      <c r="BD488" s="68"/>
      <c r="BE488" s="68"/>
      <c r="BF488" s="68"/>
      <c r="BG488" s="68"/>
      <c r="BH488" s="68"/>
      <c r="BI488" s="68"/>
      <c r="BJ488" s="68"/>
      <c r="BK488" s="68"/>
      <c r="BL488" s="68"/>
      <c r="BM488" s="68"/>
      <c r="BN488" s="68"/>
    </row>
    <row r="489" spans="1:66" ht="17">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68"/>
      <c r="AG489" s="68"/>
      <c r="AH489" s="68"/>
      <c r="AI489" s="68"/>
      <c r="AJ489" s="68"/>
      <c r="AK489" s="68"/>
      <c r="AL489" s="68"/>
      <c r="AM489" s="68"/>
      <c r="AN489" s="68"/>
      <c r="AO489" s="68"/>
      <c r="AP489" s="68"/>
      <c r="AQ489" s="68"/>
      <c r="AR489" s="68"/>
      <c r="AS489" s="68"/>
      <c r="AT489" s="68"/>
      <c r="AU489" s="68"/>
      <c r="AV489" s="68"/>
      <c r="AW489" s="68"/>
      <c r="AX489" s="68"/>
      <c r="AY489" s="68"/>
      <c r="AZ489" s="68"/>
      <c r="BA489" s="68"/>
      <c r="BB489" s="68"/>
      <c r="BC489" s="68"/>
      <c r="BD489" s="68"/>
      <c r="BE489" s="68"/>
      <c r="BF489" s="68"/>
      <c r="BG489" s="68"/>
      <c r="BH489" s="68"/>
      <c r="BI489" s="68"/>
      <c r="BJ489" s="68"/>
      <c r="BK489" s="68"/>
      <c r="BL489" s="68"/>
      <c r="BM489" s="68"/>
      <c r="BN489" s="68"/>
    </row>
    <row r="490" spans="1:66" ht="17">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68"/>
      <c r="AG490" s="68"/>
      <c r="AH490" s="68"/>
      <c r="AI490" s="68"/>
      <c r="AJ490" s="68"/>
      <c r="AK490" s="68"/>
      <c r="AL490" s="68"/>
      <c r="AM490" s="68"/>
      <c r="AN490" s="68"/>
      <c r="AO490" s="68"/>
      <c r="AP490" s="68"/>
      <c r="AQ490" s="68"/>
      <c r="AR490" s="68"/>
      <c r="AS490" s="68"/>
      <c r="AT490" s="68"/>
      <c r="AU490" s="68"/>
      <c r="AV490" s="68"/>
      <c r="AW490" s="68"/>
      <c r="AX490" s="68"/>
      <c r="AY490" s="68"/>
      <c r="AZ490" s="68"/>
      <c r="BA490" s="68"/>
      <c r="BB490" s="68"/>
      <c r="BC490" s="68"/>
      <c r="BD490" s="68"/>
      <c r="BE490" s="68"/>
      <c r="BF490" s="68"/>
      <c r="BG490" s="68"/>
      <c r="BH490" s="68"/>
      <c r="BI490" s="68"/>
      <c r="BJ490" s="68"/>
      <c r="BK490" s="68"/>
      <c r="BL490" s="68"/>
      <c r="BM490" s="68"/>
      <c r="BN490" s="68"/>
    </row>
    <row r="491" spans="1:66" ht="17">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68"/>
      <c r="AG491" s="68"/>
      <c r="AH491" s="68"/>
      <c r="AI491" s="68"/>
      <c r="AJ491" s="68"/>
      <c r="AK491" s="68"/>
      <c r="AL491" s="68"/>
      <c r="AM491" s="68"/>
      <c r="AN491" s="68"/>
      <c r="AO491" s="68"/>
      <c r="AP491" s="68"/>
      <c r="AQ491" s="68"/>
      <c r="AR491" s="68"/>
      <c r="AS491" s="68"/>
      <c r="AT491" s="68"/>
      <c r="AU491" s="68"/>
      <c r="AV491" s="68"/>
      <c r="AW491" s="68"/>
      <c r="AX491" s="68"/>
      <c r="AY491" s="68"/>
      <c r="AZ491" s="68"/>
      <c r="BA491" s="68"/>
      <c r="BB491" s="68"/>
      <c r="BC491" s="68"/>
      <c r="BD491" s="68"/>
      <c r="BE491" s="68"/>
      <c r="BF491" s="68"/>
      <c r="BG491" s="68"/>
      <c r="BH491" s="68"/>
      <c r="BI491" s="68"/>
      <c r="BJ491" s="68"/>
      <c r="BK491" s="68"/>
      <c r="BL491" s="68"/>
      <c r="BM491" s="68"/>
      <c r="BN491" s="68"/>
    </row>
    <row r="492" spans="1:66" ht="17">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68"/>
      <c r="AG492" s="68"/>
      <c r="AH492" s="68"/>
      <c r="AI492" s="68"/>
      <c r="AJ492" s="68"/>
      <c r="AK492" s="68"/>
      <c r="AL492" s="68"/>
      <c r="AM492" s="68"/>
      <c r="AN492" s="68"/>
      <c r="AO492" s="68"/>
      <c r="AP492" s="68"/>
      <c r="AQ492" s="68"/>
      <c r="AR492" s="68"/>
      <c r="AS492" s="68"/>
      <c r="AT492" s="68"/>
      <c r="AU492" s="68"/>
      <c r="AV492" s="68"/>
      <c r="AW492" s="68"/>
      <c r="AX492" s="68"/>
      <c r="AY492" s="68"/>
      <c r="AZ492" s="68"/>
      <c r="BA492" s="68"/>
      <c r="BB492" s="68"/>
      <c r="BC492" s="68"/>
      <c r="BD492" s="68"/>
      <c r="BE492" s="68"/>
      <c r="BF492" s="68"/>
      <c r="BG492" s="68"/>
      <c r="BH492" s="68"/>
      <c r="BI492" s="68"/>
      <c r="BJ492" s="68"/>
      <c r="BK492" s="68"/>
      <c r="BL492" s="68"/>
      <c r="BM492" s="68"/>
      <c r="BN492" s="68"/>
    </row>
    <row r="493" spans="1:66" ht="17">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68"/>
      <c r="AG493" s="68"/>
      <c r="AH493" s="68"/>
      <c r="AI493" s="68"/>
      <c r="AJ493" s="68"/>
      <c r="AK493" s="68"/>
      <c r="AL493" s="68"/>
      <c r="AM493" s="68"/>
      <c r="AN493" s="68"/>
      <c r="AO493" s="68"/>
      <c r="AP493" s="68"/>
      <c r="AQ493" s="68"/>
      <c r="AR493" s="68"/>
      <c r="AS493" s="68"/>
      <c r="AT493" s="68"/>
      <c r="AU493" s="68"/>
      <c r="AV493" s="68"/>
      <c r="AW493" s="68"/>
      <c r="AX493" s="68"/>
      <c r="AY493" s="68"/>
      <c r="AZ493" s="68"/>
      <c r="BA493" s="68"/>
      <c r="BB493" s="68"/>
      <c r="BC493" s="68"/>
      <c r="BD493" s="68"/>
      <c r="BE493" s="68"/>
      <c r="BF493" s="68"/>
      <c r="BG493" s="68"/>
      <c r="BH493" s="68"/>
      <c r="BI493" s="68"/>
      <c r="BJ493" s="68"/>
      <c r="BK493" s="68"/>
      <c r="BL493" s="68"/>
      <c r="BM493" s="68"/>
      <c r="BN493" s="68"/>
    </row>
    <row r="494" spans="1:66" ht="17">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68"/>
      <c r="AG494" s="68"/>
      <c r="AH494" s="68"/>
      <c r="AI494" s="68"/>
      <c r="AJ494" s="68"/>
      <c r="AK494" s="68"/>
      <c r="AL494" s="68"/>
      <c r="AM494" s="68"/>
      <c r="AN494" s="68"/>
      <c r="AO494" s="68"/>
      <c r="AP494" s="68"/>
      <c r="AQ494" s="68"/>
      <c r="AR494" s="68"/>
      <c r="AS494" s="68"/>
      <c r="AT494" s="68"/>
      <c r="AU494" s="68"/>
      <c r="AV494" s="68"/>
      <c r="AW494" s="68"/>
      <c r="AX494" s="68"/>
      <c r="AY494" s="68"/>
      <c r="AZ494" s="68"/>
      <c r="BA494" s="68"/>
      <c r="BB494" s="68"/>
      <c r="BC494" s="68"/>
      <c r="BD494" s="68"/>
      <c r="BE494" s="68"/>
      <c r="BF494" s="68"/>
      <c r="BG494" s="68"/>
      <c r="BH494" s="68"/>
      <c r="BI494" s="68"/>
      <c r="BJ494" s="68"/>
      <c r="BK494" s="68"/>
      <c r="BL494" s="68"/>
      <c r="BM494" s="68"/>
      <c r="BN494" s="68"/>
    </row>
    <row r="495" spans="1:66" ht="17">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68"/>
      <c r="AG495" s="68"/>
      <c r="AH495" s="68"/>
      <c r="AI495" s="68"/>
      <c r="AJ495" s="68"/>
      <c r="AK495" s="68"/>
      <c r="AL495" s="68"/>
      <c r="AM495" s="68"/>
      <c r="AN495" s="68"/>
      <c r="AO495" s="68"/>
      <c r="AP495" s="68"/>
      <c r="AQ495" s="68"/>
      <c r="AR495" s="68"/>
      <c r="AS495" s="68"/>
      <c r="AT495" s="68"/>
      <c r="AU495" s="68"/>
      <c r="AV495" s="68"/>
      <c r="AW495" s="68"/>
      <c r="AX495" s="68"/>
      <c r="AY495" s="68"/>
      <c r="AZ495" s="68"/>
      <c r="BA495" s="68"/>
      <c r="BB495" s="68"/>
      <c r="BC495" s="68"/>
      <c r="BD495" s="68"/>
      <c r="BE495" s="68"/>
      <c r="BF495" s="68"/>
      <c r="BG495" s="68"/>
      <c r="BH495" s="68"/>
      <c r="BI495" s="68"/>
      <c r="BJ495" s="68"/>
      <c r="BK495" s="68"/>
      <c r="BL495" s="68"/>
      <c r="BM495" s="68"/>
      <c r="BN495" s="68"/>
    </row>
    <row r="496" spans="1:66" ht="17">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68"/>
      <c r="AG496" s="68"/>
      <c r="AH496" s="68"/>
      <c r="AI496" s="68"/>
      <c r="AJ496" s="68"/>
      <c r="AK496" s="68"/>
      <c r="AL496" s="68"/>
      <c r="AM496" s="68"/>
      <c r="AN496" s="68"/>
      <c r="AO496" s="68"/>
      <c r="AP496" s="68"/>
      <c r="AQ496" s="68"/>
      <c r="AR496" s="68"/>
      <c r="AS496" s="68"/>
      <c r="AT496" s="68"/>
      <c r="AU496" s="68"/>
      <c r="AV496" s="68"/>
      <c r="AW496" s="68"/>
      <c r="AX496" s="68"/>
      <c r="AY496" s="68"/>
      <c r="AZ496" s="68"/>
      <c r="BA496" s="68"/>
      <c r="BB496" s="68"/>
      <c r="BC496" s="68"/>
      <c r="BD496" s="68"/>
      <c r="BE496" s="68"/>
      <c r="BF496" s="68"/>
      <c r="BG496" s="68"/>
      <c r="BH496" s="68"/>
      <c r="BI496" s="68"/>
      <c r="BJ496" s="68"/>
      <c r="BK496" s="68"/>
      <c r="BL496" s="68"/>
      <c r="BM496" s="68"/>
      <c r="BN496" s="68"/>
    </row>
    <row r="497" spans="1:66" ht="1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68"/>
      <c r="AG497" s="68"/>
      <c r="AH497" s="68"/>
      <c r="AI497" s="68"/>
      <c r="AJ497" s="68"/>
      <c r="AK497" s="68"/>
      <c r="AL497" s="68"/>
      <c r="AM497" s="68"/>
      <c r="AN497" s="68"/>
      <c r="AO497" s="68"/>
      <c r="AP497" s="68"/>
      <c r="AQ497" s="68"/>
      <c r="AR497" s="68"/>
      <c r="AS497" s="68"/>
      <c r="AT497" s="68"/>
      <c r="AU497" s="68"/>
      <c r="AV497" s="68"/>
      <c r="AW497" s="68"/>
      <c r="AX497" s="68"/>
      <c r="AY497" s="68"/>
      <c r="AZ497" s="68"/>
      <c r="BA497" s="68"/>
      <c r="BB497" s="68"/>
      <c r="BC497" s="68"/>
      <c r="BD497" s="68"/>
      <c r="BE497" s="68"/>
      <c r="BF497" s="68"/>
      <c r="BG497" s="68"/>
      <c r="BH497" s="68"/>
      <c r="BI497" s="68"/>
      <c r="BJ497" s="68"/>
      <c r="BK497" s="68"/>
      <c r="BL497" s="68"/>
      <c r="BM497" s="68"/>
      <c r="BN497" s="68"/>
    </row>
    <row r="498" spans="1:66" ht="17">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68"/>
      <c r="AG498" s="68"/>
      <c r="AH498" s="68"/>
      <c r="AI498" s="68"/>
      <c r="AJ498" s="68"/>
      <c r="AK498" s="68"/>
      <c r="AL498" s="68"/>
      <c r="AM498" s="68"/>
      <c r="AN498" s="68"/>
      <c r="AO498" s="68"/>
      <c r="AP498" s="68"/>
      <c r="AQ498" s="68"/>
      <c r="AR498" s="68"/>
      <c r="AS498" s="68"/>
      <c r="AT498" s="68"/>
      <c r="AU498" s="68"/>
      <c r="AV498" s="68"/>
      <c r="AW498" s="68"/>
      <c r="AX498" s="68"/>
      <c r="AY498" s="68"/>
      <c r="AZ498" s="68"/>
      <c r="BA498" s="68"/>
      <c r="BB498" s="68"/>
      <c r="BC498" s="68"/>
      <c r="BD498" s="68"/>
      <c r="BE498" s="68"/>
      <c r="BF498" s="68"/>
      <c r="BG498" s="68"/>
      <c r="BH498" s="68"/>
      <c r="BI498" s="68"/>
      <c r="BJ498" s="68"/>
      <c r="BK498" s="68"/>
      <c r="BL498" s="68"/>
      <c r="BM498" s="68"/>
      <c r="BN498" s="68"/>
    </row>
    <row r="499" spans="1:66" ht="17">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68"/>
      <c r="AG499" s="68"/>
      <c r="AH499" s="68"/>
      <c r="AI499" s="68"/>
      <c r="AJ499" s="68"/>
      <c r="AK499" s="68"/>
      <c r="AL499" s="68"/>
      <c r="AM499" s="68"/>
      <c r="AN499" s="68"/>
      <c r="AO499" s="68"/>
      <c r="AP499" s="68"/>
      <c r="AQ499" s="68"/>
      <c r="AR499" s="68"/>
      <c r="AS499" s="68"/>
      <c r="AT499" s="68"/>
      <c r="AU499" s="68"/>
      <c r="AV499" s="68"/>
      <c r="AW499" s="68"/>
      <c r="AX499" s="68"/>
      <c r="AY499" s="68"/>
      <c r="AZ499" s="68"/>
      <c r="BA499" s="68"/>
      <c r="BB499" s="68"/>
      <c r="BC499" s="68"/>
      <c r="BD499" s="68"/>
      <c r="BE499" s="68"/>
      <c r="BF499" s="68"/>
      <c r="BG499" s="68"/>
      <c r="BH499" s="68"/>
      <c r="BI499" s="68"/>
      <c r="BJ499" s="68"/>
      <c r="BK499" s="68"/>
      <c r="BL499" s="68"/>
      <c r="BM499" s="68"/>
      <c r="BN499" s="68"/>
    </row>
    <row r="500" spans="1:66" ht="17">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68"/>
      <c r="AG500" s="68"/>
      <c r="AH500" s="68"/>
      <c r="AI500" s="68"/>
      <c r="AJ500" s="68"/>
      <c r="AK500" s="68"/>
      <c r="AL500" s="68"/>
      <c r="AM500" s="68"/>
      <c r="AN500" s="68"/>
      <c r="AO500" s="68"/>
      <c r="AP500" s="68"/>
      <c r="AQ500" s="68"/>
      <c r="AR500" s="68"/>
      <c r="AS500" s="68"/>
      <c r="AT500" s="68"/>
      <c r="AU500" s="68"/>
      <c r="AV500" s="68"/>
      <c r="AW500" s="68"/>
      <c r="AX500" s="68"/>
      <c r="AY500" s="68"/>
      <c r="AZ500" s="68"/>
      <c r="BA500" s="68"/>
      <c r="BB500" s="68"/>
      <c r="BC500" s="68"/>
      <c r="BD500" s="68"/>
      <c r="BE500" s="68"/>
      <c r="BF500" s="68"/>
      <c r="BG500" s="68"/>
      <c r="BH500" s="68"/>
      <c r="BI500" s="68"/>
      <c r="BJ500" s="68"/>
      <c r="BK500" s="68"/>
      <c r="BL500" s="68"/>
      <c r="BM500" s="68"/>
      <c r="BN500" s="68"/>
    </row>
    <row r="501" spans="1:66" ht="17">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68"/>
      <c r="AG501" s="68"/>
      <c r="AH501" s="68"/>
      <c r="AI501" s="68"/>
      <c r="AJ501" s="68"/>
      <c r="AK501" s="68"/>
      <c r="AL501" s="68"/>
      <c r="AM501" s="68"/>
      <c r="AN501" s="68"/>
      <c r="AO501" s="68"/>
      <c r="AP501" s="68"/>
      <c r="AQ501" s="68"/>
      <c r="AR501" s="68"/>
      <c r="AS501" s="68"/>
      <c r="AT501" s="68"/>
      <c r="AU501" s="68"/>
      <c r="AV501" s="68"/>
      <c r="AW501" s="68"/>
      <c r="AX501" s="68"/>
      <c r="AY501" s="68"/>
      <c r="AZ501" s="68"/>
      <c r="BA501" s="68"/>
      <c r="BB501" s="68"/>
      <c r="BC501" s="68"/>
      <c r="BD501" s="68"/>
      <c r="BE501" s="68"/>
      <c r="BF501" s="68"/>
      <c r="BG501" s="68"/>
      <c r="BH501" s="68"/>
      <c r="BI501" s="68"/>
      <c r="BJ501" s="68"/>
      <c r="BK501" s="68"/>
      <c r="BL501" s="68"/>
      <c r="BM501" s="68"/>
      <c r="BN501" s="68"/>
    </row>
    <row r="502" spans="1:66" ht="17">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68"/>
      <c r="AG502" s="68"/>
      <c r="AH502" s="68"/>
      <c r="AI502" s="68"/>
      <c r="AJ502" s="68"/>
      <c r="AK502" s="68"/>
      <c r="AL502" s="68"/>
      <c r="AM502" s="68"/>
      <c r="AN502" s="68"/>
      <c r="AO502" s="68"/>
      <c r="AP502" s="68"/>
      <c r="AQ502" s="68"/>
      <c r="AR502" s="68"/>
      <c r="AS502" s="68"/>
      <c r="AT502" s="68"/>
      <c r="AU502" s="68"/>
      <c r="AV502" s="68"/>
      <c r="AW502" s="68"/>
      <c r="AX502" s="68"/>
      <c r="AY502" s="68"/>
      <c r="AZ502" s="68"/>
      <c r="BA502" s="68"/>
      <c r="BB502" s="68"/>
      <c r="BC502" s="68"/>
      <c r="BD502" s="68"/>
      <c r="BE502" s="68"/>
      <c r="BF502" s="68"/>
      <c r="BG502" s="68"/>
      <c r="BH502" s="68"/>
      <c r="BI502" s="68"/>
      <c r="BJ502" s="68"/>
      <c r="BK502" s="68"/>
      <c r="BL502" s="68"/>
      <c r="BM502" s="68"/>
      <c r="BN502" s="68"/>
    </row>
    <row r="503" spans="1:66" ht="17">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68"/>
      <c r="AG503" s="68"/>
      <c r="AH503" s="68"/>
      <c r="AI503" s="68"/>
      <c r="AJ503" s="68"/>
      <c r="AK503" s="68"/>
      <c r="AL503" s="68"/>
      <c r="AM503" s="68"/>
      <c r="AN503" s="68"/>
      <c r="AO503" s="68"/>
      <c r="AP503" s="68"/>
      <c r="AQ503" s="68"/>
      <c r="AR503" s="68"/>
      <c r="AS503" s="68"/>
      <c r="AT503" s="68"/>
      <c r="AU503" s="68"/>
      <c r="AV503" s="68"/>
      <c r="AW503" s="68"/>
      <c r="AX503" s="68"/>
      <c r="AY503" s="68"/>
      <c r="AZ503" s="68"/>
      <c r="BA503" s="68"/>
      <c r="BB503" s="68"/>
      <c r="BC503" s="68"/>
      <c r="BD503" s="68"/>
      <c r="BE503" s="68"/>
      <c r="BF503" s="68"/>
      <c r="BG503" s="68"/>
      <c r="BH503" s="68"/>
      <c r="BI503" s="68"/>
      <c r="BJ503" s="68"/>
      <c r="BK503" s="68"/>
      <c r="BL503" s="68"/>
      <c r="BM503" s="68"/>
      <c r="BN503" s="68"/>
    </row>
    <row r="504" spans="1:66" ht="17">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c r="AG504" s="68"/>
      <c r="AH504" s="68"/>
      <c r="AI504" s="68"/>
      <c r="AJ504" s="68"/>
      <c r="AK504" s="68"/>
      <c r="AL504" s="68"/>
      <c r="AM504" s="68"/>
      <c r="AN504" s="68"/>
      <c r="AO504" s="68"/>
      <c r="AP504" s="68"/>
      <c r="AQ504" s="68"/>
      <c r="AR504" s="68"/>
      <c r="AS504" s="68"/>
      <c r="AT504" s="68"/>
      <c r="AU504" s="68"/>
      <c r="AV504" s="68"/>
      <c r="AW504" s="68"/>
      <c r="AX504" s="68"/>
      <c r="AY504" s="68"/>
      <c r="AZ504" s="68"/>
      <c r="BA504" s="68"/>
      <c r="BB504" s="68"/>
      <c r="BC504" s="68"/>
      <c r="BD504" s="68"/>
      <c r="BE504" s="68"/>
      <c r="BF504" s="68"/>
      <c r="BG504" s="68"/>
      <c r="BH504" s="68"/>
      <c r="BI504" s="68"/>
      <c r="BJ504" s="68"/>
      <c r="BK504" s="68"/>
      <c r="BL504" s="68"/>
      <c r="BM504" s="68"/>
      <c r="BN504" s="68"/>
    </row>
    <row r="505" spans="1:66" ht="17">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68"/>
      <c r="AG505" s="68"/>
      <c r="AH505" s="68"/>
      <c r="AI505" s="68"/>
      <c r="AJ505" s="68"/>
      <c r="AK505" s="68"/>
      <c r="AL505" s="68"/>
      <c r="AM505" s="68"/>
      <c r="AN505" s="68"/>
      <c r="AO505" s="68"/>
      <c r="AP505" s="68"/>
      <c r="AQ505" s="68"/>
      <c r="AR505" s="68"/>
      <c r="AS505" s="68"/>
      <c r="AT505" s="68"/>
      <c r="AU505" s="68"/>
      <c r="AV505" s="68"/>
      <c r="AW505" s="68"/>
      <c r="AX505" s="68"/>
      <c r="AY505" s="68"/>
      <c r="AZ505" s="68"/>
      <c r="BA505" s="68"/>
      <c r="BB505" s="68"/>
      <c r="BC505" s="68"/>
      <c r="BD505" s="68"/>
      <c r="BE505" s="68"/>
      <c r="BF505" s="68"/>
      <c r="BG505" s="68"/>
      <c r="BH505" s="68"/>
      <c r="BI505" s="68"/>
      <c r="BJ505" s="68"/>
      <c r="BK505" s="68"/>
      <c r="BL505" s="68"/>
      <c r="BM505" s="68"/>
      <c r="BN505" s="68"/>
    </row>
    <row r="506" spans="1:66" ht="17">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c r="AG506" s="68"/>
      <c r="AH506" s="68"/>
      <c r="AI506" s="68"/>
      <c r="AJ506" s="68"/>
      <c r="AK506" s="68"/>
      <c r="AL506" s="68"/>
      <c r="AM506" s="68"/>
      <c r="AN506" s="68"/>
      <c r="AO506" s="68"/>
      <c r="AP506" s="68"/>
      <c r="AQ506" s="68"/>
      <c r="AR506" s="68"/>
      <c r="AS506" s="68"/>
      <c r="AT506" s="68"/>
      <c r="AU506" s="68"/>
      <c r="AV506" s="68"/>
      <c r="AW506" s="68"/>
      <c r="AX506" s="68"/>
      <c r="AY506" s="68"/>
      <c r="AZ506" s="68"/>
      <c r="BA506" s="68"/>
      <c r="BB506" s="68"/>
      <c r="BC506" s="68"/>
      <c r="BD506" s="68"/>
      <c r="BE506" s="68"/>
      <c r="BF506" s="68"/>
      <c r="BG506" s="68"/>
      <c r="BH506" s="68"/>
      <c r="BI506" s="68"/>
      <c r="BJ506" s="68"/>
      <c r="BK506" s="68"/>
      <c r="BL506" s="68"/>
      <c r="BM506" s="68"/>
      <c r="BN506" s="68"/>
    </row>
    <row r="507" spans="1:66" ht="1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68"/>
      <c r="AG507" s="68"/>
      <c r="AH507" s="68"/>
      <c r="AI507" s="68"/>
      <c r="AJ507" s="68"/>
      <c r="AK507" s="68"/>
      <c r="AL507" s="68"/>
      <c r="AM507" s="68"/>
      <c r="AN507" s="68"/>
      <c r="AO507" s="68"/>
      <c r="AP507" s="68"/>
      <c r="AQ507" s="68"/>
      <c r="AR507" s="68"/>
      <c r="AS507" s="68"/>
      <c r="AT507" s="68"/>
      <c r="AU507" s="68"/>
      <c r="AV507" s="68"/>
      <c r="AW507" s="68"/>
      <c r="AX507" s="68"/>
      <c r="AY507" s="68"/>
      <c r="AZ507" s="68"/>
      <c r="BA507" s="68"/>
      <c r="BB507" s="68"/>
      <c r="BC507" s="68"/>
      <c r="BD507" s="68"/>
      <c r="BE507" s="68"/>
      <c r="BF507" s="68"/>
      <c r="BG507" s="68"/>
      <c r="BH507" s="68"/>
      <c r="BI507" s="68"/>
      <c r="BJ507" s="68"/>
      <c r="BK507" s="68"/>
      <c r="BL507" s="68"/>
      <c r="BM507" s="68"/>
      <c r="BN507" s="68"/>
    </row>
    <row r="508" spans="1:66" ht="17">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c r="AG508" s="68"/>
      <c r="AH508" s="68"/>
      <c r="AI508" s="68"/>
      <c r="AJ508" s="68"/>
      <c r="AK508" s="68"/>
      <c r="AL508" s="68"/>
      <c r="AM508" s="68"/>
      <c r="AN508" s="68"/>
      <c r="AO508" s="68"/>
      <c r="AP508" s="68"/>
      <c r="AQ508" s="68"/>
      <c r="AR508" s="68"/>
      <c r="AS508" s="68"/>
      <c r="AT508" s="68"/>
      <c r="AU508" s="68"/>
      <c r="AV508" s="68"/>
      <c r="AW508" s="68"/>
      <c r="AX508" s="68"/>
      <c r="AY508" s="68"/>
      <c r="AZ508" s="68"/>
      <c r="BA508" s="68"/>
      <c r="BB508" s="68"/>
      <c r="BC508" s="68"/>
      <c r="BD508" s="68"/>
      <c r="BE508" s="68"/>
      <c r="BF508" s="68"/>
      <c r="BG508" s="68"/>
      <c r="BH508" s="68"/>
      <c r="BI508" s="68"/>
      <c r="BJ508" s="68"/>
      <c r="BK508" s="68"/>
      <c r="BL508" s="68"/>
      <c r="BM508" s="68"/>
      <c r="BN508" s="68"/>
    </row>
    <row r="509" spans="1:66" ht="17">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68"/>
      <c r="AG509" s="68"/>
      <c r="AH509" s="68"/>
      <c r="AI509" s="68"/>
      <c r="AJ509" s="68"/>
      <c r="AK509" s="68"/>
      <c r="AL509" s="68"/>
      <c r="AM509" s="68"/>
      <c r="AN509" s="68"/>
      <c r="AO509" s="68"/>
      <c r="AP509" s="68"/>
      <c r="AQ509" s="68"/>
      <c r="AR509" s="68"/>
      <c r="AS509" s="68"/>
      <c r="AT509" s="68"/>
      <c r="AU509" s="68"/>
      <c r="AV509" s="68"/>
      <c r="AW509" s="68"/>
      <c r="AX509" s="68"/>
      <c r="AY509" s="68"/>
      <c r="AZ509" s="68"/>
      <c r="BA509" s="68"/>
      <c r="BB509" s="68"/>
      <c r="BC509" s="68"/>
      <c r="BD509" s="68"/>
      <c r="BE509" s="68"/>
      <c r="BF509" s="68"/>
      <c r="BG509" s="68"/>
      <c r="BH509" s="68"/>
      <c r="BI509" s="68"/>
      <c r="BJ509" s="68"/>
      <c r="BK509" s="68"/>
      <c r="BL509" s="68"/>
      <c r="BM509" s="68"/>
      <c r="BN509" s="68"/>
    </row>
    <row r="510" spans="1:66" ht="17">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c r="AG510" s="68"/>
      <c r="AH510" s="68"/>
      <c r="AI510" s="68"/>
      <c r="AJ510" s="68"/>
      <c r="AK510" s="68"/>
      <c r="AL510" s="68"/>
      <c r="AM510" s="68"/>
      <c r="AN510" s="68"/>
      <c r="AO510" s="68"/>
      <c r="AP510" s="68"/>
      <c r="AQ510" s="68"/>
      <c r="AR510" s="68"/>
      <c r="AS510" s="68"/>
      <c r="AT510" s="68"/>
      <c r="AU510" s="68"/>
      <c r="AV510" s="68"/>
      <c r="AW510" s="68"/>
      <c r="AX510" s="68"/>
      <c r="AY510" s="68"/>
      <c r="AZ510" s="68"/>
      <c r="BA510" s="68"/>
      <c r="BB510" s="68"/>
      <c r="BC510" s="68"/>
      <c r="BD510" s="68"/>
      <c r="BE510" s="68"/>
      <c r="BF510" s="68"/>
      <c r="BG510" s="68"/>
      <c r="BH510" s="68"/>
      <c r="BI510" s="68"/>
      <c r="BJ510" s="68"/>
      <c r="BK510" s="68"/>
      <c r="BL510" s="68"/>
      <c r="BM510" s="68"/>
      <c r="BN510" s="68"/>
    </row>
    <row r="511" spans="1:66" ht="17">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68"/>
      <c r="AG511" s="68"/>
      <c r="AH511" s="68"/>
      <c r="AI511" s="68"/>
      <c r="AJ511" s="68"/>
      <c r="AK511" s="68"/>
      <c r="AL511" s="68"/>
      <c r="AM511" s="68"/>
      <c r="AN511" s="68"/>
      <c r="AO511" s="68"/>
      <c r="AP511" s="68"/>
      <c r="AQ511" s="68"/>
      <c r="AR511" s="68"/>
      <c r="AS511" s="68"/>
      <c r="AT511" s="68"/>
      <c r="AU511" s="68"/>
      <c r="AV511" s="68"/>
      <c r="AW511" s="68"/>
      <c r="AX511" s="68"/>
      <c r="AY511" s="68"/>
      <c r="AZ511" s="68"/>
      <c r="BA511" s="68"/>
      <c r="BB511" s="68"/>
      <c r="BC511" s="68"/>
      <c r="BD511" s="68"/>
      <c r="BE511" s="68"/>
      <c r="BF511" s="68"/>
      <c r="BG511" s="68"/>
      <c r="BH511" s="68"/>
      <c r="BI511" s="68"/>
      <c r="BJ511" s="68"/>
      <c r="BK511" s="68"/>
      <c r="BL511" s="68"/>
      <c r="BM511" s="68"/>
      <c r="BN511" s="68"/>
    </row>
    <row r="512" spans="1:66" ht="17">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68"/>
      <c r="AG512" s="68"/>
      <c r="AH512" s="68"/>
      <c r="AI512" s="68"/>
      <c r="AJ512" s="68"/>
      <c r="AK512" s="68"/>
      <c r="AL512" s="68"/>
      <c r="AM512" s="68"/>
      <c r="AN512" s="68"/>
      <c r="AO512" s="68"/>
      <c r="AP512" s="68"/>
      <c r="AQ512" s="68"/>
      <c r="AR512" s="68"/>
      <c r="AS512" s="68"/>
      <c r="AT512" s="68"/>
      <c r="AU512" s="68"/>
      <c r="AV512" s="68"/>
      <c r="AW512" s="68"/>
      <c r="AX512" s="68"/>
      <c r="AY512" s="68"/>
      <c r="AZ512" s="68"/>
      <c r="BA512" s="68"/>
      <c r="BB512" s="68"/>
      <c r="BC512" s="68"/>
      <c r="BD512" s="68"/>
      <c r="BE512" s="68"/>
      <c r="BF512" s="68"/>
      <c r="BG512" s="68"/>
      <c r="BH512" s="68"/>
      <c r="BI512" s="68"/>
      <c r="BJ512" s="68"/>
      <c r="BK512" s="68"/>
      <c r="BL512" s="68"/>
      <c r="BM512" s="68"/>
      <c r="BN512" s="68"/>
    </row>
    <row r="513" spans="1:66" ht="17">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68"/>
      <c r="AG513" s="68"/>
      <c r="AH513" s="68"/>
      <c r="AI513" s="68"/>
      <c r="AJ513" s="68"/>
      <c r="AK513" s="68"/>
      <c r="AL513" s="68"/>
      <c r="AM513" s="68"/>
      <c r="AN513" s="68"/>
      <c r="AO513" s="68"/>
      <c r="AP513" s="68"/>
      <c r="AQ513" s="68"/>
      <c r="AR513" s="68"/>
      <c r="AS513" s="68"/>
      <c r="AT513" s="68"/>
      <c r="AU513" s="68"/>
      <c r="AV513" s="68"/>
      <c r="AW513" s="68"/>
      <c r="AX513" s="68"/>
      <c r="AY513" s="68"/>
      <c r="AZ513" s="68"/>
      <c r="BA513" s="68"/>
      <c r="BB513" s="68"/>
      <c r="BC513" s="68"/>
      <c r="BD513" s="68"/>
      <c r="BE513" s="68"/>
      <c r="BF513" s="68"/>
      <c r="BG513" s="68"/>
      <c r="BH513" s="68"/>
      <c r="BI513" s="68"/>
      <c r="BJ513" s="68"/>
      <c r="BK513" s="68"/>
      <c r="BL513" s="68"/>
      <c r="BM513" s="68"/>
      <c r="BN513" s="68"/>
    </row>
    <row r="514" spans="1:66" ht="17">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68"/>
      <c r="AG514" s="68"/>
      <c r="AH514" s="68"/>
      <c r="AI514" s="68"/>
      <c r="AJ514" s="68"/>
      <c r="AK514" s="68"/>
      <c r="AL514" s="68"/>
      <c r="AM514" s="68"/>
      <c r="AN514" s="68"/>
      <c r="AO514" s="68"/>
      <c r="AP514" s="68"/>
      <c r="AQ514" s="68"/>
      <c r="AR514" s="68"/>
      <c r="AS514" s="68"/>
      <c r="AT514" s="68"/>
      <c r="AU514" s="68"/>
      <c r="AV514" s="68"/>
      <c r="AW514" s="68"/>
      <c r="AX514" s="68"/>
      <c r="AY514" s="68"/>
      <c r="AZ514" s="68"/>
      <c r="BA514" s="68"/>
      <c r="BB514" s="68"/>
      <c r="BC514" s="68"/>
      <c r="BD514" s="68"/>
      <c r="BE514" s="68"/>
      <c r="BF514" s="68"/>
      <c r="BG514" s="68"/>
      <c r="BH514" s="68"/>
      <c r="BI514" s="68"/>
      <c r="BJ514" s="68"/>
      <c r="BK514" s="68"/>
      <c r="BL514" s="68"/>
      <c r="BM514" s="68"/>
      <c r="BN514" s="68"/>
    </row>
    <row r="515" spans="1:66" ht="17">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68"/>
      <c r="AG515" s="68"/>
      <c r="AH515" s="68"/>
      <c r="AI515" s="68"/>
      <c r="AJ515" s="68"/>
      <c r="AK515" s="68"/>
      <c r="AL515" s="68"/>
      <c r="AM515" s="68"/>
      <c r="AN515" s="68"/>
      <c r="AO515" s="68"/>
      <c r="AP515" s="68"/>
      <c r="AQ515" s="68"/>
      <c r="AR515" s="68"/>
      <c r="AS515" s="68"/>
      <c r="AT515" s="68"/>
      <c r="AU515" s="68"/>
      <c r="AV515" s="68"/>
      <c r="AW515" s="68"/>
      <c r="AX515" s="68"/>
      <c r="AY515" s="68"/>
      <c r="AZ515" s="68"/>
      <c r="BA515" s="68"/>
      <c r="BB515" s="68"/>
      <c r="BC515" s="68"/>
      <c r="BD515" s="68"/>
      <c r="BE515" s="68"/>
      <c r="BF515" s="68"/>
      <c r="BG515" s="68"/>
      <c r="BH515" s="68"/>
      <c r="BI515" s="68"/>
      <c r="BJ515" s="68"/>
      <c r="BK515" s="68"/>
      <c r="BL515" s="68"/>
      <c r="BM515" s="68"/>
      <c r="BN515" s="68"/>
    </row>
    <row r="516" spans="1:66" ht="17">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68"/>
      <c r="AG516" s="68"/>
      <c r="AH516" s="68"/>
      <c r="AI516" s="68"/>
      <c r="AJ516" s="68"/>
      <c r="AK516" s="68"/>
      <c r="AL516" s="68"/>
      <c r="AM516" s="68"/>
      <c r="AN516" s="68"/>
      <c r="AO516" s="68"/>
      <c r="AP516" s="68"/>
      <c r="AQ516" s="68"/>
      <c r="AR516" s="68"/>
      <c r="AS516" s="68"/>
      <c r="AT516" s="68"/>
      <c r="AU516" s="68"/>
      <c r="AV516" s="68"/>
      <c r="AW516" s="68"/>
      <c r="AX516" s="68"/>
      <c r="AY516" s="68"/>
      <c r="AZ516" s="68"/>
      <c r="BA516" s="68"/>
      <c r="BB516" s="68"/>
      <c r="BC516" s="68"/>
      <c r="BD516" s="68"/>
      <c r="BE516" s="68"/>
      <c r="BF516" s="68"/>
      <c r="BG516" s="68"/>
      <c r="BH516" s="68"/>
      <c r="BI516" s="68"/>
      <c r="BJ516" s="68"/>
      <c r="BK516" s="68"/>
      <c r="BL516" s="68"/>
      <c r="BM516" s="68"/>
      <c r="BN516" s="68"/>
    </row>
    <row r="517" spans="1:66" ht="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68"/>
      <c r="AG517" s="68"/>
      <c r="AH517" s="68"/>
      <c r="AI517" s="68"/>
      <c r="AJ517" s="68"/>
      <c r="AK517" s="68"/>
      <c r="AL517" s="68"/>
      <c r="AM517" s="68"/>
      <c r="AN517" s="68"/>
      <c r="AO517" s="68"/>
      <c r="AP517" s="68"/>
      <c r="AQ517" s="68"/>
      <c r="AR517" s="68"/>
      <c r="AS517" s="68"/>
      <c r="AT517" s="68"/>
      <c r="AU517" s="68"/>
      <c r="AV517" s="68"/>
      <c r="AW517" s="68"/>
      <c r="AX517" s="68"/>
      <c r="AY517" s="68"/>
      <c r="AZ517" s="68"/>
      <c r="BA517" s="68"/>
      <c r="BB517" s="68"/>
      <c r="BC517" s="68"/>
      <c r="BD517" s="68"/>
      <c r="BE517" s="68"/>
      <c r="BF517" s="68"/>
      <c r="BG517" s="68"/>
      <c r="BH517" s="68"/>
      <c r="BI517" s="68"/>
      <c r="BJ517" s="68"/>
      <c r="BK517" s="68"/>
      <c r="BL517" s="68"/>
      <c r="BM517" s="68"/>
      <c r="BN517" s="68"/>
    </row>
    <row r="518" spans="1:66" ht="17">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68"/>
      <c r="AG518" s="68"/>
      <c r="AH518" s="68"/>
      <c r="AI518" s="68"/>
      <c r="AJ518" s="68"/>
      <c r="AK518" s="68"/>
      <c r="AL518" s="68"/>
      <c r="AM518" s="68"/>
      <c r="AN518" s="68"/>
      <c r="AO518" s="68"/>
      <c r="AP518" s="68"/>
      <c r="AQ518" s="68"/>
      <c r="AR518" s="68"/>
      <c r="AS518" s="68"/>
      <c r="AT518" s="68"/>
      <c r="AU518" s="68"/>
      <c r="AV518" s="68"/>
      <c r="AW518" s="68"/>
      <c r="AX518" s="68"/>
      <c r="AY518" s="68"/>
      <c r="AZ518" s="68"/>
      <c r="BA518" s="68"/>
      <c r="BB518" s="68"/>
      <c r="BC518" s="68"/>
      <c r="BD518" s="68"/>
      <c r="BE518" s="68"/>
      <c r="BF518" s="68"/>
      <c r="BG518" s="68"/>
      <c r="BH518" s="68"/>
      <c r="BI518" s="68"/>
      <c r="BJ518" s="68"/>
      <c r="BK518" s="68"/>
      <c r="BL518" s="68"/>
      <c r="BM518" s="68"/>
      <c r="BN518" s="68"/>
    </row>
    <row r="519" spans="1:66" ht="17">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68"/>
      <c r="AG519" s="68"/>
      <c r="AH519" s="68"/>
      <c r="AI519" s="68"/>
      <c r="AJ519" s="68"/>
      <c r="AK519" s="68"/>
      <c r="AL519" s="68"/>
      <c r="AM519" s="68"/>
      <c r="AN519" s="68"/>
      <c r="AO519" s="68"/>
      <c r="AP519" s="68"/>
      <c r="AQ519" s="68"/>
      <c r="AR519" s="68"/>
      <c r="AS519" s="68"/>
      <c r="AT519" s="68"/>
      <c r="AU519" s="68"/>
      <c r="AV519" s="68"/>
      <c r="AW519" s="68"/>
      <c r="AX519" s="68"/>
      <c r="AY519" s="68"/>
      <c r="AZ519" s="68"/>
      <c r="BA519" s="68"/>
      <c r="BB519" s="68"/>
      <c r="BC519" s="68"/>
      <c r="BD519" s="68"/>
      <c r="BE519" s="68"/>
      <c r="BF519" s="68"/>
      <c r="BG519" s="68"/>
      <c r="BH519" s="68"/>
      <c r="BI519" s="68"/>
      <c r="BJ519" s="68"/>
      <c r="BK519" s="68"/>
      <c r="BL519" s="68"/>
      <c r="BM519" s="68"/>
      <c r="BN519" s="68"/>
    </row>
    <row r="520" spans="1:66" ht="17">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68"/>
      <c r="AG520" s="68"/>
      <c r="AH520" s="68"/>
      <c r="AI520" s="68"/>
      <c r="AJ520" s="68"/>
      <c r="AK520" s="68"/>
      <c r="AL520" s="68"/>
      <c r="AM520" s="68"/>
      <c r="AN520" s="68"/>
      <c r="AO520" s="68"/>
      <c r="AP520" s="68"/>
      <c r="AQ520" s="68"/>
      <c r="AR520" s="68"/>
      <c r="AS520" s="68"/>
      <c r="AT520" s="68"/>
      <c r="AU520" s="68"/>
      <c r="AV520" s="68"/>
      <c r="AW520" s="68"/>
      <c r="AX520" s="68"/>
      <c r="AY520" s="68"/>
      <c r="AZ520" s="68"/>
      <c r="BA520" s="68"/>
      <c r="BB520" s="68"/>
      <c r="BC520" s="68"/>
      <c r="BD520" s="68"/>
      <c r="BE520" s="68"/>
      <c r="BF520" s="68"/>
      <c r="BG520" s="68"/>
      <c r="BH520" s="68"/>
      <c r="BI520" s="68"/>
      <c r="BJ520" s="68"/>
      <c r="BK520" s="68"/>
      <c r="BL520" s="68"/>
      <c r="BM520" s="68"/>
      <c r="BN520" s="68"/>
    </row>
    <row r="521" spans="1:66" ht="17">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c r="AG521" s="68"/>
      <c r="AH521" s="68"/>
      <c r="AI521" s="68"/>
      <c r="AJ521" s="68"/>
      <c r="AK521" s="68"/>
      <c r="AL521" s="68"/>
      <c r="AM521" s="68"/>
      <c r="AN521" s="68"/>
      <c r="AO521" s="68"/>
      <c r="AP521" s="68"/>
      <c r="AQ521" s="68"/>
      <c r="AR521" s="68"/>
      <c r="AS521" s="68"/>
      <c r="AT521" s="68"/>
      <c r="AU521" s="68"/>
      <c r="AV521" s="68"/>
      <c r="AW521" s="68"/>
      <c r="AX521" s="68"/>
      <c r="AY521" s="68"/>
      <c r="AZ521" s="68"/>
      <c r="BA521" s="68"/>
      <c r="BB521" s="68"/>
      <c r="BC521" s="68"/>
      <c r="BD521" s="68"/>
      <c r="BE521" s="68"/>
      <c r="BF521" s="68"/>
      <c r="BG521" s="68"/>
      <c r="BH521" s="68"/>
      <c r="BI521" s="68"/>
      <c r="BJ521" s="68"/>
      <c r="BK521" s="68"/>
      <c r="BL521" s="68"/>
      <c r="BM521" s="68"/>
      <c r="BN521" s="68"/>
    </row>
    <row r="522" spans="1:66" ht="17">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68"/>
      <c r="AG522" s="68"/>
      <c r="AH522" s="68"/>
      <c r="AI522" s="68"/>
      <c r="AJ522" s="68"/>
      <c r="AK522" s="68"/>
      <c r="AL522" s="68"/>
      <c r="AM522" s="68"/>
      <c r="AN522" s="68"/>
      <c r="AO522" s="68"/>
      <c r="AP522" s="68"/>
      <c r="AQ522" s="68"/>
      <c r="AR522" s="68"/>
      <c r="AS522" s="68"/>
      <c r="AT522" s="68"/>
      <c r="AU522" s="68"/>
      <c r="AV522" s="68"/>
      <c r="AW522" s="68"/>
      <c r="AX522" s="68"/>
      <c r="AY522" s="68"/>
      <c r="AZ522" s="68"/>
      <c r="BA522" s="68"/>
      <c r="BB522" s="68"/>
      <c r="BC522" s="68"/>
      <c r="BD522" s="68"/>
      <c r="BE522" s="68"/>
      <c r="BF522" s="68"/>
      <c r="BG522" s="68"/>
      <c r="BH522" s="68"/>
      <c r="BI522" s="68"/>
      <c r="BJ522" s="68"/>
      <c r="BK522" s="68"/>
      <c r="BL522" s="68"/>
      <c r="BM522" s="68"/>
      <c r="BN522" s="68"/>
    </row>
    <row r="523" spans="1:66" ht="17">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68"/>
      <c r="AG523" s="68"/>
      <c r="AH523" s="68"/>
      <c r="AI523" s="68"/>
      <c r="AJ523" s="68"/>
      <c r="AK523" s="68"/>
      <c r="AL523" s="68"/>
      <c r="AM523" s="68"/>
      <c r="AN523" s="68"/>
      <c r="AO523" s="68"/>
      <c r="AP523" s="68"/>
      <c r="AQ523" s="68"/>
      <c r="AR523" s="68"/>
      <c r="AS523" s="68"/>
      <c r="AT523" s="68"/>
      <c r="AU523" s="68"/>
      <c r="AV523" s="68"/>
      <c r="AW523" s="68"/>
      <c r="AX523" s="68"/>
      <c r="AY523" s="68"/>
      <c r="AZ523" s="68"/>
      <c r="BA523" s="68"/>
      <c r="BB523" s="68"/>
      <c r="BC523" s="68"/>
      <c r="BD523" s="68"/>
      <c r="BE523" s="68"/>
      <c r="BF523" s="68"/>
      <c r="BG523" s="68"/>
      <c r="BH523" s="68"/>
      <c r="BI523" s="68"/>
      <c r="BJ523" s="68"/>
      <c r="BK523" s="68"/>
      <c r="BL523" s="68"/>
      <c r="BM523" s="68"/>
      <c r="BN523" s="68"/>
    </row>
    <row r="524" spans="1:66" ht="17">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68"/>
      <c r="AG524" s="68"/>
      <c r="AH524" s="68"/>
      <c r="AI524" s="68"/>
      <c r="AJ524" s="68"/>
      <c r="AK524" s="68"/>
      <c r="AL524" s="68"/>
      <c r="AM524" s="68"/>
      <c r="AN524" s="68"/>
      <c r="AO524" s="68"/>
      <c r="AP524" s="68"/>
      <c r="AQ524" s="68"/>
      <c r="AR524" s="68"/>
      <c r="AS524" s="68"/>
      <c r="AT524" s="68"/>
      <c r="AU524" s="68"/>
      <c r="AV524" s="68"/>
      <c r="AW524" s="68"/>
      <c r="AX524" s="68"/>
      <c r="AY524" s="68"/>
      <c r="AZ524" s="68"/>
      <c r="BA524" s="68"/>
      <c r="BB524" s="68"/>
      <c r="BC524" s="68"/>
      <c r="BD524" s="68"/>
      <c r="BE524" s="68"/>
      <c r="BF524" s="68"/>
      <c r="BG524" s="68"/>
      <c r="BH524" s="68"/>
      <c r="BI524" s="68"/>
      <c r="BJ524" s="68"/>
      <c r="BK524" s="68"/>
      <c r="BL524" s="68"/>
      <c r="BM524" s="68"/>
      <c r="BN524" s="68"/>
    </row>
    <row r="525" spans="1:66" ht="17">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68"/>
      <c r="AG525" s="68"/>
      <c r="AH525" s="68"/>
      <c r="AI525" s="68"/>
      <c r="AJ525" s="68"/>
      <c r="AK525" s="68"/>
      <c r="AL525" s="68"/>
      <c r="AM525" s="68"/>
      <c r="AN525" s="68"/>
      <c r="AO525" s="68"/>
      <c r="AP525" s="68"/>
      <c r="AQ525" s="68"/>
      <c r="AR525" s="68"/>
      <c r="AS525" s="68"/>
      <c r="AT525" s="68"/>
      <c r="AU525" s="68"/>
      <c r="AV525" s="68"/>
      <c r="AW525" s="68"/>
      <c r="AX525" s="68"/>
      <c r="AY525" s="68"/>
      <c r="AZ525" s="68"/>
      <c r="BA525" s="68"/>
      <c r="BB525" s="68"/>
      <c r="BC525" s="68"/>
      <c r="BD525" s="68"/>
      <c r="BE525" s="68"/>
      <c r="BF525" s="68"/>
      <c r="BG525" s="68"/>
      <c r="BH525" s="68"/>
      <c r="BI525" s="68"/>
      <c r="BJ525" s="68"/>
      <c r="BK525" s="68"/>
      <c r="BL525" s="68"/>
      <c r="BM525" s="68"/>
      <c r="BN525" s="68"/>
    </row>
    <row r="526" spans="1:66" ht="17">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68"/>
      <c r="AG526" s="68"/>
      <c r="AH526" s="68"/>
      <c r="AI526" s="68"/>
      <c r="AJ526" s="68"/>
      <c r="AK526" s="68"/>
      <c r="AL526" s="68"/>
      <c r="AM526" s="68"/>
      <c r="AN526" s="68"/>
      <c r="AO526" s="68"/>
      <c r="AP526" s="68"/>
      <c r="AQ526" s="68"/>
      <c r="AR526" s="68"/>
      <c r="AS526" s="68"/>
      <c r="AT526" s="68"/>
      <c r="AU526" s="68"/>
      <c r="AV526" s="68"/>
      <c r="AW526" s="68"/>
      <c r="AX526" s="68"/>
      <c r="AY526" s="68"/>
      <c r="AZ526" s="68"/>
      <c r="BA526" s="68"/>
      <c r="BB526" s="68"/>
      <c r="BC526" s="68"/>
      <c r="BD526" s="68"/>
      <c r="BE526" s="68"/>
      <c r="BF526" s="68"/>
      <c r="BG526" s="68"/>
      <c r="BH526" s="68"/>
      <c r="BI526" s="68"/>
      <c r="BJ526" s="68"/>
      <c r="BK526" s="68"/>
      <c r="BL526" s="68"/>
      <c r="BM526" s="68"/>
      <c r="BN526" s="68"/>
    </row>
    <row r="527" spans="1:66" ht="1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68"/>
      <c r="AG527" s="68"/>
      <c r="AH527" s="68"/>
      <c r="AI527" s="68"/>
      <c r="AJ527" s="68"/>
      <c r="AK527" s="68"/>
      <c r="AL527" s="68"/>
      <c r="AM527" s="68"/>
      <c r="AN527" s="68"/>
      <c r="AO527" s="68"/>
      <c r="AP527" s="68"/>
      <c r="AQ527" s="68"/>
      <c r="AR527" s="68"/>
      <c r="AS527" s="68"/>
      <c r="AT527" s="68"/>
      <c r="AU527" s="68"/>
      <c r="AV527" s="68"/>
      <c r="AW527" s="68"/>
      <c r="AX527" s="68"/>
      <c r="AY527" s="68"/>
      <c r="AZ527" s="68"/>
      <c r="BA527" s="68"/>
      <c r="BB527" s="68"/>
      <c r="BC527" s="68"/>
      <c r="BD527" s="68"/>
      <c r="BE527" s="68"/>
      <c r="BF527" s="68"/>
      <c r="BG527" s="68"/>
      <c r="BH527" s="68"/>
      <c r="BI527" s="68"/>
      <c r="BJ527" s="68"/>
      <c r="BK527" s="68"/>
      <c r="BL527" s="68"/>
      <c r="BM527" s="68"/>
      <c r="BN527" s="68"/>
    </row>
    <row r="528" spans="1:66" ht="17">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68"/>
      <c r="AG528" s="68"/>
      <c r="AH528" s="68"/>
      <c r="AI528" s="68"/>
      <c r="AJ528" s="68"/>
      <c r="AK528" s="68"/>
      <c r="AL528" s="68"/>
      <c r="AM528" s="68"/>
      <c r="AN528" s="68"/>
      <c r="AO528" s="68"/>
      <c r="AP528" s="68"/>
      <c r="AQ528" s="68"/>
      <c r="AR528" s="68"/>
      <c r="AS528" s="68"/>
      <c r="AT528" s="68"/>
      <c r="AU528" s="68"/>
      <c r="AV528" s="68"/>
      <c r="AW528" s="68"/>
      <c r="AX528" s="68"/>
      <c r="AY528" s="68"/>
      <c r="AZ528" s="68"/>
      <c r="BA528" s="68"/>
      <c r="BB528" s="68"/>
      <c r="BC528" s="68"/>
      <c r="BD528" s="68"/>
      <c r="BE528" s="68"/>
      <c r="BF528" s="68"/>
      <c r="BG528" s="68"/>
      <c r="BH528" s="68"/>
      <c r="BI528" s="68"/>
      <c r="BJ528" s="68"/>
      <c r="BK528" s="68"/>
      <c r="BL528" s="68"/>
      <c r="BM528" s="68"/>
      <c r="BN528" s="68"/>
    </row>
    <row r="529" spans="1:66" ht="17">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68"/>
      <c r="AG529" s="68"/>
      <c r="AH529" s="68"/>
      <c r="AI529" s="68"/>
      <c r="AJ529" s="68"/>
      <c r="AK529" s="68"/>
      <c r="AL529" s="68"/>
      <c r="AM529" s="68"/>
      <c r="AN529" s="68"/>
      <c r="AO529" s="68"/>
      <c r="AP529" s="68"/>
      <c r="AQ529" s="68"/>
      <c r="AR529" s="68"/>
      <c r="AS529" s="68"/>
      <c r="AT529" s="68"/>
      <c r="AU529" s="68"/>
      <c r="AV529" s="68"/>
      <c r="AW529" s="68"/>
      <c r="AX529" s="68"/>
      <c r="AY529" s="68"/>
      <c r="AZ529" s="68"/>
      <c r="BA529" s="68"/>
      <c r="BB529" s="68"/>
      <c r="BC529" s="68"/>
      <c r="BD529" s="68"/>
      <c r="BE529" s="68"/>
      <c r="BF529" s="68"/>
      <c r="BG529" s="68"/>
      <c r="BH529" s="68"/>
      <c r="BI529" s="68"/>
      <c r="BJ529" s="68"/>
      <c r="BK529" s="68"/>
      <c r="BL529" s="68"/>
      <c r="BM529" s="68"/>
      <c r="BN529" s="68"/>
    </row>
    <row r="530" spans="1:66" ht="17">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68"/>
      <c r="AG530" s="68"/>
      <c r="AH530" s="68"/>
      <c r="AI530" s="68"/>
      <c r="AJ530" s="68"/>
      <c r="AK530" s="68"/>
      <c r="AL530" s="68"/>
      <c r="AM530" s="68"/>
      <c r="AN530" s="68"/>
      <c r="AO530" s="68"/>
      <c r="AP530" s="68"/>
      <c r="AQ530" s="68"/>
      <c r="AR530" s="68"/>
      <c r="AS530" s="68"/>
      <c r="AT530" s="68"/>
      <c r="AU530" s="68"/>
      <c r="AV530" s="68"/>
      <c r="AW530" s="68"/>
      <c r="AX530" s="68"/>
      <c r="AY530" s="68"/>
      <c r="AZ530" s="68"/>
      <c r="BA530" s="68"/>
      <c r="BB530" s="68"/>
      <c r="BC530" s="68"/>
      <c r="BD530" s="68"/>
      <c r="BE530" s="68"/>
      <c r="BF530" s="68"/>
      <c r="BG530" s="68"/>
      <c r="BH530" s="68"/>
      <c r="BI530" s="68"/>
      <c r="BJ530" s="68"/>
      <c r="BK530" s="68"/>
      <c r="BL530" s="68"/>
      <c r="BM530" s="68"/>
      <c r="BN530" s="68"/>
    </row>
    <row r="531" spans="1:66" ht="17">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68"/>
      <c r="AG531" s="68"/>
      <c r="AH531" s="68"/>
      <c r="AI531" s="68"/>
      <c r="AJ531" s="68"/>
      <c r="AK531" s="68"/>
      <c r="AL531" s="68"/>
      <c r="AM531" s="68"/>
      <c r="AN531" s="68"/>
      <c r="AO531" s="68"/>
      <c r="AP531" s="68"/>
      <c r="AQ531" s="68"/>
      <c r="AR531" s="68"/>
      <c r="AS531" s="68"/>
      <c r="AT531" s="68"/>
      <c r="AU531" s="68"/>
      <c r="AV531" s="68"/>
      <c r="AW531" s="68"/>
      <c r="AX531" s="68"/>
      <c r="AY531" s="68"/>
      <c r="AZ531" s="68"/>
      <c r="BA531" s="68"/>
      <c r="BB531" s="68"/>
      <c r="BC531" s="68"/>
      <c r="BD531" s="68"/>
      <c r="BE531" s="68"/>
      <c r="BF531" s="68"/>
      <c r="BG531" s="68"/>
      <c r="BH531" s="68"/>
      <c r="BI531" s="68"/>
      <c r="BJ531" s="68"/>
      <c r="BK531" s="68"/>
      <c r="BL531" s="68"/>
      <c r="BM531" s="68"/>
      <c r="BN531" s="68"/>
    </row>
    <row r="532" spans="1:66" ht="17">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68"/>
      <c r="AG532" s="68"/>
      <c r="AH532" s="68"/>
      <c r="AI532" s="68"/>
      <c r="AJ532" s="68"/>
      <c r="AK532" s="68"/>
      <c r="AL532" s="68"/>
      <c r="AM532" s="68"/>
      <c r="AN532" s="68"/>
      <c r="AO532" s="68"/>
      <c r="AP532" s="68"/>
      <c r="AQ532" s="68"/>
      <c r="AR532" s="68"/>
      <c r="AS532" s="68"/>
      <c r="AT532" s="68"/>
      <c r="AU532" s="68"/>
      <c r="AV532" s="68"/>
      <c r="AW532" s="68"/>
      <c r="AX532" s="68"/>
      <c r="AY532" s="68"/>
      <c r="AZ532" s="68"/>
      <c r="BA532" s="68"/>
      <c r="BB532" s="68"/>
      <c r="BC532" s="68"/>
      <c r="BD532" s="68"/>
      <c r="BE532" s="68"/>
      <c r="BF532" s="68"/>
      <c r="BG532" s="68"/>
      <c r="BH532" s="68"/>
      <c r="BI532" s="68"/>
      <c r="BJ532" s="68"/>
      <c r="BK532" s="68"/>
      <c r="BL532" s="68"/>
      <c r="BM532" s="68"/>
      <c r="BN532" s="68"/>
    </row>
    <row r="533" spans="1:66" ht="17">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68"/>
      <c r="AG533" s="68"/>
      <c r="AH533" s="68"/>
      <c r="AI533" s="68"/>
      <c r="AJ533" s="68"/>
      <c r="AK533" s="68"/>
      <c r="AL533" s="68"/>
      <c r="AM533" s="68"/>
      <c r="AN533" s="68"/>
      <c r="AO533" s="68"/>
      <c r="AP533" s="68"/>
      <c r="AQ533" s="68"/>
      <c r="AR533" s="68"/>
      <c r="AS533" s="68"/>
      <c r="AT533" s="68"/>
      <c r="AU533" s="68"/>
      <c r="AV533" s="68"/>
      <c r="AW533" s="68"/>
      <c r="AX533" s="68"/>
      <c r="AY533" s="68"/>
      <c r="AZ533" s="68"/>
      <c r="BA533" s="68"/>
      <c r="BB533" s="68"/>
      <c r="BC533" s="68"/>
      <c r="BD533" s="68"/>
      <c r="BE533" s="68"/>
      <c r="BF533" s="68"/>
      <c r="BG533" s="68"/>
      <c r="BH533" s="68"/>
      <c r="BI533" s="68"/>
      <c r="BJ533" s="68"/>
      <c r="BK533" s="68"/>
      <c r="BL533" s="68"/>
      <c r="BM533" s="68"/>
      <c r="BN533" s="68"/>
    </row>
    <row r="534" spans="1:66" ht="17">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c r="AG534" s="68"/>
      <c r="AH534" s="68"/>
      <c r="AI534" s="68"/>
      <c r="AJ534" s="68"/>
      <c r="AK534" s="68"/>
      <c r="AL534" s="68"/>
      <c r="AM534" s="68"/>
      <c r="AN534" s="68"/>
      <c r="AO534" s="68"/>
      <c r="AP534" s="68"/>
      <c r="AQ534" s="68"/>
      <c r="AR534" s="68"/>
      <c r="AS534" s="68"/>
      <c r="AT534" s="68"/>
      <c r="AU534" s="68"/>
      <c r="AV534" s="68"/>
      <c r="AW534" s="68"/>
      <c r="AX534" s="68"/>
      <c r="AY534" s="68"/>
      <c r="AZ534" s="68"/>
      <c r="BA534" s="68"/>
      <c r="BB534" s="68"/>
      <c r="BC534" s="68"/>
      <c r="BD534" s="68"/>
      <c r="BE534" s="68"/>
      <c r="BF534" s="68"/>
      <c r="BG534" s="68"/>
      <c r="BH534" s="68"/>
      <c r="BI534" s="68"/>
      <c r="BJ534" s="68"/>
      <c r="BK534" s="68"/>
      <c r="BL534" s="68"/>
      <c r="BM534" s="68"/>
      <c r="BN534" s="68"/>
    </row>
    <row r="535" spans="1:66" ht="17">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c r="AG535" s="68"/>
      <c r="AH535" s="68"/>
      <c r="AI535" s="68"/>
      <c r="AJ535" s="68"/>
      <c r="AK535" s="68"/>
      <c r="AL535" s="68"/>
      <c r="AM535" s="68"/>
      <c r="AN535" s="68"/>
      <c r="AO535" s="68"/>
      <c r="AP535" s="68"/>
      <c r="AQ535" s="68"/>
      <c r="AR535" s="68"/>
      <c r="AS535" s="68"/>
      <c r="AT535" s="68"/>
      <c r="AU535" s="68"/>
      <c r="AV535" s="68"/>
      <c r="AW535" s="68"/>
      <c r="AX535" s="68"/>
      <c r="AY535" s="68"/>
      <c r="AZ535" s="68"/>
      <c r="BA535" s="68"/>
      <c r="BB535" s="68"/>
      <c r="BC535" s="68"/>
      <c r="BD535" s="68"/>
      <c r="BE535" s="68"/>
      <c r="BF535" s="68"/>
      <c r="BG535" s="68"/>
      <c r="BH535" s="68"/>
      <c r="BI535" s="68"/>
      <c r="BJ535" s="68"/>
      <c r="BK535" s="68"/>
      <c r="BL535" s="68"/>
      <c r="BM535" s="68"/>
      <c r="BN535" s="68"/>
    </row>
    <row r="536" spans="1:66" ht="17">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68"/>
      <c r="AG536" s="68"/>
      <c r="AH536" s="68"/>
      <c r="AI536" s="68"/>
      <c r="AJ536" s="68"/>
      <c r="AK536" s="68"/>
      <c r="AL536" s="68"/>
      <c r="AM536" s="68"/>
      <c r="AN536" s="68"/>
      <c r="AO536" s="68"/>
      <c r="AP536" s="68"/>
      <c r="AQ536" s="68"/>
      <c r="AR536" s="68"/>
      <c r="AS536" s="68"/>
      <c r="AT536" s="68"/>
      <c r="AU536" s="68"/>
      <c r="AV536" s="68"/>
      <c r="AW536" s="68"/>
      <c r="AX536" s="68"/>
      <c r="AY536" s="68"/>
      <c r="AZ536" s="68"/>
      <c r="BA536" s="68"/>
      <c r="BB536" s="68"/>
      <c r="BC536" s="68"/>
      <c r="BD536" s="68"/>
      <c r="BE536" s="68"/>
      <c r="BF536" s="68"/>
      <c r="BG536" s="68"/>
      <c r="BH536" s="68"/>
      <c r="BI536" s="68"/>
      <c r="BJ536" s="68"/>
      <c r="BK536" s="68"/>
      <c r="BL536" s="68"/>
      <c r="BM536" s="68"/>
      <c r="BN536" s="68"/>
    </row>
    <row r="537" spans="1:66" ht="1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68"/>
      <c r="AG537" s="68"/>
      <c r="AH537" s="68"/>
      <c r="AI537" s="68"/>
      <c r="AJ537" s="68"/>
      <c r="AK537" s="68"/>
      <c r="AL537" s="68"/>
      <c r="AM537" s="68"/>
      <c r="AN537" s="68"/>
      <c r="AO537" s="68"/>
      <c r="AP537" s="68"/>
      <c r="AQ537" s="68"/>
      <c r="AR537" s="68"/>
      <c r="AS537" s="68"/>
      <c r="AT537" s="68"/>
      <c r="AU537" s="68"/>
      <c r="AV537" s="68"/>
      <c r="AW537" s="68"/>
      <c r="AX537" s="68"/>
      <c r="AY537" s="68"/>
      <c r="AZ537" s="68"/>
      <c r="BA537" s="68"/>
      <c r="BB537" s="68"/>
      <c r="BC537" s="68"/>
      <c r="BD537" s="68"/>
      <c r="BE537" s="68"/>
      <c r="BF537" s="68"/>
      <c r="BG537" s="68"/>
      <c r="BH537" s="68"/>
      <c r="BI537" s="68"/>
      <c r="BJ537" s="68"/>
      <c r="BK537" s="68"/>
      <c r="BL537" s="68"/>
      <c r="BM537" s="68"/>
      <c r="BN537" s="68"/>
    </row>
    <row r="538" spans="1:66" ht="17">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68"/>
      <c r="AG538" s="68"/>
      <c r="AH538" s="68"/>
      <c r="AI538" s="68"/>
      <c r="AJ538" s="68"/>
      <c r="AK538" s="68"/>
      <c r="AL538" s="68"/>
      <c r="AM538" s="68"/>
      <c r="AN538" s="68"/>
      <c r="AO538" s="68"/>
      <c r="AP538" s="68"/>
      <c r="AQ538" s="68"/>
      <c r="AR538" s="68"/>
      <c r="AS538" s="68"/>
      <c r="AT538" s="68"/>
      <c r="AU538" s="68"/>
      <c r="AV538" s="68"/>
      <c r="AW538" s="68"/>
      <c r="AX538" s="68"/>
      <c r="AY538" s="68"/>
      <c r="AZ538" s="68"/>
      <c r="BA538" s="68"/>
      <c r="BB538" s="68"/>
      <c r="BC538" s="68"/>
      <c r="BD538" s="68"/>
      <c r="BE538" s="68"/>
      <c r="BF538" s="68"/>
      <c r="BG538" s="68"/>
      <c r="BH538" s="68"/>
      <c r="BI538" s="68"/>
      <c r="BJ538" s="68"/>
      <c r="BK538" s="68"/>
      <c r="BL538" s="68"/>
      <c r="BM538" s="68"/>
      <c r="BN538" s="68"/>
    </row>
    <row r="539" spans="1:66" ht="17">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68"/>
      <c r="AG539" s="68"/>
      <c r="AH539" s="68"/>
      <c r="AI539" s="68"/>
      <c r="AJ539" s="68"/>
      <c r="AK539" s="68"/>
      <c r="AL539" s="68"/>
      <c r="AM539" s="68"/>
      <c r="AN539" s="68"/>
      <c r="AO539" s="68"/>
      <c r="AP539" s="68"/>
      <c r="AQ539" s="68"/>
      <c r="AR539" s="68"/>
      <c r="AS539" s="68"/>
      <c r="AT539" s="68"/>
      <c r="AU539" s="68"/>
      <c r="AV539" s="68"/>
      <c r="AW539" s="68"/>
      <c r="AX539" s="68"/>
      <c r="AY539" s="68"/>
      <c r="AZ539" s="68"/>
      <c r="BA539" s="68"/>
      <c r="BB539" s="68"/>
      <c r="BC539" s="68"/>
      <c r="BD539" s="68"/>
      <c r="BE539" s="68"/>
      <c r="BF539" s="68"/>
      <c r="BG539" s="68"/>
      <c r="BH539" s="68"/>
      <c r="BI539" s="68"/>
      <c r="BJ539" s="68"/>
      <c r="BK539" s="68"/>
      <c r="BL539" s="68"/>
      <c r="BM539" s="68"/>
      <c r="BN539" s="68"/>
    </row>
    <row r="540" spans="1:66" ht="17">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68"/>
      <c r="AG540" s="68"/>
      <c r="AH540" s="68"/>
      <c r="AI540" s="68"/>
      <c r="AJ540" s="68"/>
      <c r="AK540" s="68"/>
      <c r="AL540" s="68"/>
      <c r="AM540" s="68"/>
      <c r="AN540" s="68"/>
      <c r="AO540" s="68"/>
      <c r="AP540" s="68"/>
      <c r="AQ540" s="68"/>
      <c r="AR540" s="68"/>
      <c r="AS540" s="68"/>
      <c r="AT540" s="68"/>
      <c r="AU540" s="68"/>
      <c r="AV540" s="68"/>
      <c r="AW540" s="68"/>
      <c r="AX540" s="68"/>
      <c r="AY540" s="68"/>
      <c r="AZ540" s="68"/>
      <c r="BA540" s="68"/>
      <c r="BB540" s="68"/>
      <c r="BC540" s="68"/>
      <c r="BD540" s="68"/>
      <c r="BE540" s="68"/>
      <c r="BF540" s="68"/>
      <c r="BG540" s="68"/>
      <c r="BH540" s="68"/>
      <c r="BI540" s="68"/>
      <c r="BJ540" s="68"/>
      <c r="BK540" s="68"/>
      <c r="BL540" s="68"/>
      <c r="BM540" s="68"/>
      <c r="BN540" s="68"/>
    </row>
    <row r="541" spans="1:66" ht="17">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68"/>
      <c r="AG541" s="68"/>
      <c r="AH541" s="68"/>
      <c r="AI541" s="68"/>
      <c r="AJ541" s="68"/>
      <c r="AK541" s="68"/>
      <c r="AL541" s="68"/>
      <c r="AM541" s="68"/>
      <c r="AN541" s="68"/>
      <c r="AO541" s="68"/>
      <c r="AP541" s="68"/>
      <c r="AQ541" s="68"/>
      <c r="AR541" s="68"/>
      <c r="AS541" s="68"/>
      <c r="AT541" s="68"/>
      <c r="AU541" s="68"/>
      <c r="AV541" s="68"/>
      <c r="AW541" s="68"/>
      <c r="AX541" s="68"/>
      <c r="AY541" s="68"/>
      <c r="AZ541" s="68"/>
      <c r="BA541" s="68"/>
      <c r="BB541" s="68"/>
      <c r="BC541" s="68"/>
      <c r="BD541" s="68"/>
      <c r="BE541" s="68"/>
      <c r="BF541" s="68"/>
      <c r="BG541" s="68"/>
      <c r="BH541" s="68"/>
      <c r="BI541" s="68"/>
      <c r="BJ541" s="68"/>
      <c r="BK541" s="68"/>
      <c r="BL541" s="68"/>
      <c r="BM541" s="68"/>
      <c r="BN541" s="68"/>
    </row>
    <row r="542" spans="1:66" ht="17">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68"/>
      <c r="AG542" s="68"/>
      <c r="AH542" s="68"/>
      <c r="AI542" s="68"/>
      <c r="AJ542" s="68"/>
      <c r="AK542" s="68"/>
      <c r="AL542" s="68"/>
      <c r="AM542" s="68"/>
      <c r="AN542" s="68"/>
      <c r="AO542" s="68"/>
      <c r="AP542" s="68"/>
      <c r="AQ542" s="68"/>
      <c r="AR542" s="68"/>
      <c r="AS542" s="68"/>
      <c r="AT542" s="68"/>
      <c r="AU542" s="68"/>
      <c r="AV542" s="68"/>
      <c r="AW542" s="68"/>
      <c r="AX542" s="68"/>
      <c r="AY542" s="68"/>
      <c r="AZ542" s="68"/>
      <c r="BA542" s="68"/>
      <c r="BB542" s="68"/>
      <c r="BC542" s="68"/>
      <c r="BD542" s="68"/>
      <c r="BE542" s="68"/>
      <c r="BF542" s="68"/>
      <c r="BG542" s="68"/>
      <c r="BH542" s="68"/>
      <c r="BI542" s="68"/>
      <c r="BJ542" s="68"/>
      <c r="BK542" s="68"/>
      <c r="BL542" s="68"/>
      <c r="BM542" s="68"/>
      <c r="BN542" s="68"/>
    </row>
    <row r="543" spans="1:66" ht="17">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68"/>
      <c r="AG543" s="68"/>
      <c r="AH543" s="68"/>
      <c r="AI543" s="68"/>
      <c r="AJ543" s="68"/>
      <c r="AK543" s="68"/>
      <c r="AL543" s="68"/>
      <c r="AM543" s="68"/>
      <c r="AN543" s="68"/>
      <c r="AO543" s="68"/>
      <c r="AP543" s="68"/>
      <c r="AQ543" s="68"/>
      <c r="AR543" s="68"/>
      <c r="AS543" s="68"/>
      <c r="AT543" s="68"/>
      <c r="AU543" s="68"/>
      <c r="AV543" s="68"/>
      <c r="AW543" s="68"/>
      <c r="AX543" s="68"/>
      <c r="AY543" s="68"/>
      <c r="AZ543" s="68"/>
      <c r="BA543" s="68"/>
      <c r="BB543" s="68"/>
      <c r="BC543" s="68"/>
      <c r="BD543" s="68"/>
      <c r="BE543" s="68"/>
      <c r="BF543" s="68"/>
      <c r="BG543" s="68"/>
      <c r="BH543" s="68"/>
      <c r="BI543" s="68"/>
      <c r="BJ543" s="68"/>
      <c r="BK543" s="68"/>
      <c r="BL543" s="68"/>
      <c r="BM543" s="68"/>
      <c r="BN543" s="68"/>
    </row>
    <row r="544" spans="1:66" ht="17">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68"/>
      <c r="AG544" s="68"/>
      <c r="AH544" s="68"/>
      <c r="AI544" s="68"/>
      <c r="AJ544" s="68"/>
      <c r="AK544" s="68"/>
      <c r="AL544" s="68"/>
      <c r="AM544" s="68"/>
      <c r="AN544" s="68"/>
      <c r="AO544" s="68"/>
      <c r="AP544" s="68"/>
      <c r="AQ544" s="68"/>
      <c r="AR544" s="68"/>
      <c r="AS544" s="68"/>
      <c r="AT544" s="68"/>
      <c r="AU544" s="68"/>
      <c r="AV544" s="68"/>
      <c r="AW544" s="68"/>
      <c r="AX544" s="68"/>
      <c r="AY544" s="68"/>
      <c r="AZ544" s="68"/>
      <c r="BA544" s="68"/>
      <c r="BB544" s="68"/>
      <c r="BC544" s="68"/>
      <c r="BD544" s="68"/>
      <c r="BE544" s="68"/>
      <c r="BF544" s="68"/>
      <c r="BG544" s="68"/>
      <c r="BH544" s="68"/>
      <c r="BI544" s="68"/>
      <c r="BJ544" s="68"/>
      <c r="BK544" s="68"/>
      <c r="BL544" s="68"/>
      <c r="BM544" s="68"/>
      <c r="BN544" s="68"/>
    </row>
    <row r="545" spans="1:66" ht="17">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68"/>
      <c r="AG545" s="68"/>
      <c r="AH545" s="68"/>
      <c r="AI545" s="68"/>
      <c r="AJ545" s="68"/>
      <c r="AK545" s="68"/>
      <c r="AL545" s="68"/>
      <c r="AM545" s="68"/>
      <c r="AN545" s="68"/>
      <c r="AO545" s="68"/>
      <c r="AP545" s="68"/>
      <c r="AQ545" s="68"/>
      <c r="AR545" s="68"/>
      <c r="AS545" s="68"/>
      <c r="AT545" s="68"/>
      <c r="AU545" s="68"/>
      <c r="AV545" s="68"/>
      <c r="AW545" s="68"/>
      <c r="AX545" s="68"/>
      <c r="AY545" s="68"/>
      <c r="AZ545" s="68"/>
      <c r="BA545" s="68"/>
      <c r="BB545" s="68"/>
      <c r="BC545" s="68"/>
      <c r="BD545" s="68"/>
      <c r="BE545" s="68"/>
      <c r="BF545" s="68"/>
      <c r="BG545" s="68"/>
      <c r="BH545" s="68"/>
      <c r="BI545" s="68"/>
      <c r="BJ545" s="68"/>
      <c r="BK545" s="68"/>
      <c r="BL545" s="68"/>
      <c r="BM545" s="68"/>
      <c r="BN545" s="68"/>
    </row>
    <row r="546" spans="1:66" ht="17">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68"/>
      <c r="AG546" s="68"/>
      <c r="AH546" s="68"/>
      <c r="AI546" s="68"/>
      <c r="AJ546" s="68"/>
      <c r="AK546" s="68"/>
      <c r="AL546" s="68"/>
      <c r="AM546" s="68"/>
      <c r="AN546" s="68"/>
      <c r="AO546" s="68"/>
      <c r="AP546" s="68"/>
      <c r="AQ546" s="68"/>
      <c r="AR546" s="68"/>
      <c r="AS546" s="68"/>
      <c r="AT546" s="68"/>
      <c r="AU546" s="68"/>
      <c r="AV546" s="68"/>
      <c r="AW546" s="68"/>
      <c r="AX546" s="68"/>
      <c r="AY546" s="68"/>
      <c r="AZ546" s="68"/>
      <c r="BA546" s="68"/>
      <c r="BB546" s="68"/>
      <c r="BC546" s="68"/>
      <c r="BD546" s="68"/>
      <c r="BE546" s="68"/>
      <c r="BF546" s="68"/>
      <c r="BG546" s="68"/>
      <c r="BH546" s="68"/>
      <c r="BI546" s="68"/>
      <c r="BJ546" s="68"/>
      <c r="BK546" s="68"/>
      <c r="BL546" s="68"/>
      <c r="BM546" s="68"/>
      <c r="BN546" s="68"/>
    </row>
    <row r="547" spans="1:66" ht="1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68"/>
      <c r="AG547" s="68"/>
      <c r="AH547" s="68"/>
      <c r="AI547" s="68"/>
      <c r="AJ547" s="68"/>
      <c r="AK547" s="68"/>
      <c r="AL547" s="68"/>
      <c r="AM547" s="68"/>
      <c r="AN547" s="68"/>
      <c r="AO547" s="68"/>
      <c r="AP547" s="68"/>
      <c r="AQ547" s="68"/>
      <c r="AR547" s="68"/>
      <c r="AS547" s="68"/>
      <c r="AT547" s="68"/>
      <c r="AU547" s="68"/>
      <c r="AV547" s="68"/>
      <c r="AW547" s="68"/>
      <c r="AX547" s="68"/>
      <c r="AY547" s="68"/>
      <c r="AZ547" s="68"/>
      <c r="BA547" s="68"/>
      <c r="BB547" s="68"/>
      <c r="BC547" s="68"/>
      <c r="BD547" s="68"/>
      <c r="BE547" s="68"/>
      <c r="BF547" s="68"/>
      <c r="BG547" s="68"/>
      <c r="BH547" s="68"/>
      <c r="BI547" s="68"/>
      <c r="BJ547" s="68"/>
      <c r="BK547" s="68"/>
      <c r="BL547" s="68"/>
      <c r="BM547" s="68"/>
      <c r="BN547" s="68"/>
    </row>
    <row r="548" spans="1:66" ht="17">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68"/>
      <c r="AG548" s="68"/>
      <c r="AH548" s="68"/>
      <c r="AI548" s="68"/>
      <c r="AJ548" s="68"/>
      <c r="AK548" s="68"/>
      <c r="AL548" s="68"/>
      <c r="AM548" s="68"/>
      <c r="AN548" s="68"/>
      <c r="AO548" s="68"/>
      <c r="AP548" s="68"/>
      <c r="AQ548" s="68"/>
      <c r="AR548" s="68"/>
      <c r="AS548" s="68"/>
      <c r="AT548" s="68"/>
      <c r="AU548" s="68"/>
      <c r="AV548" s="68"/>
      <c r="AW548" s="68"/>
      <c r="AX548" s="68"/>
      <c r="AY548" s="68"/>
      <c r="AZ548" s="68"/>
      <c r="BA548" s="68"/>
      <c r="BB548" s="68"/>
      <c r="BC548" s="68"/>
      <c r="BD548" s="68"/>
      <c r="BE548" s="68"/>
      <c r="BF548" s="68"/>
      <c r="BG548" s="68"/>
      <c r="BH548" s="68"/>
      <c r="BI548" s="68"/>
      <c r="BJ548" s="68"/>
      <c r="BK548" s="68"/>
      <c r="BL548" s="68"/>
      <c r="BM548" s="68"/>
      <c r="BN548" s="68"/>
    </row>
    <row r="549" spans="1:66" ht="17">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68"/>
      <c r="AG549" s="68"/>
      <c r="AH549" s="68"/>
      <c r="AI549" s="68"/>
      <c r="AJ549" s="68"/>
      <c r="AK549" s="68"/>
      <c r="AL549" s="68"/>
      <c r="AM549" s="68"/>
      <c r="AN549" s="68"/>
      <c r="AO549" s="68"/>
      <c r="AP549" s="68"/>
      <c r="AQ549" s="68"/>
      <c r="AR549" s="68"/>
      <c r="AS549" s="68"/>
      <c r="AT549" s="68"/>
      <c r="AU549" s="68"/>
      <c r="AV549" s="68"/>
      <c r="AW549" s="68"/>
      <c r="AX549" s="68"/>
      <c r="AY549" s="68"/>
      <c r="AZ549" s="68"/>
      <c r="BA549" s="68"/>
      <c r="BB549" s="68"/>
      <c r="BC549" s="68"/>
      <c r="BD549" s="68"/>
      <c r="BE549" s="68"/>
      <c r="BF549" s="68"/>
      <c r="BG549" s="68"/>
      <c r="BH549" s="68"/>
      <c r="BI549" s="68"/>
      <c r="BJ549" s="68"/>
      <c r="BK549" s="68"/>
      <c r="BL549" s="68"/>
      <c r="BM549" s="68"/>
      <c r="BN549" s="68"/>
    </row>
    <row r="550" spans="1:66" ht="17">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68"/>
      <c r="AG550" s="68"/>
      <c r="AH550" s="68"/>
      <c r="AI550" s="68"/>
      <c r="AJ550" s="68"/>
      <c r="AK550" s="68"/>
      <c r="AL550" s="68"/>
      <c r="AM550" s="68"/>
      <c r="AN550" s="68"/>
      <c r="AO550" s="68"/>
      <c r="AP550" s="68"/>
      <c r="AQ550" s="68"/>
      <c r="AR550" s="68"/>
      <c r="AS550" s="68"/>
      <c r="AT550" s="68"/>
      <c r="AU550" s="68"/>
      <c r="AV550" s="68"/>
      <c r="AW550" s="68"/>
      <c r="AX550" s="68"/>
      <c r="AY550" s="68"/>
      <c r="AZ550" s="68"/>
      <c r="BA550" s="68"/>
      <c r="BB550" s="68"/>
      <c r="BC550" s="68"/>
      <c r="BD550" s="68"/>
      <c r="BE550" s="68"/>
      <c r="BF550" s="68"/>
      <c r="BG550" s="68"/>
      <c r="BH550" s="68"/>
      <c r="BI550" s="68"/>
      <c r="BJ550" s="68"/>
      <c r="BK550" s="68"/>
      <c r="BL550" s="68"/>
      <c r="BM550" s="68"/>
      <c r="BN550" s="68"/>
    </row>
    <row r="551" spans="1:66" ht="17">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68"/>
      <c r="AG551" s="68"/>
      <c r="AH551" s="68"/>
      <c r="AI551" s="68"/>
      <c r="AJ551" s="68"/>
      <c r="AK551" s="68"/>
      <c r="AL551" s="68"/>
      <c r="AM551" s="68"/>
      <c r="AN551" s="68"/>
      <c r="AO551" s="68"/>
      <c r="AP551" s="68"/>
      <c r="AQ551" s="68"/>
      <c r="AR551" s="68"/>
      <c r="AS551" s="68"/>
      <c r="AT551" s="68"/>
      <c r="AU551" s="68"/>
      <c r="AV551" s="68"/>
      <c r="AW551" s="68"/>
      <c r="AX551" s="68"/>
      <c r="AY551" s="68"/>
      <c r="AZ551" s="68"/>
      <c r="BA551" s="68"/>
      <c r="BB551" s="68"/>
      <c r="BC551" s="68"/>
      <c r="BD551" s="68"/>
      <c r="BE551" s="68"/>
      <c r="BF551" s="68"/>
      <c r="BG551" s="68"/>
      <c r="BH551" s="68"/>
      <c r="BI551" s="68"/>
      <c r="BJ551" s="68"/>
      <c r="BK551" s="68"/>
      <c r="BL551" s="68"/>
      <c r="BM551" s="68"/>
      <c r="BN551" s="68"/>
    </row>
    <row r="552" spans="1:66" ht="17">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68"/>
      <c r="AG552" s="68"/>
      <c r="AH552" s="68"/>
      <c r="AI552" s="68"/>
      <c r="AJ552" s="68"/>
      <c r="AK552" s="68"/>
      <c r="AL552" s="68"/>
      <c r="AM552" s="68"/>
      <c r="AN552" s="68"/>
      <c r="AO552" s="68"/>
      <c r="AP552" s="68"/>
      <c r="AQ552" s="68"/>
      <c r="AR552" s="68"/>
      <c r="AS552" s="68"/>
      <c r="AT552" s="68"/>
      <c r="AU552" s="68"/>
      <c r="AV552" s="68"/>
      <c r="AW552" s="68"/>
      <c r="AX552" s="68"/>
      <c r="AY552" s="68"/>
      <c r="AZ552" s="68"/>
      <c r="BA552" s="68"/>
      <c r="BB552" s="68"/>
      <c r="BC552" s="68"/>
      <c r="BD552" s="68"/>
      <c r="BE552" s="68"/>
      <c r="BF552" s="68"/>
      <c r="BG552" s="68"/>
      <c r="BH552" s="68"/>
      <c r="BI552" s="68"/>
      <c r="BJ552" s="68"/>
      <c r="BK552" s="68"/>
      <c r="BL552" s="68"/>
      <c r="BM552" s="68"/>
      <c r="BN552" s="68"/>
    </row>
    <row r="553" spans="1:66" ht="17">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68"/>
      <c r="AG553" s="68"/>
      <c r="AH553" s="68"/>
      <c r="AI553" s="68"/>
      <c r="AJ553" s="68"/>
      <c r="AK553" s="68"/>
      <c r="AL553" s="68"/>
      <c r="AM553" s="68"/>
      <c r="AN553" s="68"/>
      <c r="AO553" s="68"/>
      <c r="AP553" s="68"/>
      <c r="AQ553" s="68"/>
      <c r="AR553" s="68"/>
      <c r="AS553" s="68"/>
      <c r="AT553" s="68"/>
      <c r="AU553" s="68"/>
      <c r="AV553" s="68"/>
      <c r="AW553" s="68"/>
      <c r="AX553" s="68"/>
      <c r="AY553" s="68"/>
      <c r="AZ553" s="68"/>
      <c r="BA553" s="68"/>
      <c r="BB553" s="68"/>
      <c r="BC553" s="68"/>
      <c r="BD553" s="68"/>
      <c r="BE553" s="68"/>
      <c r="BF553" s="68"/>
      <c r="BG553" s="68"/>
      <c r="BH553" s="68"/>
      <c r="BI553" s="68"/>
      <c r="BJ553" s="68"/>
      <c r="BK553" s="68"/>
      <c r="BL553" s="68"/>
      <c r="BM553" s="68"/>
      <c r="BN553" s="68"/>
    </row>
    <row r="554" spans="1:66" ht="17">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68"/>
      <c r="AG554" s="68"/>
      <c r="AH554" s="68"/>
      <c r="AI554" s="68"/>
      <c r="AJ554" s="68"/>
      <c r="AK554" s="68"/>
      <c r="AL554" s="68"/>
      <c r="AM554" s="68"/>
      <c r="AN554" s="68"/>
      <c r="AO554" s="68"/>
      <c r="AP554" s="68"/>
      <c r="AQ554" s="68"/>
      <c r="AR554" s="68"/>
      <c r="AS554" s="68"/>
      <c r="AT554" s="68"/>
      <c r="AU554" s="68"/>
      <c r="AV554" s="68"/>
      <c r="AW554" s="68"/>
      <c r="AX554" s="68"/>
      <c r="AY554" s="68"/>
      <c r="AZ554" s="68"/>
      <c r="BA554" s="68"/>
      <c r="BB554" s="68"/>
      <c r="BC554" s="68"/>
      <c r="BD554" s="68"/>
      <c r="BE554" s="68"/>
      <c r="BF554" s="68"/>
      <c r="BG554" s="68"/>
      <c r="BH554" s="68"/>
      <c r="BI554" s="68"/>
      <c r="BJ554" s="68"/>
      <c r="BK554" s="68"/>
      <c r="BL554" s="68"/>
      <c r="BM554" s="68"/>
      <c r="BN554" s="68"/>
    </row>
    <row r="555" spans="1:66" ht="17">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68"/>
      <c r="AG555" s="68"/>
      <c r="AH555" s="68"/>
      <c r="AI555" s="68"/>
      <c r="AJ555" s="68"/>
      <c r="AK555" s="68"/>
      <c r="AL555" s="68"/>
      <c r="AM555" s="68"/>
      <c r="AN555" s="68"/>
      <c r="AO555" s="68"/>
      <c r="AP555" s="68"/>
      <c r="AQ555" s="68"/>
      <c r="AR555" s="68"/>
      <c r="AS555" s="68"/>
      <c r="AT555" s="68"/>
      <c r="AU555" s="68"/>
      <c r="AV555" s="68"/>
      <c r="AW555" s="68"/>
      <c r="AX555" s="68"/>
      <c r="AY555" s="68"/>
      <c r="AZ555" s="68"/>
      <c r="BA555" s="68"/>
      <c r="BB555" s="68"/>
      <c r="BC555" s="68"/>
      <c r="BD555" s="68"/>
      <c r="BE555" s="68"/>
      <c r="BF555" s="68"/>
      <c r="BG555" s="68"/>
      <c r="BH555" s="68"/>
      <c r="BI555" s="68"/>
      <c r="BJ555" s="68"/>
      <c r="BK555" s="68"/>
      <c r="BL555" s="68"/>
      <c r="BM555" s="68"/>
      <c r="BN555" s="68"/>
    </row>
    <row r="556" spans="1:66" ht="17">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c r="AG556" s="68"/>
      <c r="AH556" s="68"/>
      <c r="AI556" s="68"/>
      <c r="AJ556" s="68"/>
      <c r="AK556" s="68"/>
      <c r="AL556" s="68"/>
      <c r="AM556" s="68"/>
      <c r="AN556" s="68"/>
      <c r="AO556" s="68"/>
      <c r="AP556" s="68"/>
      <c r="AQ556" s="68"/>
      <c r="AR556" s="68"/>
      <c r="AS556" s="68"/>
      <c r="AT556" s="68"/>
      <c r="AU556" s="68"/>
      <c r="AV556" s="68"/>
      <c r="AW556" s="68"/>
      <c r="AX556" s="68"/>
      <c r="AY556" s="68"/>
      <c r="AZ556" s="68"/>
      <c r="BA556" s="68"/>
      <c r="BB556" s="68"/>
      <c r="BC556" s="68"/>
      <c r="BD556" s="68"/>
      <c r="BE556" s="68"/>
      <c r="BF556" s="68"/>
      <c r="BG556" s="68"/>
      <c r="BH556" s="68"/>
      <c r="BI556" s="68"/>
      <c r="BJ556" s="68"/>
      <c r="BK556" s="68"/>
      <c r="BL556" s="68"/>
      <c r="BM556" s="68"/>
      <c r="BN556" s="68"/>
    </row>
    <row r="557" spans="1:66" ht="1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68"/>
      <c r="AG557" s="68"/>
      <c r="AH557" s="68"/>
      <c r="AI557" s="68"/>
      <c r="AJ557" s="68"/>
      <c r="AK557" s="68"/>
      <c r="AL557" s="68"/>
      <c r="AM557" s="68"/>
      <c r="AN557" s="68"/>
      <c r="AO557" s="68"/>
      <c r="AP557" s="68"/>
      <c r="AQ557" s="68"/>
      <c r="AR557" s="68"/>
      <c r="AS557" s="68"/>
      <c r="AT557" s="68"/>
      <c r="AU557" s="68"/>
      <c r="AV557" s="68"/>
      <c r="AW557" s="68"/>
      <c r="AX557" s="68"/>
      <c r="AY557" s="68"/>
      <c r="AZ557" s="68"/>
      <c r="BA557" s="68"/>
      <c r="BB557" s="68"/>
      <c r="BC557" s="68"/>
      <c r="BD557" s="68"/>
      <c r="BE557" s="68"/>
      <c r="BF557" s="68"/>
      <c r="BG557" s="68"/>
      <c r="BH557" s="68"/>
      <c r="BI557" s="68"/>
      <c r="BJ557" s="68"/>
      <c r="BK557" s="68"/>
      <c r="BL557" s="68"/>
      <c r="BM557" s="68"/>
      <c r="BN557" s="68"/>
    </row>
    <row r="558" spans="1:66" ht="17">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c r="AG558" s="68"/>
      <c r="AH558" s="68"/>
      <c r="AI558" s="68"/>
      <c r="AJ558" s="68"/>
      <c r="AK558" s="68"/>
      <c r="AL558" s="68"/>
      <c r="AM558" s="68"/>
      <c r="AN558" s="68"/>
      <c r="AO558" s="68"/>
      <c r="AP558" s="68"/>
      <c r="AQ558" s="68"/>
      <c r="AR558" s="68"/>
      <c r="AS558" s="68"/>
      <c r="AT558" s="68"/>
      <c r="AU558" s="68"/>
      <c r="AV558" s="68"/>
      <c r="AW558" s="68"/>
      <c r="AX558" s="68"/>
      <c r="AY558" s="68"/>
      <c r="AZ558" s="68"/>
      <c r="BA558" s="68"/>
      <c r="BB558" s="68"/>
      <c r="BC558" s="68"/>
      <c r="BD558" s="68"/>
      <c r="BE558" s="68"/>
      <c r="BF558" s="68"/>
      <c r="BG558" s="68"/>
      <c r="BH558" s="68"/>
      <c r="BI558" s="68"/>
      <c r="BJ558" s="68"/>
      <c r="BK558" s="68"/>
      <c r="BL558" s="68"/>
      <c r="BM558" s="68"/>
      <c r="BN558" s="68"/>
    </row>
    <row r="559" spans="1:66" ht="17">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c r="AG559" s="68"/>
      <c r="AH559" s="68"/>
      <c r="AI559" s="68"/>
      <c r="AJ559" s="68"/>
      <c r="AK559" s="68"/>
      <c r="AL559" s="68"/>
      <c r="AM559" s="68"/>
      <c r="AN559" s="68"/>
      <c r="AO559" s="68"/>
      <c r="AP559" s="68"/>
      <c r="AQ559" s="68"/>
      <c r="AR559" s="68"/>
      <c r="AS559" s="68"/>
      <c r="AT559" s="68"/>
      <c r="AU559" s="68"/>
      <c r="AV559" s="68"/>
      <c r="AW559" s="68"/>
      <c r="AX559" s="68"/>
      <c r="AY559" s="68"/>
      <c r="AZ559" s="68"/>
      <c r="BA559" s="68"/>
      <c r="BB559" s="68"/>
      <c r="BC559" s="68"/>
      <c r="BD559" s="68"/>
      <c r="BE559" s="68"/>
      <c r="BF559" s="68"/>
      <c r="BG559" s="68"/>
      <c r="BH559" s="68"/>
      <c r="BI559" s="68"/>
      <c r="BJ559" s="68"/>
      <c r="BK559" s="68"/>
      <c r="BL559" s="68"/>
      <c r="BM559" s="68"/>
      <c r="BN559" s="68"/>
    </row>
    <row r="560" spans="1:66" ht="17">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c r="AG560" s="68"/>
      <c r="AH560" s="68"/>
      <c r="AI560" s="68"/>
      <c r="AJ560" s="68"/>
      <c r="AK560" s="68"/>
      <c r="AL560" s="68"/>
      <c r="AM560" s="68"/>
      <c r="AN560" s="68"/>
      <c r="AO560" s="68"/>
      <c r="AP560" s="68"/>
      <c r="AQ560" s="68"/>
      <c r="AR560" s="68"/>
      <c r="AS560" s="68"/>
      <c r="AT560" s="68"/>
      <c r="AU560" s="68"/>
      <c r="AV560" s="68"/>
      <c r="AW560" s="68"/>
      <c r="AX560" s="68"/>
      <c r="AY560" s="68"/>
      <c r="AZ560" s="68"/>
      <c r="BA560" s="68"/>
      <c r="BB560" s="68"/>
      <c r="BC560" s="68"/>
      <c r="BD560" s="68"/>
      <c r="BE560" s="68"/>
      <c r="BF560" s="68"/>
      <c r="BG560" s="68"/>
      <c r="BH560" s="68"/>
      <c r="BI560" s="68"/>
      <c r="BJ560" s="68"/>
      <c r="BK560" s="68"/>
      <c r="BL560" s="68"/>
      <c r="BM560" s="68"/>
      <c r="BN560" s="68"/>
    </row>
    <row r="561" spans="1:66" ht="17">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c r="AG561" s="68"/>
      <c r="AH561" s="68"/>
      <c r="AI561" s="68"/>
      <c r="AJ561" s="68"/>
      <c r="AK561" s="68"/>
      <c r="AL561" s="68"/>
      <c r="AM561" s="68"/>
      <c r="AN561" s="68"/>
      <c r="AO561" s="68"/>
      <c r="AP561" s="68"/>
      <c r="AQ561" s="68"/>
      <c r="AR561" s="68"/>
      <c r="AS561" s="68"/>
      <c r="AT561" s="68"/>
      <c r="AU561" s="68"/>
      <c r="AV561" s="68"/>
      <c r="AW561" s="68"/>
      <c r="AX561" s="68"/>
      <c r="AY561" s="68"/>
      <c r="AZ561" s="68"/>
      <c r="BA561" s="68"/>
      <c r="BB561" s="68"/>
      <c r="BC561" s="68"/>
      <c r="BD561" s="68"/>
      <c r="BE561" s="68"/>
      <c r="BF561" s="68"/>
      <c r="BG561" s="68"/>
      <c r="BH561" s="68"/>
      <c r="BI561" s="68"/>
      <c r="BJ561" s="68"/>
      <c r="BK561" s="68"/>
      <c r="BL561" s="68"/>
      <c r="BM561" s="68"/>
      <c r="BN561" s="68"/>
    </row>
    <row r="562" spans="1:66" ht="17">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c r="AG562" s="68"/>
      <c r="AH562" s="68"/>
      <c r="AI562" s="68"/>
      <c r="AJ562" s="68"/>
      <c r="AK562" s="68"/>
      <c r="AL562" s="68"/>
      <c r="AM562" s="68"/>
      <c r="AN562" s="68"/>
      <c r="AO562" s="68"/>
      <c r="AP562" s="68"/>
      <c r="AQ562" s="68"/>
      <c r="AR562" s="68"/>
      <c r="AS562" s="68"/>
      <c r="AT562" s="68"/>
      <c r="AU562" s="68"/>
      <c r="AV562" s="68"/>
      <c r="AW562" s="68"/>
      <c r="AX562" s="68"/>
      <c r="AY562" s="68"/>
      <c r="AZ562" s="68"/>
      <c r="BA562" s="68"/>
      <c r="BB562" s="68"/>
      <c r="BC562" s="68"/>
      <c r="BD562" s="68"/>
      <c r="BE562" s="68"/>
      <c r="BF562" s="68"/>
      <c r="BG562" s="68"/>
      <c r="BH562" s="68"/>
      <c r="BI562" s="68"/>
      <c r="BJ562" s="68"/>
      <c r="BK562" s="68"/>
      <c r="BL562" s="68"/>
      <c r="BM562" s="68"/>
      <c r="BN562" s="68"/>
    </row>
    <row r="563" spans="1:66" ht="17">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c r="AG563" s="68"/>
      <c r="AH563" s="68"/>
      <c r="AI563" s="68"/>
      <c r="AJ563" s="68"/>
      <c r="AK563" s="68"/>
      <c r="AL563" s="68"/>
      <c r="AM563" s="68"/>
      <c r="AN563" s="68"/>
      <c r="AO563" s="68"/>
      <c r="AP563" s="68"/>
      <c r="AQ563" s="68"/>
      <c r="AR563" s="68"/>
      <c r="AS563" s="68"/>
      <c r="AT563" s="68"/>
      <c r="AU563" s="68"/>
      <c r="AV563" s="68"/>
      <c r="AW563" s="68"/>
      <c r="AX563" s="68"/>
      <c r="AY563" s="68"/>
      <c r="AZ563" s="68"/>
      <c r="BA563" s="68"/>
      <c r="BB563" s="68"/>
      <c r="BC563" s="68"/>
      <c r="BD563" s="68"/>
      <c r="BE563" s="68"/>
      <c r="BF563" s="68"/>
      <c r="BG563" s="68"/>
      <c r="BH563" s="68"/>
      <c r="BI563" s="68"/>
      <c r="BJ563" s="68"/>
      <c r="BK563" s="68"/>
      <c r="BL563" s="68"/>
      <c r="BM563" s="68"/>
      <c r="BN563" s="68"/>
    </row>
    <row r="564" spans="1:66" ht="17">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68"/>
      <c r="AG564" s="68"/>
      <c r="AH564" s="68"/>
      <c r="AI564" s="68"/>
      <c r="AJ564" s="68"/>
      <c r="AK564" s="68"/>
      <c r="AL564" s="68"/>
      <c r="AM564" s="68"/>
      <c r="AN564" s="68"/>
      <c r="AO564" s="68"/>
      <c r="AP564" s="68"/>
      <c r="AQ564" s="68"/>
      <c r="AR564" s="68"/>
      <c r="AS564" s="68"/>
      <c r="AT564" s="68"/>
      <c r="AU564" s="68"/>
      <c r="AV564" s="68"/>
      <c r="AW564" s="68"/>
      <c r="AX564" s="68"/>
      <c r="AY564" s="68"/>
      <c r="AZ564" s="68"/>
      <c r="BA564" s="68"/>
      <c r="BB564" s="68"/>
      <c r="BC564" s="68"/>
      <c r="BD564" s="68"/>
      <c r="BE564" s="68"/>
      <c r="BF564" s="68"/>
      <c r="BG564" s="68"/>
      <c r="BH564" s="68"/>
      <c r="BI564" s="68"/>
      <c r="BJ564" s="68"/>
      <c r="BK564" s="68"/>
      <c r="BL564" s="68"/>
      <c r="BM564" s="68"/>
      <c r="BN564" s="68"/>
    </row>
    <row r="565" spans="1:66" ht="17">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68"/>
      <c r="AG565" s="68"/>
      <c r="AH565" s="68"/>
      <c r="AI565" s="68"/>
      <c r="AJ565" s="68"/>
      <c r="AK565" s="68"/>
      <c r="AL565" s="68"/>
      <c r="AM565" s="68"/>
      <c r="AN565" s="68"/>
      <c r="AO565" s="68"/>
      <c r="AP565" s="68"/>
      <c r="AQ565" s="68"/>
      <c r="AR565" s="68"/>
      <c r="AS565" s="68"/>
      <c r="AT565" s="68"/>
      <c r="AU565" s="68"/>
      <c r="AV565" s="68"/>
      <c r="AW565" s="68"/>
      <c r="AX565" s="68"/>
      <c r="AY565" s="68"/>
      <c r="AZ565" s="68"/>
      <c r="BA565" s="68"/>
      <c r="BB565" s="68"/>
      <c r="BC565" s="68"/>
      <c r="BD565" s="68"/>
      <c r="BE565" s="68"/>
      <c r="BF565" s="68"/>
      <c r="BG565" s="68"/>
      <c r="BH565" s="68"/>
      <c r="BI565" s="68"/>
      <c r="BJ565" s="68"/>
      <c r="BK565" s="68"/>
      <c r="BL565" s="68"/>
      <c r="BM565" s="68"/>
      <c r="BN565" s="68"/>
    </row>
    <row r="566" spans="1:66" ht="17">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68"/>
      <c r="AG566" s="68"/>
      <c r="AH566" s="68"/>
      <c r="AI566" s="68"/>
      <c r="AJ566" s="68"/>
      <c r="AK566" s="68"/>
      <c r="AL566" s="68"/>
      <c r="AM566" s="68"/>
      <c r="AN566" s="68"/>
      <c r="AO566" s="68"/>
      <c r="AP566" s="68"/>
      <c r="AQ566" s="68"/>
      <c r="AR566" s="68"/>
      <c r="AS566" s="68"/>
      <c r="AT566" s="68"/>
      <c r="AU566" s="68"/>
      <c r="AV566" s="68"/>
      <c r="AW566" s="68"/>
      <c r="AX566" s="68"/>
      <c r="AY566" s="68"/>
      <c r="AZ566" s="68"/>
      <c r="BA566" s="68"/>
      <c r="BB566" s="68"/>
      <c r="BC566" s="68"/>
      <c r="BD566" s="68"/>
      <c r="BE566" s="68"/>
      <c r="BF566" s="68"/>
      <c r="BG566" s="68"/>
      <c r="BH566" s="68"/>
      <c r="BI566" s="68"/>
      <c r="BJ566" s="68"/>
      <c r="BK566" s="68"/>
      <c r="BL566" s="68"/>
      <c r="BM566" s="68"/>
      <c r="BN566" s="68"/>
    </row>
    <row r="567" spans="1:66" ht="1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68"/>
      <c r="AG567" s="68"/>
      <c r="AH567" s="68"/>
      <c r="AI567" s="68"/>
      <c r="AJ567" s="68"/>
      <c r="AK567" s="68"/>
      <c r="AL567" s="68"/>
      <c r="AM567" s="68"/>
      <c r="AN567" s="68"/>
      <c r="AO567" s="68"/>
      <c r="AP567" s="68"/>
      <c r="AQ567" s="68"/>
      <c r="AR567" s="68"/>
      <c r="AS567" s="68"/>
      <c r="AT567" s="68"/>
      <c r="AU567" s="68"/>
      <c r="AV567" s="68"/>
      <c r="AW567" s="68"/>
      <c r="AX567" s="68"/>
      <c r="AY567" s="68"/>
      <c r="AZ567" s="68"/>
      <c r="BA567" s="68"/>
      <c r="BB567" s="68"/>
      <c r="BC567" s="68"/>
      <c r="BD567" s="68"/>
      <c r="BE567" s="68"/>
      <c r="BF567" s="68"/>
      <c r="BG567" s="68"/>
      <c r="BH567" s="68"/>
      <c r="BI567" s="68"/>
      <c r="BJ567" s="68"/>
      <c r="BK567" s="68"/>
      <c r="BL567" s="68"/>
      <c r="BM567" s="68"/>
      <c r="BN567" s="68"/>
    </row>
    <row r="568" spans="1:66" ht="17">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68"/>
      <c r="AG568" s="68"/>
      <c r="AH568" s="68"/>
      <c r="AI568" s="68"/>
      <c r="AJ568" s="68"/>
      <c r="AK568" s="68"/>
      <c r="AL568" s="68"/>
      <c r="AM568" s="68"/>
      <c r="AN568" s="68"/>
      <c r="AO568" s="68"/>
      <c r="AP568" s="68"/>
      <c r="AQ568" s="68"/>
      <c r="AR568" s="68"/>
      <c r="AS568" s="68"/>
      <c r="AT568" s="68"/>
      <c r="AU568" s="68"/>
      <c r="AV568" s="68"/>
      <c r="AW568" s="68"/>
      <c r="AX568" s="68"/>
      <c r="AY568" s="68"/>
      <c r="AZ568" s="68"/>
      <c r="BA568" s="68"/>
      <c r="BB568" s="68"/>
      <c r="BC568" s="68"/>
      <c r="BD568" s="68"/>
      <c r="BE568" s="68"/>
      <c r="BF568" s="68"/>
      <c r="BG568" s="68"/>
      <c r="BH568" s="68"/>
      <c r="BI568" s="68"/>
      <c r="BJ568" s="68"/>
      <c r="BK568" s="68"/>
      <c r="BL568" s="68"/>
      <c r="BM568" s="68"/>
      <c r="BN568" s="68"/>
    </row>
    <row r="569" spans="1:66" ht="17">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68"/>
      <c r="AG569" s="68"/>
      <c r="AH569" s="68"/>
      <c r="AI569" s="68"/>
      <c r="AJ569" s="68"/>
      <c r="AK569" s="68"/>
      <c r="AL569" s="68"/>
      <c r="AM569" s="68"/>
      <c r="AN569" s="68"/>
      <c r="AO569" s="68"/>
      <c r="AP569" s="68"/>
      <c r="AQ569" s="68"/>
      <c r="AR569" s="68"/>
      <c r="AS569" s="68"/>
      <c r="AT569" s="68"/>
      <c r="AU569" s="68"/>
      <c r="AV569" s="68"/>
      <c r="AW569" s="68"/>
      <c r="AX569" s="68"/>
      <c r="AY569" s="68"/>
      <c r="AZ569" s="68"/>
      <c r="BA569" s="68"/>
      <c r="BB569" s="68"/>
      <c r="BC569" s="68"/>
      <c r="BD569" s="68"/>
      <c r="BE569" s="68"/>
      <c r="BF569" s="68"/>
      <c r="BG569" s="68"/>
      <c r="BH569" s="68"/>
      <c r="BI569" s="68"/>
      <c r="BJ569" s="68"/>
      <c r="BK569" s="68"/>
      <c r="BL569" s="68"/>
      <c r="BM569" s="68"/>
      <c r="BN569" s="68"/>
    </row>
    <row r="570" spans="1:66" ht="17">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68"/>
      <c r="AG570" s="68"/>
      <c r="AH570" s="68"/>
      <c r="AI570" s="68"/>
      <c r="AJ570" s="68"/>
      <c r="AK570" s="68"/>
      <c r="AL570" s="68"/>
      <c r="AM570" s="68"/>
      <c r="AN570" s="68"/>
      <c r="AO570" s="68"/>
      <c r="AP570" s="68"/>
      <c r="AQ570" s="68"/>
      <c r="AR570" s="68"/>
      <c r="AS570" s="68"/>
      <c r="AT570" s="68"/>
      <c r="AU570" s="68"/>
      <c r="AV570" s="68"/>
      <c r="AW570" s="68"/>
      <c r="AX570" s="68"/>
      <c r="AY570" s="68"/>
      <c r="AZ570" s="68"/>
      <c r="BA570" s="68"/>
      <c r="BB570" s="68"/>
      <c r="BC570" s="68"/>
      <c r="BD570" s="68"/>
      <c r="BE570" s="68"/>
      <c r="BF570" s="68"/>
      <c r="BG570" s="68"/>
      <c r="BH570" s="68"/>
      <c r="BI570" s="68"/>
      <c r="BJ570" s="68"/>
      <c r="BK570" s="68"/>
      <c r="BL570" s="68"/>
      <c r="BM570" s="68"/>
      <c r="BN570" s="68"/>
    </row>
    <row r="571" spans="1:66" ht="17">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68"/>
      <c r="AG571" s="68"/>
      <c r="AH571" s="68"/>
      <c r="AI571" s="68"/>
      <c r="AJ571" s="68"/>
      <c r="AK571" s="68"/>
      <c r="AL571" s="68"/>
      <c r="AM571" s="68"/>
      <c r="AN571" s="68"/>
      <c r="AO571" s="68"/>
      <c r="AP571" s="68"/>
      <c r="AQ571" s="68"/>
      <c r="AR571" s="68"/>
      <c r="AS571" s="68"/>
      <c r="AT571" s="68"/>
      <c r="AU571" s="68"/>
      <c r="AV571" s="68"/>
      <c r="AW571" s="68"/>
      <c r="AX571" s="68"/>
      <c r="AY571" s="68"/>
      <c r="AZ571" s="68"/>
      <c r="BA571" s="68"/>
      <c r="BB571" s="68"/>
      <c r="BC571" s="68"/>
      <c r="BD571" s="68"/>
      <c r="BE571" s="68"/>
      <c r="BF571" s="68"/>
      <c r="BG571" s="68"/>
      <c r="BH571" s="68"/>
      <c r="BI571" s="68"/>
      <c r="BJ571" s="68"/>
      <c r="BK571" s="68"/>
      <c r="BL571" s="68"/>
      <c r="BM571" s="68"/>
      <c r="BN571" s="68"/>
    </row>
    <row r="572" spans="1:66" ht="17">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68"/>
      <c r="AG572" s="68"/>
      <c r="AH572" s="68"/>
      <c r="AI572" s="68"/>
      <c r="AJ572" s="68"/>
      <c r="AK572" s="68"/>
      <c r="AL572" s="68"/>
      <c r="AM572" s="68"/>
      <c r="AN572" s="68"/>
      <c r="AO572" s="68"/>
      <c r="AP572" s="68"/>
      <c r="AQ572" s="68"/>
      <c r="AR572" s="68"/>
      <c r="AS572" s="68"/>
      <c r="AT572" s="68"/>
      <c r="AU572" s="68"/>
      <c r="AV572" s="68"/>
      <c r="AW572" s="68"/>
      <c r="AX572" s="68"/>
      <c r="AY572" s="68"/>
      <c r="AZ572" s="68"/>
      <c r="BA572" s="68"/>
      <c r="BB572" s="68"/>
      <c r="BC572" s="68"/>
      <c r="BD572" s="68"/>
      <c r="BE572" s="68"/>
      <c r="BF572" s="68"/>
      <c r="BG572" s="68"/>
      <c r="BH572" s="68"/>
      <c r="BI572" s="68"/>
      <c r="BJ572" s="68"/>
      <c r="BK572" s="68"/>
      <c r="BL572" s="68"/>
      <c r="BM572" s="68"/>
      <c r="BN572" s="68"/>
    </row>
    <row r="573" spans="1:66" ht="17">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68"/>
      <c r="AG573" s="68"/>
      <c r="AH573" s="68"/>
      <c r="AI573" s="68"/>
      <c r="AJ573" s="68"/>
      <c r="AK573" s="68"/>
      <c r="AL573" s="68"/>
      <c r="AM573" s="68"/>
      <c r="AN573" s="68"/>
      <c r="AO573" s="68"/>
      <c r="AP573" s="68"/>
      <c r="AQ573" s="68"/>
      <c r="AR573" s="68"/>
      <c r="AS573" s="68"/>
      <c r="AT573" s="68"/>
      <c r="AU573" s="68"/>
      <c r="AV573" s="68"/>
      <c r="AW573" s="68"/>
      <c r="AX573" s="68"/>
      <c r="AY573" s="68"/>
      <c r="AZ573" s="68"/>
      <c r="BA573" s="68"/>
      <c r="BB573" s="68"/>
      <c r="BC573" s="68"/>
      <c r="BD573" s="68"/>
      <c r="BE573" s="68"/>
      <c r="BF573" s="68"/>
      <c r="BG573" s="68"/>
      <c r="BH573" s="68"/>
      <c r="BI573" s="68"/>
      <c r="BJ573" s="68"/>
      <c r="BK573" s="68"/>
      <c r="BL573" s="68"/>
      <c r="BM573" s="68"/>
      <c r="BN573" s="68"/>
    </row>
    <row r="574" spans="1:66" ht="17">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68"/>
      <c r="AG574" s="68"/>
      <c r="AH574" s="68"/>
      <c r="AI574" s="68"/>
      <c r="AJ574" s="68"/>
      <c r="AK574" s="68"/>
      <c r="AL574" s="68"/>
      <c r="AM574" s="68"/>
      <c r="AN574" s="68"/>
      <c r="AO574" s="68"/>
      <c r="AP574" s="68"/>
      <c r="AQ574" s="68"/>
      <c r="AR574" s="68"/>
      <c r="AS574" s="68"/>
      <c r="AT574" s="68"/>
      <c r="AU574" s="68"/>
      <c r="AV574" s="68"/>
      <c r="AW574" s="68"/>
      <c r="AX574" s="68"/>
      <c r="AY574" s="68"/>
      <c r="AZ574" s="68"/>
      <c r="BA574" s="68"/>
      <c r="BB574" s="68"/>
      <c r="BC574" s="68"/>
      <c r="BD574" s="68"/>
      <c r="BE574" s="68"/>
      <c r="BF574" s="68"/>
      <c r="BG574" s="68"/>
      <c r="BH574" s="68"/>
      <c r="BI574" s="68"/>
      <c r="BJ574" s="68"/>
      <c r="BK574" s="68"/>
      <c r="BL574" s="68"/>
      <c r="BM574" s="68"/>
      <c r="BN574" s="68"/>
    </row>
    <row r="575" spans="1:66" ht="17">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68"/>
      <c r="AG575" s="68"/>
      <c r="AH575" s="68"/>
      <c r="AI575" s="68"/>
      <c r="AJ575" s="68"/>
      <c r="AK575" s="68"/>
      <c r="AL575" s="68"/>
      <c r="AM575" s="68"/>
      <c r="AN575" s="68"/>
      <c r="AO575" s="68"/>
      <c r="AP575" s="68"/>
      <c r="AQ575" s="68"/>
      <c r="AR575" s="68"/>
      <c r="AS575" s="68"/>
      <c r="AT575" s="68"/>
      <c r="AU575" s="68"/>
      <c r="AV575" s="68"/>
      <c r="AW575" s="68"/>
      <c r="AX575" s="68"/>
      <c r="AY575" s="68"/>
      <c r="AZ575" s="68"/>
      <c r="BA575" s="68"/>
      <c r="BB575" s="68"/>
      <c r="BC575" s="68"/>
      <c r="BD575" s="68"/>
      <c r="BE575" s="68"/>
      <c r="BF575" s="68"/>
      <c r="BG575" s="68"/>
      <c r="BH575" s="68"/>
      <c r="BI575" s="68"/>
      <c r="BJ575" s="68"/>
      <c r="BK575" s="68"/>
      <c r="BL575" s="68"/>
      <c r="BM575" s="68"/>
      <c r="BN575" s="68"/>
    </row>
    <row r="576" spans="1:66" ht="17">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68"/>
      <c r="AG576" s="68"/>
      <c r="AH576" s="68"/>
      <c r="AI576" s="68"/>
      <c r="AJ576" s="68"/>
      <c r="AK576" s="68"/>
      <c r="AL576" s="68"/>
      <c r="AM576" s="68"/>
      <c r="AN576" s="68"/>
      <c r="AO576" s="68"/>
      <c r="AP576" s="68"/>
      <c r="AQ576" s="68"/>
      <c r="AR576" s="68"/>
      <c r="AS576" s="68"/>
      <c r="AT576" s="68"/>
      <c r="AU576" s="68"/>
      <c r="AV576" s="68"/>
      <c r="AW576" s="68"/>
      <c r="AX576" s="68"/>
      <c r="AY576" s="68"/>
      <c r="AZ576" s="68"/>
      <c r="BA576" s="68"/>
      <c r="BB576" s="68"/>
      <c r="BC576" s="68"/>
      <c r="BD576" s="68"/>
      <c r="BE576" s="68"/>
      <c r="BF576" s="68"/>
      <c r="BG576" s="68"/>
      <c r="BH576" s="68"/>
      <c r="BI576" s="68"/>
      <c r="BJ576" s="68"/>
      <c r="BK576" s="68"/>
      <c r="BL576" s="68"/>
      <c r="BM576" s="68"/>
      <c r="BN576" s="68"/>
    </row>
    <row r="577" spans="1:66" ht="1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68"/>
      <c r="AG577" s="68"/>
      <c r="AH577" s="68"/>
      <c r="AI577" s="68"/>
      <c r="AJ577" s="68"/>
      <c r="AK577" s="68"/>
      <c r="AL577" s="68"/>
      <c r="AM577" s="68"/>
      <c r="AN577" s="68"/>
      <c r="AO577" s="68"/>
      <c r="AP577" s="68"/>
      <c r="AQ577" s="68"/>
      <c r="AR577" s="68"/>
      <c r="AS577" s="68"/>
      <c r="AT577" s="68"/>
      <c r="AU577" s="68"/>
      <c r="AV577" s="68"/>
      <c r="AW577" s="68"/>
      <c r="AX577" s="68"/>
      <c r="AY577" s="68"/>
      <c r="AZ577" s="68"/>
      <c r="BA577" s="68"/>
      <c r="BB577" s="68"/>
      <c r="BC577" s="68"/>
      <c r="BD577" s="68"/>
      <c r="BE577" s="68"/>
      <c r="BF577" s="68"/>
      <c r="BG577" s="68"/>
      <c r="BH577" s="68"/>
      <c r="BI577" s="68"/>
      <c r="BJ577" s="68"/>
      <c r="BK577" s="68"/>
      <c r="BL577" s="68"/>
      <c r="BM577" s="68"/>
      <c r="BN577" s="68"/>
    </row>
    <row r="578" spans="1:66" ht="17">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68"/>
      <c r="AG578" s="68"/>
      <c r="AH578" s="68"/>
      <c r="AI578" s="68"/>
      <c r="AJ578" s="68"/>
      <c r="AK578" s="68"/>
      <c r="AL578" s="68"/>
      <c r="AM578" s="68"/>
      <c r="AN578" s="68"/>
      <c r="AO578" s="68"/>
      <c r="AP578" s="68"/>
      <c r="AQ578" s="68"/>
      <c r="AR578" s="68"/>
      <c r="AS578" s="68"/>
      <c r="AT578" s="68"/>
      <c r="AU578" s="68"/>
      <c r="AV578" s="68"/>
      <c r="AW578" s="68"/>
      <c r="AX578" s="68"/>
      <c r="AY578" s="68"/>
      <c r="AZ578" s="68"/>
      <c r="BA578" s="68"/>
      <c r="BB578" s="68"/>
      <c r="BC578" s="68"/>
      <c r="BD578" s="68"/>
      <c r="BE578" s="68"/>
      <c r="BF578" s="68"/>
      <c r="BG578" s="68"/>
      <c r="BH578" s="68"/>
      <c r="BI578" s="68"/>
      <c r="BJ578" s="68"/>
      <c r="BK578" s="68"/>
      <c r="BL578" s="68"/>
      <c r="BM578" s="68"/>
      <c r="BN578" s="68"/>
    </row>
    <row r="579" spans="1:66" ht="17">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68"/>
      <c r="AG579" s="68"/>
      <c r="AH579" s="68"/>
      <c r="AI579" s="68"/>
      <c r="AJ579" s="68"/>
      <c r="AK579" s="68"/>
      <c r="AL579" s="68"/>
      <c r="AM579" s="68"/>
      <c r="AN579" s="68"/>
      <c r="AO579" s="68"/>
      <c r="AP579" s="68"/>
      <c r="AQ579" s="68"/>
      <c r="AR579" s="68"/>
      <c r="AS579" s="68"/>
      <c r="AT579" s="68"/>
      <c r="AU579" s="68"/>
      <c r="AV579" s="68"/>
      <c r="AW579" s="68"/>
      <c r="AX579" s="68"/>
      <c r="AY579" s="68"/>
      <c r="AZ579" s="68"/>
      <c r="BA579" s="68"/>
      <c r="BB579" s="68"/>
      <c r="BC579" s="68"/>
      <c r="BD579" s="68"/>
      <c r="BE579" s="68"/>
      <c r="BF579" s="68"/>
      <c r="BG579" s="68"/>
      <c r="BH579" s="68"/>
      <c r="BI579" s="68"/>
      <c r="BJ579" s="68"/>
      <c r="BK579" s="68"/>
      <c r="BL579" s="68"/>
      <c r="BM579" s="68"/>
      <c r="BN579" s="68"/>
    </row>
    <row r="580" spans="1:66" ht="17">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68"/>
      <c r="AG580" s="68"/>
      <c r="AH580" s="68"/>
      <c r="AI580" s="68"/>
      <c r="AJ580" s="68"/>
      <c r="AK580" s="68"/>
      <c r="AL580" s="68"/>
      <c r="AM580" s="68"/>
      <c r="AN580" s="68"/>
      <c r="AO580" s="68"/>
      <c r="AP580" s="68"/>
      <c r="AQ580" s="68"/>
      <c r="AR580" s="68"/>
      <c r="AS580" s="68"/>
      <c r="AT580" s="68"/>
      <c r="AU580" s="68"/>
      <c r="AV580" s="68"/>
      <c r="AW580" s="68"/>
      <c r="AX580" s="68"/>
      <c r="AY580" s="68"/>
      <c r="AZ580" s="68"/>
      <c r="BA580" s="68"/>
      <c r="BB580" s="68"/>
      <c r="BC580" s="68"/>
      <c r="BD580" s="68"/>
      <c r="BE580" s="68"/>
      <c r="BF580" s="68"/>
      <c r="BG580" s="68"/>
      <c r="BH580" s="68"/>
      <c r="BI580" s="68"/>
      <c r="BJ580" s="68"/>
      <c r="BK580" s="68"/>
      <c r="BL580" s="68"/>
      <c r="BM580" s="68"/>
      <c r="BN580" s="68"/>
    </row>
    <row r="581" spans="1:66" ht="17">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c r="AG581" s="68"/>
      <c r="AH581" s="68"/>
      <c r="AI581" s="68"/>
      <c r="AJ581" s="68"/>
      <c r="AK581" s="68"/>
      <c r="AL581" s="68"/>
      <c r="AM581" s="68"/>
      <c r="AN581" s="68"/>
      <c r="AO581" s="68"/>
      <c r="AP581" s="68"/>
      <c r="AQ581" s="68"/>
      <c r="AR581" s="68"/>
      <c r="AS581" s="68"/>
      <c r="AT581" s="68"/>
      <c r="AU581" s="68"/>
      <c r="AV581" s="68"/>
      <c r="AW581" s="68"/>
      <c r="AX581" s="68"/>
      <c r="AY581" s="68"/>
      <c r="AZ581" s="68"/>
      <c r="BA581" s="68"/>
      <c r="BB581" s="68"/>
      <c r="BC581" s="68"/>
      <c r="BD581" s="68"/>
      <c r="BE581" s="68"/>
      <c r="BF581" s="68"/>
      <c r="BG581" s="68"/>
      <c r="BH581" s="68"/>
      <c r="BI581" s="68"/>
      <c r="BJ581" s="68"/>
      <c r="BK581" s="68"/>
      <c r="BL581" s="68"/>
      <c r="BM581" s="68"/>
      <c r="BN581" s="68"/>
    </row>
    <row r="582" spans="1:66" ht="17">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68"/>
      <c r="AG582" s="68"/>
      <c r="AH582" s="68"/>
      <c r="AI582" s="68"/>
      <c r="AJ582" s="68"/>
      <c r="AK582" s="68"/>
      <c r="AL582" s="68"/>
      <c r="AM582" s="68"/>
      <c r="AN582" s="68"/>
      <c r="AO582" s="68"/>
      <c r="AP582" s="68"/>
      <c r="AQ582" s="68"/>
      <c r="AR582" s="68"/>
      <c r="AS582" s="68"/>
      <c r="AT582" s="68"/>
      <c r="AU582" s="68"/>
      <c r="AV582" s="68"/>
      <c r="AW582" s="68"/>
      <c r="AX582" s="68"/>
      <c r="AY582" s="68"/>
      <c r="AZ582" s="68"/>
      <c r="BA582" s="68"/>
      <c r="BB582" s="68"/>
      <c r="BC582" s="68"/>
      <c r="BD582" s="68"/>
      <c r="BE582" s="68"/>
      <c r="BF582" s="68"/>
      <c r="BG582" s="68"/>
      <c r="BH582" s="68"/>
      <c r="BI582" s="68"/>
      <c r="BJ582" s="68"/>
      <c r="BK582" s="68"/>
      <c r="BL582" s="68"/>
      <c r="BM582" s="68"/>
      <c r="BN582" s="68"/>
    </row>
    <row r="583" spans="1:66" ht="17">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68"/>
      <c r="AG583" s="68"/>
      <c r="AH583" s="68"/>
      <c r="AI583" s="68"/>
      <c r="AJ583" s="68"/>
      <c r="AK583" s="68"/>
      <c r="AL583" s="68"/>
      <c r="AM583" s="68"/>
      <c r="AN583" s="68"/>
      <c r="AO583" s="68"/>
      <c r="AP583" s="68"/>
      <c r="AQ583" s="68"/>
      <c r="AR583" s="68"/>
      <c r="AS583" s="68"/>
      <c r="AT583" s="68"/>
      <c r="AU583" s="68"/>
      <c r="AV583" s="68"/>
      <c r="AW583" s="68"/>
      <c r="AX583" s="68"/>
      <c r="AY583" s="68"/>
      <c r="AZ583" s="68"/>
      <c r="BA583" s="68"/>
      <c r="BB583" s="68"/>
      <c r="BC583" s="68"/>
      <c r="BD583" s="68"/>
      <c r="BE583" s="68"/>
      <c r="BF583" s="68"/>
      <c r="BG583" s="68"/>
      <c r="BH583" s="68"/>
      <c r="BI583" s="68"/>
      <c r="BJ583" s="68"/>
      <c r="BK583" s="68"/>
      <c r="BL583" s="68"/>
      <c r="BM583" s="68"/>
      <c r="BN583" s="68"/>
    </row>
    <row r="584" spans="1:66" ht="17">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68"/>
      <c r="AG584" s="68"/>
      <c r="AH584" s="68"/>
      <c r="AI584" s="68"/>
      <c r="AJ584" s="68"/>
      <c r="AK584" s="68"/>
      <c r="AL584" s="68"/>
      <c r="AM584" s="68"/>
      <c r="AN584" s="68"/>
      <c r="AO584" s="68"/>
      <c r="AP584" s="68"/>
      <c r="AQ584" s="68"/>
      <c r="AR584" s="68"/>
      <c r="AS584" s="68"/>
      <c r="AT584" s="68"/>
      <c r="AU584" s="68"/>
      <c r="AV584" s="68"/>
      <c r="AW584" s="68"/>
      <c r="AX584" s="68"/>
      <c r="AY584" s="68"/>
      <c r="AZ584" s="68"/>
      <c r="BA584" s="68"/>
      <c r="BB584" s="68"/>
      <c r="BC584" s="68"/>
      <c r="BD584" s="68"/>
      <c r="BE584" s="68"/>
      <c r="BF584" s="68"/>
      <c r="BG584" s="68"/>
      <c r="BH584" s="68"/>
      <c r="BI584" s="68"/>
      <c r="BJ584" s="68"/>
      <c r="BK584" s="68"/>
      <c r="BL584" s="68"/>
      <c r="BM584" s="68"/>
      <c r="BN584" s="68"/>
    </row>
    <row r="585" spans="1:66" ht="17">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68"/>
      <c r="AG585" s="68"/>
      <c r="AH585" s="68"/>
      <c r="AI585" s="68"/>
      <c r="AJ585" s="68"/>
      <c r="AK585" s="68"/>
      <c r="AL585" s="68"/>
      <c r="AM585" s="68"/>
      <c r="AN585" s="68"/>
      <c r="AO585" s="68"/>
      <c r="AP585" s="68"/>
      <c r="AQ585" s="68"/>
      <c r="AR585" s="68"/>
      <c r="AS585" s="68"/>
      <c r="AT585" s="68"/>
      <c r="AU585" s="68"/>
      <c r="AV585" s="68"/>
      <c r="AW585" s="68"/>
      <c r="AX585" s="68"/>
      <c r="AY585" s="68"/>
      <c r="AZ585" s="68"/>
      <c r="BA585" s="68"/>
      <c r="BB585" s="68"/>
      <c r="BC585" s="68"/>
      <c r="BD585" s="68"/>
      <c r="BE585" s="68"/>
      <c r="BF585" s="68"/>
      <c r="BG585" s="68"/>
      <c r="BH585" s="68"/>
      <c r="BI585" s="68"/>
      <c r="BJ585" s="68"/>
      <c r="BK585" s="68"/>
      <c r="BL585" s="68"/>
      <c r="BM585" s="68"/>
      <c r="BN585" s="68"/>
    </row>
    <row r="586" spans="1:66" ht="17">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68"/>
      <c r="AG586" s="68"/>
      <c r="AH586" s="68"/>
      <c r="AI586" s="68"/>
      <c r="AJ586" s="68"/>
      <c r="AK586" s="68"/>
      <c r="AL586" s="68"/>
      <c r="AM586" s="68"/>
      <c r="AN586" s="68"/>
      <c r="AO586" s="68"/>
      <c r="AP586" s="68"/>
      <c r="AQ586" s="68"/>
      <c r="AR586" s="68"/>
      <c r="AS586" s="68"/>
      <c r="AT586" s="68"/>
      <c r="AU586" s="68"/>
      <c r="AV586" s="68"/>
      <c r="AW586" s="68"/>
      <c r="AX586" s="68"/>
      <c r="AY586" s="68"/>
      <c r="AZ586" s="68"/>
      <c r="BA586" s="68"/>
      <c r="BB586" s="68"/>
      <c r="BC586" s="68"/>
      <c r="BD586" s="68"/>
      <c r="BE586" s="68"/>
      <c r="BF586" s="68"/>
      <c r="BG586" s="68"/>
      <c r="BH586" s="68"/>
      <c r="BI586" s="68"/>
      <c r="BJ586" s="68"/>
      <c r="BK586" s="68"/>
      <c r="BL586" s="68"/>
      <c r="BM586" s="68"/>
      <c r="BN586" s="68"/>
    </row>
    <row r="587" spans="1:66" ht="1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68"/>
      <c r="AG587" s="68"/>
      <c r="AH587" s="68"/>
      <c r="AI587" s="68"/>
      <c r="AJ587" s="68"/>
      <c r="AK587" s="68"/>
      <c r="AL587" s="68"/>
      <c r="AM587" s="68"/>
      <c r="AN587" s="68"/>
      <c r="AO587" s="68"/>
      <c r="AP587" s="68"/>
      <c r="AQ587" s="68"/>
      <c r="AR587" s="68"/>
      <c r="AS587" s="68"/>
      <c r="AT587" s="68"/>
      <c r="AU587" s="68"/>
      <c r="AV587" s="68"/>
      <c r="AW587" s="68"/>
      <c r="AX587" s="68"/>
      <c r="AY587" s="68"/>
      <c r="AZ587" s="68"/>
      <c r="BA587" s="68"/>
      <c r="BB587" s="68"/>
      <c r="BC587" s="68"/>
      <c r="BD587" s="68"/>
      <c r="BE587" s="68"/>
      <c r="BF587" s="68"/>
      <c r="BG587" s="68"/>
      <c r="BH587" s="68"/>
      <c r="BI587" s="68"/>
      <c r="BJ587" s="68"/>
      <c r="BK587" s="68"/>
      <c r="BL587" s="68"/>
      <c r="BM587" s="68"/>
      <c r="BN587" s="68"/>
    </row>
    <row r="588" spans="1:66" ht="17">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68"/>
      <c r="AG588" s="68"/>
      <c r="AH588" s="68"/>
      <c r="AI588" s="68"/>
      <c r="AJ588" s="68"/>
      <c r="AK588" s="68"/>
      <c r="AL588" s="68"/>
      <c r="AM588" s="68"/>
      <c r="AN588" s="68"/>
      <c r="AO588" s="68"/>
      <c r="AP588" s="68"/>
      <c r="AQ588" s="68"/>
      <c r="AR588" s="68"/>
      <c r="AS588" s="68"/>
      <c r="AT588" s="68"/>
      <c r="AU588" s="68"/>
      <c r="AV588" s="68"/>
      <c r="AW588" s="68"/>
      <c r="AX588" s="68"/>
      <c r="AY588" s="68"/>
      <c r="AZ588" s="68"/>
      <c r="BA588" s="68"/>
      <c r="BB588" s="68"/>
      <c r="BC588" s="68"/>
      <c r="BD588" s="68"/>
      <c r="BE588" s="68"/>
      <c r="BF588" s="68"/>
      <c r="BG588" s="68"/>
      <c r="BH588" s="68"/>
      <c r="BI588" s="68"/>
      <c r="BJ588" s="68"/>
      <c r="BK588" s="68"/>
      <c r="BL588" s="68"/>
      <c r="BM588" s="68"/>
      <c r="BN588" s="68"/>
    </row>
    <row r="589" spans="1:66" ht="17">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68"/>
      <c r="AG589" s="68"/>
      <c r="AH589" s="68"/>
      <c r="AI589" s="68"/>
      <c r="AJ589" s="68"/>
      <c r="AK589" s="68"/>
      <c r="AL589" s="68"/>
      <c r="AM589" s="68"/>
      <c r="AN589" s="68"/>
      <c r="AO589" s="68"/>
      <c r="AP589" s="68"/>
      <c r="AQ589" s="68"/>
      <c r="AR589" s="68"/>
      <c r="AS589" s="68"/>
      <c r="AT589" s="68"/>
      <c r="AU589" s="68"/>
      <c r="AV589" s="68"/>
      <c r="AW589" s="68"/>
      <c r="AX589" s="68"/>
      <c r="AY589" s="68"/>
      <c r="AZ589" s="68"/>
      <c r="BA589" s="68"/>
      <c r="BB589" s="68"/>
      <c r="BC589" s="68"/>
      <c r="BD589" s="68"/>
      <c r="BE589" s="68"/>
      <c r="BF589" s="68"/>
      <c r="BG589" s="68"/>
      <c r="BH589" s="68"/>
      <c r="BI589" s="68"/>
      <c r="BJ589" s="68"/>
      <c r="BK589" s="68"/>
      <c r="BL589" s="68"/>
      <c r="BM589" s="68"/>
      <c r="BN589" s="68"/>
    </row>
    <row r="590" spans="1:66" ht="17">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68"/>
      <c r="AG590" s="68"/>
      <c r="AH590" s="68"/>
      <c r="AI590" s="68"/>
      <c r="AJ590" s="68"/>
      <c r="AK590" s="68"/>
      <c r="AL590" s="68"/>
      <c r="AM590" s="68"/>
      <c r="AN590" s="68"/>
      <c r="AO590" s="68"/>
      <c r="AP590" s="68"/>
      <c r="AQ590" s="68"/>
      <c r="AR590" s="68"/>
      <c r="AS590" s="68"/>
      <c r="AT590" s="68"/>
      <c r="AU590" s="68"/>
      <c r="AV590" s="68"/>
      <c r="AW590" s="68"/>
      <c r="AX590" s="68"/>
      <c r="AY590" s="68"/>
      <c r="AZ590" s="68"/>
      <c r="BA590" s="68"/>
      <c r="BB590" s="68"/>
      <c r="BC590" s="68"/>
      <c r="BD590" s="68"/>
      <c r="BE590" s="68"/>
      <c r="BF590" s="68"/>
      <c r="BG590" s="68"/>
      <c r="BH590" s="68"/>
      <c r="BI590" s="68"/>
      <c r="BJ590" s="68"/>
      <c r="BK590" s="68"/>
      <c r="BL590" s="68"/>
      <c r="BM590" s="68"/>
      <c r="BN590" s="68"/>
    </row>
    <row r="591" spans="1:66" ht="17">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68"/>
      <c r="AG591" s="68"/>
      <c r="AH591" s="68"/>
      <c r="AI591" s="68"/>
      <c r="AJ591" s="68"/>
      <c r="AK591" s="68"/>
      <c r="AL591" s="68"/>
      <c r="AM591" s="68"/>
      <c r="AN591" s="68"/>
      <c r="AO591" s="68"/>
      <c r="AP591" s="68"/>
      <c r="AQ591" s="68"/>
      <c r="AR591" s="68"/>
      <c r="AS591" s="68"/>
      <c r="AT591" s="68"/>
      <c r="AU591" s="68"/>
      <c r="AV591" s="68"/>
      <c r="AW591" s="68"/>
      <c r="AX591" s="68"/>
      <c r="AY591" s="68"/>
      <c r="AZ591" s="68"/>
      <c r="BA591" s="68"/>
      <c r="BB591" s="68"/>
      <c r="BC591" s="68"/>
      <c r="BD591" s="68"/>
      <c r="BE591" s="68"/>
      <c r="BF591" s="68"/>
      <c r="BG591" s="68"/>
      <c r="BH591" s="68"/>
      <c r="BI591" s="68"/>
      <c r="BJ591" s="68"/>
      <c r="BK591" s="68"/>
      <c r="BL591" s="68"/>
      <c r="BM591" s="68"/>
      <c r="BN591" s="68"/>
    </row>
    <row r="592" spans="1:66" ht="17">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68"/>
      <c r="AG592" s="68"/>
      <c r="AH592" s="68"/>
      <c r="AI592" s="68"/>
      <c r="AJ592" s="68"/>
      <c r="AK592" s="68"/>
      <c r="AL592" s="68"/>
      <c r="AM592" s="68"/>
      <c r="AN592" s="68"/>
      <c r="AO592" s="68"/>
      <c r="AP592" s="68"/>
      <c r="AQ592" s="68"/>
      <c r="AR592" s="68"/>
      <c r="AS592" s="68"/>
      <c r="AT592" s="68"/>
      <c r="AU592" s="68"/>
      <c r="AV592" s="68"/>
      <c r="AW592" s="68"/>
      <c r="AX592" s="68"/>
      <c r="AY592" s="68"/>
      <c r="AZ592" s="68"/>
      <c r="BA592" s="68"/>
      <c r="BB592" s="68"/>
      <c r="BC592" s="68"/>
      <c r="BD592" s="68"/>
      <c r="BE592" s="68"/>
      <c r="BF592" s="68"/>
      <c r="BG592" s="68"/>
      <c r="BH592" s="68"/>
      <c r="BI592" s="68"/>
      <c r="BJ592" s="68"/>
      <c r="BK592" s="68"/>
      <c r="BL592" s="68"/>
      <c r="BM592" s="68"/>
      <c r="BN592" s="68"/>
    </row>
    <row r="593" spans="1:66" ht="17">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68"/>
      <c r="AG593" s="68"/>
      <c r="AH593" s="68"/>
      <c r="AI593" s="68"/>
      <c r="AJ593" s="68"/>
      <c r="AK593" s="68"/>
      <c r="AL593" s="68"/>
      <c r="AM593" s="68"/>
      <c r="AN593" s="68"/>
      <c r="AO593" s="68"/>
      <c r="AP593" s="68"/>
      <c r="AQ593" s="68"/>
      <c r="AR593" s="68"/>
      <c r="AS593" s="68"/>
      <c r="AT593" s="68"/>
      <c r="AU593" s="68"/>
      <c r="AV593" s="68"/>
      <c r="AW593" s="68"/>
      <c r="AX593" s="68"/>
      <c r="AY593" s="68"/>
      <c r="AZ593" s="68"/>
      <c r="BA593" s="68"/>
      <c r="BB593" s="68"/>
      <c r="BC593" s="68"/>
      <c r="BD593" s="68"/>
      <c r="BE593" s="68"/>
      <c r="BF593" s="68"/>
      <c r="BG593" s="68"/>
      <c r="BH593" s="68"/>
      <c r="BI593" s="68"/>
      <c r="BJ593" s="68"/>
      <c r="BK593" s="68"/>
      <c r="BL593" s="68"/>
      <c r="BM593" s="68"/>
      <c r="BN593" s="68"/>
    </row>
    <row r="594" spans="1:66" ht="17">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68"/>
      <c r="AG594" s="68"/>
      <c r="AH594" s="68"/>
      <c r="AI594" s="68"/>
      <c r="AJ594" s="68"/>
      <c r="AK594" s="68"/>
      <c r="AL594" s="68"/>
      <c r="AM594" s="68"/>
      <c r="AN594" s="68"/>
      <c r="AO594" s="68"/>
      <c r="AP594" s="68"/>
      <c r="AQ594" s="68"/>
      <c r="AR594" s="68"/>
      <c r="AS594" s="68"/>
      <c r="AT594" s="68"/>
      <c r="AU594" s="68"/>
      <c r="AV594" s="68"/>
      <c r="AW594" s="68"/>
      <c r="AX594" s="68"/>
      <c r="AY594" s="68"/>
      <c r="AZ594" s="68"/>
      <c r="BA594" s="68"/>
      <c r="BB594" s="68"/>
      <c r="BC594" s="68"/>
      <c r="BD594" s="68"/>
      <c r="BE594" s="68"/>
      <c r="BF594" s="68"/>
      <c r="BG594" s="68"/>
      <c r="BH594" s="68"/>
      <c r="BI594" s="68"/>
      <c r="BJ594" s="68"/>
      <c r="BK594" s="68"/>
      <c r="BL594" s="68"/>
      <c r="BM594" s="68"/>
      <c r="BN594" s="68"/>
    </row>
    <row r="595" spans="1:66" ht="17">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68"/>
      <c r="AG595" s="68"/>
      <c r="AH595" s="68"/>
      <c r="AI595" s="68"/>
      <c r="AJ595" s="68"/>
      <c r="AK595" s="68"/>
      <c r="AL595" s="68"/>
      <c r="AM595" s="68"/>
      <c r="AN595" s="68"/>
      <c r="AO595" s="68"/>
      <c r="AP595" s="68"/>
      <c r="AQ595" s="68"/>
      <c r="AR595" s="68"/>
      <c r="AS595" s="68"/>
      <c r="AT595" s="68"/>
      <c r="AU595" s="68"/>
      <c r="AV595" s="68"/>
      <c r="AW595" s="68"/>
      <c r="AX595" s="68"/>
      <c r="AY595" s="68"/>
      <c r="AZ595" s="68"/>
      <c r="BA595" s="68"/>
      <c r="BB595" s="68"/>
      <c r="BC595" s="68"/>
      <c r="BD595" s="68"/>
      <c r="BE595" s="68"/>
      <c r="BF595" s="68"/>
      <c r="BG595" s="68"/>
      <c r="BH595" s="68"/>
      <c r="BI595" s="68"/>
      <c r="BJ595" s="68"/>
      <c r="BK595" s="68"/>
      <c r="BL595" s="68"/>
      <c r="BM595" s="68"/>
      <c r="BN595" s="68"/>
    </row>
    <row r="596" spans="1:66" ht="17">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68"/>
      <c r="AG596" s="68"/>
      <c r="AH596" s="68"/>
      <c r="AI596" s="68"/>
      <c r="AJ596" s="68"/>
      <c r="AK596" s="68"/>
      <c r="AL596" s="68"/>
      <c r="AM596" s="68"/>
      <c r="AN596" s="68"/>
      <c r="AO596" s="68"/>
      <c r="AP596" s="68"/>
      <c r="AQ596" s="68"/>
      <c r="AR596" s="68"/>
      <c r="AS596" s="68"/>
      <c r="AT596" s="68"/>
      <c r="AU596" s="68"/>
      <c r="AV596" s="68"/>
      <c r="AW596" s="68"/>
      <c r="AX596" s="68"/>
      <c r="AY596" s="68"/>
      <c r="AZ596" s="68"/>
      <c r="BA596" s="68"/>
      <c r="BB596" s="68"/>
      <c r="BC596" s="68"/>
      <c r="BD596" s="68"/>
      <c r="BE596" s="68"/>
      <c r="BF596" s="68"/>
      <c r="BG596" s="68"/>
      <c r="BH596" s="68"/>
      <c r="BI596" s="68"/>
      <c r="BJ596" s="68"/>
      <c r="BK596" s="68"/>
      <c r="BL596" s="68"/>
      <c r="BM596" s="68"/>
      <c r="BN596" s="68"/>
    </row>
    <row r="597" spans="1:66" ht="1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68"/>
      <c r="AG597" s="68"/>
      <c r="AH597" s="68"/>
      <c r="AI597" s="68"/>
      <c r="AJ597" s="68"/>
      <c r="AK597" s="68"/>
      <c r="AL597" s="68"/>
      <c r="AM597" s="68"/>
      <c r="AN597" s="68"/>
      <c r="AO597" s="68"/>
      <c r="AP597" s="68"/>
      <c r="AQ597" s="68"/>
      <c r="AR597" s="68"/>
      <c r="AS597" s="68"/>
      <c r="AT597" s="68"/>
      <c r="AU597" s="68"/>
      <c r="AV597" s="68"/>
      <c r="AW597" s="68"/>
      <c r="AX597" s="68"/>
      <c r="AY597" s="68"/>
      <c r="AZ597" s="68"/>
      <c r="BA597" s="68"/>
      <c r="BB597" s="68"/>
      <c r="BC597" s="68"/>
      <c r="BD597" s="68"/>
      <c r="BE597" s="68"/>
      <c r="BF597" s="68"/>
      <c r="BG597" s="68"/>
      <c r="BH597" s="68"/>
      <c r="BI597" s="68"/>
      <c r="BJ597" s="68"/>
      <c r="BK597" s="68"/>
      <c r="BL597" s="68"/>
      <c r="BM597" s="68"/>
      <c r="BN597" s="68"/>
    </row>
    <row r="598" spans="1:66" ht="17">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68"/>
      <c r="AG598" s="68"/>
      <c r="AH598" s="68"/>
      <c r="AI598" s="68"/>
      <c r="AJ598" s="68"/>
      <c r="AK598" s="68"/>
      <c r="AL598" s="68"/>
      <c r="AM598" s="68"/>
      <c r="AN598" s="68"/>
      <c r="AO598" s="68"/>
      <c r="AP598" s="68"/>
      <c r="AQ598" s="68"/>
      <c r="AR598" s="68"/>
      <c r="AS598" s="68"/>
      <c r="AT598" s="68"/>
      <c r="AU598" s="68"/>
      <c r="AV598" s="68"/>
      <c r="AW598" s="68"/>
      <c r="AX598" s="68"/>
      <c r="AY598" s="68"/>
      <c r="AZ598" s="68"/>
      <c r="BA598" s="68"/>
      <c r="BB598" s="68"/>
      <c r="BC598" s="68"/>
      <c r="BD598" s="68"/>
      <c r="BE598" s="68"/>
      <c r="BF598" s="68"/>
      <c r="BG598" s="68"/>
      <c r="BH598" s="68"/>
      <c r="BI598" s="68"/>
      <c r="BJ598" s="68"/>
      <c r="BK598" s="68"/>
      <c r="BL598" s="68"/>
      <c r="BM598" s="68"/>
      <c r="BN598" s="68"/>
    </row>
    <row r="599" spans="1:66" ht="17">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68"/>
      <c r="AG599" s="68"/>
      <c r="AH599" s="68"/>
      <c r="AI599" s="68"/>
      <c r="AJ599" s="68"/>
      <c r="AK599" s="68"/>
      <c r="AL599" s="68"/>
      <c r="AM599" s="68"/>
      <c r="AN599" s="68"/>
      <c r="AO599" s="68"/>
      <c r="AP599" s="68"/>
      <c r="AQ599" s="68"/>
      <c r="AR599" s="68"/>
      <c r="AS599" s="68"/>
      <c r="AT599" s="68"/>
      <c r="AU599" s="68"/>
      <c r="AV599" s="68"/>
      <c r="AW599" s="68"/>
      <c r="AX599" s="68"/>
      <c r="AY599" s="68"/>
      <c r="AZ599" s="68"/>
      <c r="BA599" s="68"/>
      <c r="BB599" s="68"/>
      <c r="BC599" s="68"/>
      <c r="BD599" s="68"/>
      <c r="BE599" s="68"/>
      <c r="BF599" s="68"/>
      <c r="BG599" s="68"/>
      <c r="BH599" s="68"/>
      <c r="BI599" s="68"/>
      <c r="BJ599" s="68"/>
      <c r="BK599" s="68"/>
      <c r="BL599" s="68"/>
      <c r="BM599" s="68"/>
      <c r="BN599" s="68"/>
    </row>
    <row r="600" spans="1:66" ht="17">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68"/>
      <c r="AG600" s="68"/>
      <c r="AH600" s="68"/>
      <c r="AI600" s="68"/>
      <c r="AJ600" s="68"/>
      <c r="AK600" s="68"/>
      <c r="AL600" s="68"/>
      <c r="AM600" s="68"/>
      <c r="AN600" s="68"/>
      <c r="AO600" s="68"/>
      <c r="AP600" s="68"/>
      <c r="AQ600" s="68"/>
      <c r="AR600" s="68"/>
      <c r="AS600" s="68"/>
      <c r="AT600" s="68"/>
      <c r="AU600" s="68"/>
      <c r="AV600" s="68"/>
      <c r="AW600" s="68"/>
      <c r="AX600" s="68"/>
      <c r="AY600" s="68"/>
      <c r="AZ600" s="68"/>
      <c r="BA600" s="68"/>
      <c r="BB600" s="68"/>
      <c r="BC600" s="68"/>
      <c r="BD600" s="68"/>
      <c r="BE600" s="68"/>
      <c r="BF600" s="68"/>
      <c r="BG600" s="68"/>
      <c r="BH600" s="68"/>
      <c r="BI600" s="68"/>
      <c r="BJ600" s="68"/>
      <c r="BK600" s="68"/>
      <c r="BL600" s="68"/>
      <c r="BM600" s="68"/>
      <c r="BN600" s="68"/>
    </row>
    <row r="601" spans="1:66" ht="17">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68"/>
      <c r="AG601" s="68"/>
      <c r="AH601" s="68"/>
      <c r="AI601" s="68"/>
      <c r="AJ601" s="68"/>
      <c r="AK601" s="68"/>
      <c r="AL601" s="68"/>
      <c r="AM601" s="68"/>
      <c r="AN601" s="68"/>
      <c r="AO601" s="68"/>
      <c r="AP601" s="68"/>
      <c r="AQ601" s="68"/>
      <c r="AR601" s="68"/>
      <c r="AS601" s="68"/>
      <c r="AT601" s="68"/>
      <c r="AU601" s="68"/>
      <c r="AV601" s="68"/>
      <c r="AW601" s="68"/>
      <c r="AX601" s="68"/>
      <c r="AY601" s="68"/>
      <c r="AZ601" s="68"/>
      <c r="BA601" s="68"/>
      <c r="BB601" s="68"/>
      <c r="BC601" s="68"/>
      <c r="BD601" s="68"/>
      <c r="BE601" s="68"/>
      <c r="BF601" s="68"/>
      <c r="BG601" s="68"/>
      <c r="BH601" s="68"/>
      <c r="BI601" s="68"/>
      <c r="BJ601" s="68"/>
      <c r="BK601" s="68"/>
      <c r="BL601" s="68"/>
      <c r="BM601" s="68"/>
      <c r="BN601" s="68"/>
    </row>
    <row r="602" spans="1:66" ht="17">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68"/>
      <c r="AG602" s="68"/>
      <c r="AH602" s="68"/>
      <c r="AI602" s="68"/>
      <c r="AJ602" s="68"/>
      <c r="AK602" s="68"/>
      <c r="AL602" s="68"/>
      <c r="AM602" s="68"/>
      <c r="AN602" s="68"/>
      <c r="AO602" s="68"/>
      <c r="AP602" s="68"/>
      <c r="AQ602" s="68"/>
      <c r="AR602" s="68"/>
      <c r="AS602" s="68"/>
      <c r="AT602" s="68"/>
      <c r="AU602" s="68"/>
      <c r="AV602" s="68"/>
      <c r="AW602" s="68"/>
      <c r="AX602" s="68"/>
      <c r="AY602" s="68"/>
      <c r="AZ602" s="68"/>
      <c r="BA602" s="68"/>
      <c r="BB602" s="68"/>
      <c r="BC602" s="68"/>
      <c r="BD602" s="68"/>
      <c r="BE602" s="68"/>
      <c r="BF602" s="68"/>
      <c r="BG602" s="68"/>
      <c r="BH602" s="68"/>
      <c r="BI602" s="68"/>
      <c r="BJ602" s="68"/>
      <c r="BK602" s="68"/>
      <c r="BL602" s="68"/>
      <c r="BM602" s="68"/>
      <c r="BN602" s="68"/>
    </row>
    <row r="603" spans="1:66" ht="17">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68"/>
      <c r="AG603" s="68"/>
      <c r="AH603" s="68"/>
      <c r="AI603" s="68"/>
      <c r="AJ603" s="68"/>
      <c r="AK603" s="68"/>
      <c r="AL603" s="68"/>
      <c r="AM603" s="68"/>
      <c r="AN603" s="68"/>
      <c r="AO603" s="68"/>
      <c r="AP603" s="68"/>
      <c r="AQ603" s="68"/>
      <c r="AR603" s="68"/>
      <c r="AS603" s="68"/>
      <c r="AT603" s="68"/>
      <c r="AU603" s="68"/>
      <c r="AV603" s="68"/>
      <c r="AW603" s="68"/>
      <c r="AX603" s="68"/>
      <c r="AY603" s="68"/>
      <c r="AZ603" s="68"/>
      <c r="BA603" s="68"/>
      <c r="BB603" s="68"/>
      <c r="BC603" s="68"/>
      <c r="BD603" s="68"/>
      <c r="BE603" s="68"/>
      <c r="BF603" s="68"/>
      <c r="BG603" s="68"/>
      <c r="BH603" s="68"/>
      <c r="BI603" s="68"/>
      <c r="BJ603" s="68"/>
      <c r="BK603" s="68"/>
      <c r="BL603" s="68"/>
      <c r="BM603" s="68"/>
      <c r="BN603" s="68"/>
    </row>
    <row r="604" spans="1:66" ht="17">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68"/>
      <c r="AG604" s="68"/>
      <c r="AH604" s="68"/>
      <c r="AI604" s="68"/>
      <c r="AJ604" s="68"/>
      <c r="AK604" s="68"/>
      <c r="AL604" s="68"/>
      <c r="AM604" s="68"/>
      <c r="AN604" s="68"/>
      <c r="AO604" s="68"/>
      <c r="AP604" s="68"/>
      <c r="AQ604" s="68"/>
      <c r="AR604" s="68"/>
      <c r="AS604" s="68"/>
      <c r="AT604" s="68"/>
      <c r="AU604" s="68"/>
      <c r="AV604" s="68"/>
      <c r="AW604" s="68"/>
      <c r="AX604" s="68"/>
      <c r="AY604" s="68"/>
      <c r="AZ604" s="68"/>
      <c r="BA604" s="68"/>
      <c r="BB604" s="68"/>
      <c r="BC604" s="68"/>
      <c r="BD604" s="68"/>
      <c r="BE604" s="68"/>
      <c r="BF604" s="68"/>
      <c r="BG604" s="68"/>
      <c r="BH604" s="68"/>
      <c r="BI604" s="68"/>
      <c r="BJ604" s="68"/>
      <c r="BK604" s="68"/>
      <c r="BL604" s="68"/>
      <c r="BM604" s="68"/>
      <c r="BN604" s="68"/>
    </row>
    <row r="605" spans="1:66" ht="17">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68"/>
      <c r="AG605" s="68"/>
      <c r="AH605" s="68"/>
      <c r="AI605" s="68"/>
      <c r="AJ605" s="68"/>
      <c r="AK605" s="68"/>
      <c r="AL605" s="68"/>
      <c r="AM605" s="68"/>
      <c r="AN605" s="68"/>
      <c r="AO605" s="68"/>
      <c r="AP605" s="68"/>
      <c r="AQ605" s="68"/>
      <c r="AR605" s="68"/>
      <c r="AS605" s="68"/>
      <c r="AT605" s="68"/>
      <c r="AU605" s="68"/>
      <c r="AV605" s="68"/>
      <c r="AW605" s="68"/>
      <c r="AX605" s="68"/>
      <c r="AY605" s="68"/>
      <c r="AZ605" s="68"/>
      <c r="BA605" s="68"/>
      <c r="BB605" s="68"/>
      <c r="BC605" s="68"/>
      <c r="BD605" s="68"/>
      <c r="BE605" s="68"/>
      <c r="BF605" s="68"/>
      <c r="BG605" s="68"/>
      <c r="BH605" s="68"/>
      <c r="BI605" s="68"/>
      <c r="BJ605" s="68"/>
      <c r="BK605" s="68"/>
      <c r="BL605" s="68"/>
      <c r="BM605" s="68"/>
      <c r="BN605" s="68"/>
    </row>
    <row r="606" spans="1:66" ht="17">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68"/>
      <c r="AG606" s="68"/>
      <c r="AH606" s="68"/>
      <c r="AI606" s="68"/>
      <c r="AJ606" s="68"/>
      <c r="AK606" s="68"/>
      <c r="AL606" s="68"/>
      <c r="AM606" s="68"/>
      <c r="AN606" s="68"/>
      <c r="AO606" s="68"/>
      <c r="AP606" s="68"/>
      <c r="AQ606" s="68"/>
      <c r="AR606" s="68"/>
      <c r="AS606" s="68"/>
      <c r="AT606" s="68"/>
      <c r="AU606" s="68"/>
      <c r="AV606" s="68"/>
      <c r="AW606" s="68"/>
      <c r="AX606" s="68"/>
      <c r="AY606" s="68"/>
      <c r="AZ606" s="68"/>
      <c r="BA606" s="68"/>
      <c r="BB606" s="68"/>
      <c r="BC606" s="68"/>
      <c r="BD606" s="68"/>
      <c r="BE606" s="68"/>
      <c r="BF606" s="68"/>
      <c r="BG606" s="68"/>
      <c r="BH606" s="68"/>
      <c r="BI606" s="68"/>
      <c r="BJ606" s="68"/>
      <c r="BK606" s="68"/>
      <c r="BL606" s="68"/>
      <c r="BM606" s="68"/>
      <c r="BN606" s="68"/>
    </row>
    <row r="607" spans="1:66" ht="1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68"/>
      <c r="AG607" s="68"/>
      <c r="AH607" s="68"/>
      <c r="AI607" s="68"/>
      <c r="AJ607" s="68"/>
      <c r="AK607" s="68"/>
      <c r="AL607" s="68"/>
      <c r="AM607" s="68"/>
      <c r="AN607" s="68"/>
      <c r="AO607" s="68"/>
      <c r="AP607" s="68"/>
      <c r="AQ607" s="68"/>
      <c r="AR607" s="68"/>
      <c r="AS607" s="68"/>
      <c r="AT607" s="68"/>
      <c r="AU607" s="68"/>
      <c r="AV607" s="68"/>
      <c r="AW607" s="68"/>
      <c r="AX607" s="68"/>
      <c r="AY607" s="68"/>
      <c r="AZ607" s="68"/>
      <c r="BA607" s="68"/>
      <c r="BB607" s="68"/>
      <c r="BC607" s="68"/>
      <c r="BD607" s="68"/>
      <c r="BE607" s="68"/>
      <c r="BF607" s="68"/>
      <c r="BG607" s="68"/>
      <c r="BH607" s="68"/>
      <c r="BI607" s="68"/>
      <c r="BJ607" s="68"/>
      <c r="BK607" s="68"/>
      <c r="BL607" s="68"/>
      <c r="BM607" s="68"/>
      <c r="BN607" s="68"/>
    </row>
    <row r="608" spans="1:66" ht="17">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68"/>
      <c r="AG608" s="68"/>
      <c r="AH608" s="68"/>
      <c r="AI608" s="68"/>
      <c r="AJ608" s="68"/>
      <c r="AK608" s="68"/>
      <c r="AL608" s="68"/>
      <c r="AM608" s="68"/>
      <c r="AN608" s="68"/>
      <c r="AO608" s="68"/>
      <c r="AP608" s="68"/>
      <c r="AQ608" s="68"/>
      <c r="AR608" s="68"/>
      <c r="AS608" s="68"/>
      <c r="AT608" s="68"/>
      <c r="AU608" s="68"/>
      <c r="AV608" s="68"/>
      <c r="AW608" s="68"/>
      <c r="AX608" s="68"/>
      <c r="AY608" s="68"/>
      <c r="AZ608" s="68"/>
      <c r="BA608" s="68"/>
      <c r="BB608" s="68"/>
      <c r="BC608" s="68"/>
      <c r="BD608" s="68"/>
      <c r="BE608" s="68"/>
      <c r="BF608" s="68"/>
      <c r="BG608" s="68"/>
      <c r="BH608" s="68"/>
      <c r="BI608" s="68"/>
      <c r="BJ608" s="68"/>
      <c r="BK608" s="68"/>
      <c r="BL608" s="68"/>
      <c r="BM608" s="68"/>
      <c r="BN608" s="68"/>
    </row>
    <row r="609" spans="1:66" ht="17">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68"/>
      <c r="AG609" s="68"/>
      <c r="AH609" s="68"/>
      <c r="AI609" s="68"/>
      <c r="AJ609" s="68"/>
      <c r="AK609" s="68"/>
      <c r="AL609" s="68"/>
      <c r="AM609" s="68"/>
      <c r="AN609" s="68"/>
      <c r="AO609" s="68"/>
      <c r="AP609" s="68"/>
      <c r="AQ609" s="68"/>
      <c r="AR609" s="68"/>
      <c r="AS609" s="68"/>
      <c r="AT609" s="68"/>
      <c r="AU609" s="68"/>
      <c r="AV609" s="68"/>
      <c r="AW609" s="68"/>
      <c r="AX609" s="68"/>
      <c r="AY609" s="68"/>
      <c r="AZ609" s="68"/>
      <c r="BA609" s="68"/>
      <c r="BB609" s="68"/>
      <c r="BC609" s="68"/>
      <c r="BD609" s="68"/>
      <c r="BE609" s="68"/>
      <c r="BF609" s="68"/>
      <c r="BG609" s="68"/>
      <c r="BH609" s="68"/>
      <c r="BI609" s="68"/>
      <c r="BJ609" s="68"/>
      <c r="BK609" s="68"/>
      <c r="BL609" s="68"/>
      <c r="BM609" s="68"/>
      <c r="BN609" s="68"/>
    </row>
    <row r="610" spans="1:66" ht="17">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68"/>
      <c r="AG610" s="68"/>
      <c r="AH610" s="68"/>
      <c r="AI610" s="68"/>
      <c r="AJ610" s="68"/>
      <c r="AK610" s="68"/>
      <c r="AL610" s="68"/>
      <c r="AM610" s="68"/>
      <c r="AN610" s="68"/>
      <c r="AO610" s="68"/>
      <c r="AP610" s="68"/>
      <c r="AQ610" s="68"/>
      <c r="AR610" s="68"/>
      <c r="AS610" s="68"/>
      <c r="AT610" s="68"/>
      <c r="AU610" s="68"/>
      <c r="AV610" s="68"/>
      <c r="AW610" s="68"/>
      <c r="AX610" s="68"/>
      <c r="AY610" s="68"/>
      <c r="AZ610" s="68"/>
      <c r="BA610" s="68"/>
      <c r="BB610" s="68"/>
      <c r="BC610" s="68"/>
      <c r="BD610" s="68"/>
      <c r="BE610" s="68"/>
      <c r="BF610" s="68"/>
      <c r="BG610" s="68"/>
      <c r="BH610" s="68"/>
      <c r="BI610" s="68"/>
      <c r="BJ610" s="68"/>
      <c r="BK610" s="68"/>
      <c r="BL610" s="68"/>
      <c r="BM610" s="68"/>
      <c r="BN610" s="68"/>
    </row>
    <row r="611" spans="1:66" ht="17">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68"/>
      <c r="AG611" s="68"/>
      <c r="AH611" s="68"/>
      <c r="AI611" s="68"/>
      <c r="AJ611" s="68"/>
      <c r="AK611" s="68"/>
      <c r="AL611" s="68"/>
      <c r="AM611" s="68"/>
      <c r="AN611" s="68"/>
      <c r="AO611" s="68"/>
      <c r="AP611" s="68"/>
      <c r="AQ611" s="68"/>
      <c r="AR611" s="68"/>
      <c r="AS611" s="68"/>
      <c r="AT611" s="68"/>
      <c r="AU611" s="68"/>
      <c r="AV611" s="68"/>
      <c r="AW611" s="68"/>
      <c r="AX611" s="68"/>
      <c r="AY611" s="68"/>
      <c r="AZ611" s="68"/>
      <c r="BA611" s="68"/>
      <c r="BB611" s="68"/>
      <c r="BC611" s="68"/>
      <c r="BD611" s="68"/>
      <c r="BE611" s="68"/>
      <c r="BF611" s="68"/>
      <c r="BG611" s="68"/>
      <c r="BH611" s="68"/>
      <c r="BI611" s="68"/>
      <c r="BJ611" s="68"/>
      <c r="BK611" s="68"/>
      <c r="BL611" s="68"/>
      <c r="BM611" s="68"/>
      <c r="BN611" s="68"/>
    </row>
    <row r="612" spans="1:66" ht="17">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68"/>
      <c r="AG612" s="68"/>
      <c r="AH612" s="68"/>
      <c r="AI612" s="68"/>
      <c r="AJ612" s="68"/>
      <c r="AK612" s="68"/>
      <c r="AL612" s="68"/>
      <c r="AM612" s="68"/>
      <c r="AN612" s="68"/>
      <c r="AO612" s="68"/>
      <c r="AP612" s="68"/>
      <c r="AQ612" s="68"/>
      <c r="AR612" s="68"/>
      <c r="AS612" s="68"/>
      <c r="AT612" s="68"/>
      <c r="AU612" s="68"/>
      <c r="AV612" s="68"/>
      <c r="AW612" s="68"/>
      <c r="AX612" s="68"/>
      <c r="AY612" s="68"/>
      <c r="AZ612" s="68"/>
      <c r="BA612" s="68"/>
      <c r="BB612" s="68"/>
      <c r="BC612" s="68"/>
      <c r="BD612" s="68"/>
      <c r="BE612" s="68"/>
      <c r="BF612" s="68"/>
      <c r="BG612" s="68"/>
      <c r="BH612" s="68"/>
      <c r="BI612" s="68"/>
      <c r="BJ612" s="68"/>
      <c r="BK612" s="68"/>
      <c r="BL612" s="68"/>
      <c r="BM612" s="68"/>
      <c r="BN612" s="68"/>
    </row>
    <row r="613" spans="1:66" ht="17">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68"/>
      <c r="AG613" s="68"/>
      <c r="AH613" s="68"/>
      <c r="AI613" s="68"/>
      <c r="AJ613" s="68"/>
      <c r="AK613" s="68"/>
      <c r="AL613" s="68"/>
      <c r="AM613" s="68"/>
      <c r="AN613" s="68"/>
      <c r="AO613" s="68"/>
      <c r="AP613" s="68"/>
      <c r="AQ613" s="68"/>
      <c r="AR613" s="68"/>
      <c r="AS613" s="68"/>
      <c r="AT613" s="68"/>
      <c r="AU613" s="68"/>
      <c r="AV613" s="68"/>
      <c r="AW613" s="68"/>
      <c r="AX613" s="68"/>
      <c r="AY613" s="68"/>
      <c r="AZ613" s="68"/>
      <c r="BA613" s="68"/>
      <c r="BB613" s="68"/>
      <c r="BC613" s="68"/>
      <c r="BD613" s="68"/>
      <c r="BE613" s="68"/>
      <c r="BF613" s="68"/>
      <c r="BG613" s="68"/>
      <c r="BH613" s="68"/>
      <c r="BI613" s="68"/>
      <c r="BJ613" s="68"/>
      <c r="BK613" s="68"/>
      <c r="BL613" s="68"/>
      <c r="BM613" s="68"/>
      <c r="BN613" s="68"/>
    </row>
    <row r="614" spans="1:66" ht="17">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68"/>
      <c r="AG614" s="68"/>
      <c r="AH614" s="68"/>
      <c r="AI614" s="68"/>
      <c r="AJ614" s="68"/>
      <c r="AK614" s="68"/>
      <c r="AL614" s="68"/>
      <c r="AM614" s="68"/>
      <c r="AN614" s="68"/>
      <c r="AO614" s="68"/>
      <c r="AP614" s="68"/>
      <c r="AQ614" s="68"/>
      <c r="AR614" s="68"/>
      <c r="AS614" s="68"/>
      <c r="AT614" s="68"/>
      <c r="AU614" s="68"/>
      <c r="AV614" s="68"/>
      <c r="AW614" s="68"/>
      <c r="AX614" s="68"/>
      <c r="AY614" s="68"/>
      <c r="AZ614" s="68"/>
      <c r="BA614" s="68"/>
      <c r="BB614" s="68"/>
      <c r="BC614" s="68"/>
      <c r="BD614" s="68"/>
      <c r="BE614" s="68"/>
      <c r="BF614" s="68"/>
      <c r="BG614" s="68"/>
      <c r="BH614" s="68"/>
      <c r="BI614" s="68"/>
      <c r="BJ614" s="68"/>
      <c r="BK614" s="68"/>
      <c r="BL614" s="68"/>
      <c r="BM614" s="68"/>
      <c r="BN614" s="68"/>
    </row>
    <row r="615" spans="1:66" ht="17">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68"/>
      <c r="AG615" s="68"/>
      <c r="AH615" s="68"/>
      <c r="AI615" s="68"/>
      <c r="AJ615" s="68"/>
      <c r="AK615" s="68"/>
      <c r="AL615" s="68"/>
      <c r="AM615" s="68"/>
      <c r="AN615" s="68"/>
      <c r="AO615" s="68"/>
      <c r="AP615" s="68"/>
      <c r="AQ615" s="68"/>
      <c r="AR615" s="68"/>
      <c r="AS615" s="68"/>
      <c r="AT615" s="68"/>
      <c r="AU615" s="68"/>
      <c r="AV615" s="68"/>
      <c r="AW615" s="68"/>
      <c r="AX615" s="68"/>
      <c r="AY615" s="68"/>
      <c r="AZ615" s="68"/>
      <c r="BA615" s="68"/>
      <c r="BB615" s="68"/>
      <c r="BC615" s="68"/>
      <c r="BD615" s="68"/>
      <c r="BE615" s="68"/>
      <c r="BF615" s="68"/>
      <c r="BG615" s="68"/>
      <c r="BH615" s="68"/>
      <c r="BI615" s="68"/>
      <c r="BJ615" s="68"/>
      <c r="BK615" s="68"/>
      <c r="BL615" s="68"/>
      <c r="BM615" s="68"/>
      <c r="BN615" s="68"/>
    </row>
    <row r="616" spans="1:66" ht="17">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68"/>
      <c r="AG616" s="68"/>
      <c r="AH616" s="68"/>
      <c r="AI616" s="68"/>
      <c r="AJ616" s="68"/>
      <c r="AK616" s="68"/>
      <c r="AL616" s="68"/>
      <c r="AM616" s="68"/>
      <c r="AN616" s="68"/>
      <c r="AO616" s="68"/>
      <c r="AP616" s="68"/>
      <c r="AQ616" s="68"/>
      <c r="AR616" s="68"/>
      <c r="AS616" s="68"/>
      <c r="AT616" s="68"/>
      <c r="AU616" s="68"/>
      <c r="AV616" s="68"/>
      <c r="AW616" s="68"/>
      <c r="AX616" s="68"/>
      <c r="AY616" s="68"/>
      <c r="AZ616" s="68"/>
      <c r="BA616" s="68"/>
      <c r="BB616" s="68"/>
      <c r="BC616" s="68"/>
      <c r="BD616" s="68"/>
      <c r="BE616" s="68"/>
      <c r="BF616" s="68"/>
      <c r="BG616" s="68"/>
      <c r="BH616" s="68"/>
      <c r="BI616" s="68"/>
      <c r="BJ616" s="68"/>
      <c r="BK616" s="68"/>
      <c r="BL616" s="68"/>
      <c r="BM616" s="68"/>
      <c r="BN616" s="68"/>
    </row>
    <row r="617" spans="1:66" ht="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68"/>
      <c r="AG617" s="68"/>
      <c r="AH617" s="68"/>
      <c r="AI617" s="68"/>
      <c r="AJ617" s="68"/>
      <c r="AK617" s="68"/>
      <c r="AL617" s="68"/>
      <c r="AM617" s="68"/>
      <c r="AN617" s="68"/>
      <c r="AO617" s="68"/>
      <c r="AP617" s="68"/>
      <c r="AQ617" s="68"/>
      <c r="AR617" s="68"/>
      <c r="AS617" s="68"/>
      <c r="AT617" s="68"/>
      <c r="AU617" s="68"/>
      <c r="AV617" s="68"/>
      <c r="AW617" s="68"/>
      <c r="AX617" s="68"/>
      <c r="AY617" s="68"/>
      <c r="AZ617" s="68"/>
      <c r="BA617" s="68"/>
      <c r="BB617" s="68"/>
      <c r="BC617" s="68"/>
      <c r="BD617" s="68"/>
      <c r="BE617" s="68"/>
      <c r="BF617" s="68"/>
      <c r="BG617" s="68"/>
      <c r="BH617" s="68"/>
      <c r="BI617" s="68"/>
      <c r="BJ617" s="68"/>
      <c r="BK617" s="68"/>
      <c r="BL617" s="68"/>
      <c r="BM617" s="68"/>
      <c r="BN617" s="68"/>
    </row>
    <row r="618" spans="1:66" ht="17">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68"/>
      <c r="AG618" s="68"/>
      <c r="AH618" s="68"/>
      <c r="AI618" s="68"/>
      <c r="AJ618" s="68"/>
      <c r="AK618" s="68"/>
      <c r="AL618" s="68"/>
      <c r="AM618" s="68"/>
      <c r="AN618" s="68"/>
      <c r="AO618" s="68"/>
      <c r="AP618" s="68"/>
      <c r="AQ618" s="68"/>
      <c r="AR618" s="68"/>
      <c r="AS618" s="68"/>
      <c r="AT618" s="68"/>
      <c r="AU618" s="68"/>
      <c r="AV618" s="68"/>
      <c r="AW618" s="68"/>
      <c r="AX618" s="68"/>
      <c r="AY618" s="68"/>
      <c r="AZ618" s="68"/>
      <c r="BA618" s="68"/>
      <c r="BB618" s="68"/>
      <c r="BC618" s="68"/>
      <c r="BD618" s="68"/>
      <c r="BE618" s="68"/>
      <c r="BF618" s="68"/>
      <c r="BG618" s="68"/>
      <c r="BH618" s="68"/>
      <c r="BI618" s="68"/>
      <c r="BJ618" s="68"/>
      <c r="BK618" s="68"/>
      <c r="BL618" s="68"/>
      <c r="BM618" s="68"/>
      <c r="BN618" s="68"/>
    </row>
    <row r="619" spans="1:66" ht="17">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68"/>
      <c r="AG619" s="68"/>
      <c r="AH619" s="68"/>
      <c r="AI619" s="68"/>
      <c r="AJ619" s="68"/>
      <c r="AK619" s="68"/>
      <c r="AL619" s="68"/>
      <c r="AM619" s="68"/>
      <c r="AN619" s="68"/>
      <c r="AO619" s="68"/>
      <c r="AP619" s="68"/>
      <c r="AQ619" s="68"/>
      <c r="AR619" s="68"/>
      <c r="AS619" s="68"/>
      <c r="AT619" s="68"/>
      <c r="AU619" s="68"/>
      <c r="AV619" s="68"/>
      <c r="AW619" s="68"/>
      <c r="AX619" s="68"/>
      <c r="AY619" s="68"/>
      <c r="AZ619" s="68"/>
      <c r="BA619" s="68"/>
      <c r="BB619" s="68"/>
      <c r="BC619" s="68"/>
      <c r="BD619" s="68"/>
      <c r="BE619" s="68"/>
      <c r="BF619" s="68"/>
      <c r="BG619" s="68"/>
      <c r="BH619" s="68"/>
      <c r="BI619" s="68"/>
      <c r="BJ619" s="68"/>
      <c r="BK619" s="68"/>
      <c r="BL619" s="68"/>
      <c r="BM619" s="68"/>
      <c r="BN619" s="68"/>
    </row>
    <row r="620" spans="1:66" ht="17">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68"/>
      <c r="AG620" s="68"/>
      <c r="AH620" s="68"/>
      <c r="AI620" s="68"/>
      <c r="AJ620" s="68"/>
      <c r="AK620" s="68"/>
      <c r="AL620" s="68"/>
      <c r="AM620" s="68"/>
      <c r="AN620" s="68"/>
      <c r="AO620" s="68"/>
      <c r="AP620" s="68"/>
      <c r="AQ620" s="68"/>
      <c r="AR620" s="68"/>
      <c r="AS620" s="68"/>
      <c r="AT620" s="68"/>
      <c r="AU620" s="68"/>
      <c r="AV620" s="68"/>
      <c r="AW620" s="68"/>
      <c r="AX620" s="68"/>
      <c r="AY620" s="68"/>
      <c r="AZ620" s="68"/>
      <c r="BA620" s="68"/>
      <c r="BB620" s="68"/>
      <c r="BC620" s="68"/>
      <c r="BD620" s="68"/>
      <c r="BE620" s="68"/>
      <c r="BF620" s="68"/>
      <c r="BG620" s="68"/>
      <c r="BH620" s="68"/>
      <c r="BI620" s="68"/>
      <c r="BJ620" s="68"/>
      <c r="BK620" s="68"/>
      <c r="BL620" s="68"/>
      <c r="BM620" s="68"/>
      <c r="BN620" s="68"/>
    </row>
    <row r="621" spans="1:66" ht="17">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68"/>
      <c r="AG621" s="68"/>
      <c r="AH621" s="68"/>
      <c r="AI621" s="68"/>
      <c r="AJ621" s="68"/>
      <c r="AK621" s="68"/>
      <c r="AL621" s="68"/>
      <c r="AM621" s="68"/>
      <c r="AN621" s="68"/>
      <c r="AO621" s="68"/>
      <c r="AP621" s="68"/>
      <c r="AQ621" s="68"/>
      <c r="AR621" s="68"/>
      <c r="AS621" s="68"/>
      <c r="AT621" s="68"/>
      <c r="AU621" s="68"/>
      <c r="AV621" s="68"/>
      <c r="AW621" s="68"/>
      <c r="AX621" s="68"/>
      <c r="AY621" s="68"/>
      <c r="AZ621" s="68"/>
      <c r="BA621" s="68"/>
      <c r="BB621" s="68"/>
      <c r="BC621" s="68"/>
      <c r="BD621" s="68"/>
      <c r="BE621" s="68"/>
      <c r="BF621" s="68"/>
      <c r="BG621" s="68"/>
      <c r="BH621" s="68"/>
      <c r="BI621" s="68"/>
      <c r="BJ621" s="68"/>
      <c r="BK621" s="68"/>
      <c r="BL621" s="68"/>
      <c r="BM621" s="68"/>
      <c r="BN621" s="68"/>
    </row>
    <row r="622" spans="1:66" ht="17">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68"/>
      <c r="AG622" s="68"/>
      <c r="AH622" s="68"/>
      <c r="AI622" s="68"/>
      <c r="AJ622" s="68"/>
      <c r="AK622" s="68"/>
      <c r="AL622" s="68"/>
      <c r="AM622" s="68"/>
      <c r="AN622" s="68"/>
      <c r="AO622" s="68"/>
      <c r="AP622" s="68"/>
      <c r="AQ622" s="68"/>
      <c r="AR622" s="68"/>
      <c r="AS622" s="68"/>
      <c r="AT622" s="68"/>
      <c r="AU622" s="68"/>
      <c r="AV622" s="68"/>
      <c r="AW622" s="68"/>
      <c r="AX622" s="68"/>
      <c r="AY622" s="68"/>
      <c r="AZ622" s="68"/>
      <c r="BA622" s="68"/>
      <c r="BB622" s="68"/>
      <c r="BC622" s="68"/>
      <c r="BD622" s="68"/>
      <c r="BE622" s="68"/>
      <c r="BF622" s="68"/>
      <c r="BG622" s="68"/>
      <c r="BH622" s="68"/>
      <c r="BI622" s="68"/>
      <c r="BJ622" s="68"/>
      <c r="BK622" s="68"/>
      <c r="BL622" s="68"/>
      <c r="BM622" s="68"/>
      <c r="BN622" s="68"/>
    </row>
    <row r="623" spans="1:66" ht="17">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68"/>
      <c r="AG623" s="68"/>
      <c r="AH623" s="68"/>
      <c r="AI623" s="68"/>
      <c r="AJ623" s="68"/>
      <c r="AK623" s="68"/>
      <c r="AL623" s="68"/>
      <c r="AM623" s="68"/>
      <c r="AN623" s="68"/>
      <c r="AO623" s="68"/>
      <c r="AP623" s="68"/>
      <c r="AQ623" s="68"/>
      <c r="AR623" s="68"/>
      <c r="AS623" s="68"/>
      <c r="AT623" s="68"/>
      <c r="AU623" s="68"/>
      <c r="AV623" s="68"/>
      <c r="AW623" s="68"/>
      <c r="AX623" s="68"/>
      <c r="AY623" s="68"/>
      <c r="AZ623" s="68"/>
      <c r="BA623" s="68"/>
      <c r="BB623" s="68"/>
      <c r="BC623" s="68"/>
      <c r="BD623" s="68"/>
      <c r="BE623" s="68"/>
      <c r="BF623" s="68"/>
      <c r="BG623" s="68"/>
      <c r="BH623" s="68"/>
      <c r="BI623" s="68"/>
      <c r="BJ623" s="68"/>
      <c r="BK623" s="68"/>
      <c r="BL623" s="68"/>
      <c r="BM623" s="68"/>
      <c r="BN623" s="68"/>
    </row>
    <row r="624" spans="1:66" ht="17">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68"/>
      <c r="AG624" s="68"/>
      <c r="AH624" s="68"/>
      <c r="AI624" s="68"/>
      <c r="AJ624" s="68"/>
      <c r="AK624" s="68"/>
      <c r="AL624" s="68"/>
      <c r="AM624" s="68"/>
      <c r="AN624" s="68"/>
      <c r="AO624" s="68"/>
      <c r="AP624" s="68"/>
      <c r="AQ624" s="68"/>
      <c r="AR624" s="68"/>
      <c r="AS624" s="68"/>
      <c r="AT624" s="68"/>
      <c r="AU624" s="68"/>
      <c r="AV624" s="68"/>
      <c r="AW624" s="68"/>
      <c r="AX624" s="68"/>
      <c r="AY624" s="68"/>
      <c r="AZ624" s="68"/>
      <c r="BA624" s="68"/>
      <c r="BB624" s="68"/>
      <c r="BC624" s="68"/>
      <c r="BD624" s="68"/>
      <c r="BE624" s="68"/>
      <c r="BF624" s="68"/>
      <c r="BG624" s="68"/>
      <c r="BH624" s="68"/>
      <c r="BI624" s="68"/>
      <c r="BJ624" s="68"/>
      <c r="BK624" s="68"/>
      <c r="BL624" s="68"/>
      <c r="BM624" s="68"/>
      <c r="BN624" s="68"/>
    </row>
    <row r="625" spans="1:66" ht="17">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68"/>
      <c r="AG625" s="68"/>
      <c r="AH625" s="68"/>
      <c r="AI625" s="68"/>
      <c r="AJ625" s="68"/>
      <c r="AK625" s="68"/>
      <c r="AL625" s="68"/>
      <c r="AM625" s="68"/>
      <c r="AN625" s="68"/>
      <c r="AO625" s="68"/>
      <c r="AP625" s="68"/>
      <c r="AQ625" s="68"/>
      <c r="AR625" s="68"/>
      <c r="AS625" s="68"/>
      <c r="AT625" s="68"/>
      <c r="AU625" s="68"/>
      <c r="AV625" s="68"/>
      <c r="AW625" s="68"/>
      <c r="AX625" s="68"/>
      <c r="AY625" s="68"/>
      <c r="AZ625" s="68"/>
      <c r="BA625" s="68"/>
      <c r="BB625" s="68"/>
      <c r="BC625" s="68"/>
      <c r="BD625" s="68"/>
      <c r="BE625" s="68"/>
      <c r="BF625" s="68"/>
      <c r="BG625" s="68"/>
      <c r="BH625" s="68"/>
      <c r="BI625" s="68"/>
      <c r="BJ625" s="68"/>
      <c r="BK625" s="68"/>
      <c r="BL625" s="68"/>
      <c r="BM625" s="68"/>
      <c r="BN625" s="68"/>
    </row>
    <row r="626" spans="1:66" ht="17">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68"/>
      <c r="AG626" s="68"/>
      <c r="AH626" s="68"/>
      <c r="AI626" s="68"/>
      <c r="AJ626" s="68"/>
      <c r="AK626" s="68"/>
      <c r="AL626" s="68"/>
      <c r="AM626" s="68"/>
      <c r="AN626" s="68"/>
      <c r="AO626" s="68"/>
      <c r="AP626" s="68"/>
      <c r="AQ626" s="68"/>
      <c r="AR626" s="68"/>
      <c r="AS626" s="68"/>
      <c r="AT626" s="68"/>
      <c r="AU626" s="68"/>
      <c r="AV626" s="68"/>
      <c r="AW626" s="68"/>
      <c r="AX626" s="68"/>
      <c r="AY626" s="68"/>
      <c r="AZ626" s="68"/>
      <c r="BA626" s="68"/>
      <c r="BB626" s="68"/>
      <c r="BC626" s="68"/>
      <c r="BD626" s="68"/>
      <c r="BE626" s="68"/>
      <c r="BF626" s="68"/>
      <c r="BG626" s="68"/>
      <c r="BH626" s="68"/>
      <c r="BI626" s="68"/>
      <c r="BJ626" s="68"/>
      <c r="BK626" s="68"/>
      <c r="BL626" s="68"/>
      <c r="BM626" s="68"/>
      <c r="BN626" s="68"/>
    </row>
    <row r="627" spans="1:66" ht="1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68"/>
      <c r="AG627" s="68"/>
      <c r="AH627" s="68"/>
      <c r="AI627" s="68"/>
      <c r="AJ627" s="68"/>
      <c r="AK627" s="68"/>
      <c r="AL627" s="68"/>
      <c r="AM627" s="68"/>
      <c r="AN627" s="68"/>
      <c r="AO627" s="68"/>
      <c r="AP627" s="68"/>
      <c r="AQ627" s="68"/>
      <c r="AR627" s="68"/>
      <c r="AS627" s="68"/>
      <c r="AT627" s="68"/>
      <c r="AU627" s="68"/>
      <c r="AV627" s="68"/>
      <c r="AW627" s="68"/>
      <c r="AX627" s="68"/>
      <c r="AY627" s="68"/>
      <c r="AZ627" s="68"/>
      <c r="BA627" s="68"/>
      <c r="BB627" s="68"/>
      <c r="BC627" s="68"/>
      <c r="BD627" s="68"/>
      <c r="BE627" s="68"/>
      <c r="BF627" s="68"/>
      <c r="BG627" s="68"/>
      <c r="BH627" s="68"/>
      <c r="BI627" s="68"/>
      <c r="BJ627" s="68"/>
      <c r="BK627" s="68"/>
      <c r="BL627" s="68"/>
      <c r="BM627" s="68"/>
      <c r="BN627" s="68"/>
    </row>
    <row r="628" spans="1:66" ht="17">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68"/>
      <c r="AG628" s="68"/>
      <c r="AH628" s="68"/>
      <c r="AI628" s="68"/>
      <c r="AJ628" s="68"/>
      <c r="AK628" s="68"/>
      <c r="AL628" s="68"/>
      <c r="AM628" s="68"/>
      <c r="AN628" s="68"/>
      <c r="AO628" s="68"/>
      <c r="AP628" s="68"/>
      <c r="AQ628" s="68"/>
      <c r="AR628" s="68"/>
      <c r="AS628" s="68"/>
      <c r="AT628" s="68"/>
      <c r="AU628" s="68"/>
      <c r="AV628" s="68"/>
      <c r="AW628" s="68"/>
      <c r="AX628" s="68"/>
      <c r="AY628" s="68"/>
      <c r="AZ628" s="68"/>
      <c r="BA628" s="68"/>
      <c r="BB628" s="68"/>
      <c r="BC628" s="68"/>
      <c r="BD628" s="68"/>
      <c r="BE628" s="68"/>
      <c r="BF628" s="68"/>
      <c r="BG628" s="68"/>
      <c r="BH628" s="68"/>
      <c r="BI628" s="68"/>
      <c r="BJ628" s="68"/>
      <c r="BK628" s="68"/>
      <c r="BL628" s="68"/>
      <c r="BM628" s="68"/>
      <c r="BN628" s="68"/>
    </row>
    <row r="629" spans="1:66" ht="17">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68"/>
      <c r="AG629" s="68"/>
      <c r="AH629" s="68"/>
      <c r="AI629" s="68"/>
      <c r="AJ629" s="68"/>
      <c r="AK629" s="68"/>
      <c r="AL629" s="68"/>
      <c r="AM629" s="68"/>
      <c r="AN629" s="68"/>
      <c r="AO629" s="68"/>
      <c r="AP629" s="68"/>
      <c r="AQ629" s="68"/>
      <c r="AR629" s="68"/>
      <c r="AS629" s="68"/>
      <c r="AT629" s="68"/>
      <c r="AU629" s="68"/>
      <c r="AV629" s="68"/>
      <c r="AW629" s="68"/>
      <c r="AX629" s="68"/>
      <c r="AY629" s="68"/>
      <c r="AZ629" s="68"/>
      <c r="BA629" s="68"/>
      <c r="BB629" s="68"/>
      <c r="BC629" s="68"/>
      <c r="BD629" s="68"/>
      <c r="BE629" s="68"/>
      <c r="BF629" s="68"/>
      <c r="BG629" s="68"/>
      <c r="BH629" s="68"/>
      <c r="BI629" s="68"/>
      <c r="BJ629" s="68"/>
      <c r="BK629" s="68"/>
      <c r="BL629" s="68"/>
      <c r="BM629" s="68"/>
      <c r="BN629" s="68"/>
    </row>
    <row r="630" spans="1:66" ht="17">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68"/>
      <c r="AG630" s="68"/>
      <c r="AH630" s="68"/>
      <c r="AI630" s="68"/>
      <c r="AJ630" s="68"/>
      <c r="AK630" s="68"/>
      <c r="AL630" s="68"/>
      <c r="AM630" s="68"/>
      <c r="AN630" s="68"/>
      <c r="AO630" s="68"/>
      <c r="AP630" s="68"/>
      <c r="AQ630" s="68"/>
      <c r="AR630" s="68"/>
      <c r="AS630" s="68"/>
      <c r="AT630" s="68"/>
      <c r="AU630" s="68"/>
      <c r="AV630" s="68"/>
      <c r="AW630" s="68"/>
      <c r="AX630" s="68"/>
      <c r="AY630" s="68"/>
      <c r="AZ630" s="68"/>
      <c r="BA630" s="68"/>
      <c r="BB630" s="68"/>
      <c r="BC630" s="68"/>
      <c r="BD630" s="68"/>
      <c r="BE630" s="68"/>
      <c r="BF630" s="68"/>
      <c r="BG630" s="68"/>
      <c r="BH630" s="68"/>
      <c r="BI630" s="68"/>
      <c r="BJ630" s="68"/>
      <c r="BK630" s="68"/>
      <c r="BL630" s="68"/>
      <c r="BM630" s="68"/>
      <c r="BN630" s="68"/>
    </row>
    <row r="631" spans="1:66" ht="17">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68"/>
      <c r="AG631" s="68"/>
      <c r="AH631" s="68"/>
      <c r="AI631" s="68"/>
      <c r="AJ631" s="68"/>
      <c r="AK631" s="68"/>
      <c r="AL631" s="68"/>
      <c r="AM631" s="68"/>
      <c r="AN631" s="68"/>
      <c r="AO631" s="68"/>
      <c r="AP631" s="68"/>
      <c r="AQ631" s="68"/>
      <c r="AR631" s="68"/>
      <c r="AS631" s="68"/>
      <c r="AT631" s="68"/>
      <c r="AU631" s="68"/>
      <c r="AV631" s="68"/>
      <c r="AW631" s="68"/>
      <c r="AX631" s="68"/>
      <c r="AY631" s="68"/>
      <c r="AZ631" s="68"/>
      <c r="BA631" s="68"/>
      <c r="BB631" s="68"/>
      <c r="BC631" s="68"/>
      <c r="BD631" s="68"/>
      <c r="BE631" s="68"/>
      <c r="BF631" s="68"/>
      <c r="BG631" s="68"/>
      <c r="BH631" s="68"/>
      <c r="BI631" s="68"/>
      <c r="BJ631" s="68"/>
      <c r="BK631" s="68"/>
      <c r="BL631" s="68"/>
      <c r="BM631" s="68"/>
      <c r="BN631" s="68"/>
    </row>
    <row r="632" spans="1:66" ht="17">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68"/>
      <c r="AG632" s="68"/>
      <c r="AH632" s="68"/>
      <c r="AI632" s="68"/>
      <c r="AJ632" s="68"/>
      <c r="AK632" s="68"/>
      <c r="AL632" s="68"/>
      <c r="AM632" s="68"/>
      <c r="AN632" s="68"/>
      <c r="AO632" s="68"/>
      <c r="AP632" s="68"/>
      <c r="AQ632" s="68"/>
      <c r="AR632" s="68"/>
      <c r="AS632" s="68"/>
      <c r="AT632" s="68"/>
      <c r="AU632" s="68"/>
      <c r="AV632" s="68"/>
      <c r="AW632" s="68"/>
      <c r="AX632" s="68"/>
      <c r="AY632" s="68"/>
      <c r="AZ632" s="68"/>
      <c r="BA632" s="68"/>
      <c r="BB632" s="68"/>
      <c r="BC632" s="68"/>
      <c r="BD632" s="68"/>
      <c r="BE632" s="68"/>
      <c r="BF632" s="68"/>
      <c r="BG632" s="68"/>
      <c r="BH632" s="68"/>
      <c r="BI632" s="68"/>
      <c r="BJ632" s="68"/>
      <c r="BK632" s="68"/>
      <c r="BL632" s="68"/>
      <c r="BM632" s="68"/>
      <c r="BN632" s="68"/>
    </row>
    <row r="633" spans="1:66" ht="17">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68"/>
      <c r="AG633" s="68"/>
      <c r="AH633" s="68"/>
      <c r="AI633" s="68"/>
      <c r="AJ633" s="68"/>
      <c r="AK633" s="68"/>
      <c r="AL633" s="68"/>
      <c r="AM633" s="68"/>
      <c r="AN633" s="68"/>
      <c r="AO633" s="68"/>
      <c r="AP633" s="68"/>
      <c r="AQ633" s="68"/>
      <c r="AR633" s="68"/>
      <c r="AS633" s="68"/>
      <c r="AT633" s="68"/>
      <c r="AU633" s="68"/>
      <c r="AV633" s="68"/>
      <c r="AW633" s="68"/>
      <c r="AX633" s="68"/>
      <c r="AY633" s="68"/>
      <c r="AZ633" s="68"/>
      <c r="BA633" s="68"/>
      <c r="BB633" s="68"/>
      <c r="BC633" s="68"/>
      <c r="BD633" s="68"/>
      <c r="BE633" s="68"/>
      <c r="BF633" s="68"/>
      <c r="BG633" s="68"/>
      <c r="BH633" s="68"/>
      <c r="BI633" s="68"/>
      <c r="BJ633" s="68"/>
      <c r="BK633" s="68"/>
      <c r="BL633" s="68"/>
      <c r="BM633" s="68"/>
      <c r="BN633" s="68"/>
    </row>
    <row r="634" spans="1:66" ht="17">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68"/>
      <c r="AG634" s="68"/>
      <c r="AH634" s="68"/>
      <c r="AI634" s="68"/>
      <c r="AJ634" s="68"/>
      <c r="AK634" s="68"/>
      <c r="AL634" s="68"/>
      <c r="AM634" s="68"/>
      <c r="AN634" s="68"/>
      <c r="AO634" s="68"/>
      <c r="AP634" s="68"/>
      <c r="AQ634" s="68"/>
      <c r="AR634" s="68"/>
      <c r="AS634" s="68"/>
      <c r="AT634" s="68"/>
      <c r="AU634" s="68"/>
      <c r="AV634" s="68"/>
      <c r="AW634" s="68"/>
      <c r="AX634" s="68"/>
      <c r="AY634" s="68"/>
      <c r="AZ634" s="68"/>
      <c r="BA634" s="68"/>
      <c r="BB634" s="68"/>
      <c r="BC634" s="68"/>
      <c r="BD634" s="68"/>
      <c r="BE634" s="68"/>
      <c r="BF634" s="68"/>
      <c r="BG634" s="68"/>
      <c r="BH634" s="68"/>
      <c r="BI634" s="68"/>
      <c r="BJ634" s="68"/>
      <c r="BK634" s="68"/>
      <c r="BL634" s="68"/>
      <c r="BM634" s="68"/>
      <c r="BN634" s="68"/>
    </row>
    <row r="635" spans="1:66" ht="17">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68"/>
      <c r="AG635" s="68"/>
      <c r="AH635" s="68"/>
      <c r="AI635" s="68"/>
      <c r="AJ635" s="68"/>
      <c r="AK635" s="68"/>
      <c r="AL635" s="68"/>
      <c r="AM635" s="68"/>
      <c r="AN635" s="68"/>
      <c r="AO635" s="68"/>
      <c r="AP635" s="68"/>
      <c r="AQ635" s="68"/>
      <c r="AR635" s="68"/>
      <c r="AS635" s="68"/>
      <c r="AT635" s="68"/>
      <c r="AU635" s="68"/>
      <c r="AV635" s="68"/>
      <c r="AW635" s="68"/>
      <c r="AX635" s="68"/>
      <c r="AY635" s="68"/>
      <c r="AZ635" s="68"/>
      <c r="BA635" s="68"/>
      <c r="BB635" s="68"/>
      <c r="BC635" s="68"/>
      <c r="BD635" s="68"/>
      <c r="BE635" s="68"/>
      <c r="BF635" s="68"/>
      <c r="BG635" s="68"/>
      <c r="BH635" s="68"/>
      <c r="BI635" s="68"/>
      <c r="BJ635" s="68"/>
      <c r="BK635" s="68"/>
      <c r="BL635" s="68"/>
      <c r="BM635" s="68"/>
      <c r="BN635" s="68"/>
    </row>
    <row r="636" spans="1:66" ht="17">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68"/>
      <c r="AG636" s="68"/>
      <c r="AH636" s="68"/>
      <c r="AI636" s="68"/>
      <c r="AJ636" s="68"/>
      <c r="AK636" s="68"/>
      <c r="AL636" s="68"/>
      <c r="AM636" s="68"/>
      <c r="AN636" s="68"/>
      <c r="AO636" s="68"/>
      <c r="AP636" s="68"/>
      <c r="AQ636" s="68"/>
      <c r="AR636" s="68"/>
      <c r="AS636" s="68"/>
      <c r="AT636" s="68"/>
      <c r="AU636" s="68"/>
      <c r="AV636" s="68"/>
      <c r="AW636" s="68"/>
      <c r="AX636" s="68"/>
      <c r="AY636" s="68"/>
      <c r="AZ636" s="68"/>
      <c r="BA636" s="68"/>
      <c r="BB636" s="68"/>
      <c r="BC636" s="68"/>
      <c r="BD636" s="68"/>
      <c r="BE636" s="68"/>
      <c r="BF636" s="68"/>
      <c r="BG636" s="68"/>
      <c r="BH636" s="68"/>
      <c r="BI636" s="68"/>
      <c r="BJ636" s="68"/>
      <c r="BK636" s="68"/>
      <c r="BL636" s="68"/>
      <c r="BM636" s="68"/>
      <c r="BN636" s="68"/>
    </row>
    <row r="637" spans="1:66" ht="1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c r="AG637" s="68"/>
      <c r="AH637" s="68"/>
      <c r="AI637" s="68"/>
      <c r="AJ637" s="68"/>
      <c r="AK637" s="68"/>
      <c r="AL637" s="68"/>
      <c r="AM637" s="68"/>
      <c r="AN637" s="68"/>
      <c r="AO637" s="68"/>
      <c r="AP637" s="68"/>
      <c r="AQ637" s="68"/>
      <c r="AR637" s="68"/>
      <c r="AS637" s="68"/>
      <c r="AT637" s="68"/>
      <c r="AU637" s="68"/>
      <c r="AV637" s="68"/>
      <c r="AW637" s="68"/>
      <c r="AX637" s="68"/>
      <c r="AY637" s="68"/>
      <c r="AZ637" s="68"/>
      <c r="BA637" s="68"/>
      <c r="BB637" s="68"/>
      <c r="BC637" s="68"/>
      <c r="BD637" s="68"/>
      <c r="BE637" s="68"/>
      <c r="BF637" s="68"/>
      <c r="BG637" s="68"/>
      <c r="BH637" s="68"/>
      <c r="BI637" s="68"/>
      <c r="BJ637" s="68"/>
      <c r="BK637" s="68"/>
      <c r="BL637" s="68"/>
      <c r="BM637" s="68"/>
      <c r="BN637" s="68"/>
    </row>
    <row r="638" spans="1:66" ht="17">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68"/>
      <c r="AG638" s="68"/>
      <c r="AH638" s="68"/>
      <c r="AI638" s="68"/>
      <c r="AJ638" s="68"/>
      <c r="AK638" s="68"/>
      <c r="AL638" s="68"/>
      <c r="AM638" s="68"/>
      <c r="AN638" s="68"/>
      <c r="AO638" s="68"/>
      <c r="AP638" s="68"/>
      <c r="AQ638" s="68"/>
      <c r="AR638" s="68"/>
      <c r="AS638" s="68"/>
      <c r="AT638" s="68"/>
      <c r="AU638" s="68"/>
      <c r="AV638" s="68"/>
      <c r="AW638" s="68"/>
      <c r="AX638" s="68"/>
      <c r="AY638" s="68"/>
      <c r="AZ638" s="68"/>
      <c r="BA638" s="68"/>
      <c r="BB638" s="68"/>
      <c r="BC638" s="68"/>
      <c r="BD638" s="68"/>
      <c r="BE638" s="68"/>
      <c r="BF638" s="68"/>
      <c r="BG638" s="68"/>
      <c r="BH638" s="68"/>
      <c r="BI638" s="68"/>
      <c r="BJ638" s="68"/>
      <c r="BK638" s="68"/>
      <c r="BL638" s="68"/>
      <c r="BM638" s="68"/>
      <c r="BN638" s="68"/>
    </row>
    <row r="639" spans="1:66" ht="17">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68"/>
      <c r="AG639" s="68"/>
      <c r="AH639" s="68"/>
      <c r="AI639" s="68"/>
      <c r="AJ639" s="68"/>
      <c r="AK639" s="68"/>
      <c r="AL639" s="68"/>
      <c r="AM639" s="68"/>
      <c r="AN639" s="68"/>
      <c r="AO639" s="68"/>
      <c r="AP639" s="68"/>
      <c r="AQ639" s="68"/>
      <c r="AR639" s="68"/>
      <c r="AS639" s="68"/>
      <c r="AT639" s="68"/>
      <c r="AU639" s="68"/>
      <c r="AV639" s="68"/>
      <c r="AW639" s="68"/>
      <c r="AX639" s="68"/>
      <c r="AY639" s="68"/>
      <c r="AZ639" s="68"/>
      <c r="BA639" s="68"/>
      <c r="BB639" s="68"/>
      <c r="BC639" s="68"/>
      <c r="BD639" s="68"/>
      <c r="BE639" s="68"/>
      <c r="BF639" s="68"/>
      <c r="BG639" s="68"/>
      <c r="BH639" s="68"/>
      <c r="BI639" s="68"/>
      <c r="BJ639" s="68"/>
      <c r="BK639" s="68"/>
      <c r="BL639" s="68"/>
      <c r="BM639" s="68"/>
      <c r="BN639" s="68"/>
    </row>
    <row r="640" spans="1:66" ht="17">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68"/>
      <c r="AG640" s="68"/>
      <c r="AH640" s="68"/>
      <c r="AI640" s="68"/>
      <c r="AJ640" s="68"/>
      <c r="AK640" s="68"/>
      <c r="AL640" s="68"/>
      <c r="AM640" s="68"/>
      <c r="AN640" s="68"/>
      <c r="AO640" s="68"/>
      <c r="AP640" s="68"/>
      <c r="AQ640" s="68"/>
      <c r="AR640" s="68"/>
      <c r="AS640" s="68"/>
      <c r="AT640" s="68"/>
      <c r="AU640" s="68"/>
      <c r="AV640" s="68"/>
      <c r="AW640" s="68"/>
      <c r="AX640" s="68"/>
      <c r="AY640" s="68"/>
      <c r="AZ640" s="68"/>
      <c r="BA640" s="68"/>
      <c r="BB640" s="68"/>
      <c r="BC640" s="68"/>
      <c r="BD640" s="68"/>
      <c r="BE640" s="68"/>
      <c r="BF640" s="68"/>
      <c r="BG640" s="68"/>
      <c r="BH640" s="68"/>
      <c r="BI640" s="68"/>
      <c r="BJ640" s="68"/>
      <c r="BK640" s="68"/>
      <c r="BL640" s="68"/>
      <c r="BM640" s="68"/>
      <c r="BN640" s="68"/>
    </row>
    <row r="641" spans="1:66" ht="17">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68"/>
      <c r="AG641" s="68"/>
      <c r="AH641" s="68"/>
      <c r="AI641" s="68"/>
      <c r="AJ641" s="68"/>
      <c r="AK641" s="68"/>
      <c r="AL641" s="68"/>
      <c r="AM641" s="68"/>
      <c r="AN641" s="68"/>
      <c r="AO641" s="68"/>
      <c r="AP641" s="68"/>
      <c r="AQ641" s="68"/>
      <c r="AR641" s="68"/>
      <c r="AS641" s="68"/>
      <c r="AT641" s="68"/>
      <c r="AU641" s="68"/>
      <c r="AV641" s="68"/>
      <c r="AW641" s="68"/>
      <c r="AX641" s="68"/>
      <c r="AY641" s="68"/>
      <c r="AZ641" s="68"/>
      <c r="BA641" s="68"/>
      <c r="BB641" s="68"/>
      <c r="BC641" s="68"/>
      <c r="BD641" s="68"/>
      <c r="BE641" s="68"/>
      <c r="BF641" s="68"/>
      <c r="BG641" s="68"/>
      <c r="BH641" s="68"/>
      <c r="BI641" s="68"/>
      <c r="BJ641" s="68"/>
      <c r="BK641" s="68"/>
      <c r="BL641" s="68"/>
      <c r="BM641" s="68"/>
      <c r="BN641" s="68"/>
    </row>
    <row r="642" spans="1:66" ht="17">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68"/>
      <c r="AG642" s="68"/>
      <c r="AH642" s="68"/>
      <c r="AI642" s="68"/>
      <c r="AJ642" s="68"/>
      <c r="AK642" s="68"/>
      <c r="AL642" s="68"/>
      <c r="AM642" s="68"/>
      <c r="AN642" s="68"/>
      <c r="AO642" s="68"/>
      <c r="AP642" s="68"/>
      <c r="AQ642" s="68"/>
      <c r="AR642" s="68"/>
      <c r="AS642" s="68"/>
      <c r="AT642" s="68"/>
      <c r="AU642" s="68"/>
      <c r="AV642" s="68"/>
      <c r="AW642" s="68"/>
      <c r="AX642" s="68"/>
      <c r="AY642" s="68"/>
      <c r="AZ642" s="68"/>
      <c r="BA642" s="68"/>
      <c r="BB642" s="68"/>
      <c r="BC642" s="68"/>
      <c r="BD642" s="68"/>
      <c r="BE642" s="68"/>
      <c r="BF642" s="68"/>
      <c r="BG642" s="68"/>
      <c r="BH642" s="68"/>
      <c r="BI642" s="68"/>
      <c r="BJ642" s="68"/>
      <c r="BK642" s="68"/>
      <c r="BL642" s="68"/>
      <c r="BM642" s="68"/>
      <c r="BN642" s="68"/>
    </row>
    <row r="643" spans="1:66" ht="17">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68"/>
      <c r="AG643" s="68"/>
      <c r="AH643" s="68"/>
      <c r="AI643" s="68"/>
      <c r="AJ643" s="68"/>
      <c r="AK643" s="68"/>
      <c r="AL643" s="68"/>
      <c r="AM643" s="68"/>
      <c r="AN643" s="68"/>
      <c r="AO643" s="68"/>
      <c r="AP643" s="68"/>
      <c r="AQ643" s="68"/>
      <c r="AR643" s="68"/>
      <c r="AS643" s="68"/>
      <c r="AT643" s="68"/>
      <c r="AU643" s="68"/>
      <c r="AV643" s="68"/>
      <c r="AW643" s="68"/>
      <c r="AX643" s="68"/>
      <c r="AY643" s="68"/>
      <c r="AZ643" s="68"/>
      <c r="BA643" s="68"/>
      <c r="BB643" s="68"/>
      <c r="BC643" s="68"/>
      <c r="BD643" s="68"/>
      <c r="BE643" s="68"/>
      <c r="BF643" s="68"/>
      <c r="BG643" s="68"/>
      <c r="BH643" s="68"/>
      <c r="BI643" s="68"/>
      <c r="BJ643" s="68"/>
      <c r="BK643" s="68"/>
      <c r="BL643" s="68"/>
      <c r="BM643" s="68"/>
      <c r="BN643" s="68"/>
    </row>
    <row r="644" spans="1:66" ht="17">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68"/>
      <c r="AG644" s="68"/>
      <c r="AH644" s="68"/>
      <c r="AI644" s="68"/>
      <c r="AJ644" s="68"/>
      <c r="AK644" s="68"/>
      <c r="AL644" s="68"/>
      <c r="AM644" s="68"/>
      <c r="AN644" s="68"/>
      <c r="AO644" s="68"/>
      <c r="AP644" s="68"/>
      <c r="AQ644" s="68"/>
      <c r="AR644" s="68"/>
      <c r="AS644" s="68"/>
      <c r="AT644" s="68"/>
      <c r="AU644" s="68"/>
      <c r="AV644" s="68"/>
      <c r="AW644" s="68"/>
      <c r="AX644" s="68"/>
      <c r="AY644" s="68"/>
      <c r="AZ644" s="68"/>
      <c r="BA644" s="68"/>
      <c r="BB644" s="68"/>
      <c r="BC644" s="68"/>
      <c r="BD644" s="68"/>
      <c r="BE644" s="68"/>
      <c r="BF644" s="68"/>
      <c r="BG644" s="68"/>
      <c r="BH644" s="68"/>
      <c r="BI644" s="68"/>
      <c r="BJ644" s="68"/>
      <c r="BK644" s="68"/>
      <c r="BL644" s="68"/>
      <c r="BM644" s="68"/>
      <c r="BN644" s="68"/>
    </row>
    <row r="645" spans="1:66" ht="17">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68"/>
      <c r="AG645" s="68"/>
      <c r="AH645" s="68"/>
      <c r="AI645" s="68"/>
      <c r="AJ645" s="68"/>
      <c r="AK645" s="68"/>
      <c r="AL645" s="68"/>
      <c r="AM645" s="68"/>
      <c r="AN645" s="68"/>
      <c r="AO645" s="68"/>
      <c r="AP645" s="68"/>
      <c r="AQ645" s="68"/>
      <c r="AR645" s="68"/>
      <c r="AS645" s="68"/>
      <c r="AT645" s="68"/>
      <c r="AU645" s="68"/>
      <c r="AV645" s="68"/>
      <c r="AW645" s="68"/>
      <c r="AX645" s="68"/>
      <c r="AY645" s="68"/>
      <c r="AZ645" s="68"/>
      <c r="BA645" s="68"/>
      <c r="BB645" s="68"/>
      <c r="BC645" s="68"/>
      <c r="BD645" s="68"/>
      <c r="BE645" s="68"/>
      <c r="BF645" s="68"/>
      <c r="BG645" s="68"/>
      <c r="BH645" s="68"/>
      <c r="BI645" s="68"/>
      <c r="BJ645" s="68"/>
      <c r="BK645" s="68"/>
      <c r="BL645" s="68"/>
      <c r="BM645" s="68"/>
      <c r="BN645" s="68"/>
    </row>
    <row r="646" spans="1:66" ht="17">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68"/>
      <c r="AG646" s="68"/>
      <c r="AH646" s="68"/>
      <c r="AI646" s="68"/>
      <c r="AJ646" s="68"/>
      <c r="AK646" s="68"/>
      <c r="AL646" s="68"/>
      <c r="AM646" s="68"/>
      <c r="AN646" s="68"/>
      <c r="AO646" s="68"/>
      <c r="AP646" s="68"/>
      <c r="AQ646" s="68"/>
      <c r="AR646" s="68"/>
      <c r="AS646" s="68"/>
      <c r="AT646" s="68"/>
      <c r="AU646" s="68"/>
      <c r="AV646" s="68"/>
      <c r="AW646" s="68"/>
      <c r="AX646" s="68"/>
      <c r="AY646" s="68"/>
      <c r="AZ646" s="68"/>
      <c r="BA646" s="68"/>
      <c r="BB646" s="68"/>
      <c r="BC646" s="68"/>
      <c r="BD646" s="68"/>
      <c r="BE646" s="68"/>
      <c r="BF646" s="68"/>
      <c r="BG646" s="68"/>
      <c r="BH646" s="68"/>
      <c r="BI646" s="68"/>
      <c r="BJ646" s="68"/>
      <c r="BK646" s="68"/>
      <c r="BL646" s="68"/>
      <c r="BM646" s="68"/>
      <c r="BN646" s="68"/>
    </row>
    <row r="647" spans="1:66" ht="1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68"/>
      <c r="AG647" s="68"/>
      <c r="AH647" s="68"/>
      <c r="AI647" s="68"/>
      <c r="AJ647" s="68"/>
      <c r="AK647" s="68"/>
      <c r="AL647" s="68"/>
      <c r="AM647" s="68"/>
      <c r="AN647" s="68"/>
      <c r="AO647" s="68"/>
      <c r="AP647" s="68"/>
      <c r="AQ647" s="68"/>
      <c r="AR647" s="68"/>
      <c r="AS647" s="68"/>
      <c r="AT647" s="68"/>
      <c r="AU647" s="68"/>
      <c r="AV647" s="68"/>
      <c r="AW647" s="68"/>
      <c r="AX647" s="68"/>
      <c r="AY647" s="68"/>
      <c r="AZ647" s="68"/>
      <c r="BA647" s="68"/>
      <c r="BB647" s="68"/>
      <c r="BC647" s="68"/>
      <c r="BD647" s="68"/>
      <c r="BE647" s="68"/>
      <c r="BF647" s="68"/>
      <c r="BG647" s="68"/>
      <c r="BH647" s="68"/>
      <c r="BI647" s="68"/>
      <c r="BJ647" s="68"/>
      <c r="BK647" s="68"/>
      <c r="BL647" s="68"/>
      <c r="BM647" s="68"/>
      <c r="BN647" s="68"/>
    </row>
    <row r="648" spans="1:66" ht="17">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68"/>
      <c r="AG648" s="68"/>
      <c r="AH648" s="68"/>
      <c r="AI648" s="68"/>
      <c r="AJ648" s="68"/>
      <c r="AK648" s="68"/>
      <c r="AL648" s="68"/>
      <c r="AM648" s="68"/>
      <c r="AN648" s="68"/>
      <c r="AO648" s="68"/>
      <c r="AP648" s="68"/>
      <c r="AQ648" s="68"/>
      <c r="AR648" s="68"/>
      <c r="AS648" s="68"/>
      <c r="AT648" s="68"/>
      <c r="AU648" s="68"/>
      <c r="AV648" s="68"/>
      <c r="AW648" s="68"/>
      <c r="AX648" s="68"/>
      <c r="AY648" s="68"/>
      <c r="AZ648" s="68"/>
      <c r="BA648" s="68"/>
      <c r="BB648" s="68"/>
      <c r="BC648" s="68"/>
      <c r="BD648" s="68"/>
      <c r="BE648" s="68"/>
      <c r="BF648" s="68"/>
      <c r="BG648" s="68"/>
      <c r="BH648" s="68"/>
      <c r="BI648" s="68"/>
      <c r="BJ648" s="68"/>
      <c r="BK648" s="68"/>
      <c r="BL648" s="68"/>
      <c r="BM648" s="68"/>
      <c r="BN648" s="68"/>
    </row>
    <row r="649" spans="1:66" ht="17">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68"/>
      <c r="AG649" s="68"/>
      <c r="AH649" s="68"/>
      <c r="AI649" s="68"/>
      <c r="AJ649" s="68"/>
      <c r="AK649" s="68"/>
      <c r="AL649" s="68"/>
      <c r="AM649" s="68"/>
      <c r="AN649" s="68"/>
      <c r="AO649" s="68"/>
      <c r="AP649" s="68"/>
      <c r="AQ649" s="68"/>
      <c r="AR649" s="68"/>
      <c r="AS649" s="68"/>
      <c r="AT649" s="68"/>
      <c r="AU649" s="68"/>
      <c r="AV649" s="68"/>
      <c r="AW649" s="68"/>
      <c r="AX649" s="68"/>
      <c r="AY649" s="68"/>
      <c r="AZ649" s="68"/>
      <c r="BA649" s="68"/>
      <c r="BB649" s="68"/>
      <c r="BC649" s="68"/>
      <c r="BD649" s="68"/>
      <c r="BE649" s="68"/>
      <c r="BF649" s="68"/>
      <c r="BG649" s="68"/>
      <c r="BH649" s="68"/>
      <c r="BI649" s="68"/>
      <c r="BJ649" s="68"/>
      <c r="BK649" s="68"/>
      <c r="BL649" s="68"/>
      <c r="BM649" s="68"/>
      <c r="BN649" s="68"/>
    </row>
    <row r="650" spans="1:66" ht="17">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68"/>
      <c r="AG650" s="68"/>
      <c r="AH650" s="68"/>
      <c r="AI650" s="68"/>
      <c r="AJ650" s="68"/>
      <c r="AK650" s="68"/>
      <c r="AL650" s="68"/>
      <c r="AM650" s="68"/>
      <c r="AN650" s="68"/>
      <c r="AO650" s="68"/>
      <c r="AP650" s="68"/>
      <c r="AQ650" s="68"/>
      <c r="AR650" s="68"/>
      <c r="AS650" s="68"/>
      <c r="AT650" s="68"/>
      <c r="AU650" s="68"/>
      <c r="AV650" s="68"/>
      <c r="AW650" s="68"/>
      <c r="AX650" s="68"/>
      <c r="AY650" s="68"/>
      <c r="AZ650" s="68"/>
      <c r="BA650" s="68"/>
      <c r="BB650" s="68"/>
      <c r="BC650" s="68"/>
      <c r="BD650" s="68"/>
      <c r="BE650" s="68"/>
      <c r="BF650" s="68"/>
      <c r="BG650" s="68"/>
      <c r="BH650" s="68"/>
      <c r="BI650" s="68"/>
      <c r="BJ650" s="68"/>
      <c r="BK650" s="68"/>
      <c r="BL650" s="68"/>
      <c r="BM650" s="68"/>
      <c r="BN650" s="68"/>
    </row>
    <row r="651" spans="1:66" ht="17">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68"/>
      <c r="AG651" s="68"/>
      <c r="AH651" s="68"/>
      <c r="AI651" s="68"/>
      <c r="AJ651" s="68"/>
      <c r="AK651" s="68"/>
      <c r="AL651" s="68"/>
      <c r="AM651" s="68"/>
      <c r="AN651" s="68"/>
      <c r="AO651" s="68"/>
      <c r="AP651" s="68"/>
      <c r="AQ651" s="68"/>
      <c r="AR651" s="68"/>
      <c r="AS651" s="68"/>
      <c r="AT651" s="68"/>
      <c r="AU651" s="68"/>
      <c r="AV651" s="68"/>
      <c r="AW651" s="68"/>
      <c r="AX651" s="68"/>
      <c r="AY651" s="68"/>
      <c r="AZ651" s="68"/>
      <c r="BA651" s="68"/>
      <c r="BB651" s="68"/>
      <c r="BC651" s="68"/>
      <c r="BD651" s="68"/>
      <c r="BE651" s="68"/>
      <c r="BF651" s="68"/>
      <c r="BG651" s="68"/>
      <c r="BH651" s="68"/>
      <c r="BI651" s="68"/>
      <c r="BJ651" s="68"/>
      <c r="BK651" s="68"/>
      <c r="BL651" s="68"/>
      <c r="BM651" s="68"/>
      <c r="BN651" s="68"/>
    </row>
    <row r="652" spans="1:66" ht="17">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68"/>
      <c r="AG652" s="68"/>
      <c r="AH652" s="68"/>
      <c r="AI652" s="68"/>
      <c r="AJ652" s="68"/>
      <c r="AK652" s="68"/>
      <c r="AL652" s="68"/>
      <c r="AM652" s="68"/>
      <c r="AN652" s="68"/>
      <c r="AO652" s="68"/>
      <c r="AP652" s="68"/>
      <c r="AQ652" s="68"/>
      <c r="AR652" s="68"/>
      <c r="AS652" s="68"/>
      <c r="AT652" s="68"/>
      <c r="AU652" s="68"/>
      <c r="AV652" s="68"/>
      <c r="AW652" s="68"/>
      <c r="AX652" s="68"/>
      <c r="AY652" s="68"/>
      <c r="AZ652" s="68"/>
      <c r="BA652" s="68"/>
      <c r="BB652" s="68"/>
      <c r="BC652" s="68"/>
      <c r="BD652" s="68"/>
      <c r="BE652" s="68"/>
      <c r="BF652" s="68"/>
      <c r="BG652" s="68"/>
      <c r="BH652" s="68"/>
      <c r="BI652" s="68"/>
      <c r="BJ652" s="68"/>
      <c r="BK652" s="68"/>
      <c r="BL652" s="68"/>
      <c r="BM652" s="68"/>
      <c r="BN652" s="68"/>
    </row>
    <row r="653" spans="1:66" ht="17">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68"/>
      <c r="AG653" s="68"/>
      <c r="AH653" s="68"/>
      <c r="AI653" s="68"/>
      <c r="AJ653" s="68"/>
      <c r="AK653" s="68"/>
      <c r="AL653" s="68"/>
      <c r="AM653" s="68"/>
      <c r="AN653" s="68"/>
      <c r="AO653" s="68"/>
      <c r="AP653" s="68"/>
      <c r="AQ653" s="68"/>
      <c r="AR653" s="68"/>
      <c r="AS653" s="68"/>
      <c r="AT653" s="68"/>
      <c r="AU653" s="68"/>
      <c r="AV653" s="68"/>
      <c r="AW653" s="68"/>
      <c r="AX653" s="68"/>
      <c r="AY653" s="68"/>
      <c r="AZ653" s="68"/>
      <c r="BA653" s="68"/>
      <c r="BB653" s="68"/>
      <c r="BC653" s="68"/>
      <c r="BD653" s="68"/>
      <c r="BE653" s="68"/>
      <c r="BF653" s="68"/>
      <c r="BG653" s="68"/>
      <c r="BH653" s="68"/>
      <c r="BI653" s="68"/>
      <c r="BJ653" s="68"/>
      <c r="BK653" s="68"/>
      <c r="BL653" s="68"/>
      <c r="BM653" s="68"/>
      <c r="BN653" s="68"/>
    </row>
    <row r="654" spans="1:66" ht="17">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68"/>
      <c r="AG654" s="68"/>
      <c r="AH654" s="68"/>
      <c r="AI654" s="68"/>
      <c r="AJ654" s="68"/>
      <c r="AK654" s="68"/>
      <c r="AL654" s="68"/>
      <c r="AM654" s="68"/>
      <c r="AN654" s="68"/>
      <c r="AO654" s="68"/>
      <c r="AP654" s="68"/>
      <c r="AQ654" s="68"/>
      <c r="AR654" s="68"/>
      <c r="AS654" s="68"/>
      <c r="AT654" s="68"/>
      <c r="AU654" s="68"/>
      <c r="AV654" s="68"/>
      <c r="AW654" s="68"/>
      <c r="AX654" s="68"/>
      <c r="AY654" s="68"/>
      <c r="AZ654" s="68"/>
      <c r="BA654" s="68"/>
      <c r="BB654" s="68"/>
      <c r="BC654" s="68"/>
      <c r="BD654" s="68"/>
      <c r="BE654" s="68"/>
      <c r="BF654" s="68"/>
      <c r="BG654" s="68"/>
      <c r="BH654" s="68"/>
      <c r="BI654" s="68"/>
      <c r="BJ654" s="68"/>
      <c r="BK654" s="68"/>
      <c r="BL654" s="68"/>
      <c r="BM654" s="68"/>
      <c r="BN654" s="68"/>
    </row>
    <row r="655" spans="1:66" ht="17">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68"/>
      <c r="AG655" s="68"/>
      <c r="AH655" s="68"/>
      <c r="AI655" s="68"/>
      <c r="AJ655" s="68"/>
      <c r="AK655" s="68"/>
      <c r="AL655" s="68"/>
      <c r="AM655" s="68"/>
      <c r="AN655" s="68"/>
      <c r="AO655" s="68"/>
      <c r="AP655" s="68"/>
      <c r="AQ655" s="68"/>
      <c r="AR655" s="68"/>
      <c r="AS655" s="68"/>
      <c r="AT655" s="68"/>
      <c r="AU655" s="68"/>
      <c r="AV655" s="68"/>
      <c r="AW655" s="68"/>
      <c r="AX655" s="68"/>
      <c r="AY655" s="68"/>
      <c r="AZ655" s="68"/>
      <c r="BA655" s="68"/>
      <c r="BB655" s="68"/>
      <c r="BC655" s="68"/>
      <c r="BD655" s="68"/>
      <c r="BE655" s="68"/>
      <c r="BF655" s="68"/>
      <c r="BG655" s="68"/>
      <c r="BH655" s="68"/>
      <c r="BI655" s="68"/>
      <c r="BJ655" s="68"/>
      <c r="BK655" s="68"/>
      <c r="BL655" s="68"/>
      <c r="BM655" s="68"/>
      <c r="BN655" s="68"/>
    </row>
    <row r="656" spans="1:66" ht="17">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68"/>
      <c r="AG656" s="68"/>
      <c r="AH656" s="68"/>
      <c r="AI656" s="68"/>
      <c r="AJ656" s="68"/>
      <c r="AK656" s="68"/>
      <c r="AL656" s="68"/>
      <c r="AM656" s="68"/>
      <c r="AN656" s="68"/>
      <c r="AO656" s="68"/>
      <c r="AP656" s="68"/>
      <c r="AQ656" s="68"/>
      <c r="AR656" s="68"/>
      <c r="AS656" s="68"/>
      <c r="AT656" s="68"/>
      <c r="AU656" s="68"/>
      <c r="AV656" s="68"/>
      <c r="AW656" s="68"/>
      <c r="AX656" s="68"/>
      <c r="AY656" s="68"/>
      <c r="AZ656" s="68"/>
      <c r="BA656" s="68"/>
      <c r="BB656" s="68"/>
      <c r="BC656" s="68"/>
      <c r="BD656" s="68"/>
      <c r="BE656" s="68"/>
      <c r="BF656" s="68"/>
      <c r="BG656" s="68"/>
      <c r="BH656" s="68"/>
      <c r="BI656" s="68"/>
      <c r="BJ656" s="68"/>
      <c r="BK656" s="68"/>
      <c r="BL656" s="68"/>
      <c r="BM656" s="68"/>
      <c r="BN656" s="68"/>
    </row>
    <row r="657" spans="1:66" ht="1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68"/>
      <c r="AG657" s="68"/>
      <c r="AH657" s="68"/>
      <c r="AI657" s="68"/>
      <c r="AJ657" s="68"/>
      <c r="AK657" s="68"/>
      <c r="AL657" s="68"/>
      <c r="AM657" s="68"/>
      <c r="AN657" s="68"/>
      <c r="AO657" s="68"/>
      <c r="AP657" s="68"/>
      <c r="AQ657" s="68"/>
      <c r="AR657" s="68"/>
      <c r="AS657" s="68"/>
      <c r="AT657" s="68"/>
      <c r="AU657" s="68"/>
      <c r="AV657" s="68"/>
      <c r="AW657" s="68"/>
      <c r="AX657" s="68"/>
      <c r="AY657" s="68"/>
      <c r="AZ657" s="68"/>
      <c r="BA657" s="68"/>
      <c r="BB657" s="68"/>
      <c r="BC657" s="68"/>
      <c r="BD657" s="68"/>
      <c r="BE657" s="68"/>
      <c r="BF657" s="68"/>
      <c r="BG657" s="68"/>
      <c r="BH657" s="68"/>
      <c r="BI657" s="68"/>
      <c r="BJ657" s="68"/>
      <c r="BK657" s="68"/>
      <c r="BL657" s="68"/>
      <c r="BM657" s="68"/>
      <c r="BN657" s="68"/>
    </row>
    <row r="658" spans="1:66" ht="17">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68"/>
      <c r="AG658" s="68"/>
      <c r="AH658" s="68"/>
      <c r="AI658" s="68"/>
      <c r="AJ658" s="68"/>
      <c r="AK658" s="68"/>
      <c r="AL658" s="68"/>
      <c r="AM658" s="68"/>
      <c r="AN658" s="68"/>
      <c r="AO658" s="68"/>
      <c r="AP658" s="68"/>
      <c r="AQ658" s="68"/>
      <c r="AR658" s="68"/>
      <c r="AS658" s="68"/>
      <c r="AT658" s="68"/>
      <c r="AU658" s="68"/>
      <c r="AV658" s="68"/>
      <c r="AW658" s="68"/>
      <c r="AX658" s="68"/>
      <c r="AY658" s="68"/>
      <c r="AZ658" s="68"/>
      <c r="BA658" s="68"/>
      <c r="BB658" s="68"/>
      <c r="BC658" s="68"/>
      <c r="BD658" s="68"/>
      <c r="BE658" s="68"/>
      <c r="BF658" s="68"/>
      <c r="BG658" s="68"/>
      <c r="BH658" s="68"/>
      <c r="BI658" s="68"/>
      <c r="BJ658" s="68"/>
      <c r="BK658" s="68"/>
      <c r="BL658" s="68"/>
      <c r="BM658" s="68"/>
      <c r="BN658" s="68"/>
    </row>
    <row r="659" spans="1:66" ht="17">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68"/>
      <c r="AG659" s="68"/>
      <c r="AH659" s="68"/>
      <c r="AI659" s="68"/>
      <c r="AJ659" s="68"/>
      <c r="AK659" s="68"/>
      <c r="AL659" s="68"/>
      <c r="AM659" s="68"/>
      <c r="AN659" s="68"/>
      <c r="AO659" s="68"/>
      <c r="AP659" s="68"/>
      <c r="AQ659" s="68"/>
      <c r="AR659" s="68"/>
      <c r="AS659" s="68"/>
      <c r="AT659" s="68"/>
      <c r="AU659" s="68"/>
      <c r="AV659" s="68"/>
      <c r="AW659" s="68"/>
      <c r="AX659" s="68"/>
      <c r="AY659" s="68"/>
      <c r="AZ659" s="68"/>
      <c r="BA659" s="68"/>
      <c r="BB659" s="68"/>
      <c r="BC659" s="68"/>
      <c r="BD659" s="68"/>
      <c r="BE659" s="68"/>
      <c r="BF659" s="68"/>
      <c r="BG659" s="68"/>
      <c r="BH659" s="68"/>
      <c r="BI659" s="68"/>
      <c r="BJ659" s="68"/>
      <c r="BK659" s="68"/>
      <c r="BL659" s="68"/>
      <c r="BM659" s="68"/>
      <c r="BN659" s="68"/>
    </row>
    <row r="660" spans="1:66" ht="17">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68"/>
      <c r="AG660" s="68"/>
      <c r="AH660" s="68"/>
      <c r="AI660" s="68"/>
      <c r="AJ660" s="68"/>
      <c r="AK660" s="68"/>
      <c r="AL660" s="68"/>
      <c r="AM660" s="68"/>
      <c r="AN660" s="68"/>
      <c r="AO660" s="68"/>
      <c r="AP660" s="68"/>
      <c r="AQ660" s="68"/>
      <c r="AR660" s="68"/>
      <c r="AS660" s="68"/>
      <c r="AT660" s="68"/>
      <c r="AU660" s="68"/>
      <c r="AV660" s="68"/>
      <c r="AW660" s="68"/>
      <c r="AX660" s="68"/>
      <c r="AY660" s="68"/>
      <c r="AZ660" s="68"/>
      <c r="BA660" s="68"/>
      <c r="BB660" s="68"/>
      <c r="BC660" s="68"/>
      <c r="BD660" s="68"/>
      <c r="BE660" s="68"/>
      <c r="BF660" s="68"/>
      <c r="BG660" s="68"/>
      <c r="BH660" s="68"/>
      <c r="BI660" s="68"/>
      <c r="BJ660" s="68"/>
      <c r="BK660" s="68"/>
      <c r="BL660" s="68"/>
      <c r="BM660" s="68"/>
      <c r="BN660" s="68"/>
    </row>
    <row r="661" spans="1:66" ht="17">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68"/>
      <c r="AG661" s="68"/>
      <c r="AH661" s="68"/>
      <c r="AI661" s="68"/>
      <c r="AJ661" s="68"/>
      <c r="AK661" s="68"/>
      <c r="AL661" s="68"/>
      <c r="AM661" s="68"/>
      <c r="AN661" s="68"/>
      <c r="AO661" s="68"/>
      <c r="AP661" s="68"/>
      <c r="AQ661" s="68"/>
      <c r="AR661" s="68"/>
      <c r="AS661" s="68"/>
      <c r="AT661" s="68"/>
      <c r="AU661" s="68"/>
      <c r="AV661" s="68"/>
      <c r="AW661" s="68"/>
      <c r="AX661" s="68"/>
      <c r="AY661" s="68"/>
      <c r="AZ661" s="68"/>
      <c r="BA661" s="68"/>
      <c r="BB661" s="68"/>
      <c r="BC661" s="68"/>
      <c r="BD661" s="68"/>
      <c r="BE661" s="68"/>
      <c r="BF661" s="68"/>
      <c r="BG661" s="68"/>
      <c r="BH661" s="68"/>
      <c r="BI661" s="68"/>
      <c r="BJ661" s="68"/>
      <c r="BK661" s="68"/>
      <c r="BL661" s="68"/>
      <c r="BM661" s="68"/>
      <c r="BN661" s="68"/>
    </row>
    <row r="662" spans="1:66" ht="17">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68"/>
      <c r="AG662" s="68"/>
      <c r="AH662" s="68"/>
      <c r="AI662" s="68"/>
      <c r="AJ662" s="68"/>
      <c r="AK662" s="68"/>
      <c r="AL662" s="68"/>
      <c r="AM662" s="68"/>
      <c r="AN662" s="68"/>
      <c r="AO662" s="68"/>
      <c r="AP662" s="68"/>
      <c r="AQ662" s="68"/>
      <c r="AR662" s="68"/>
      <c r="AS662" s="68"/>
      <c r="AT662" s="68"/>
      <c r="AU662" s="68"/>
      <c r="AV662" s="68"/>
      <c r="AW662" s="68"/>
      <c r="AX662" s="68"/>
      <c r="AY662" s="68"/>
      <c r="AZ662" s="68"/>
      <c r="BA662" s="68"/>
      <c r="BB662" s="68"/>
      <c r="BC662" s="68"/>
      <c r="BD662" s="68"/>
      <c r="BE662" s="68"/>
      <c r="BF662" s="68"/>
      <c r="BG662" s="68"/>
      <c r="BH662" s="68"/>
      <c r="BI662" s="68"/>
      <c r="BJ662" s="68"/>
      <c r="BK662" s="68"/>
      <c r="BL662" s="68"/>
      <c r="BM662" s="68"/>
      <c r="BN662" s="68"/>
    </row>
    <row r="663" spans="1:66" ht="17">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68"/>
      <c r="AG663" s="68"/>
      <c r="AH663" s="68"/>
      <c r="AI663" s="68"/>
      <c r="AJ663" s="68"/>
      <c r="AK663" s="68"/>
      <c r="AL663" s="68"/>
      <c r="AM663" s="68"/>
      <c r="AN663" s="68"/>
      <c r="AO663" s="68"/>
      <c r="AP663" s="68"/>
      <c r="AQ663" s="68"/>
      <c r="AR663" s="68"/>
      <c r="AS663" s="68"/>
      <c r="AT663" s="68"/>
      <c r="AU663" s="68"/>
      <c r="AV663" s="68"/>
      <c r="AW663" s="68"/>
      <c r="AX663" s="68"/>
      <c r="AY663" s="68"/>
      <c r="AZ663" s="68"/>
      <c r="BA663" s="68"/>
      <c r="BB663" s="68"/>
      <c r="BC663" s="68"/>
      <c r="BD663" s="68"/>
      <c r="BE663" s="68"/>
      <c r="BF663" s="68"/>
      <c r="BG663" s="68"/>
      <c r="BH663" s="68"/>
      <c r="BI663" s="68"/>
      <c r="BJ663" s="68"/>
      <c r="BK663" s="68"/>
      <c r="BL663" s="68"/>
      <c r="BM663" s="68"/>
      <c r="BN663" s="68"/>
    </row>
    <row r="664" spans="1:66" ht="17">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c r="AG664" s="68"/>
      <c r="AH664" s="68"/>
      <c r="AI664" s="68"/>
      <c r="AJ664" s="68"/>
      <c r="AK664" s="68"/>
      <c r="AL664" s="68"/>
      <c r="AM664" s="68"/>
      <c r="AN664" s="68"/>
      <c r="AO664" s="68"/>
      <c r="AP664" s="68"/>
      <c r="AQ664" s="68"/>
      <c r="AR664" s="68"/>
      <c r="AS664" s="68"/>
      <c r="AT664" s="68"/>
      <c r="AU664" s="68"/>
      <c r="AV664" s="68"/>
      <c r="AW664" s="68"/>
      <c r="AX664" s="68"/>
      <c r="AY664" s="68"/>
      <c r="AZ664" s="68"/>
      <c r="BA664" s="68"/>
      <c r="BB664" s="68"/>
      <c r="BC664" s="68"/>
      <c r="BD664" s="68"/>
      <c r="BE664" s="68"/>
      <c r="BF664" s="68"/>
      <c r="BG664" s="68"/>
      <c r="BH664" s="68"/>
      <c r="BI664" s="68"/>
      <c r="BJ664" s="68"/>
      <c r="BK664" s="68"/>
      <c r="BL664" s="68"/>
      <c r="BM664" s="68"/>
      <c r="BN664" s="68"/>
    </row>
    <row r="665" spans="1:66" ht="17">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c r="AG665" s="68"/>
      <c r="AH665" s="68"/>
      <c r="AI665" s="68"/>
      <c r="AJ665" s="68"/>
      <c r="AK665" s="68"/>
      <c r="AL665" s="68"/>
      <c r="AM665" s="68"/>
      <c r="AN665" s="68"/>
      <c r="AO665" s="68"/>
      <c r="AP665" s="68"/>
      <c r="AQ665" s="68"/>
      <c r="AR665" s="68"/>
      <c r="AS665" s="68"/>
      <c r="AT665" s="68"/>
      <c r="AU665" s="68"/>
      <c r="AV665" s="68"/>
      <c r="AW665" s="68"/>
      <c r="AX665" s="68"/>
      <c r="AY665" s="68"/>
      <c r="AZ665" s="68"/>
      <c r="BA665" s="68"/>
      <c r="BB665" s="68"/>
      <c r="BC665" s="68"/>
      <c r="BD665" s="68"/>
      <c r="BE665" s="68"/>
      <c r="BF665" s="68"/>
      <c r="BG665" s="68"/>
      <c r="BH665" s="68"/>
      <c r="BI665" s="68"/>
      <c r="BJ665" s="68"/>
      <c r="BK665" s="68"/>
      <c r="BL665" s="68"/>
      <c r="BM665" s="68"/>
      <c r="BN665" s="68"/>
    </row>
    <row r="666" spans="1:66" ht="17">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68"/>
      <c r="AG666" s="68"/>
      <c r="AH666" s="68"/>
      <c r="AI666" s="68"/>
      <c r="AJ666" s="68"/>
      <c r="AK666" s="68"/>
      <c r="AL666" s="68"/>
      <c r="AM666" s="68"/>
      <c r="AN666" s="68"/>
      <c r="AO666" s="68"/>
      <c r="AP666" s="68"/>
      <c r="AQ666" s="68"/>
      <c r="AR666" s="68"/>
      <c r="AS666" s="68"/>
      <c r="AT666" s="68"/>
      <c r="AU666" s="68"/>
      <c r="AV666" s="68"/>
      <c r="AW666" s="68"/>
      <c r="AX666" s="68"/>
      <c r="AY666" s="68"/>
      <c r="AZ666" s="68"/>
      <c r="BA666" s="68"/>
      <c r="BB666" s="68"/>
      <c r="BC666" s="68"/>
      <c r="BD666" s="68"/>
      <c r="BE666" s="68"/>
      <c r="BF666" s="68"/>
      <c r="BG666" s="68"/>
      <c r="BH666" s="68"/>
      <c r="BI666" s="68"/>
      <c r="BJ666" s="68"/>
      <c r="BK666" s="68"/>
      <c r="BL666" s="68"/>
      <c r="BM666" s="68"/>
      <c r="BN666" s="68"/>
    </row>
    <row r="667" spans="1:66" ht="1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68"/>
      <c r="AG667" s="68"/>
      <c r="AH667" s="68"/>
      <c r="AI667" s="68"/>
      <c r="AJ667" s="68"/>
      <c r="AK667" s="68"/>
      <c r="AL667" s="68"/>
      <c r="AM667" s="68"/>
      <c r="AN667" s="68"/>
      <c r="AO667" s="68"/>
      <c r="AP667" s="68"/>
      <c r="AQ667" s="68"/>
      <c r="AR667" s="68"/>
      <c r="AS667" s="68"/>
      <c r="AT667" s="68"/>
      <c r="AU667" s="68"/>
      <c r="AV667" s="68"/>
      <c r="AW667" s="68"/>
      <c r="AX667" s="68"/>
      <c r="AY667" s="68"/>
      <c r="AZ667" s="68"/>
      <c r="BA667" s="68"/>
      <c r="BB667" s="68"/>
      <c r="BC667" s="68"/>
      <c r="BD667" s="68"/>
      <c r="BE667" s="68"/>
      <c r="BF667" s="68"/>
      <c r="BG667" s="68"/>
      <c r="BH667" s="68"/>
      <c r="BI667" s="68"/>
      <c r="BJ667" s="68"/>
      <c r="BK667" s="68"/>
      <c r="BL667" s="68"/>
      <c r="BM667" s="68"/>
      <c r="BN667" s="68"/>
    </row>
    <row r="668" spans="1:66" ht="17">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68"/>
      <c r="AG668" s="68"/>
      <c r="AH668" s="68"/>
      <c r="AI668" s="68"/>
      <c r="AJ668" s="68"/>
      <c r="AK668" s="68"/>
      <c r="AL668" s="68"/>
      <c r="AM668" s="68"/>
      <c r="AN668" s="68"/>
      <c r="AO668" s="68"/>
      <c r="AP668" s="68"/>
      <c r="AQ668" s="68"/>
      <c r="AR668" s="68"/>
      <c r="AS668" s="68"/>
      <c r="AT668" s="68"/>
      <c r="AU668" s="68"/>
      <c r="AV668" s="68"/>
      <c r="AW668" s="68"/>
      <c r="AX668" s="68"/>
      <c r="AY668" s="68"/>
      <c r="AZ668" s="68"/>
      <c r="BA668" s="68"/>
      <c r="BB668" s="68"/>
      <c r="BC668" s="68"/>
      <c r="BD668" s="68"/>
      <c r="BE668" s="68"/>
      <c r="BF668" s="68"/>
      <c r="BG668" s="68"/>
      <c r="BH668" s="68"/>
      <c r="BI668" s="68"/>
      <c r="BJ668" s="68"/>
      <c r="BK668" s="68"/>
      <c r="BL668" s="68"/>
      <c r="BM668" s="68"/>
      <c r="BN668" s="68"/>
    </row>
    <row r="669" spans="1:66" ht="17">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68"/>
      <c r="AG669" s="68"/>
      <c r="AH669" s="68"/>
      <c r="AI669" s="68"/>
      <c r="AJ669" s="68"/>
      <c r="AK669" s="68"/>
      <c r="AL669" s="68"/>
      <c r="AM669" s="68"/>
      <c r="AN669" s="68"/>
      <c r="AO669" s="68"/>
      <c r="AP669" s="68"/>
      <c r="AQ669" s="68"/>
      <c r="AR669" s="68"/>
      <c r="AS669" s="68"/>
      <c r="AT669" s="68"/>
      <c r="AU669" s="68"/>
      <c r="AV669" s="68"/>
      <c r="AW669" s="68"/>
      <c r="AX669" s="68"/>
      <c r="AY669" s="68"/>
      <c r="AZ669" s="68"/>
      <c r="BA669" s="68"/>
      <c r="BB669" s="68"/>
      <c r="BC669" s="68"/>
      <c r="BD669" s="68"/>
      <c r="BE669" s="68"/>
      <c r="BF669" s="68"/>
      <c r="BG669" s="68"/>
      <c r="BH669" s="68"/>
      <c r="BI669" s="68"/>
      <c r="BJ669" s="68"/>
      <c r="BK669" s="68"/>
      <c r="BL669" s="68"/>
      <c r="BM669" s="68"/>
      <c r="BN669" s="68"/>
    </row>
    <row r="670" spans="1:66" ht="17">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68"/>
      <c r="AG670" s="68"/>
      <c r="AH670" s="68"/>
      <c r="AI670" s="68"/>
      <c r="AJ670" s="68"/>
      <c r="AK670" s="68"/>
      <c r="AL670" s="68"/>
      <c r="AM670" s="68"/>
      <c r="AN670" s="68"/>
      <c r="AO670" s="68"/>
      <c r="AP670" s="68"/>
      <c r="AQ670" s="68"/>
      <c r="AR670" s="68"/>
      <c r="AS670" s="68"/>
      <c r="AT670" s="68"/>
      <c r="AU670" s="68"/>
      <c r="AV670" s="68"/>
      <c r="AW670" s="68"/>
      <c r="AX670" s="68"/>
      <c r="AY670" s="68"/>
      <c r="AZ670" s="68"/>
      <c r="BA670" s="68"/>
      <c r="BB670" s="68"/>
      <c r="BC670" s="68"/>
      <c r="BD670" s="68"/>
      <c r="BE670" s="68"/>
      <c r="BF670" s="68"/>
      <c r="BG670" s="68"/>
      <c r="BH670" s="68"/>
      <c r="BI670" s="68"/>
      <c r="BJ670" s="68"/>
      <c r="BK670" s="68"/>
      <c r="BL670" s="68"/>
      <c r="BM670" s="68"/>
      <c r="BN670" s="68"/>
    </row>
    <row r="671" spans="1:66" ht="17">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68"/>
      <c r="AG671" s="68"/>
      <c r="AH671" s="68"/>
      <c r="AI671" s="68"/>
      <c r="AJ671" s="68"/>
      <c r="AK671" s="68"/>
      <c r="AL671" s="68"/>
      <c r="AM671" s="68"/>
      <c r="AN671" s="68"/>
      <c r="AO671" s="68"/>
      <c r="AP671" s="68"/>
      <c r="AQ671" s="68"/>
      <c r="AR671" s="68"/>
      <c r="AS671" s="68"/>
      <c r="AT671" s="68"/>
      <c r="AU671" s="68"/>
      <c r="AV671" s="68"/>
      <c r="AW671" s="68"/>
      <c r="AX671" s="68"/>
      <c r="AY671" s="68"/>
      <c r="AZ671" s="68"/>
      <c r="BA671" s="68"/>
      <c r="BB671" s="68"/>
      <c r="BC671" s="68"/>
      <c r="BD671" s="68"/>
      <c r="BE671" s="68"/>
      <c r="BF671" s="68"/>
      <c r="BG671" s="68"/>
      <c r="BH671" s="68"/>
      <c r="BI671" s="68"/>
      <c r="BJ671" s="68"/>
      <c r="BK671" s="68"/>
      <c r="BL671" s="68"/>
      <c r="BM671" s="68"/>
      <c r="BN671" s="68"/>
    </row>
    <row r="672" spans="1:66" ht="17">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68"/>
      <c r="AG672" s="68"/>
      <c r="AH672" s="68"/>
      <c r="AI672" s="68"/>
      <c r="AJ672" s="68"/>
      <c r="AK672" s="68"/>
      <c r="AL672" s="68"/>
      <c r="AM672" s="68"/>
      <c r="AN672" s="68"/>
      <c r="AO672" s="68"/>
      <c r="AP672" s="68"/>
      <c r="AQ672" s="68"/>
      <c r="AR672" s="68"/>
      <c r="AS672" s="68"/>
      <c r="AT672" s="68"/>
      <c r="AU672" s="68"/>
      <c r="AV672" s="68"/>
      <c r="AW672" s="68"/>
      <c r="AX672" s="68"/>
      <c r="AY672" s="68"/>
      <c r="AZ672" s="68"/>
      <c r="BA672" s="68"/>
      <c r="BB672" s="68"/>
      <c r="BC672" s="68"/>
      <c r="BD672" s="68"/>
      <c r="BE672" s="68"/>
      <c r="BF672" s="68"/>
      <c r="BG672" s="68"/>
      <c r="BH672" s="68"/>
      <c r="BI672" s="68"/>
      <c r="BJ672" s="68"/>
      <c r="BK672" s="68"/>
      <c r="BL672" s="68"/>
      <c r="BM672" s="68"/>
      <c r="BN672" s="68"/>
    </row>
    <row r="673" spans="1:66" ht="17">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68"/>
      <c r="AG673" s="68"/>
      <c r="AH673" s="68"/>
      <c r="AI673" s="68"/>
      <c r="AJ673" s="68"/>
      <c r="AK673" s="68"/>
      <c r="AL673" s="68"/>
      <c r="AM673" s="68"/>
      <c r="AN673" s="68"/>
      <c r="AO673" s="68"/>
      <c r="AP673" s="68"/>
      <c r="AQ673" s="68"/>
      <c r="AR673" s="68"/>
      <c r="AS673" s="68"/>
      <c r="AT673" s="68"/>
      <c r="AU673" s="68"/>
      <c r="AV673" s="68"/>
      <c r="AW673" s="68"/>
      <c r="AX673" s="68"/>
      <c r="AY673" s="68"/>
      <c r="AZ673" s="68"/>
      <c r="BA673" s="68"/>
      <c r="BB673" s="68"/>
      <c r="BC673" s="68"/>
      <c r="BD673" s="68"/>
      <c r="BE673" s="68"/>
      <c r="BF673" s="68"/>
      <c r="BG673" s="68"/>
      <c r="BH673" s="68"/>
      <c r="BI673" s="68"/>
      <c r="BJ673" s="68"/>
      <c r="BK673" s="68"/>
      <c r="BL673" s="68"/>
      <c r="BM673" s="68"/>
      <c r="BN673" s="68"/>
    </row>
    <row r="674" spans="1:66" ht="17">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68"/>
      <c r="AG674" s="68"/>
      <c r="AH674" s="68"/>
      <c r="AI674" s="68"/>
      <c r="AJ674" s="68"/>
      <c r="AK674" s="68"/>
      <c r="AL674" s="68"/>
      <c r="AM674" s="68"/>
      <c r="AN674" s="68"/>
      <c r="AO674" s="68"/>
      <c r="AP674" s="68"/>
      <c r="AQ674" s="68"/>
      <c r="AR674" s="68"/>
      <c r="AS674" s="68"/>
      <c r="AT674" s="68"/>
      <c r="AU674" s="68"/>
      <c r="AV674" s="68"/>
      <c r="AW674" s="68"/>
      <c r="AX674" s="68"/>
      <c r="AY674" s="68"/>
      <c r="AZ674" s="68"/>
      <c r="BA674" s="68"/>
      <c r="BB674" s="68"/>
      <c r="BC674" s="68"/>
      <c r="BD674" s="68"/>
      <c r="BE674" s="68"/>
      <c r="BF674" s="68"/>
      <c r="BG674" s="68"/>
      <c r="BH674" s="68"/>
      <c r="BI674" s="68"/>
      <c r="BJ674" s="68"/>
      <c r="BK674" s="68"/>
      <c r="BL674" s="68"/>
      <c r="BM674" s="68"/>
      <c r="BN674" s="68"/>
    </row>
    <row r="675" spans="1:66" ht="17">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68"/>
      <c r="AG675" s="68"/>
      <c r="AH675" s="68"/>
      <c r="AI675" s="68"/>
      <c r="AJ675" s="68"/>
      <c r="AK675" s="68"/>
      <c r="AL675" s="68"/>
      <c r="AM675" s="68"/>
      <c r="AN675" s="68"/>
      <c r="AO675" s="68"/>
      <c r="AP675" s="68"/>
      <c r="AQ675" s="68"/>
      <c r="AR675" s="68"/>
      <c r="AS675" s="68"/>
      <c r="AT675" s="68"/>
      <c r="AU675" s="68"/>
      <c r="AV675" s="68"/>
      <c r="AW675" s="68"/>
      <c r="AX675" s="68"/>
      <c r="AY675" s="68"/>
      <c r="AZ675" s="68"/>
      <c r="BA675" s="68"/>
      <c r="BB675" s="68"/>
      <c r="BC675" s="68"/>
      <c r="BD675" s="68"/>
      <c r="BE675" s="68"/>
      <c r="BF675" s="68"/>
      <c r="BG675" s="68"/>
      <c r="BH675" s="68"/>
      <c r="BI675" s="68"/>
      <c r="BJ675" s="68"/>
      <c r="BK675" s="68"/>
      <c r="BL675" s="68"/>
      <c r="BM675" s="68"/>
      <c r="BN675" s="68"/>
    </row>
    <row r="676" spans="1:66" ht="17">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68"/>
      <c r="AG676" s="68"/>
      <c r="AH676" s="68"/>
      <c r="AI676" s="68"/>
      <c r="AJ676" s="68"/>
      <c r="AK676" s="68"/>
      <c r="AL676" s="68"/>
      <c r="AM676" s="68"/>
      <c r="AN676" s="68"/>
      <c r="AO676" s="68"/>
      <c r="AP676" s="68"/>
      <c r="AQ676" s="68"/>
      <c r="AR676" s="68"/>
      <c r="AS676" s="68"/>
      <c r="AT676" s="68"/>
      <c r="AU676" s="68"/>
      <c r="AV676" s="68"/>
      <c r="AW676" s="68"/>
      <c r="AX676" s="68"/>
      <c r="AY676" s="68"/>
      <c r="AZ676" s="68"/>
      <c r="BA676" s="68"/>
      <c r="BB676" s="68"/>
      <c r="BC676" s="68"/>
      <c r="BD676" s="68"/>
      <c r="BE676" s="68"/>
      <c r="BF676" s="68"/>
      <c r="BG676" s="68"/>
      <c r="BH676" s="68"/>
      <c r="BI676" s="68"/>
      <c r="BJ676" s="68"/>
      <c r="BK676" s="68"/>
      <c r="BL676" s="68"/>
      <c r="BM676" s="68"/>
      <c r="BN676" s="68"/>
    </row>
    <row r="677" spans="1:66" ht="1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68"/>
      <c r="AG677" s="68"/>
      <c r="AH677" s="68"/>
      <c r="AI677" s="68"/>
      <c r="AJ677" s="68"/>
      <c r="AK677" s="68"/>
      <c r="AL677" s="68"/>
      <c r="AM677" s="68"/>
      <c r="AN677" s="68"/>
      <c r="AO677" s="68"/>
      <c r="AP677" s="68"/>
      <c r="AQ677" s="68"/>
      <c r="AR677" s="68"/>
      <c r="AS677" s="68"/>
      <c r="AT677" s="68"/>
      <c r="AU677" s="68"/>
      <c r="AV677" s="68"/>
      <c r="AW677" s="68"/>
      <c r="AX677" s="68"/>
      <c r="AY677" s="68"/>
      <c r="AZ677" s="68"/>
      <c r="BA677" s="68"/>
      <c r="BB677" s="68"/>
      <c r="BC677" s="68"/>
      <c r="BD677" s="68"/>
      <c r="BE677" s="68"/>
      <c r="BF677" s="68"/>
      <c r="BG677" s="68"/>
      <c r="BH677" s="68"/>
      <c r="BI677" s="68"/>
      <c r="BJ677" s="68"/>
      <c r="BK677" s="68"/>
      <c r="BL677" s="68"/>
      <c r="BM677" s="68"/>
      <c r="BN677" s="68"/>
    </row>
    <row r="678" spans="1:66" ht="17">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68"/>
      <c r="AG678" s="68"/>
      <c r="AH678" s="68"/>
      <c r="AI678" s="68"/>
      <c r="AJ678" s="68"/>
      <c r="AK678" s="68"/>
      <c r="AL678" s="68"/>
      <c r="AM678" s="68"/>
      <c r="AN678" s="68"/>
      <c r="AO678" s="68"/>
      <c r="AP678" s="68"/>
      <c r="AQ678" s="68"/>
      <c r="AR678" s="68"/>
      <c r="AS678" s="68"/>
      <c r="AT678" s="68"/>
      <c r="AU678" s="68"/>
      <c r="AV678" s="68"/>
      <c r="AW678" s="68"/>
      <c r="AX678" s="68"/>
      <c r="AY678" s="68"/>
      <c r="AZ678" s="68"/>
      <c r="BA678" s="68"/>
      <c r="BB678" s="68"/>
      <c r="BC678" s="68"/>
      <c r="BD678" s="68"/>
      <c r="BE678" s="68"/>
      <c r="BF678" s="68"/>
      <c r="BG678" s="68"/>
      <c r="BH678" s="68"/>
      <c r="BI678" s="68"/>
      <c r="BJ678" s="68"/>
      <c r="BK678" s="68"/>
      <c r="BL678" s="68"/>
      <c r="BM678" s="68"/>
      <c r="BN678" s="68"/>
    </row>
    <row r="679" spans="1:66" ht="17">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68"/>
      <c r="AG679" s="68"/>
      <c r="AH679" s="68"/>
      <c r="AI679" s="68"/>
      <c r="AJ679" s="68"/>
      <c r="AK679" s="68"/>
      <c r="AL679" s="68"/>
      <c r="AM679" s="68"/>
      <c r="AN679" s="68"/>
      <c r="AO679" s="68"/>
      <c r="AP679" s="68"/>
      <c r="AQ679" s="68"/>
      <c r="AR679" s="68"/>
      <c r="AS679" s="68"/>
      <c r="AT679" s="68"/>
      <c r="AU679" s="68"/>
      <c r="AV679" s="68"/>
      <c r="AW679" s="68"/>
      <c r="AX679" s="68"/>
      <c r="AY679" s="68"/>
      <c r="AZ679" s="68"/>
      <c r="BA679" s="68"/>
      <c r="BB679" s="68"/>
      <c r="BC679" s="68"/>
      <c r="BD679" s="68"/>
      <c r="BE679" s="68"/>
      <c r="BF679" s="68"/>
      <c r="BG679" s="68"/>
      <c r="BH679" s="68"/>
      <c r="BI679" s="68"/>
      <c r="BJ679" s="68"/>
      <c r="BK679" s="68"/>
      <c r="BL679" s="68"/>
      <c r="BM679" s="68"/>
      <c r="BN679" s="68"/>
    </row>
    <row r="680" spans="1:66" ht="17">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68"/>
      <c r="AG680" s="68"/>
      <c r="AH680" s="68"/>
      <c r="AI680" s="68"/>
      <c r="AJ680" s="68"/>
      <c r="AK680" s="68"/>
      <c r="AL680" s="68"/>
      <c r="AM680" s="68"/>
      <c r="AN680" s="68"/>
      <c r="AO680" s="68"/>
      <c r="AP680" s="68"/>
      <c r="AQ680" s="68"/>
      <c r="AR680" s="68"/>
      <c r="AS680" s="68"/>
      <c r="AT680" s="68"/>
      <c r="AU680" s="68"/>
      <c r="AV680" s="68"/>
      <c r="AW680" s="68"/>
      <c r="AX680" s="68"/>
      <c r="AY680" s="68"/>
      <c r="AZ680" s="68"/>
      <c r="BA680" s="68"/>
      <c r="BB680" s="68"/>
      <c r="BC680" s="68"/>
      <c r="BD680" s="68"/>
      <c r="BE680" s="68"/>
      <c r="BF680" s="68"/>
      <c r="BG680" s="68"/>
      <c r="BH680" s="68"/>
      <c r="BI680" s="68"/>
      <c r="BJ680" s="68"/>
      <c r="BK680" s="68"/>
      <c r="BL680" s="68"/>
      <c r="BM680" s="68"/>
      <c r="BN680" s="68"/>
    </row>
    <row r="681" spans="1:66" ht="17">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68"/>
      <c r="AG681" s="68"/>
      <c r="AH681" s="68"/>
      <c r="AI681" s="68"/>
      <c r="AJ681" s="68"/>
      <c r="AK681" s="68"/>
      <c r="AL681" s="68"/>
      <c r="AM681" s="68"/>
      <c r="AN681" s="68"/>
      <c r="AO681" s="68"/>
      <c r="AP681" s="68"/>
      <c r="AQ681" s="68"/>
      <c r="AR681" s="68"/>
      <c r="AS681" s="68"/>
      <c r="AT681" s="68"/>
      <c r="AU681" s="68"/>
      <c r="AV681" s="68"/>
      <c r="AW681" s="68"/>
      <c r="AX681" s="68"/>
      <c r="AY681" s="68"/>
      <c r="AZ681" s="68"/>
      <c r="BA681" s="68"/>
      <c r="BB681" s="68"/>
      <c r="BC681" s="68"/>
      <c r="BD681" s="68"/>
      <c r="BE681" s="68"/>
      <c r="BF681" s="68"/>
      <c r="BG681" s="68"/>
      <c r="BH681" s="68"/>
      <c r="BI681" s="68"/>
      <c r="BJ681" s="68"/>
      <c r="BK681" s="68"/>
      <c r="BL681" s="68"/>
      <c r="BM681" s="68"/>
      <c r="BN681" s="68"/>
    </row>
    <row r="682" spans="1:66" ht="17">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68"/>
      <c r="AG682" s="68"/>
      <c r="AH682" s="68"/>
      <c r="AI682" s="68"/>
      <c r="AJ682" s="68"/>
      <c r="AK682" s="68"/>
      <c r="AL682" s="68"/>
      <c r="AM682" s="68"/>
      <c r="AN682" s="68"/>
      <c r="AO682" s="68"/>
      <c r="AP682" s="68"/>
      <c r="AQ682" s="68"/>
      <c r="AR682" s="68"/>
      <c r="AS682" s="68"/>
      <c r="AT682" s="68"/>
      <c r="AU682" s="68"/>
      <c r="AV682" s="68"/>
      <c r="AW682" s="68"/>
      <c r="AX682" s="68"/>
      <c r="AY682" s="68"/>
      <c r="AZ682" s="68"/>
      <c r="BA682" s="68"/>
      <c r="BB682" s="68"/>
      <c r="BC682" s="68"/>
      <c r="BD682" s="68"/>
      <c r="BE682" s="68"/>
      <c r="BF682" s="68"/>
      <c r="BG682" s="68"/>
      <c r="BH682" s="68"/>
      <c r="BI682" s="68"/>
      <c r="BJ682" s="68"/>
      <c r="BK682" s="68"/>
      <c r="BL682" s="68"/>
      <c r="BM682" s="68"/>
      <c r="BN682" s="68"/>
    </row>
    <row r="683" spans="1:66" ht="17">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68"/>
      <c r="AG683" s="68"/>
      <c r="AH683" s="68"/>
      <c r="AI683" s="68"/>
      <c r="AJ683" s="68"/>
      <c r="AK683" s="68"/>
      <c r="AL683" s="68"/>
      <c r="AM683" s="68"/>
      <c r="AN683" s="68"/>
      <c r="AO683" s="68"/>
      <c r="AP683" s="68"/>
      <c r="AQ683" s="68"/>
      <c r="AR683" s="68"/>
      <c r="AS683" s="68"/>
      <c r="AT683" s="68"/>
      <c r="AU683" s="68"/>
      <c r="AV683" s="68"/>
      <c r="AW683" s="68"/>
      <c r="AX683" s="68"/>
      <c r="AY683" s="68"/>
      <c r="AZ683" s="68"/>
      <c r="BA683" s="68"/>
      <c r="BB683" s="68"/>
      <c r="BC683" s="68"/>
      <c r="BD683" s="68"/>
      <c r="BE683" s="68"/>
      <c r="BF683" s="68"/>
      <c r="BG683" s="68"/>
      <c r="BH683" s="68"/>
      <c r="BI683" s="68"/>
      <c r="BJ683" s="68"/>
      <c r="BK683" s="68"/>
      <c r="BL683" s="68"/>
      <c r="BM683" s="68"/>
      <c r="BN683" s="68"/>
    </row>
    <row r="684" spans="1:66" ht="17">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68"/>
      <c r="AG684" s="68"/>
      <c r="AH684" s="68"/>
      <c r="AI684" s="68"/>
      <c r="AJ684" s="68"/>
      <c r="AK684" s="68"/>
      <c r="AL684" s="68"/>
      <c r="AM684" s="68"/>
      <c r="AN684" s="68"/>
      <c r="AO684" s="68"/>
      <c r="AP684" s="68"/>
      <c r="AQ684" s="68"/>
      <c r="AR684" s="68"/>
      <c r="AS684" s="68"/>
      <c r="AT684" s="68"/>
      <c r="AU684" s="68"/>
      <c r="AV684" s="68"/>
      <c r="AW684" s="68"/>
      <c r="AX684" s="68"/>
      <c r="AY684" s="68"/>
      <c r="AZ684" s="68"/>
      <c r="BA684" s="68"/>
      <c r="BB684" s="68"/>
      <c r="BC684" s="68"/>
      <c r="BD684" s="68"/>
      <c r="BE684" s="68"/>
      <c r="BF684" s="68"/>
      <c r="BG684" s="68"/>
      <c r="BH684" s="68"/>
      <c r="BI684" s="68"/>
      <c r="BJ684" s="68"/>
      <c r="BK684" s="68"/>
      <c r="BL684" s="68"/>
      <c r="BM684" s="68"/>
      <c r="BN684" s="68"/>
    </row>
    <row r="685" spans="1:66" ht="17">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68"/>
      <c r="AG685" s="68"/>
      <c r="AH685" s="68"/>
      <c r="AI685" s="68"/>
      <c r="AJ685" s="68"/>
      <c r="AK685" s="68"/>
      <c r="AL685" s="68"/>
      <c r="AM685" s="68"/>
      <c r="AN685" s="68"/>
      <c r="AO685" s="68"/>
      <c r="AP685" s="68"/>
      <c r="AQ685" s="68"/>
      <c r="AR685" s="68"/>
      <c r="AS685" s="68"/>
      <c r="AT685" s="68"/>
      <c r="AU685" s="68"/>
      <c r="AV685" s="68"/>
      <c r="AW685" s="68"/>
      <c r="AX685" s="68"/>
      <c r="AY685" s="68"/>
      <c r="AZ685" s="68"/>
      <c r="BA685" s="68"/>
      <c r="BB685" s="68"/>
      <c r="BC685" s="68"/>
      <c r="BD685" s="68"/>
      <c r="BE685" s="68"/>
      <c r="BF685" s="68"/>
      <c r="BG685" s="68"/>
      <c r="BH685" s="68"/>
      <c r="BI685" s="68"/>
      <c r="BJ685" s="68"/>
      <c r="BK685" s="68"/>
      <c r="BL685" s="68"/>
      <c r="BM685" s="68"/>
      <c r="BN685" s="68"/>
    </row>
    <row r="686" spans="1:66" ht="17">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68"/>
      <c r="AG686" s="68"/>
      <c r="AH686" s="68"/>
      <c r="AI686" s="68"/>
      <c r="AJ686" s="68"/>
      <c r="AK686" s="68"/>
      <c r="AL686" s="68"/>
      <c r="AM686" s="68"/>
      <c r="AN686" s="68"/>
      <c r="AO686" s="68"/>
      <c r="AP686" s="68"/>
      <c r="AQ686" s="68"/>
      <c r="AR686" s="68"/>
      <c r="AS686" s="68"/>
      <c r="AT686" s="68"/>
      <c r="AU686" s="68"/>
      <c r="AV686" s="68"/>
      <c r="AW686" s="68"/>
      <c r="AX686" s="68"/>
      <c r="AY686" s="68"/>
      <c r="AZ686" s="68"/>
      <c r="BA686" s="68"/>
      <c r="BB686" s="68"/>
      <c r="BC686" s="68"/>
      <c r="BD686" s="68"/>
      <c r="BE686" s="68"/>
      <c r="BF686" s="68"/>
      <c r="BG686" s="68"/>
      <c r="BH686" s="68"/>
      <c r="BI686" s="68"/>
      <c r="BJ686" s="68"/>
      <c r="BK686" s="68"/>
      <c r="BL686" s="68"/>
      <c r="BM686" s="68"/>
      <c r="BN686" s="68"/>
    </row>
    <row r="687" spans="1:66" ht="1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68"/>
      <c r="AG687" s="68"/>
      <c r="AH687" s="68"/>
      <c r="AI687" s="68"/>
      <c r="AJ687" s="68"/>
      <c r="AK687" s="68"/>
      <c r="AL687" s="68"/>
      <c r="AM687" s="68"/>
      <c r="AN687" s="68"/>
      <c r="AO687" s="68"/>
      <c r="AP687" s="68"/>
      <c r="AQ687" s="68"/>
      <c r="AR687" s="68"/>
      <c r="AS687" s="68"/>
      <c r="AT687" s="68"/>
      <c r="AU687" s="68"/>
      <c r="AV687" s="68"/>
      <c r="AW687" s="68"/>
      <c r="AX687" s="68"/>
      <c r="AY687" s="68"/>
      <c r="AZ687" s="68"/>
      <c r="BA687" s="68"/>
      <c r="BB687" s="68"/>
      <c r="BC687" s="68"/>
      <c r="BD687" s="68"/>
      <c r="BE687" s="68"/>
      <c r="BF687" s="68"/>
      <c r="BG687" s="68"/>
      <c r="BH687" s="68"/>
      <c r="BI687" s="68"/>
      <c r="BJ687" s="68"/>
      <c r="BK687" s="68"/>
      <c r="BL687" s="68"/>
      <c r="BM687" s="68"/>
      <c r="BN687" s="68"/>
    </row>
    <row r="688" spans="1:66" ht="17">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68"/>
      <c r="AG688" s="68"/>
      <c r="AH688" s="68"/>
      <c r="AI688" s="68"/>
      <c r="AJ688" s="68"/>
      <c r="AK688" s="68"/>
      <c r="AL688" s="68"/>
      <c r="AM688" s="68"/>
      <c r="AN688" s="68"/>
      <c r="AO688" s="68"/>
      <c r="AP688" s="68"/>
      <c r="AQ688" s="68"/>
      <c r="AR688" s="68"/>
      <c r="AS688" s="68"/>
      <c r="AT688" s="68"/>
      <c r="AU688" s="68"/>
      <c r="AV688" s="68"/>
      <c r="AW688" s="68"/>
      <c r="AX688" s="68"/>
      <c r="AY688" s="68"/>
      <c r="AZ688" s="68"/>
      <c r="BA688" s="68"/>
      <c r="BB688" s="68"/>
      <c r="BC688" s="68"/>
      <c r="BD688" s="68"/>
      <c r="BE688" s="68"/>
      <c r="BF688" s="68"/>
      <c r="BG688" s="68"/>
      <c r="BH688" s="68"/>
      <c r="BI688" s="68"/>
      <c r="BJ688" s="68"/>
      <c r="BK688" s="68"/>
      <c r="BL688" s="68"/>
      <c r="BM688" s="68"/>
      <c r="BN688" s="68"/>
    </row>
    <row r="689" spans="1:66" ht="17">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68"/>
      <c r="AG689" s="68"/>
      <c r="AH689" s="68"/>
      <c r="AI689" s="68"/>
      <c r="AJ689" s="68"/>
      <c r="AK689" s="68"/>
      <c r="AL689" s="68"/>
      <c r="AM689" s="68"/>
      <c r="AN689" s="68"/>
      <c r="AO689" s="68"/>
      <c r="AP689" s="68"/>
      <c r="AQ689" s="68"/>
      <c r="AR689" s="68"/>
      <c r="AS689" s="68"/>
      <c r="AT689" s="68"/>
      <c r="AU689" s="68"/>
      <c r="AV689" s="68"/>
      <c r="AW689" s="68"/>
      <c r="AX689" s="68"/>
      <c r="AY689" s="68"/>
      <c r="AZ689" s="68"/>
      <c r="BA689" s="68"/>
      <c r="BB689" s="68"/>
      <c r="BC689" s="68"/>
      <c r="BD689" s="68"/>
      <c r="BE689" s="68"/>
      <c r="BF689" s="68"/>
      <c r="BG689" s="68"/>
      <c r="BH689" s="68"/>
      <c r="BI689" s="68"/>
      <c r="BJ689" s="68"/>
      <c r="BK689" s="68"/>
      <c r="BL689" s="68"/>
      <c r="BM689" s="68"/>
      <c r="BN689" s="68"/>
    </row>
    <row r="690" spans="1:66" ht="17">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68"/>
      <c r="AG690" s="68"/>
      <c r="AH690" s="68"/>
      <c r="AI690" s="68"/>
      <c r="AJ690" s="68"/>
      <c r="AK690" s="68"/>
      <c r="AL690" s="68"/>
      <c r="AM690" s="68"/>
      <c r="AN690" s="68"/>
      <c r="AO690" s="68"/>
      <c r="AP690" s="68"/>
      <c r="AQ690" s="68"/>
      <c r="AR690" s="68"/>
      <c r="AS690" s="68"/>
      <c r="AT690" s="68"/>
      <c r="AU690" s="68"/>
      <c r="AV690" s="68"/>
      <c r="AW690" s="68"/>
      <c r="AX690" s="68"/>
      <c r="AY690" s="68"/>
      <c r="AZ690" s="68"/>
      <c r="BA690" s="68"/>
      <c r="BB690" s="68"/>
      <c r="BC690" s="68"/>
      <c r="BD690" s="68"/>
      <c r="BE690" s="68"/>
      <c r="BF690" s="68"/>
      <c r="BG690" s="68"/>
      <c r="BH690" s="68"/>
      <c r="BI690" s="68"/>
      <c r="BJ690" s="68"/>
      <c r="BK690" s="68"/>
      <c r="BL690" s="68"/>
      <c r="BM690" s="68"/>
      <c r="BN690" s="68"/>
    </row>
    <row r="691" spans="1:66" ht="17">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68"/>
      <c r="AG691" s="68"/>
      <c r="AH691" s="68"/>
      <c r="AI691" s="68"/>
      <c r="AJ691" s="68"/>
      <c r="AK691" s="68"/>
      <c r="AL691" s="68"/>
      <c r="AM691" s="68"/>
      <c r="AN691" s="68"/>
      <c r="AO691" s="68"/>
      <c r="AP691" s="68"/>
      <c r="AQ691" s="68"/>
      <c r="AR691" s="68"/>
      <c r="AS691" s="68"/>
      <c r="AT691" s="68"/>
      <c r="AU691" s="68"/>
      <c r="AV691" s="68"/>
      <c r="AW691" s="68"/>
      <c r="AX691" s="68"/>
      <c r="AY691" s="68"/>
      <c r="AZ691" s="68"/>
      <c r="BA691" s="68"/>
      <c r="BB691" s="68"/>
      <c r="BC691" s="68"/>
      <c r="BD691" s="68"/>
      <c r="BE691" s="68"/>
      <c r="BF691" s="68"/>
      <c r="BG691" s="68"/>
      <c r="BH691" s="68"/>
      <c r="BI691" s="68"/>
      <c r="BJ691" s="68"/>
      <c r="BK691" s="68"/>
      <c r="BL691" s="68"/>
      <c r="BM691" s="68"/>
      <c r="BN691" s="68"/>
    </row>
    <row r="692" spans="1:66" ht="17">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68"/>
      <c r="AG692" s="68"/>
      <c r="AH692" s="68"/>
      <c r="AI692" s="68"/>
      <c r="AJ692" s="68"/>
      <c r="AK692" s="68"/>
      <c r="AL692" s="68"/>
      <c r="AM692" s="68"/>
      <c r="AN692" s="68"/>
      <c r="AO692" s="68"/>
      <c r="AP692" s="68"/>
      <c r="AQ692" s="68"/>
      <c r="AR692" s="68"/>
      <c r="AS692" s="68"/>
      <c r="AT692" s="68"/>
      <c r="AU692" s="68"/>
      <c r="AV692" s="68"/>
      <c r="AW692" s="68"/>
      <c r="AX692" s="68"/>
      <c r="AY692" s="68"/>
      <c r="AZ692" s="68"/>
      <c r="BA692" s="68"/>
      <c r="BB692" s="68"/>
      <c r="BC692" s="68"/>
      <c r="BD692" s="68"/>
      <c r="BE692" s="68"/>
      <c r="BF692" s="68"/>
      <c r="BG692" s="68"/>
      <c r="BH692" s="68"/>
      <c r="BI692" s="68"/>
      <c r="BJ692" s="68"/>
      <c r="BK692" s="68"/>
      <c r="BL692" s="68"/>
      <c r="BM692" s="68"/>
      <c r="BN692" s="68"/>
    </row>
    <row r="693" spans="1:66" ht="17">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68"/>
      <c r="AG693" s="68"/>
      <c r="AH693" s="68"/>
      <c r="AI693" s="68"/>
      <c r="AJ693" s="68"/>
      <c r="AK693" s="68"/>
      <c r="AL693" s="68"/>
      <c r="AM693" s="68"/>
      <c r="AN693" s="68"/>
      <c r="AO693" s="68"/>
      <c r="AP693" s="68"/>
      <c r="AQ693" s="68"/>
      <c r="AR693" s="68"/>
      <c r="AS693" s="68"/>
      <c r="AT693" s="68"/>
      <c r="AU693" s="68"/>
      <c r="AV693" s="68"/>
      <c r="AW693" s="68"/>
      <c r="AX693" s="68"/>
      <c r="AY693" s="68"/>
      <c r="AZ693" s="68"/>
      <c r="BA693" s="68"/>
      <c r="BB693" s="68"/>
      <c r="BC693" s="68"/>
      <c r="BD693" s="68"/>
      <c r="BE693" s="68"/>
      <c r="BF693" s="68"/>
      <c r="BG693" s="68"/>
      <c r="BH693" s="68"/>
      <c r="BI693" s="68"/>
      <c r="BJ693" s="68"/>
      <c r="BK693" s="68"/>
      <c r="BL693" s="68"/>
      <c r="BM693" s="68"/>
      <c r="BN693" s="68"/>
    </row>
    <row r="694" spans="1:66" ht="17">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68"/>
      <c r="AG694" s="68"/>
      <c r="AH694" s="68"/>
      <c r="AI694" s="68"/>
      <c r="AJ694" s="68"/>
      <c r="AK694" s="68"/>
      <c r="AL694" s="68"/>
      <c r="AM694" s="68"/>
      <c r="AN694" s="68"/>
      <c r="AO694" s="68"/>
      <c r="AP694" s="68"/>
      <c r="AQ694" s="68"/>
      <c r="AR694" s="68"/>
      <c r="AS694" s="68"/>
      <c r="AT694" s="68"/>
      <c r="AU694" s="68"/>
      <c r="AV694" s="68"/>
      <c r="AW694" s="68"/>
      <c r="AX694" s="68"/>
      <c r="AY694" s="68"/>
      <c r="AZ694" s="68"/>
      <c r="BA694" s="68"/>
      <c r="BB694" s="68"/>
      <c r="BC694" s="68"/>
      <c r="BD694" s="68"/>
      <c r="BE694" s="68"/>
      <c r="BF694" s="68"/>
      <c r="BG694" s="68"/>
      <c r="BH694" s="68"/>
      <c r="BI694" s="68"/>
      <c r="BJ694" s="68"/>
      <c r="BK694" s="68"/>
      <c r="BL694" s="68"/>
      <c r="BM694" s="68"/>
      <c r="BN694" s="68"/>
    </row>
    <row r="695" spans="1:66" ht="17">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68"/>
      <c r="AG695" s="68"/>
      <c r="AH695" s="68"/>
      <c r="AI695" s="68"/>
      <c r="AJ695" s="68"/>
      <c r="AK695" s="68"/>
      <c r="AL695" s="68"/>
      <c r="AM695" s="68"/>
      <c r="AN695" s="68"/>
      <c r="AO695" s="68"/>
      <c r="AP695" s="68"/>
      <c r="AQ695" s="68"/>
      <c r="AR695" s="68"/>
      <c r="AS695" s="68"/>
      <c r="AT695" s="68"/>
      <c r="AU695" s="68"/>
      <c r="AV695" s="68"/>
      <c r="AW695" s="68"/>
      <c r="AX695" s="68"/>
      <c r="AY695" s="68"/>
      <c r="AZ695" s="68"/>
      <c r="BA695" s="68"/>
      <c r="BB695" s="68"/>
      <c r="BC695" s="68"/>
      <c r="BD695" s="68"/>
      <c r="BE695" s="68"/>
      <c r="BF695" s="68"/>
      <c r="BG695" s="68"/>
      <c r="BH695" s="68"/>
      <c r="BI695" s="68"/>
      <c r="BJ695" s="68"/>
      <c r="BK695" s="68"/>
      <c r="BL695" s="68"/>
      <c r="BM695" s="68"/>
      <c r="BN695" s="68"/>
    </row>
    <row r="696" spans="1:66" ht="17">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68"/>
      <c r="AG696" s="68"/>
      <c r="AH696" s="68"/>
      <c r="AI696" s="68"/>
      <c r="AJ696" s="68"/>
      <c r="AK696" s="68"/>
      <c r="AL696" s="68"/>
      <c r="AM696" s="68"/>
      <c r="AN696" s="68"/>
      <c r="AO696" s="68"/>
      <c r="AP696" s="68"/>
      <c r="AQ696" s="68"/>
      <c r="AR696" s="68"/>
      <c r="AS696" s="68"/>
      <c r="AT696" s="68"/>
      <c r="AU696" s="68"/>
      <c r="AV696" s="68"/>
      <c r="AW696" s="68"/>
      <c r="AX696" s="68"/>
      <c r="AY696" s="68"/>
      <c r="AZ696" s="68"/>
      <c r="BA696" s="68"/>
      <c r="BB696" s="68"/>
      <c r="BC696" s="68"/>
      <c r="BD696" s="68"/>
      <c r="BE696" s="68"/>
      <c r="BF696" s="68"/>
      <c r="BG696" s="68"/>
      <c r="BH696" s="68"/>
      <c r="BI696" s="68"/>
      <c r="BJ696" s="68"/>
      <c r="BK696" s="68"/>
      <c r="BL696" s="68"/>
      <c r="BM696" s="68"/>
      <c r="BN696" s="68"/>
    </row>
    <row r="697" spans="1:66" ht="1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68"/>
      <c r="AG697" s="68"/>
      <c r="AH697" s="68"/>
      <c r="AI697" s="68"/>
      <c r="AJ697" s="68"/>
      <c r="AK697" s="68"/>
      <c r="AL697" s="68"/>
      <c r="AM697" s="68"/>
      <c r="AN697" s="68"/>
      <c r="AO697" s="68"/>
      <c r="AP697" s="68"/>
      <c r="AQ697" s="68"/>
      <c r="AR697" s="68"/>
      <c r="AS697" s="68"/>
      <c r="AT697" s="68"/>
      <c r="AU697" s="68"/>
      <c r="AV697" s="68"/>
      <c r="AW697" s="68"/>
      <c r="AX697" s="68"/>
      <c r="AY697" s="68"/>
      <c r="AZ697" s="68"/>
      <c r="BA697" s="68"/>
      <c r="BB697" s="68"/>
      <c r="BC697" s="68"/>
      <c r="BD697" s="68"/>
      <c r="BE697" s="68"/>
      <c r="BF697" s="68"/>
      <c r="BG697" s="68"/>
      <c r="BH697" s="68"/>
      <c r="BI697" s="68"/>
      <c r="BJ697" s="68"/>
      <c r="BK697" s="68"/>
      <c r="BL697" s="68"/>
      <c r="BM697" s="68"/>
      <c r="BN697" s="68"/>
    </row>
    <row r="698" spans="1:66" ht="17">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68"/>
      <c r="AG698" s="68"/>
      <c r="AH698" s="68"/>
      <c r="AI698" s="68"/>
      <c r="AJ698" s="68"/>
      <c r="AK698" s="68"/>
      <c r="AL698" s="68"/>
      <c r="AM698" s="68"/>
      <c r="AN698" s="68"/>
      <c r="AO698" s="68"/>
      <c r="AP698" s="68"/>
      <c r="AQ698" s="68"/>
      <c r="AR698" s="68"/>
      <c r="AS698" s="68"/>
      <c r="AT698" s="68"/>
      <c r="AU698" s="68"/>
      <c r="AV698" s="68"/>
      <c r="AW698" s="68"/>
      <c r="AX698" s="68"/>
      <c r="AY698" s="68"/>
      <c r="AZ698" s="68"/>
      <c r="BA698" s="68"/>
      <c r="BB698" s="68"/>
      <c r="BC698" s="68"/>
      <c r="BD698" s="68"/>
      <c r="BE698" s="68"/>
      <c r="BF698" s="68"/>
      <c r="BG698" s="68"/>
      <c r="BH698" s="68"/>
      <c r="BI698" s="68"/>
      <c r="BJ698" s="68"/>
      <c r="BK698" s="68"/>
      <c r="BL698" s="68"/>
      <c r="BM698" s="68"/>
      <c r="BN698" s="68"/>
    </row>
    <row r="699" spans="1:66" ht="17">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68"/>
      <c r="AG699" s="68"/>
      <c r="AH699" s="68"/>
      <c r="AI699" s="68"/>
      <c r="AJ699" s="68"/>
      <c r="AK699" s="68"/>
      <c r="AL699" s="68"/>
      <c r="AM699" s="68"/>
      <c r="AN699" s="68"/>
      <c r="AO699" s="68"/>
      <c r="AP699" s="68"/>
      <c r="AQ699" s="68"/>
      <c r="AR699" s="68"/>
      <c r="AS699" s="68"/>
      <c r="AT699" s="68"/>
      <c r="AU699" s="68"/>
      <c r="AV699" s="68"/>
      <c r="AW699" s="68"/>
      <c r="AX699" s="68"/>
      <c r="AY699" s="68"/>
      <c r="AZ699" s="68"/>
      <c r="BA699" s="68"/>
      <c r="BB699" s="68"/>
      <c r="BC699" s="68"/>
      <c r="BD699" s="68"/>
      <c r="BE699" s="68"/>
      <c r="BF699" s="68"/>
      <c r="BG699" s="68"/>
      <c r="BH699" s="68"/>
      <c r="BI699" s="68"/>
      <c r="BJ699" s="68"/>
      <c r="BK699" s="68"/>
      <c r="BL699" s="68"/>
      <c r="BM699" s="68"/>
      <c r="BN699" s="68"/>
    </row>
    <row r="700" spans="1:66" ht="17">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68"/>
      <c r="AG700" s="68"/>
      <c r="AH700" s="68"/>
      <c r="AI700" s="68"/>
      <c r="AJ700" s="68"/>
      <c r="AK700" s="68"/>
      <c r="AL700" s="68"/>
      <c r="AM700" s="68"/>
      <c r="AN700" s="68"/>
      <c r="AO700" s="68"/>
      <c r="AP700" s="68"/>
      <c r="AQ700" s="68"/>
      <c r="AR700" s="68"/>
      <c r="AS700" s="68"/>
      <c r="AT700" s="68"/>
      <c r="AU700" s="68"/>
      <c r="AV700" s="68"/>
      <c r="AW700" s="68"/>
      <c r="AX700" s="68"/>
      <c r="AY700" s="68"/>
      <c r="AZ700" s="68"/>
      <c r="BA700" s="68"/>
      <c r="BB700" s="68"/>
      <c r="BC700" s="68"/>
      <c r="BD700" s="68"/>
      <c r="BE700" s="68"/>
      <c r="BF700" s="68"/>
      <c r="BG700" s="68"/>
      <c r="BH700" s="68"/>
      <c r="BI700" s="68"/>
      <c r="BJ700" s="68"/>
      <c r="BK700" s="68"/>
      <c r="BL700" s="68"/>
      <c r="BM700" s="68"/>
      <c r="BN700" s="68"/>
    </row>
    <row r="701" spans="1:66" ht="17">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68"/>
      <c r="AG701" s="68"/>
      <c r="AH701" s="68"/>
      <c r="AI701" s="68"/>
      <c r="AJ701" s="68"/>
      <c r="AK701" s="68"/>
      <c r="AL701" s="68"/>
      <c r="AM701" s="68"/>
      <c r="AN701" s="68"/>
      <c r="AO701" s="68"/>
      <c r="AP701" s="68"/>
      <c r="AQ701" s="68"/>
      <c r="AR701" s="68"/>
      <c r="AS701" s="68"/>
      <c r="AT701" s="68"/>
      <c r="AU701" s="68"/>
      <c r="AV701" s="68"/>
      <c r="AW701" s="68"/>
      <c r="AX701" s="68"/>
      <c r="AY701" s="68"/>
      <c r="AZ701" s="68"/>
      <c r="BA701" s="68"/>
      <c r="BB701" s="68"/>
      <c r="BC701" s="68"/>
      <c r="BD701" s="68"/>
      <c r="BE701" s="68"/>
      <c r="BF701" s="68"/>
      <c r="BG701" s="68"/>
      <c r="BH701" s="68"/>
      <c r="BI701" s="68"/>
      <c r="BJ701" s="68"/>
      <c r="BK701" s="68"/>
      <c r="BL701" s="68"/>
      <c r="BM701" s="68"/>
      <c r="BN701" s="68"/>
    </row>
    <row r="702" spans="1:66" ht="17">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68"/>
      <c r="AG702" s="68"/>
      <c r="AH702" s="68"/>
      <c r="AI702" s="68"/>
      <c r="AJ702" s="68"/>
      <c r="AK702" s="68"/>
      <c r="AL702" s="68"/>
      <c r="AM702" s="68"/>
      <c r="AN702" s="68"/>
      <c r="AO702" s="68"/>
      <c r="AP702" s="68"/>
      <c r="AQ702" s="68"/>
      <c r="AR702" s="68"/>
      <c r="AS702" s="68"/>
      <c r="AT702" s="68"/>
      <c r="AU702" s="68"/>
      <c r="AV702" s="68"/>
      <c r="AW702" s="68"/>
      <c r="AX702" s="68"/>
      <c r="AY702" s="68"/>
      <c r="AZ702" s="68"/>
      <c r="BA702" s="68"/>
      <c r="BB702" s="68"/>
      <c r="BC702" s="68"/>
      <c r="BD702" s="68"/>
      <c r="BE702" s="68"/>
      <c r="BF702" s="68"/>
      <c r="BG702" s="68"/>
      <c r="BH702" s="68"/>
      <c r="BI702" s="68"/>
      <c r="BJ702" s="68"/>
      <c r="BK702" s="68"/>
      <c r="BL702" s="68"/>
      <c r="BM702" s="68"/>
      <c r="BN702" s="68"/>
    </row>
    <row r="703" spans="1:66" ht="17">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68"/>
      <c r="AG703" s="68"/>
      <c r="AH703" s="68"/>
      <c r="AI703" s="68"/>
      <c r="AJ703" s="68"/>
      <c r="AK703" s="68"/>
      <c r="AL703" s="68"/>
      <c r="AM703" s="68"/>
      <c r="AN703" s="68"/>
      <c r="AO703" s="68"/>
      <c r="AP703" s="68"/>
      <c r="AQ703" s="68"/>
      <c r="AR703" s="68"/>
      <c r="AS703" s="68"/>
      <c r="AT703" s="68"/>
      <c r="AU703" s="68"/>
      <c r="AV703" s="68"/>
      <c r="AW703" s="68"/>
      <c r="AX703" s="68"/>
      <c r="AY703" s="68"/>
      <c r="AZ703" s="68"/>
      <c r="BA703" s="68"/>
      <c r="BB703" s="68"/>
      <c r="BC703" s="68"/>
      <c r="BD703" s="68"/>
      <c r="BE703" s="68"/>
      <c r="BF703" s="68"/>
      <c r="BG703" s="68"/>
      <c r="BH703" s="68"/>
      <c r="BI703" s="68"/>
      <c r="BJ703" s="68"/>
      <c r="BK703" s="68"/>
      <c r="BL703" s="68"/>
      <c r="BM703" s="68"/>
      <c r="BN703" s="68"/>
    </row>
    <row r="704" spans="1:66" ht="17">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68"/>
      <c r="AG704" s="68"/>
      <c r="AH704" s="68"/>
      <c r="AI704" s="68"/>
      <c r="AJ704" s="68"/>
      <c r="AK704" s="68"/>
      <c r="AL704" s="68"/>
      <c r="AM704" s="68"/>
      <c r="AN704" s="68"/>
      <c r="AO704" s="68"/>
      <c r="AP704" s="68"/>
      <c r="AQ704" s="68"/>
      <c r="AR704" s="68"/>
      <c r="AS704" s="68"/>
      <c r="AT704" s="68"/>
      <c r="AU704" s="68"/>
      <c r="AV704" s="68"/>
      <c r="AW704" s="68"/>
      <c r="AX704" s="68"/>
      <c r="AY704" s="68"/>
      <c r="AZ704" s="68"/>
      <c r="BA704" s="68"/>
      <c r="BB704" s="68"/>
      <c r="BC704" s="68"/>
      <c r="BD704" s="68"/>
      <c r="BE704" s="68"/>
      <c r="BF704" s="68"/>
      <c r="BG704" s="68"/>
      <c r="BH704" s="68"/>
      <c r="BI704" s="68"/>
      <c r="BJ704" s="68"/>
      <c r="BK704" s="68"/>
      <c r="BL704" s="68"/>
      <c r="BM704" s="68"/>
      <c r="BN704" s="68"/>
    </row>
    <row r="705" spans="1:66" ht="17">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68"/>
      <c r="AG705" s="68"/>
      <c r="AH705" s="68"/>
      <c r="AI705" s="68"/>
      <c r="AJ705" s="68"/>
      <c r="AK705" s="68"/>
      <c r="AL705" s="68"/>
      <c r="AM705" s="68"/>
      <c r="AN705" s="68"/>
      <c r="AO705" s="68"/>
      <c r="AP705" s="68"/>
      <c r="AQ705" s="68"/>
      <c r="AR705" s="68"/>
      <c r="AS705" s="68"/>
      <c r="AT705" s="68"/>
      <c r="AU705" s="68"/>
      <c r="AV705" s="68"/>
      <c r="AW705" s="68"/>
      <c r="AX705" s="68"/>
      <c r="AY705" s="68"/>
      <c r="AZ705" s="68"/>
      <c r="BA705" s="68"/>
      <c r="BB705" s="68"/>
      <c r="BC705" s="68"/>
      <c r="BD705" s="68"/>
      <c r="BE705" s="68"/>
      <c r="BF705" s="68"/>
      <c r="BG705" s="68"/>
      <c r="BH705" s="68"/>
      <c r="BI705" s="68"/>
      <c r="BJ705" s="68"/>
      <c r="BK705" s="68"/>
      <c r="BL705" s="68"/>
      <c r="BM705" s="68"/>
      <c r="BN705" s="68"/>
    </row>
    <row r="706" spans="1:66" ht="17">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68"/>
      <c r="AG706" s="68"/>
      <c r="AH706" s="68"/>
      <c r="AI706" s="68"/>
      <c r="AJ706" s="68"/>
      <c r="AK706" s="68"/>
      <c r="AL706" s="68"/>
      <c r="AM706" s="68"/>
      <c r="AN706" s="68"/>
      <c r="AO706" s="68"/>
      <c r="AP706" s="68"/>
      <c r="AQ706" s="68"/>
      <c r="AR706" s="68"/>
      <c r="AS706" s="68"/>
      <c r="AT706" s="68"/>
      <c r="AU706" s="68"/>
      <c r="AV706" s="68"/>
      <c r="AW706" s="68"/>
      <c r="AX706" s="68"/>
      <c r="AY706" s="68"/>
      <c r="AZ706" s="68"/>
      <c r="BA706" s="68"/>
      <c r="BB706" s="68"/>
      <c r="BC706" s="68"/>
      <c r="BD706" s="68"/>
      <c r="BE706" s="68"/>
      <c r="BF706" s="68"/>
      <c r="BG706" s="68"/>
      <c r="BH706" s="68"/>
      <c r="BI706" s="68"/>
      <c r="BJ706" s="68"/>
      <c r="BK706" s="68"/>
      <c r="BL706" s="68"/>
      <c r="BM706" s="68"/>
      <c r="BN706" s="68"/>
    </row>
    <row r="707" spans="1:66" ht="1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68"/>
      <c r="AG707" s="68"/>
      <c r="AH707" s="68"/>
      <c r="AI707" s="68"/>
      <c r="AJ707" s="68"/>
      <c r="AK707" s="68"/>
      <c r="AL707" s="68"/>
      <c r="AM707" s="68"/>
      <c r="AN707" s="68"/>
      <c r="AO707" s="68"/>
      <c r="AP707" s="68"/>
      <c r="AQ707" s="68"/>
      <c r="AR707" s="68"/>
      <c r="AS707" s="68"/>
      <c r="AT707" s="68"/>
      <c r="AU707" s="68"/>
      <c r="AV707" s="68"/>
      <c r="AW707" s="68"/>
      <c r="AX707" s="68"/>
      <c r="AY707" s="68"/>
      <c r="AZ707" s="68"/>
      <c r="BA707" s="68"/>
      <c r="BB707" s="68"/>
      <c r="BC707" s="68"/>
      <c r="BD707" s="68"/>
      <c r="BE707" s="68"/>
      <c r="BF707" s="68"/>
      <c r="BG707" s="68"/>
      <c r="BH707" s="68"/>
      <c r="BI707" s="68"/>
      <c r="BJ707" s="68"/>
      <c r="BK707" s="68"/>
      <c r="BL707" s="68"/>
      <c r="BM707" s="68"/>
      <c r="BN707" s="68"/>
    </row>
    <row r="708" spans="1:66" ht="17">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68"/>
      <c r="AG708" s="68"/>
      <c r="AH708" s="68"/>
      <c r="AI708" s="68"/>
      <c r="AJ708" s="68"/>
      <c r="AK708" s="68"/>
      <c r="AL708" s="68"/>
      <c r="AM708" s="68"/>
      <c r="AN708" s="68"/>
      <c r="AO708" s="68"/>
      <c r="AP708" s="68"/>
      <c r="AQ708" s="68"/>
      <c r="AR708" s="68"/>
      <c r="AS708" s="68"/>
      <c r="AT708" s="68"/>
      <c r="AU708" s="68"/>
      <c r="AV708" s="68"/>
      <c r="AW708" s="68"/>
      <c r="AX708" s="68"/>
      <c r="AY708" s="68"/>
      <c r="AZ708" s="68"/>
      <c r="BA708" s="68"/>
      <c r="BB708" s="68"/>
      <c r="BC708" s="68"/>
      <c r="BD708" s="68"/>
      <c r="BE708" s="68"/>
      <c r="BF708" s="68"/>
      <c r="BG708" s="68"/>
      <c r="BH708" s="68"/>
      <c r="BI708" s="68"/>
      <c r="BJ708" s="68"/>
      <c r="BK708" s="68"/>
      <c r="BL708" s="68"/>
      <c r="BM708" s="68"/>
      <c r="BN708" s="68"/>
    </row>
    <row r="709" spans="1:66" ht="17">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c r="AG709" s="68"/>
      <c r="AH709" s="68"/>
      <c r="AI709" s="68"/>
      <c r="AJ709" s="68"/>
      <c r="AK709" s="68"/>
      <c r="AL709" s="68"/>
      <c r="AM709" s="68"/>
      <c r="AN709" s="68"/>
      <c r="AO709" s="68"/>
      <c r="AP709" s="68"/>
      <c r="AQ709" s="68"/>
      <c r="AR709" s="68"/>
      <c r="AS709" s="68"/>
      <c r="AT709" s="68"/>
      <c r="AU709" s="68"/>
      <c r="AV709" s="68"/>
      <c r="AW709" s="68"/>
      <c r="AX709" s="68"/>
      <c r="AY709" s="68"/>
      <c r="AZ709" s="68"/>
      <c r="BA709" s="68"/>
      <c r="BB709" s="68"/>
      <c r="BC709" s="68"/>
      <c r="BD709" s="68"/>
      <c r="BE709" s="68"/>
      <c r="BF709" s="68"/>
      <c r="BG709" s="68"/>
      <c r="BH709" s="68"/>
      <c r="BI709" s="68"/>
      <c r="BJ709" s="68"/>
      <c r="BK709" s="68"/>
      <c r="BL709" s="68"/>
      <c r="BM709" s="68"/>
      <c r="BN709" s="68"/>
    </row>
    <row r="710" spans="1:66" ht="17">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68"/>
      <c r="AG710" s="68"/>
      <c r="AH710" s="68"/>
      <c r="AI710" s="68"/>
      <c r="AJ710" s="68"/>
      <c r="AK710" s="68"/>
      <c r="AL710" s="68"/>
      <c r="AM710" s="68"/>
      <c r="AN710" s="68"/>
      <c r="AO710" s="68"/>
      <c r="AP710" s="68"/>
      <c r="AQ710" s="68"/>
      <c r="AR710" s="68"/>
      <c r="AS710" s="68"/>
      <c r="AT710" s="68"/>
      <c r="AU710" s="68"/>
      <c r="AV710" s="68"/>
      <c r="AW710" s="68"/>
      <c r="AX710" s="68"/>
      <c r="AY710" s="68"/>
      <c r="AZ710" s="68"/>
      <c r="BA710" s="68"/>
      <c r="BB710" s="68"/>
      <c r="BC710" s="68"/>
      <c r="BD710" s="68"/>
      <c r="BE710" s="68"/>
      <c r="BF710" s="68"/>
      <c r="BG710" s="68"/>
      <c r="BH710" s="68"/>
      <c r="BI710" s="68"/>
      <c r="BJ710" s="68"/>
      <c r="BK710" s="68"/>
      <c r="BL710" s="68"/>
      <c r="BM710" s="68"/>
      <c r="BN710" s="68"/>
    </row>
    <row r="711" spans="1:66" ht="17">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68"/>
      <c r="AG711" s="68"/>
      <c r="AH711" s="68"/>
      <c r="AI711" s="68"/>
      <c r="AJ711" s="68"/>
      <c r="AK711" s="68"/>
      <c r="AL711" s="68"/>
      <c r="AM711" s="68"/>
      <c r="AN711" s="68"/>
      <c r="AO711" s="68"/>
      <c r="AP711" s="68"/>
      <c r="AQ711" s="68"/>
      <c r="AR711" s="68"/>
      <c r="AS711" s="68"/>
      <c r="AT711" s="68"/>
      <c r="AU711" s="68"/>
      <c r="AV711" s="68"/>
      <c r="AW711" s="68"/>
      <c r="AX711" s="68"/>
      <c r="AY711" s="68"/>
      <c r="AZ711" s="68"/>
      <c r="BA711" s="68"/>
      <c r="BB711" s="68"/>
      <c r="BC711" s="68"/>
      <c r="BD711" s="68"/>
      <c r="BE711" s="68"/>
      <c r="BF711" s="68"/>
      <c r="BG711" s="68"/>
      <c r="BH711" s="68"/>
      <c r="BI711" s="68"/>
      <c r="BJ711" s="68"/>
      <c r="BK711" s="68"/>
      <c r="BL711" s="68"/>
      <c r="BM711" s="68"/>
      <c r="BN711" s="68"/>
    </row>
    <row r="712" spans="1:66" ht="17">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68"/>
      <c r="AG712" s="68"/>
      <c r="AH712" s="68"/>
      <c r="AI712" s="68"/>
      <c r="AJ712" s="68"/>
      <c r="AK712" s="68"/>
      <c r="AL712" s="68"/>
      <c r="AM712" s="68"/>
      <c r="AN712" s="68"/>
      <c r="AO712" s="68"/>
      <c r="AP712" s="68"/>
      <c r="AQ712" s="68"/>
      <c r="AR712" s="68"/>
      <c r="AS712" s="68"/>
      <c r="AT712" s="68"/>
      <c r="AU712" s="68"/>
      <c r="AV712" s="68"/>
      <c r="AW712" s="68"/>
      <c r="AX712" s="68"/>
      <c r="AY712" s="68"/>
      <c r="AZ712" s="68"/>
      <c r="BA712" s="68"/>
      <c r="BB712" s="68"/>
      <c r="BC712" s="68"/>
      <c r="BD712" s="68"/>
      <c r="BE712" s="68"/>
      <c r="BF712" s="68"/>
      <c r="BG712" s="68"/>
      <c r="BH712" s="68"/>
      <c r="BI712" s="68"/>
      <c r="BJ712" s="68"/>
      <c r="BK712" s="68"/>
      <c r="BL712" s="68"/>
      <c r="BM712" s="68"/>
      <c r="BN712" s="68"/>
    </row>
    <row r="713" spans="1:66" ht="17">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68"/>
      <c r="AG713" s="68"/>
      <c r="AH713" s="68"/>
      <c r="AI713" s="68"/>
      <c r="AJ713" s="68"/>
      <c r="AK713" s="68"/>
      <c r="AL713" s="68"/>
      <c r="AM713" s="68"/>
      <c r="AN713" s="68"/>
      <c r="AO713" s="68"/>
      <c r="AP713" s="68"/>
      <c r="AQ713" s="68"/>
      <c r="AR713" s="68"/>
      <c r="AS713" s="68"/>
      <c r="AT713" s="68"/>
      <c r="AU713" s="68"/>
      <c r="AV713" s="68"/>
      <c r="AW713" s="68"/>
      <c r="AX713" s="68"/>
      <c r="AY713" s="68"/>
      <c r="AZ713" s="68"/>
      <c r="BA713" s="68"/>
      <c r="BB713" s="68"/>
      <c r="BC713" s="68"/>
      <c r="BD713" s="68"/>
      <c r="BE713" s="68"/>
      <c r="BF713" s="68"/>
      <c r="BG713" s="68"/>
      <c r="BH713" s="68"/>
      <c r="BI713" s="68"/>
      <c r="BJ713" s="68"/>
      <c r="BK713" s="68"/>
      <c r="BL713" s="68"/>
      <c r="BM713" s="68"/>
      <c r="BN713" s="68"/>
    </row>
    <row r="714" spans="1:66" ht="17">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68"/>
      <c r="AG714" s="68"/>
      <c r="AH714" s="68"/>
      <c r="AI714" s="68"/>
      <c r="AJ714" s="68"/>
      <c r="AK714" s="68"/>
      <c r="AL714" s="68"/>
      <c r="AM714" s="68"/>
      <c r="AN714" s="68"/>
      <c r="AO714" s="68"/>
      <c r="AP714" s="68"/>
      <c r="AQ714" s="68"/>
      <c r="AR714" s="68"/>
      <c r="AS714" s="68"/>
      <c r="AT714" s="68"/>
      <c r="AU714" s="68"/>
      <c r="AV714" s="68"/>
      <c r="AW714" s="68"/>
      <c r="AX714" s="68"/>
      <c r="AY714" s="68"/>
      <c r="AZ714" s="68"/>
      <c r="BA714" s="68"/>
      <c r="BB714" s="68"/>
      <c r="BC714" s="68"/>
      <c r="BD714" s="68"/>
      <c r="BE714" s="68"/>
      <c r="BF714" s="68"/>
      <c r="BG714" s="68"/>
      <c r="BH714" s="68"/>
      <c r="BI714" s="68"/>
      <c r="BJ714" s="68"/>
      <c r="BK714" s="68"/>
      <c r="BL714" s="68"/>
      <c r="BM714" s="68"/>
      <c r="BN714" s="68"/>
    </row>
    <row r="715" spans="1:66" ht="17">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68"/>
      <c r="AG715" s="68"/>
      <c r="AH715" s="68"/>
      <c r="AI715" s="68"/>
      <c r="AJ715" s="68"/>
      <c r="AK715" s="68"/>
      <c r="AL715" s="68"/>
      <c r="AM715" s="68"/>
      <c r="AN715" s="68"/>
      <c r="AO715" s="68"/>
      <c r="AP715" s="68"/>
      <c r="AQ715" s="68"/>
      <c r="AR715" s="68"/>
      <c r="AS715" s="68"/>
      <c r="AT715" s="68"/>
      <c r="AU715" s="68"/>
      <c r="AV715" s="68"/>
      <c r="AW715" s="68"/>
      <c r="AX715" s="68"/>
      <c r="AY715" s="68"/>
      <c r="AZ715" s="68"/>
      <c r="BA715" s="68"/>
      <c r="BB715" s="68"/>
      <c r="BC715" s="68"/>
      <c r="BD715" s="68"/>
      <c r="BE715" s="68"/>
      <c r="BF715" s="68"/>
      <c r="BG715" s="68"/>
      <c r="BH715" s="68"/>
      <c r="BI715" s="68"/>
      <c r="BJ715" s="68"/>
      <c r="BK715" s="68"/>
      <c r="BL715" s="68"/>
      <c r="BM715" s="68"/>
      <c r="BN715" s="68"/>
    </row>
    <row r="716" spans="1:66" ht="17">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68"/>
      <c r="AG716" s="68"/>
      <c r="AH716" s="68"/>
      <c r="AI716" s="68"/>
      <c r="AJ716" s="68"/>
      <c r="AK716" s="68"/>
      <c r="AL716" s="68"/>
      <c r="AM716" s="68"/>
      <c r="AN716" s="68"/>
      <c r="AO716" s="68"/>
      <c r="AP716" s="68"/>
      <c r="AQ716" s="68"/>
      <c r="AR716" s="68"/>
      <c r="AS716" s="68"/>
      <c r="AT716" s="68"/>
      <c r="AU716" s="68"/>
      <c r="AV716" s="68"/>
      <c r="AW716" s="68"/>
      <c r="AX716" s="68"/>
      <c r="AY716" s="68"/>
      <c r="AZ716" s="68"/>
      <c r="BA716" s="68"/>
      <c r="BB716" s="68"/>
      <c r="BC716" s="68"/>
      <c r="BD716" s="68"/>
      <c r="BE716" s="68"/>
      <c r="BF716" s="68"/>
      <c r="BG716" s="68"/>
      <c r="BH716" s="68"/>
      <c r="BI716" s="68"/>
      <c r="BJ716" s="68"/>
      <c r="BK716" s="68"/>
      <c r="BL716" s="68"/>
      <c r="BM716" s="68"/>
      <c r="BN716" s="68"/>
    </row>
    <row r="717" spans="1:66" ht="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68"/>
      <c r="AG717" s="68"/>
      <c r="AH717" s="68"/>
      <c r="AI717" s="68"/>
      <c r="AJ717" s="68"/>
      <c r="AK717" s="68"/>
      <c r="AL717" s="68"/>
      <c r="AM717" s="68"/>
      <c r="AN717" s="68"/>
      <c r="AO717" s="68"/>
      <c r="AP717" s="68"/>
      <c r="AQ717" s="68"/>
      <c r="AR717" s="68"/>
      <c r="AS717" s="68"/>
      <c r="AT717" s="68"/>
      <c r="AU717" s="68"/>
      <c r="AV717" s="68"/>
      <c r="AW717" s="68"/>
      <c r="AX717" s="68"/>
      <c r="AY717" s="68"/>
      <c r="AZ717" s="68"/>
      <c r="BA717" s="68"/>
      <c r="BB717" s="68"/>
      <c r="BC717" s="68"/>
      <c r="BD717" s="68"/>
      <c r="BE717" s="68"/>
      <c r="BF717" s="68"/>
      <c r="BG717" s="68"/>
      <c r="BH717" s="68"/>
      <c r="BI717" s="68"/>
      <c r="BJ717" s="68"/>
      <c r="BK717" s="68"/>
      <c r="BL717" s="68"/>
      <c r="BM717" s="68"/>
      <c r="BN717" s="68"/>
    </row>
    <row r="718" spans="1:66" ht="17">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68"/>
      <c r="AG718" s="68"/>
      <c r="AH718" s="68"/>
      <c r="AI718" s="68"/>
      <c r="AJ718" s="68"/>
      <c r="AK718" s="68"/>
      <c r="AL718" s="68"/>
      <c r="AM718" s="68"/>
      <c r="AN718" s="68"/>
      <c r="AO718" s="68"/>
      <c r="AP718" s="68"/>
      <c r="AQ718" s="68"/>
      <c r="AR718" s="68"/>
      <c r="AS718" s="68"/>
      <c r="AT718" s="68"/>
      <c r="AU718" s="68"/>
      <c r="AV718" s="68"/>
      <c r="AW718" s="68"/>
      <c r="AX718" s="68"/>
      <c r="AY718" s="68"/>
      <c r="AZ718" s="68"/>
      <c r="BA718" s="68"/>
      <c r="BB718" s="68"/>
      <c r="BC718" s="68"/>
      <c r="BD718" s="68"/>
      <c r="BE718" s="68"/>
      <c r="BF718" s="68"/>
      <c r="BG718" s="68"/>
      <c r="BH718" s="68"/>
      <c r="BI718" s="68"/>
      <c r="BJ718" s="68"/>
      <c r="BK718" s="68"/>
      <c r="BL718" s="68"/>
      <c r="BM718" s="68"/>
      <c r="BN718" s="68"/>
    </row>
    <row r="719" spans="1:66" ht="17">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68"/>
      <c r="AG719" s="68"/>
      <c r="AH719" s="68"/>
      <c r="AI719" s="68"/>
      <c r="AJ719" s="68"/>
      <c r="AK719" s="68"/>
      <c r="AL719" s="68"/>
      <c r="AM719" s="68"/>
      <c r="AN719" s="68"/>
      <c r="AO719" s="68"/>
      <c r="AP719" s="68"/>
      <c r="AQ719" s="68"/>
      <c r="AR719" s="68"/>
      <c r="AS719" s="68"/>
      <c r="AT719" s="68"/>
      <c r="AU719" s="68"/>
      <c r="AV719" s="68"/>
      <c r="AW719" s="68"/>
      <c r="AX719" s="68"/>
      <c r="AY719" s="68"/>
      <c r="AZ719" s="68"/>
      <c r="BA719" s="68"/>
      <c r="BB719" s="68"/>
      <c r="BC719" s="68"/>
      <c r="BD719" s="68"/>
      <c r="BE719" s="68"/>
      <c r="BF719" s="68"/>
      <c r="BG719" s="68"/>
      <c r="BH719" s="68"/>
      <c r="BI719" s="68"/>
      <c r="BJ719" s="68"/>
      <c r="BK719" s="68"/>
      <c r="BL719" s="68"/>
      <c r="BM719" s="68"/>
      <c r="BN719" s="68"/>
    </row>
    <row r="720" spans="1:66" ht="17">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68"/>
      <c r="AG720" s="68"/>
      <c r="AH720" s="68"/>
      <c r="AI720" s="68"/>
      <c r="AJ720" s="68"/>
      <c r="AK720" s="68"/>
      <c r="AL720" s="68"/>
      <c r="AM720" s="68"/>
      <c r="AN720" s="68"/>
      <c r="AO720" s="68"/>
      <c r="AP720" s="68"/>
      <c r="AQ720" s="68"/>
      <c r="AR720" s="68"/>
      <c r="AS720" s="68"/>
      <c r="AT720" s="68"/>
      <c r="AU720" s="68"/>
      <c r="AV720" s="68"/>
      <c r="AW720" s="68"/>
      <c r="AX720" s="68"/>
      <c r="AY720" s="68"/>
      <c r="AZ720" s="68"/>
      <c r="BA720" s="68"/>
      <c r="BB720" s="68"/>
      <c r="BC720" s="68"/>
      <c r="BD720" s="68"/>
      <c r="BE720" s="68"/>
      <c r="BF720" s="68"/>
      <c r="BG720" s="68"/>
      <c r="BH720" s="68"/>
      <c r="BI720" s="68"/>
      <c r="BJ720" s="68"/>
      <c r="BK720" s="68"/>
      <c r="BL720" s="68"/>
      <c r="BM720" s="68"/>
      <c r="BN720" s="68"/>
    </row>
    <row r="721" spans="1:66" ht="17">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68"/>
      <c r="AG721" s="68"/>
      <c r="AH721" s="68"/>
      <c r="AI721" s="68"/>
      <c r="AJ721" s="68"/>
      <c r="AK721" s="68"/>
      <c r="AL721" s="68"/>
      <c r="AM721" s="68"/>
      <c r="AN721" s="68"/>
      <c r="AO721" s="68"/>
      <c r="AP721" s="68"/>
      <c r="AQ721" s="68"/>
      <c r="AR721" s="68"/>
      <c r="AS721" s="68"/>
      <c r="AT721" s="68"/>
      <c r="AU721" s="68"/>
      <c r="AV721" s="68"/>
      <c r="AW721" s="68"/>
      <c r="AX721" s="68"/>
      <c r="AY721" s="68"/>
      <c r="AZ721" s="68"/>
      <c r="BA721" s="68"/>
      <c r="BB721" s="68"/>
      <c r="BC721" s="68"/>
      <c r="BD721" s="68"/>
      <c r="BE721" s="68"/>
      <c r="BF721" s="68"/>
      <c r="BG721" s="68"/>
      <c r="BH721" s="68"/>
      <c r="BI721" s="68"/>
      <c r="BJ721" s="68"/>
      <c r="BK721" s="68"/>
      <c r="BL721" s="68"/>
      <c r="BM721" s="68"/>
      <c r="BN721" s="68"/>
    </row>
    <row r="722" spans="1:66" ht="17">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8"/>
      <c r="AG722" s="68"/>
      <c r="AH722" s="68"/>
      <c r="AI722" s="68"/>
      <c r="AJ722" s="68"/>
      <c r="AK722" s="68"/>
      <c r="AL722" s="68"/>
      <c r="AM722" s="68"/>
      <c r="AN722" s="68"/>
      <c r="AO722" s="68"/>
      <c r="AP722" s="68"/>
      <c r="AQ722" s="68"/>
      <c r="AR722" s="68"/>
      <c r="AS722" s="68"/>
      <c r="AT722" s="68"/>
      <c r="AU722" s="68"/>
      <c r="AV722" s="68"/>
      <c r="AW722" s="68"/>
      <c r="AX722" s="68"/>
      <c r="AY722" s="68"/>
      <c r="AZ722" s="68"/>
      <c r="BA722" s="68"/>
      <c r="BB722" s="68"/>
      <c r="BC722" s="68"/>
      <c r="BD722" s="68"/>
      <c r="BE722" s="68"/>
      <c r="BF722" s="68"/>
      <c r="BG722" s="68"/>
      <c r="BH722" s="68"/>
      <c r="BI722" s="68"/>
      <c r="BJ722" s="68"/>
      <c r="BK722" s="68"/>
      <c r="BL722" s="68"/>
      <c r="BM722" s="68"/>
      <c r="BN722" s="68"/>
    </row>
    <row r="723" spans="1:66" ht="17">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8"/>
      <c r="AG723" s="68"/>
      <c r="AH723" s="68"/>
      <c r="AI723" s="68"/>
      <c r="AJ723" s="68"/>
      <c r="AK723" s="68"/>
      <c r="AL723" s="68"/>
      <c r="AM723" s="68"/>
      <c r="AN723" s="68"/>
      <c r="AO723" s="68"/>
      <c r="AP723" s="68"/>
      <c r="AQ723" s="68"/>
      <c r="AR723" s="68"/>
      <c r="AS723" s="68"/>
      <c r="AT723" s="68"/>
      <c r="AU723" s="68"/>
      <c r="AV723" s="68"/>
      <c r="AW723" s="68"/>
      <c r="AX723" s="68"/>
      <c r="AY723" s="68"/>
      <c r="AZ723" s="68"/>
      <c r="BA723" s="68"/>
      <c r="BB723" s="68"/>
      <c r="BC723" s="68"/>
      <c r="BD723" s="68"/>
      <c r="BE723" s="68"/>
      <c r="BF723" s="68"/>
      <c r="BG723" s="68"/>
      <c r="BH723" s="68"/>
      <c r="BI723" s="68"/>
      <c r="BJ723" s="68"/>
      <c r="BK723" s="68"/>
      <c r="BL723" s="68"/>
      <c r="BM723" s="68"/>
      <c r="BN723" s="68"/>
    </row>
    <row r="724" spans="1:66" ht="17">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8"/>
      <c r="AG724" s="68"/>
      <c r="AH724" s="68"/>
      <c r="AI724" s="68"/>
      <c r="AJ724" s="68"/>
      <c r="AK724" s="68"/>
      <c r="AL724" s="68"/>
      <c r="AM724" s="68"/>
      <c r="AN724" s="68"/>
      <c r="AO724" s="68"/>
      <c r="AP724" s="68"/>
      <c r="AQ724" s="68"/>
      <c r="AR724" s="68"/>
      <c r="AS724" s="68"/>
      <c r="AT724" s="68"/>
      <c r="AU724" s="68"/>
      <c r="AV724" s="68"/>
      <c r="AW724" s="68"/>
      <c r="AX724" s="68"/>
      <c r="AY724" s="68"/>
      <c r="AZ724" s="68"/>
      <c r="BA724" s="68"/>
      <c r="BB724" s="68"/>
      <c r="BC724" s="68"/>
      <c r="BD724" s="68"/>
      <c r="BE724" s="68"/>
      <c r="BF724" s="68"/>
      <c r="BG724" s="68"/>
      <c r="BH724" s="68"/>
      <c r="BI724" s="68"/>
      <c r="BJ724" s="68"/>
      <c r="BK724" s="68"/>
      <c r="BL724" s="68"/>
      <c r="BM724" s="68"/>
      <c r="BN724" s="68"/>
    </row>
    <row r="725" spans="1:66" ht="17">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8"/>
      <c r="AG725" s="68"/>
      <c r="AH725" s="68"/>
      <c r="AI725" s="68"/>
      <c r="AJ725" s="68"/>
      <c r="AK725" s="68"/>
      <c r="AL725" s="68"/>
      <c r="AM725" s="68"/>
      <c r="AN725" s="68"/>
      <c r="AO725" s="68"/>
      <c r="AP725" s="68"/>
      <c r="AQ725" s="68"/>
      <c r="AR725" s="68"/>
      <c r="AS725" s="68"/>
      <c r="AT725" s="68"/>
      <c r="AU725" s="68"/>
      <c r="AV725" s="68"/>
      <c r="AW725" s="68"/>
      <c r="AX725" s="68"/>
      <c r="AY725" s="68"/>
      <c r="AZ725" s="68"/>
      <c r="BA725" s="68"/>
      <c r="BB725" s="68"/>
      <c r="BC725" s="68"/>
      <c r="BD725" s="68"/>
      <c r="BE725" s="68"/>
      <c r="BF725" s="68"/>
      <c r="BG725" s="68"/>
      <c r="BH725" s="68"/>
      <c r="BI725" s="68"/>
      <c r="BJ725" s="68"/>
      <c r="BK725" s="68"/>
      <c r="BL725" s="68"/>
      <c r="BM725" s="68"/>
      <c r="BN725" s="68"/>
    </row>
    <row r="726" spans="1:66" ht="17">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8"/>
      <c r="AG726" s="68"/>
      <c r="AH726" s="68"/>
      <c r="AI726" s="68"/>
      <c r="AJ726" s="68"/>
      <c r="AK726" s="68"/>
      <c r="AL726" s="68"/>
      <c r="AM726" s="68"/>
      <c r="AN726" s="68"/>
      <c r="AO726" s="68"/>
      <c r="AP726" s="68"/>
      <c r="AQ726" s="68"/>
      <c r="AR726" s="68"/>
      <c r="AS726" s="68"/>
      <c r="AT726" s="68"/>
      <c r="AU726" s="68"/>
      <c r="AV726" s="68"/>
      <c r="AW726" s="68"/>
      <c r="AX726" s="68"/>
      <c r="AY726" s="68"/>
      <c r="AZ726" s="68"/>
      <c r="BA726" s="68"/>
      <c r="BB726" s="68"/>
      <c r="BC726" s="68"/>
      <c r="BD726" s="68"/>
      <c r="BE726" s="68"/>
      <c r="BF726" s="68"/>
      <c r="BG726" s="68"/>
      <c r="BH726" s="68"/>
      <c r="BI726" s="68"/>
      <c r="BJ726" s="68"/>
      <c r="BK726" s="68"/>
      <c r="BL726" s="68"/>
      <c r="BM726" s="68"/>
      <c r="BN726" s="68"/>
    </row>
    <row r="727" spans="1:66" ht="1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8"/>
      <c r="AG727" s="68"/>
      <c r="AH727" s="68"/>
      <c r="AI727" s="68"/>
      <c r="AJ727" s="68"/>
      <c r="AK727" s="68"/>
      <c r="AL727" s="68"/>
      <c r="AM727" s="68"/>
      <c r="AN727" s="68"/>
      <c r="AO727" s="68"/>
      <c r="AP727" s="68"/>
      <c r="AQ727" s="68"/>
      <c r="AR727" s="68"/>
      <c r="AS727" s="68"/>
      <c r="AT727" s="68"/>
      <c r="AU727" s="68"/>
      <c r="AV727" s="68"/>
      <c r="AW727" s="68"/>
      <c r="AX727" s="68"/>
      <c r="AY727" s="68"/>
      <c r="AZ727" s="68"/>
      <c r="BA727" s="68"/>
      <c r="BB727" s="68"/>
      <c r="BC727" s="68"/>
      <c r="BD727" s="68"/>
      <c r="BE727" s="68"/>
      <c r="BF727" s="68"/>
      <c r="BG727" s="68"/>
      <c r="BH727" s="68"/>
      <c r="BI727" s="68"/>
      <c r="BJ727" s="68"/>
      <c r="BK727" s="68"/>
      <c r="BL727" s="68"/>
      <c r="BM727" s="68"/>
      <c r="BN727" s="68"/>
    </row>
    <row r="728" spans="1:66" ht="17">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8"/>
      <c r="AG728" s="68"/>
      <c r="AH728" s="68"/>
      <c r="AI728" s="68"/>
      <c r="AJ728" s="68"/>
      <c r="AK728" s="68"/>
      <c r="AL728" s="68"/>
      <c r="AM728" s="68"/>
      <c r="AN728" s="68"/>
      <c r="AO728" s="68"/>
      <c r="AP728" s="68"/>
      <c r="AQ728" s="68"/>
      <c r="AR728" s="68"/>
      <c r="AS728" s="68"/>
      <c r="AT728" s="68"/>
      <c r="AU728" s="68"/>
      <c r="AV728" s="68"/>
      <c r="AW728" s="68"/>
      <c r="AX728" s="68"/>
      <c r="AY728" s="68"/>
      <c r="AZ728" s="68"/>
      <c r="BA728" s="68"/>
      <c r="BB728" s="68"/>
      <c r="BC728" s="68"/>
      <c r="BD728" s="68"/>
      <c r="BE728" s="68"/>
      <c r="BF728" s="68"/>
      <c r="BG728" s="68"/>
      <c r="BH728" s="68"/>
      <c r="BI728" s="68"/>
      <c r="BJ728" s="68"/>
      <c r="BK728" s="68"/>
      <c r="BL728" s="68"/>
      <c r="BM728" s="68"/>
      <c r="BN728" s="68"/>
    </row>
    <row r="729" spans="1:66" ht="17">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c r="AG729" s="68"/>
      <c r="AH729" s="68"/>
      <c r="AI729" s="68"/>
      <c r="AJ729" s="68"/>
      <c r="AK729" s="68"/>
      <c r="AL729" s="68"/>
      <c r="AM729" s="68"/>
      <c r="AN729" s="68"/>
      <c r="AO729" s="68"/>
      <c r="AP729" s="68"/>
      <c r="AQ729" s="68"/>
      <c r="AR729" s="68"/>
      <c r="AS729" s="68"/>
      <c r="AT729" s="68"/>
      <c r="AU729" s="68"/>
      <c r="AV729" s="68"/>
      <c r="AW729" s="68"/>
      <c r="AX729" s="68"/>
      <c r="AY729" s="68"/>
      <c r="AZ729" s="68"/>
      <c r="BA729" s="68"/>
      <c r="BB729" s="68"/>
      <c r="BC729" s="68"/>
      <c r="BD729" s="68"/>
      <c r="BE729" s="68"/>
      <c r="BF729" s="68"/>
      <c r="BG729" s="68"/>
      <c r="BH729" s="68"/>
      <c r="BI729" s="68"/>
      <c r="BJ729" s="68"/>
      <c r="BK729" s="68"/>
      <c r="BL729" s="68"/>
      <c r="BM729" s="68"/>
      <c r="BN729" s="68"/>
    </row>
    <row r="730" spans="1:66" ht="17">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c r="AG730" s="68"/>
      <c r="AH730" s="68"/>
      <c r="AI730" s="68"/>
      <c r="AJ730" s="68"/>
      <c r="AK730" s="68"/>
      <c r="AL730" s="68"/>
      <c r="AM730" s="68"/>
      <c r="AN730" s="68"/>
      <c r="AO730" s="68"/>
      <c r="AP730" s="68"/>
      <c r="AQ730" s="68"/>
      <c r="AR730" s="68"/>
      <c r="AS730" s="68"/>
      <c r="AT730" s="68"/>
      <c r="AU730" s="68"/>
      <c r="AV730" s="68"/>
      <c r="AW730" s="68"/>
      <c r="AX730" s="68"/>
      <c r="AY730" s="68"/>
      <c r="AZ730" s="68"/>
      <c r="BA730" s="68"/>
      <c r="BB730" s="68"/>
      <c r="BC730" s="68"/>
      <c r="BD730" s="68"/>
      <c r="BE730" s="68"/>
      <c r="BF730" s="68"/>
      <c r="BG730" s="68"/>
      <c r="BH730" s="68"/>
      <c r="BI730" s="68"/>
      <c r="BJ730" s="68"/>
      <c r="BK730" s="68"/>
      <c r="BL730" s="68"/>
      <c r="BM730" s="68"/>
      <c r="BN730" s="68"/>
    </row>
    <row r="731" spans="1:66" ht="17">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c r="AG731" s="68"/>
      <c r="AH731" s="68"/>
      <c r="AI731" s="68"/>
      <c r="AJ731" s="68"/>
      <c r="AK731" s="68"/>
      <c r="AL731" s="68"/>
      <c r="AM731" s="68"/>
      <c r="AN731" s="68"/>
      <c r="AO731" s="68"/>
      <c r="AP731" s="68"/>
      <c r="AQ731" s="68"/>
      <c r="AR731" s="68"/>
      <c r="AS731" s="68"/>
      <c r="AT731" s="68"/>
      <c r="AU731" s="68"/>
      <c r="AV731" s="68"/>
      <c r="AW731" s="68"/>
      <c r="AX731" s="68"/>
      <c r="AY731" s="68"/>
      <c r="AZ731" s="68"/>
      <c r="BA731" s="68"/>
      <c r="BB731" s="68"/>
      <c r="BC731" s="68"/>
      <c r="BD731" s="68"/>
      <c r="BE731" s="68"/>
      <c r="BF731" s="68"/>
      <c r="BG731" s="68"/>
      <c r="BH731" s="68"/>
      <c r="BI731" s="68"/>
      <c r="BJ731" s="68"/>
      <c r="BK731" s="68"/>
      <c r="BL731" s="68"/>
      <c r="BM731" s="68"/>
      <c r="BN731" s="68"/>
    </row>
    <row r="732" spans="1:66" ht="17">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c r="AG732" s="68"/>
      <c r="AH732" s="68"/>
      <c r="AI732" s="68"/>
      <c r="AJ732" s="68"/>
      <c r="AK732" s="68"/>
      <c r="AL732" s="68"/>
      <c r="AM732" s="68"/>
      <c r="AN732" s="68"/>
      <c r="AO732" s="68"/>
      <c r="AP732" s="68"/>
      <c r="AQ732" s="68"/>
      <c r="AR732" s="68"/>
      <c r="AS732" s="68"/>
      <c r="AT732" s="68"/>
      <c r="AU732" s="68"/>
      <c r="AV732" s="68"/>
      <c r="AW732" s="68"/>
      <c r="AX732" s="68"/>
      <c r="AY732" s="68"/>
      <c r="AZ732" s="68"/>
      <c r="BA732" s="68"/>
      <c r="BB732" s="68"/>
      <c r="BC732" s="68"/>
      <c r="BD732" s="68"/>
      <c r="BE732" s="68"/>
      <c r="BF732" s="68"/>
      <c r="BG732" s="68"/>
      <c r="BH732" s="68"/>
      <c r="BI732" s="68"/>
      <c r="BJ732" s="68"/>
      <c r="BK732" s="68"/>
      <c r="BL732" s="68"/>
      <c r="BM732" s="68"/>
      <c r="BN732" s="68"/>
    </row>
    <row r="733" spans="1:66" ht="17">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c r="AG733" s="68"/>
      <c r="AH733" s="68"/>
      <c r="AI733" s="68"/>
      <c r="AJ733" s="68"/>
      <c r="AK733" s="68"/>
      <c r="AL733" s="68"/>
      <c r="AM733" s="68"/>
      <c r="AN733" s="68"/>
      <c r="AO733" s="68"/>
      <c r="AP733" s="68"/>
      <c r="AQ733" s="68"/>
      <c r="AR733" s="68"/>
      <c r="AS733" s="68"/>
      <c r="AT733" s="68"/>
      <c r="AU733" s="68"/>
      <c r="AV733" s="68"/>
      <c r="AW733" s="68"/>
      <c r="AX733" s="68"/>
      <c r="AY733" s="68"/>
      <c r="AZ733" s="68"/>
      <c r="BA733" s="68"/>
      <c r="BB733" s="68"/>
      <c r="BC733" s="68"/>
      <c r="BD733" s="68"/>
      <c r="BE733" s="68"/>
      <c r="BF733" s="68"/>
      <c r="BG733" s="68"/>
      <c r="BH733" s="68"/>
      <c r="BI733" s="68"/>
      <c r="BJ733" s="68"/>
      <c r="BK733" s="68"/>
      <c r="BL733" s="68"/>
      <c r="BM733" s="68"/>
      <c r="BN733" s="68"/>
    </row>
    <row r="734" spans="1:66" ht="17">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c r="AG734" s="68"/>
      <c r="AH734" s="68"/>
      <c r="AI734" s="68"/>
      <c r="AJ734" s="68"/>
      <c r="AK734" s="68"/>
      <c r="AL734" s="68"/>
      <c r="AM734" s="68"/>
      <c r="AN734" s="68"/>
      <c r="AO734" s="68"/>
      <c r="AP734" s="68"/>
      <c r="AQ734" s="68"/>
      <c r="AR734" s="68"/>
      <c r="AS734" s="68"/>
      <c r="AT734" s="68"/>
      <c r="AU734" s="68"/>
      <c r="AV734" s="68"/>
      <c r="AW734" s="68"/>
      <c r="AX734" s="68"/>
      <c r="AY734" s="68"/>
      <c r="AZ734" s="68"/>
      <c r="BA734" s="68"/>
      <c r="BB734" s="68"/>
      <c r="BC734" s="68"/>
      <c r="BD734" s="68"/>
      <c r="BE734" s="68"/>
      <c r="BF734" s="68"/>
      <c r="BG734" s="68"/>
      <c r="BH734" s="68"/>
      <c r="BI734" s="68"/>
      <c r="BJ734" s="68"/>
      <c r="BK734" s="68"/>
      <c r="BL734" s="68"/>
      <c r="BM734" s="68"/>
      <c r="BN734" s="68"/>
    </row>
    <row r="735" spans="1:66" ht="17">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c r="AG735" s="68"/>
      <c r="AH735" s="68"/>
      <c r="AI735" s="68"/>
      <c r="AJ735" s="68"/>
      <c r="AK735" s="68"/>
      <c r="AL735" s="68"/>
      <c r="AM735" s="68"/>
      <c r="AN735" s="68"/>
      <c r="AO735" s="68"/>
      <c r="AP735" s="68"/>
      <c r="AQ735" s="68"/>
      <c r="AR735" s="68"/>
      <c r="AS735" s="68"/>
      <c r="AT735" s="68"/>
      <c r="AU735" s="68"/>
      <c r="AV735" s="68"/>
      <c r="AW735" s="68"/>
      <c r="AX735" s="68"/>
      <c r="AY735" s="68"/>
      <c r="AZ735" s="68"/>
      <c r="BA735" s="68"/>
      <c r="BB735" s="68"/>
      <c r="BC735" s="68"/>
      <c r="BD735" s="68"/>
      <c r="BE735" s="68"/>
      <c r="BF735" s="68"/>
      <c r="BG735" s="68"/>
      <c r="BH735" s="68"/>
      <c r="BI735" s="68"/>
      <c r="BJ735" s="68"/>
      <c r="BK735" s="68"/>
      <c r="BL735" s="68"/>
      <c r="BM735" s="68"/>
      <c r="BN735" s="68"/>
    </row>
    <row r="736" spans="1:66" ht="17">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c r="AG736" s="68"/>
      <c r="AH736" s="68"/>
      <c r="AI736" s="68"/>
      <c r="AJ736" s="68"/>
      <c r="AK736" s="68"/>
      <c r="AL736" s="68"/>
      <c r="AM736" s="68"/>
      <c r="AN736" s="68"/>
      <c r="AO736" s="68"/>
      <c r="AP736" s="68"/>
      <c r="AQ736" s="68"/>
      <c r="AR736" s="68"/>
      <c r="AS736" s="68"/>
      <c r="AT736" s="68"/>
      <c r="AU736" s="68"/>
      <c r="AV736" s="68"/>
      <c r="AW736" s="68"/>
      <c r="AX736" s="68"/>
      <c r="AY736" s="68"/>
      <c r="AZ736" s="68"/>
      <c r="BA736" s="68"/>
      <c r="BB736" s="68"/>
      <c r="BC736" s="68"/>
      <c r="BD736" s="68"/>
      <c r="BE736" s="68"/>
      <c r="BF736" s="68"/>
      <c r="BG736" s="68"/>
      <c r="BH736" s="68"/>
      <c r="BI736" s="68"/>
      <c r="BJ736" s="68"/>
      <c r="BK736" s="68"/>
      <c r="BL736" s="68"/>
      <c r="BM736" s="68"/>
      <c r="BN736" s="68"/>
    </row>
    <row r="737" spans="1:66" ht="1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c r="AG737" s="68"/>
      <c r="AH737" s="68"/>
      <c r="AI737" s="68"/>
      <c r="AJ737" s="68"/>
      <c r="AK737" s="68"/>
      <c r="AL737" s="68"/>
      <c r="AM737" s="68"/>
      <c r="AN737" s="68"/>
      <c r="AO737" s="68"/>
      <c r="AP737" s="68"/>
      <c r="AQ737" s="68"/>
      <c r="AR737" s="68"/>
      <c r="AS737" s="68"/>
      <c r="AT737" s="68"/>
      <c r="AU737" s="68"/>
      <c r="AV737" s="68"/>
      <c r="AW737" s="68"/>
      <c r="AX737" s="68"/>
      <c r="AY737" s="68"/>
      <c r="AZ737" s="68"/>
      <c r="BA737" s="68"/>
      <c r="BB737" s="68"/>
      <c r="BC737" s="68"/>
      <c r="BD737" s="68"/>
      <c r="BE737" s="68"/>
      <c r="BF737" s="68"/>
      <c r="BG737" s="68"/>
      <c r="BH737" s="68"/>
      <c r="BI737" s="68"/>
      <c r="BJ737" s="68"/>
      <c r="BK737" s="68"/>
      <c r="BL737" s="68"/>
      <c r="BM737" s="68"/>
      <c r="BN737" s="68"/>
    </row>
    <row r="738" spans="1:66" ht="17">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c r="AG738" s="68"/>
      <c r="AH738" s="68"/>
      <c r="AI738" s="68"/>
      <c r="AJ738" s="68"/>
      <c r="AK738" s="68"/>
      <c r="AL738" s="68"/>
      <c r="AM738" s="68"/>
      <c r="AN738" s="68"/>
      <c r="AO738" s="68"/>
      <c r="AP738" s="68"/>
      <c r="AQ738" s="68"/>
      <c r="AR738" s="68"/>
      <c r="AS738" s="68"/>
      <c r="AT738" s="68"/>
      <c r="AU738" s="68"/>
      <c r="AV738" s="68"/>
      <c r="AW738" s="68"/>
      <c r="AX738" s="68"/>
      <c r="AY738" s="68"/>
      <c r="AZ738" s="68"/>
      <c r="BA738" s="68"/>
      <c r="BB738" s="68"/>
      <c r="BC738" s="68"/>
      <c r="BD738" s="68"/>
      <c r="BE738" s="68"/>
      <c r="BF738" s="68"/>
      <c r="BG738" s="68"/>
      <c r="BH738" s="68"/>
      <c r="BI738" s="68"/>
      <c r="BJ738" s="68"/>
      <c r="BK738" s="68"/>
      <c r="BL738" s="68"/>
      <c r="BM738" s="68"/>
      <c r="BN738" s="68"/>
    </row>
    <row r="739" spans="1:66" ht="17">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c r="AG739" s="68"/>
      <c r="AH739" s="68"/>
      <c r="AI739" s="68"/>
      <c r="AJ739" s="68"/>
      <c r="AK739" s="68"/>
      <c r="AL739" s="68"/>
      <c r="AM739" s="68"/>
      <c r="AN739" s="68"/>
      <c r="AO739" s="68"/>
      <c r="AP739" s="68"/>
      <c r="AQ739" s="68"/>
      <c r="AR739" s="68"/>
      <c r="AS739" s="68"/>
      <c r="AT739" s="68"/>
      <c r="AU739" s="68"/>
      <c r="AV739" s="68"/>
      <c r="AW739" s="68"/>
      <c r="AX739" s="68"/>
      <c r="AY739" s="68"/>
      <c r="AZ739" s="68"/>
      <c r="BA739" s="68"/>
      <c r="BB739" s="68"/>
      <c r="BC739" s="68"/>
      <c r="BD739" s="68"/>
      <c r="BE739" s="68"/>
      <c r="BF739" s="68"/>
      <c r="BG739" s="68"/>
      <c r="BH739" s="68"/>
      <c r="BI739" s="68"/>
      <c r="BJ739" s="68"/>
      <c r="BK739" s="68"/>
      <c r="BL739" s="68"/>
      <c r="BM739" s="68"/>
      <c r="BN739" s="68"/>
    </row>
    <row r="740" spans="1:66" ht="17">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8"/>
      <c r="AG740" s="68"/>
      <c r="AH740" s="68"/>
      <c r="AI740" s="68"/>
      <c r="AJ740" s="68"/>
      <c r="AK740" s="68"/>
      <c r="AL740" s="68"/>
      <c r="AM740" s="68"/>
      <c r="AN740" s="68"/>
      <c r="AO740" s="68"/>
      <c r="AP740" s="68"/>
      <c r="AQ740" s="68"/>
      <c r="AR740" s="68"/>
      <c r="AS740" s="68"/>
      <c r="AT740" s="68"/>
      <c r="AU740" s="68"/>
      <c r="AV740" s="68"/>
      <c r="AW740" s="68"/>
      <c r="AX740" s="68"/>
      <c r="AY740" s="68"/>
      <c r="AZ740" s="68"/>
      <c r="BA740" s="68"/>
      <c r="BB740" s="68"/>
      <c r="BC740" s="68"/>
      <c r="BD740" s="68"/>
      <c r="BE740" s="68"/>
      <c r="BF740" s="68"/>
      <c r="BG740" s="68"/>
      <c r="BH740" s="68"/>
      <c r="BI740" s="68"/>
      <c r="BJ740" s="68"/>
      <c r="BK740" s="68"/>
      <c r="BL740" s="68"/>
      <c r="BM740" s="68"/>
      <c r="BN740" s="68"/>
    </row>
    <row r="741" spans="1:66" ht="17">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8"/>
      <c r="AG741" s="68"/>
      <c r="AH741" s="68"/>
      <c r="AI741" s="68"/>
      <c r="AJ741" s="68"/>
      <c r="AK741" s="68"/>
      <c r="AL741" s="68"/>
      <c r="AM741" s="68"/>
      <c r="AN741" s="68"/>
      <c r="AO741" s="68"/>
      <c r="AP741" s="68"/>
      <c r="AQ741" s="68"/>
      <c r="AR741" s="68"/>
      <c r="AS741" s="68"/>
      <c r="AT741" s="68"/>
      <c r="AU741" s="68"/>
      <c r="AV741" s="68"/>
      <c r="AW741" s="68"/>
      <c r="AX741" s="68"/>
      <c r="AY741" s="68"/>
      <c r="AZ741" s="68"/>
      <c r="BA741" s="68"/>
      <c r="BB741" s="68"/>
      <c r="BC741" s="68"/>
      <c r="BD741" s="68"/>
      <c r="BE741" s="68"/>
      <c r="BF741" s="68"/>
      <c r="BG741" s="68"/>
      <c r="BH741" s="68"/>
      <c r="BI741" s="68"/>
      <c r="BJ741" s="68"/>
      <c r="BK741" s="68"/>
      <c r="BL741" s="68"/>
      <c r="BM741" s="68"/>
      <c r="BN741" s="68"/>
    </row>
    <row r="742" spans="1:66" ht="17">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8"/>
      <c r="AG742" s="68"/>
      <c r="AH742" s="68"/>
      <c r="AI742" s="68"/>
      <c r="AJ742" s="68"/>
      <c r="AK742" s="68"/>
      <c r="AL742" s="68"/>
      <c r="AM742" s="68"/>
      <c r="AN742" s="68"/>
      <c r="AO742" s="68"/>
      <c r="AP742" s="68"/>
      <c r="AQ742" s="68"/>
      <c r="AR742" s="68"/>
      <c r="AS742" s="68"/>
      <c r="AT742" s="68"/>
      <c r="AU742" s="68"/>
      <c r="AV742" s="68"/>
      <c r="AW742" s="68"/>
      <c r="AX742" s="68"/>
      <c r="AY742" s="68"/>
      <c r="AZ742" s="68"/>
      <c r="BA742" s="68"/>
      <c r="BB742" s="68"/>
      <c r="BC742" s="68"/>
      <c r="BD742" s="68"/>
      <c r="BE742" s="68"/>
      <c r="BF742" s="68"/>
      <c r="BG742" s="68"/>
      <c r="BH742" s="68"/>
      <c r="BI742" s="68"/>
      <c r="BJ742" s="68"/>
      <c r="BK742" s="68"/>
      <c r="BL742" s="68"/>
      <c r="BM742" s="68"/>
      <c r="BN742" s="68"/>
    </row>
    <row r="743" spans="1:66" ht="17">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8"/>
      <c r="AG743" s="68"/>
      <c r="AH743" s="68"/>
      <c r="AI743" s="68"/>
      <c r="AJ743" s="68"/>
      <c r="AK743" s="68"/>
      <c r="AL743" s="68"/>
      <c r="AM743" s="68"/>
      <c r="AN743" s="68"/>
      <c r="AO743" s="68"/>
      <c r="AP743" s="68"/>
      <c r="AQ743" s="68"/>
      <c r="AR743" s="68"/>
      <c r="AS743" s="68"/>
      <c r="AT743" s="68"/>
      <c r="AU743" s="68"/>
      <c r="AV743" s="68"/>
      <c r="AW743" s="68"/>
      <c r="AX743" s="68"/>
      <c r="AY743" s="68"/>
      <c r="AZ743" s="68"/>
      <c r="BA743" s="68"/>
      <c r="BB743" s="68"/>
      <c r="BC743" s="68"/>
      <c r="BD743" s="68"/>
      <c r="BE743" s="68"/>
      <c r="BF743" s="68"/>
      <c r="BG743" s="68"/>
      <c r="BH743" s="68"/>
      <c r="BI743" s="68"/>
      <c r="BJ743" s="68"/>
      <c r="BK743" s="68"/>
      <c r="BL743" s="68"/>
      <c r="BM743" s="68"/>
      <c r="BN743" s="68"/>
    </row>
    <row r="744" spans="1:66" ht="17">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8"/>
      <c r="AG744" s="68"/>
      <c r="AH744" s="68"/>
      <c r="AI744" s="68"/>
      <c r="AJ744" s="68"/>
      <c r="AK744" s="68"/>
      <c r="AL744" s="68"/>
      <c r="AM744" s="68"/>
      <c r="AN744" s="68"/>
      <c r="AO744" s="68"/>
      <c r="AP744" s="68"/>
      <c r="AQ744" s="68"/>
      <c r="AR744" s="68"/>
      <c r="AS744" s="68"/>
      <c r="AT744" s="68"/>
      <c r="AU744" s="68"/>
      <c r="AV744" s="68"/>
      <c r="AW744" s="68"/>
      <c r="AX744" s="68"/>
      <c r="AY744" s="68"/>
      <c r="AZ744" s="68"/>
      <c r="BA744" s="68"/>
      <c r="BB744" s="68"/>
      <c r="BC744" s="68"/>
      <c r="BD744" s="68"/>
      <c r="BE744" s="68"/>
      <c r="BF744" s="68"/>
      <c r="BG744" s="68"/>
      <c r="BH744" s="68"/>
      <c r="BI744" s="68"/>
      <c r="BJ744" s="68"/>
      <c r="BK744" s="68"/>
      <c r="BL744" s="68"/>
      <c r="BM744" s="68"/>
      <c r="BN744" s="68"/>
    </row>
    <row r="745" spans="1:66" ht="17">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8"/>
      <c r="AG745" s="68"/>
      <c r="AH745" s="68"/>
      <c r="AI745" s="68"/>
      <c r="AJ745" s="68"/>
      <c r="AK745" s="68"/>
      <c r="AL745" s="68"/>
      <c r="AM745" s="68"/>
      <c r="AN745" s="68"/>
      <c r="AO745" s="68"/>
      <c r="AP745" s="68"/>
      <c r="AQ745" s="68"/>
      <c r="AR745" s="68"/>
      <c r="AS745" s="68"/>
      <c r="AT745" s="68"/>
      <c r="AU745" s="68"/>
      <c r="AV745" s="68"/>
      <c r="AW745" s="68"/>
      <c r="AX745" s="68"/>
      <c r="AY745" s="68"/>
      <c r="AZ745" s="68"/>
      <c r="BA745" s="68"/>
      <c r="BB745" s="68"/>
      <c r="BC745" s="68"/>
      <c r="BD745" s="68"/>
      <c r="BE745" s="68"/>
      <c r="BF745" s="68"/>
      <c r="BG745" s="68"/>
      <c r="BH745" s="68"/>
      <c r="BI745" s="68"/>
      <c r="BJ745" s="68"/>
      <c r="BK745" s="68"/>
      <c r="BL745" s="68"/>
      <c r="BM745" s="68"/>
      <c r="BN745" s="68"/>
    </row>
    <row r="746" spans="1:66" ht="17">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8"/>
      <c r="AG746" s="68"/>
      <c r="AH746" s="68"/>
      <c r="AI746" s="68"/>
      <c r="AJ746" s="68"/>
      <c r="AK746" s="68"/>
      <c r="AL746" s="68"/>
      <c r="AM746" s="68"/>
      <c r="AN746" s="68"/>
      <c r="AO746" s="68"/>
      <c r="AP746" s="68"/>
      <c r="AQ746" s="68"/>
      <c r="AR746" s="68"/>
      <c r="AS746" s="68"/>
      <c r="AT746" s="68"/>
      <c r="AU746" s="68"/>
      <c r="AV746" s="68"/>
      <c r="AW746" s="68"/>
      <c r="AX746" s="68"/>
      <c r="AY746" s="68"/>
      <c r="AZ746" s="68"/>
      <c r="BA746" s="68"/>
      <c r="BB746" s="68"/>
      <c r="BC746" s="68"/>
      <c r="BD746" s="68"/>
      <c r="BE746" s="68"/>
      <c r="BF746" s="68"/>
      <c r="BG746" s="68"/>
      <c r="BH746" s="68"/>
      <c r="BI746" s="68"/>
      <c r="BJ746" s="68"/>
      <c r="BK746" s="68"/>
      <c r="BL746" s="68"/>
      <c r="BM746" s="68"/>
      <c r="BN746" s="68"/>
    </row>
    <row r="747" spans="1:66" ht="1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8"/>
      <c r="AG747" s="68"/>
      <c r="AH747" s="68"/>
      <c r="AI747" s="68"/>
      <c r="AJ747" s="68"/>
      <c r="AK747" s="68"/>
      <c r="AL747" s="68"/>
      <c r="AM747" s="68"/>
      <c r="AN747" s="68"/>
      <c r="AO747" s="68"/>
      <c r="AP747" s="68"/>
      <c r="AQ747" s="68"/>
      <c r="AR747" s="68"/>
      <c r="AS747" s="68"/>
      <c r="AT747" s="68"/>
      <c r="AU747" s="68"/>
      <c r="AV747" s="68"/>
      <c r="AW747" s="68"/>
      <c r="AX747" s="68"/>
      <c r="AY747" s="68"/>
      <c r="AZ747" s="68"/>
      <c r="BA747" s="68"/>
      <c r="BB747" s="68"/>
      <c r="BC747" s="68"/>
      <c r="BD747" s="68"/>
      <c r="BE747" s="68"/>
      <c r="BF747" s="68"/>
      <c r="BG747" s="68"/>
      <c r="BH747" s="68"/>
      <c r="BI747" s="68"/>
      <c r="BJ747" s="68"/>
      <c r="BK747" s="68"/>
      <c r="BL747" s="68"/>
      <c r="BM747" s="68"/>
      <c r="BN747" s="68"/>
    </row>
    <row r="748" spans="1:66" ht="17">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8"/>
      <c r="AG748" s="68"/>
      <c r="AH748" s="68"/>
      <c r="AI748" s="68"/>
      <c r="AJ748" s="68"/>
      <c r="AK748" s="68"/>
      <c r="AL748" s="68"/>
      <c r="AM748" s="68"/>
      <c r="AN748" s="68"/>
      <c r="AO748" s="68"/>
      <c r="AP748" s="68"/>
      <c r="AQ748" s="68"/>
      <c r="AR748" s="68"/>
      <c r="AS748" s="68"/>
      <c r="AT748" s="68"/>
      <c r="AU748" s="68"/>
      <c r="AV748" s="68"/>
      <c r="AW748" s="68"/>
      <c r="AX748" s="68"/>
      <c r="AY748" s="68"/>
      <c r="AZ748" s="68"/>
      <c r="BA748" s="68"/>
      <c r="BB748" s="68"/>
      <c r="BC748" s="68"/>
      <c r="BD748" s="68"/>
      <c r="BE748" s="68"/>
      <c r="BF748" s="68"/>
      <c r="BG748" s="68"/>
      <c r="BH748" s="68"/>
      <c r="BI748" s="68"/>
      <c r="BJ748" s="68"/>
      <c r="BK748" s="68"/>
      <c r="BL748" s="68"/>
      <c r="BM748" s="68"/>
      <c r="BN748" s="68"/>
    </row>
    <row r="749" spans="1:66" ht="17">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8"/>
      <c r="AG749" s="68"/>
      <c r="AH749" s="68"/>
      <c r="AI749" s="68"/>
      <c r="AJ749" s="68"/>
      <c r="AK749" s="68"/>
      <c r="AL749" s="68"/>
      <c r="AM749" s="68"/>
      <c r="AN749" s="68"/>
      <c r="AO749" s="68"/>
      <c r="AP749" s="68"/>
      <c r="AQ749" s="68"/>
      <c r="AR749" s="68"/>
      <c r="AS749" s="68"/>
      <c r="AT749" s="68"/>
      <c r="AU749" s="68"/>
      <c r="AV749" s="68"/>
      <c r="AW749" s="68"/>
      <c r="AX749" s="68"/>
      <c r="AY749" s="68"/>
      <c r="AZ749" s="68"/>
      <c r="BA749" s="68"/>
      <c r="BB749" s="68"/>
      <c r="BC749" s="68"/>
      <c r="BD749" s="68"/>
      <c r="BE749" s="68"/>
      <c r="BF749" s="68"/>
      <c r="BG749" s="68"/>
      <c r="BH749" s="68"/>
      <c r="BI749" s="68"/>
      <c r="BJ749" s="68"/>
      <c r="BK749" s="68"/>
      <c r="BL749" s="68"/>
      <c r="BM749" s="68"/>
      <c r="BN749" s="68"/>
    </row>
    <row r="750" spans="1:66" ht="17">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68"/>
      <c r="AG750" s="68"/>
      <c r="AH750" s="68"/>
      <c r="AI750" s="68"/>
      <c r="AJ750" s="68"/>
      <c r="AK750" s="68"/>
      <c r="AL750" s="68"/>
      <c r="AM750" s="68"/>
      <c r="AN750" s="68"/>
      <c r="AO750" s="68"/>
      <c r="AP750" s="68"/>
      <c r="AQ750" s="68"/>
      <c r="AR750" s="68"/>
      <c r="AS750" s="68"/>
      <c r="AT750" s="68"/>
      <c r="AU750" s="68"/>
      <c r="AV750" s="68"/>
      <c r="AW750" s="68"/>
      <c r="AX750" s="68"/>
      <c r="AY750" s="68"/>
      <c r="AZ750" s="68"/>
      <c r="BA750" s="68"/>
      <c r="BB750" s="68"/>
      <c r="BC750" s="68"/>
      <c r="BD750" s="68"/>
      <c r="BE750" s="68"/>
      <c r="BF750" s="68"/>
      <c r="BG750" s="68"/>
      <c r="BH750" s="68"/>
      <c r="BI750" s="68"/>
      <c r="BJ750" s="68"/>
      <c r="BK750" s="68"/>
      <c r="BL750" s="68"/>
      <c r="BM750" s="68"/>
      <c r="BN750" s="68"/>
    </row>
    <row r="751" spans="1:66" ht="17">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8"/>
      <c r="AG751" s="68"/>
      <c r="AH751" s="68"/>
      <c r="AI751" s="68"/>
      <c r="AJ751" s="68"/>
      <c r="AK751" s="68"/>
      <c r="AL751" s="68"/>
      <c r="AM751" s="68"/>
      <c r="AN751" s="68"/>
      <c r="AO751" s="68"/>
      <c r="AP751" s="68"/>
      <c r="AQ751" s="68"/>
      <c r="AR751" s="68"/>
      <c r="AS751" s="68"/>
      <c r="AT751" s="68"/>
      <c r="AU751" s="68"/>
      <c r="AV751" s="68"/>
      <c r="AW751" s="68"/>
      <c r="AX751" s="68"/>
      <c r="AY751" s="68"/>
      <c r="AZ751" s="68"/>
      <c r="BA751" s="68"/>
      <c r="BB751" s="68"/>
      <c r="BC751" s="68"/>
      <c r="BD751" s="68"/>
      <c r="BE751" s="68"/>
      <c r="BF751" s="68"/>
      <c r="BG751" s="68"/>
      <c r="BH751" s="68"/>
      <c r="BI751" s="68"/>
      <c r="BJ751" s="68"/>
      <c r="BK751" s="68"/>
      <c r="BL751" s="68"/>
      <c r="BM751" s="68"/>
      <c r="BN751" s="68"/>
    </row>
    <row r="752" spans="1:66" ht="17">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8"/>
      <c r="AG752" s="68"/>
      <c r="AH752" s="68"/>
      <c r="AI752" s="68"/>
      <c r="AJ752" s="68"/>
      <c r="AK752" s="68"/>
      <c r="AL752" s="68"/>
      <c r="AM752" s="68"/>
      <c r="AN752" s="68"/>
      <c r="AO752" s="68"/>
      <c r="AP752" s="68"/>
      <c r="AQ752" s="68"/>
      <c r="AR752" s="68"/>
      <c r="AS752" s="68"/>
      <c r="AT752" s="68"/>
      <c r="AU752" s="68"/>
      <c r="AV752" s="68"/>
      <c r="AW752" s="68"/>
      <c r="AX752" s="68"/>
      <c r="AY752" s="68"/>
      <c r="AZ752" s="68"/>
      <c r="BA752" s="68"/>
      <c r="BB752" s="68"/>
      <c r="BC752" s="68"/>
      <c r="BD752" s="68"/>
      <c r="BE752" s="68"/>
      <c r="BF752" s="68"/>
      <c r="BG752" s="68"/>
      <c r="BH752" s="68"/>
      <c r="BI752" s="68"/>
      <c r="BJ752" s="68"/>
      <c r="BK752" s="68"/>
      <c r="BL752" s="68"/>
      <c r="BM752" s="68"/>
      <c r="BN752" s="68"/>
    </row>
    <row r="753" spans="1:66" ht="17">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8"/>
      <c r="AG753" s="68"/>
      <c r="AH753" s="68"/>
      <c r="AI753" s="68"/>
      <c r="AJ753" s="68"/>
      <c r="AK753" s="68"/>
      <c r="AL753" s="68"/>
      <c r="AM753" s="68"/>
      <c r="AN753" s="68"/>
      <c r="AO753" s="68"/>
      <c r="AP753" s="68"/>
      <c r="AQ753" s="68"/>
      <c r="AR753" s="68"/>
      <c r="AS753" s="68"/>
      <c r="AT753" s="68"/>
      <c r="AU753" s="68"/>
      <c r="AV753" s="68"/>
      <c r="AW753" s="68"/>
      <c r="AX753" s="68"/>
      <c r="AY753" s="68"/>
      <c r="AZ753" s="68"/>
      <c r="BA753" s="68"/>
      <c r="BB753" s="68"/>
      <c r="BC753" s="68"/>
      <c r="BD753" s="68"/>
      <c r="BE753" s="68"/>
      <c r="BF753" s="68"/>
      <c r="BG753" s="68"/>
      <c r="BH753" s="68"/>
      <c r="BI753" s="68"/>
      <c r="BJ753" s="68"/>
      <c r="BK753" s="68"/>
      <c r="BL753" s="68"/>
      <c r="BM753" s="68"/>
      <c r="BN753" s="68"/>
    </row>
    <row r="754" spans="1:66" ht="17">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68"/>
      <c r="AG754" s="68"/>
      <c r="AH754" s="68"/>
      <c r="AI754" s="68"/>
      <c r="AJ754" s="68"/>
      <c r="AK754" s="68"/>
      <c r="AL754" s="68"/>
      <c r="AM754" s="68"/>
      <c r="AN754" s="68"/>
      <c r="AO754" s="68"/>
      <c r="AP754" s="68"/>
      <c r="AQ754" s="68"/>
      <c r="AR754" s="68"/>
      <c r="AS754" s="68"/>
      <c r="AT754" s="68"/>
      <c r="AU754" s="68"/>
      <c r="AV754" s="68"/>
      <c r="AW754" s="68"/>
      <c r="AX754" s="68"/>
      <c r="AY754" s="68"/>
      <c r="AZ754" s="68"/>
      <c r="BA754" s="68"/>
      <c r="BB754" s="68"/>
      <c r="BC754" s="68"/>
      <c r="BD754" s="68"/>
      <c r="BE754" s="68"/>
      <c r="BF754" s="68"/>
      <c r="BG754" s="68"/>
      <c r="BH754" s="68"/>
      <c r="BI754" s="68"/>
      <c r="BJ754" s="68"/>
      <c r="BK754" s="68"/>
      <c r="BL754" s="68"/>
      <c r="BM754" s="68"/>
      <c r="BN754" s="68"/>
    </row>
    <row r="755" spans="1:66" ht="17">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8"/>
      <c r="AG755" s="68"/>
      <c r="AH755" s="68"/>
      <c r="AI755" s="68"/>
      <c r="AJ755" s="68"/>
      <c r="AK755" s="68"/>
      <c r="AL755" s="68"/>
      <c r="AM755" s="68"/>
      <c r="AN755" s="68"/>
      <c r="AO755" s="68"/>
      <c r="AP755" s="68"/>
      <c r="AQ755" s="68"/>
      <c r="AR755" s="68"/>
      <c r="AS755" s="68"/>
      <c r="AT755" s="68"/>
      <c r="AU755" s="68"/>
      <c r="AV755" s="68"/>
      <c r="AW755" s="68"/>
      <c r="AX755" s="68"/>
      <c r="AY755" s="68"/>
      <c r="AZ755" s="68"/>
      <c r="BA755" s="68"/>
      <c r="BB755" s="68"/>
      <c r="BC755" s="68"/>
      <c r="BD755" s="68"/>
      <c r="BE755" s="68"/>
      <c r="BF755" s="68"/>
      <c r="BG755" s="68"/>
      <c r="BH755" s="68"/>
      <c r="BI755" s="68"/>
      <c r="BJ755" s="68"/>
      <c r="BK755" s="68"/>
      <c r="BL755" s="68"/>
      <c r="BM755" s="68"/>
      <c r="BN755" s="68"/>
    </row>
    <row r="756" spans="1:66" ht="17">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68"/>
      <c r="AG756" s="68"/>
      <c r="AH756" s="68"/>
      <c r="AI756" s="68"/>
      <c r="AJ756" s="68"/>
      <c r="AK756" s="68"/>
      <c r="AL756" s="68"/>
      <c r="AM756" s="68"/>
      <c r="AN756" s="68"/>
      <c r="AO756" s="68"/>
      <c r="AP756" s="68"/>
      <c r="AQ756" s="68"/>
      <c r="AR756" s="68"/>
      <c r="AS756" s="68"/>
      <c r="AT756" s="68"/>
      <c r="AU756" s="68"/>
      <c r="AV756" s="68"/>
      <c r="AW756" s="68"/>
      <c r="AX756" s="68"/>
      <c r="AY756" s="68"/>
      <c r="AZ756" s="68"/>
      <c r="BA756" s="68"/>
      <c r="BB756" s="68"/>
      <c r="BC756" s="68"/>
      <c r="BD756" s="68"/>
      <c r="BE756" s="68"/>
      <c r="BF756" s="68"/>
      <c r="BG756" s="68"/>
      <c r="BH756" s="68"/>
      <c r="BI756" s="68"/>
      <c r="BJ756" s="68"/>
      <c r="BK756" s="68"/>
      <c r="BL756" s="68"/>
      <c r="BM756" s="68"/>
      <c r="BN756" s="68"/>
    </row>
    <row r="757" spans="1:66" ht="1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8"/>
      <c r="AG757" s="68"/>
      <c r="AH757" s="68"/>
      <c r="AI757" s="68"/>
      <c r="AJ757" s="68"/>
      <c r="AK757" s="68"/>
      <c r="AL757" s="68"/>
      <c r="AM757" s="68"/>
      <c r="AN757" s="68"/>
      <c r="AO757" s="68"/>
      <c r="AP757" s="68"/>
      <c r="AQ757" s="68"/>
      <c r="AR757" s="68"/>
      <c r="AS757" s="68"/>
      <c r="AT757" s="68"/>
      <c r="AU757" s="68"/>
      <c r="AV757" s="68"/>
      <c r="AW757" s="68"/>
      <c r="AX757" s="68"/>
      <c r="AY757" s="68"/>
      <c r="AZ757" s="68"/>
      <c r="BA757" s="68"/>
      <c r="BB757" s="68"/>
      <c r="BC757" s="68"/>
      <c r="BD757" s="68"/>
      <c r="BE757" s="68"/>
      <c r="BF757" s="68"/>
      <c r="BG757" s="68"/>
      <c r="BH757" s="68"/>
      <c r="BI757" s="68"/>
      <c r="BJ757" s="68"/>
      <c r="BK757" s="68"/>
      <c r="BL757" s="68"/>
      <c r="BM757" s="68"/>
      <c r="BN757" s="68"/>
    </row>
    <row r="758" spans="1:66" ht="17">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68"/>
      <c r="AG758" s="68"/>
      <c r="AH758" s="68"/>
      <c r="AI758" s="68"/>
      <c r="AJ758" s="68"/>
      <c r="AK758" s="68"/>
      <c r="AL758" s="68"/>
      <c r="AM758" s="68"/>
      <c r="AN758" s="68"/>
      <c r="AO758" s="68"/>
      <c r="AP758" s="68"/>
      <c r="AQ758" s="68"/>
      <c r="AR758" s="68"/>
      <c r="AS758" s="68"/>
      <c r="AT758" s="68"/>
      <c r="AU758" s="68"/>
      <c r="AV758" s="68"/>
      <c r="AW758" s="68"/>
      <c r="AX758" s="68"/>
      <c r="AY758" s="68"/>
      <c r="AZ758" s="68"/>
      <c r="BA758" s="68"/>
      <c r="BB758" s="68"/>
      <c r="BC758" s="68"/>
      <c r="BD758" s="68"/>
      <c r="BE758" s="68"/>
      <c r="BF758" s="68"/>
      <c r="BG758" s="68"/>
      <c r="BH758" s="68"/>
      <c r="BI758" s="68"/>
      <c r="BJ758" s="68"/>
      <c r="BK758" s="68"/>
      <c r="BL758" s="68"/>
      <c r="BM758" s="68"/>
      <c r="BN758" s="68"/>
    </row>
    <row r="759" spans="1:66" ht="17">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68"/>
      <c r="AG759" s="68"/>
      <c r="AH759" s="68"/>
      <c r="AI759" s="68"/>
      <c r="AJ759" s="68"/>
      <c r="AK759" s="68"/>
      <c r="AL759" s="68"/>
      <c r="AM759" s="68"/>
      <c r="AN759" s="68"/>
      <c r="AO759" s="68"/>
      <c r="AP759" s="68"/>
      <c r="AQ759" s="68"/>
      <c r="AR759" s="68"/>
      <c r="AS759" s="68"/>
      <c r="AT759" s="68"/>
      <c r="AU759" s="68"/>
      <c r="AV759" s="68"/>
      <c r="AW759" s="68"/>
      <c r="AX759" s="68"/>
      <c r="AY759" s="68"/>
      <c r="AZ759" s="68"/>
      <c r="BA759" s="68"/>
      <c r="BB759" s="68"/>
      <c r="BC759" s="68"/>
      <c r="BD759" s="68"/>
      <c r="BE759" s="68"/>
      <c r="BF759" s="68"/>
      <c r="BG759" s="68"/>
      <c r="BH759" s="68"/>
      <c r="BI759" s="68"/>
      <c r="BJ759" s="68"/>
      <c r="BK759" s="68"/>
      <c r="BL759" s="68"/>
      <c r="BM759" s="68"/>
      <c r="BN759" s="68"/>
    </row>
    <row r="760" spans="1:66" ht="17">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8"/>
      <c r="AG760" s="68"/>
      <c r="AH760" s="68"/>
      <c r="AI760" s="68"/>
      <c r="AJ760" s="68"/>
      <c r="AK760" s="68"/>
      <c r="AL760" s="68"/>
      <c r="AM760" s="68"/>
      <c r="AN760" s="68"/>
      <c r="AO760" s="68"/>
      <c r="AP760" s="68"/>
      <c r="AQ760" s="68"/>
      <c r="AR760" s="68"/>
      <c r="AS760" s="68"/>
      <c r="AT760" s="68"/>
      <c r="AU760" s="68"/>
      <c r="AV760" s="68"/>
      <c r="AW760" s="68"/>
      <c r="AX760" s="68"/>
      <c r="AY760" s="68"/>
      <c r="AZ760" s="68"/>
      <c r="BA760" s="68"/>
      <c r="BB760" s="68"/>
      <c r="BC760" s="68"/>
      <c r="BD760" s="68"/>
      <c r="BE760" s="68"/>
      <c r="BF760" s="68"/>
      <c r="BG760" s="68"/>
      <c r="BH760" s="68"/>
      <c r="BI760" s="68"/>
      <c r="BJ760" s="68"/>
      <c r="BK760" s="68"/>
      <c r="BL760" s="68"/>
      <c r="BM760" s="68"/>
      <c r="BN760" s="68"/>
    </row>
    <row r="761" spans="1:66" ht="17">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68"/>
      <c r="AG761" s="68"/>
      <c r="AH761" s="68"/>
      <c r="AI761" s="68"/>
      <c r="AJ761" s="68"/>
      <c r="AK761" s="68"/>
      <c r="AL761" s="68"/>
      <c r="AM761" s="68"/>
      <c r="AN761" s="68"/>
      <c r="AO761" s="68"/>
      <c r="AP761" s="68"/>
      <c r="AQ761" s="68"/>
      <c r="AR761" s="68"/>
      <c r="AS761" s="68"/>
      <c r="AT761" s="68"/>
      <c r="AU761" s="68"/>
      <c r="AV761" s="68"/>
      <c r="AW761" s="68"/>
      <c r="AX761" s="68"/>
      <c r="AY761" s="68"/>
      <c r="AZ761" s="68"/>
      <c r="BA761" s="68"/>
      <c r="BB761" s="68"/>
      <c r="BC761" s="68"/>
      <c r="BD761" s="68"/>
      <c r="BE761" s="68"/>
      <c r="BF761" s="68"/>
      <c r="BG761" s="68"/>
      <c r="BH761" s="68"/>
      <c r="BI761" s="68"/>
      <c r="BJ761" s="68"/>
      <c r="BK761" s="68"/>
      <c r="BL761" s="68"/>
      <c r="BM761" s="68"/>
      <c r="BN761" s="68"/>
    </row>
    <row r="762" spans="1:66" ht="17">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8"/>
      <c r="AG762" s="68"/>
      <c r="AH762" s="68"/>
      <c r="AI762" s="68"/>
      <c r="AJ762" s="68"/>
      <c r="AK762" s="68"/>
      <c r="AL762" s="68"/>
      <c r="AM762" s="68"/>
      <c r="AN762" s="68"/>
      <c r="AO762" s="68"/>
      <c r="AP762" s="68"/>
      <c r="AQ762" s="68"/>
      <c r="AR762" s="68"/>
      <c r="AS762" s="68"/>
      <c r="AT762" s="68"/>
      <c r="AU762" s="68"/>
      <c r="AV762" s="68"/>
      <c r="AW762" s="68"/>
      <c r="AX762" s="68"/>
      <c r="AY762" s="68"/>
      <c r="AZ762" s="68"/>
      <c r="BA762" s="68"/>
      <c r="BB762" s="68"/>
      <c r="BC762" s="68"/>
      <c r="BD762" s="68"/>
      <c r="BE762" s="68"/>
      <c r="BF762" s="68"/>
      <c r="BG762" s="68"/>
      <c r="BH762" s="68"/>
      <c r="BI762" s="68"/>
      <c r="BJ762" s="68"/>
      <c r="BK762" s="68"/>
      <c r="BL762" s="68"/>
      <c r="BM762" s="68"/>
      <c r="BN762" s="68"/>
    </row>
    <row r="763" spans="1:66" ht="17">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8"/>
      <c r="AG763" s="68"/>
      <c r="AH763" s="68"/>
      <c r="AI763" s="68"/>
      <c r="AJ763" s="68"/>
      <c r="AK763" s="68"/>
      <c r="AL763" s="68"/>
      <c r="AM763" s="68"/>
      <c r="AN763" s="68"/>
      <c r="AO763" s="68"/>
      <c r="AP763" s="68"/>
      <c r="AQ763" s="68"/>
      <c r="AR763" s="68"/>
      <c r="AS763" s="68"/>
      <c r="AT763" s="68"/>
      <c r="AU763" s="68"/>
      <c r="AV763" s="68"/>
      <c r="AW763" s="68"/>
      <c r="AX763" s="68"/>
      <c r="AY763" s="68"/>
      <c r="AZ763" s="68"/>
      <c r="BA763" s="68"/>
      <c r="BB763" s="68"/>
      <c r="BC763" s="68"/>
      <c r="BD763" s="68"/>
      <c r="BE763" s="68"/>
      <c r="BF763" s="68"/>
      <c r="BG763" s="68"/>
      <c r="BH763" s="68"/>
      <c r="BI763" s="68"/>
      <c r="BJ763" s="68"/>
      <c r="BK763" s="68"/>
      <c r="BL763" s="68"/>
      <c r="BM763" s="68"/>
      <c r="BN763" s="68"/>
    </row>
    <row r="764" spans="1:66" ht="17">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68"/>
      <c r="AG764" s="68"/>
      <c r="AH764" s="68"/>
      <c r="AI764" s="68"/>
      <c r="AJ764" s="68"/>
      <c r="AK764" s="68"/>
      <c r="AL764" s="68"/>
      <c r="AM764" s="68"/>
      <c r="AN764" s="68"/>
      <c r="AO764" s="68"/>
      <c r="AP764" s="68"/>
      <c r="AQ764" s="68"/>
      <c r="AR764" s="68"/>
      <c r="AS764" s="68"/>
      <c r="AT764" s="68"/>
      <c r="AU764" s="68"/>
      <c r="AV764" s="68"/>
      <c r="AW764" s="68"/>
      <c r="AX764" s="68"/>
      <c r="AY764" s="68"/>
      <c r="AZ764" s="68"/>
      <c r="BA764" s="68"/>
      <c r="BB764" s="68"/>
      <c r="BC764" s="68"/>
      <c r="BD764" s="68"/>
      <c r="BE764" s="68"/>
      <c r="BF764" s="68"/>
      <c r="BG764" s="68"/>
      <c r="BH764" s="68"/>
      <c r="BI764" s="68"/>
      <c r="BJ764" s="68"/>
      <c r="BK764" s="68"/>
      <c r="BL764" s="68"/>
      <c r="BM764" s="68"/>
      <c r="BN764" s="68"/>
    </row>
    <row r="765" spans="1:66" ht="17">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8"/>
      <c r="AG765" s="68"/>
      <c r="AH765" s="68"/>
      <c r="AI765" s="68"/>
      <c r="AJ765" s="68"/>
      <c r="AK765" s="68"/>
      <c r="AL765" s="68"/>
      <c r="AM765" s="68"/>
      <c r="AN765" s="68"/>
      <c r="AO765" s="68"/>
      <c r="AP765" s="68"/>
      <c r="AQ765" s="68"/>
      <c r="AR765" s="68"/>
      <c r="AS765" s="68"/>
      <c r="AT765" s="68"/>
      <c r="AU765" s="68"/>
      <c r="AV765" s="68"/>
      <c r="AW765" s="68"/>
      <c r="AX765" s="68"/>
      <c r="AY765" s="68"/>
      <c r="AZ765" s="68"/>
      <c r="BA765" s="68"/>
      <c r="BB765" s="68"/>
      <c r="BC765" s="68"/>
      <c r="BD765" s="68"/>
      <c r="BE765" s="68"/>
      <c r="BF765" s="68"/>
      <c r="BG765" s="68"/>
      <c r="BH765" s="68"/>
      <c r="BI765" s="68"/>
      <c r="BJ765" s="68"/>
      <c r="BK765" s="68"/>
      <c r="BL765" s="68"/>
      <c r="BM765" s="68"/>
      <c r="BN765" s="68"/>
    </row>
    <row r="766" spans="1:66" ht="17">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8"/>
      <c r="AG766" s="68"/>
      <c r="AH766" s="68"/>
      <c r="AI766" s="68"/>
      <c r="AJ766" s="68"/>
      <c r="AK766" s="68"/>
      <c r="AL766" s="68"/>
      <c r="AM766" s="68"/>
      <c r="AN766" s="68"/>
      <c r="AO766" s="68"/>
      <c r="AP766" s="68"/>
      <c r="AQ766" s="68"/>
      <c r="AR766" s="68"/>
      <c r="AS766" s="68"/>
      <c r="AT766" s="68"/>
      <c r="AU766" s="68"/>
      <c r="AV766" s="68"/>
      <c r="AW766" s="68"/>
      <c r="AX766" s="68"/>
      <c r="AY766" s="68"/>
      <c r="AZ766" s="68"/>
      <c r="BA766" s="68"/>
      <c r="BB766" s="68"/>
      <c r="BC766" s="68"/>
      <c r="BD766" s="68"/>
      <c r="BE766" s="68"/>
      <c r="BF766" s="68"/>
      <c r="BG766" s="68"/>
      <c r="BH766" s="68"/>
      <c r="BI766" s="68"/>
      <c r="BJ766" s="68"/>
      <c r="BK766" s="68"/>
      <c r="BL766" s="68"/>
      <c r="BM766" s="68"/>
      <c r="BN766" s="68"/>
    </row>
    <row r="767" spans="1:66" ht="1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68"/>
      <c r="AG767" s="68"/>
      <c r="AH767" s="68"/>
      <c r="AI767" s="68"/>
      <c r="AJ767" s="68"/>
      <c r="AK767" s="68"/>
      <c r="AL767" s="68"/>
      <c r="AM767" s="68"/>
      <c r="AN767" s="68"/>
      <c r="AO767" s="68"/>
      <c r="AP767" s="68"/>
      <c r="AQ767" s="68"/>
      <c r="AR767" s="68"/>
      <c r="AS767" s="68"/>
      <c r="AT767" s="68"/>
      <c r="AU767" s="68"/>
      <c r="AV767" s="68"/>
      <c r="AW767" s="68"/>
      <c r="AX767" s="68"/>
      <c r="AY767" s="68"/>
      <c r="AZ767" s="68"/>
      <c r="BA767" s="68"/>
      <c r="BB767" s="68"/>
      <c r="BC767" s="68"/>
      <c r="BD767" s="68"/>
      <c r="BE767" s="68"/>
      <c r="BF767" s="68"/>
      <c r="BG767" s="68"/>
      <c r="BH767" s="68"/>
      <c r="BI767" s="68"/>
      <c r="BJ767" s="68"/>
      <c r="BK767" s="68"/>
      <c r="BL767" s="68"/>
      <c r="BM767" s="68"/>
      <c r="BN767" s="68"/>
    </row>
    <row r="768" spans="1:66" ht="17">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8"/>
      <c r="AG768" s="68"/>
      <c r="AH768" s="68"/>
      <c r="AI768" s="68"/>
      <c r="AJ768" s="68"/>
      <c r="AK768" s="68"/>
      <c r="AL768" s="68"/>
      <c r="AM768" s="68"/>
      <c r="AN768" s="68"/>
      <c r="AO768" s="68"/>
      <c r="AP768" s="68"/>
      <c r="AQ768" s="68"/>
      <c r="AR768" s="68"/>
      <c r="AS768" s="68"/>
      <c r="AT768" s="68"/>
      <c r="AU768" s="68"/>
      <c r="AV768" s="68"/>
      <c r="AW768" s="68"/>
      <c r="AX768" s="68"/>
      <c r="AY768" s="68"/>
      <c r="AZ768" s="68"/>
      <c r="BA768" s="68"/>
      <c r="BB768" s="68"/>
      <c r="BC768" s="68"/>
      <c r="BD768" s="68"/>
      <c r="BE768" s="68"/>
      <c r="BF768" s="68"/>
      <c r="BG768" s="68"/>
      <c r="BH768" s="68"/>
      <c r="BI768" s="68"/>
      <c r="BJ768" s="68"/>
      <c r="BK768" s="68"/>
      <c r="BL768" s="68"/>
      <c r="BM768" s="68"/>
      <c r="BN768" s="68"/>
    </row>
    <row r="769" spans="1:66" ht="17">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68"/>
      <c r="AG769" s="68"/>
      <c r="AH769" s="68"/>
      <c r="AI769" s="68"/>
      <c r="AJ769" s="68"/>
      <c r="AK769" s="68"/>
      <c r="AL769" s="68"/>
      <c r="AM769" s="68"/>
      <c r="AN769" s="68"/>
      <c r="AO769" s="68"/>
      <c r="AP769" s="68"/>
      <c r="AQ769" s="68"/>
      <c r="AR769" s="68"/>
      <c r="AS769" s="68"/>
      <c r="AT769" s="68"/>
      <c r="AU769" s="68"/>
      <c r="AV769" s="68"/>
      <c r="AW769" s="68"/>
      <c r="AX769" s="68"/>
      <c r="AY769" s="68"/>
      <c r="AZ769" s="68"/>
      <c r="BA769" s="68"/>
      <c r="BB769" s="68"/>
      <c r="BC769" s="68"/>
      <c r="BD769" s="68"/>
      <c r="BE769" s="68"/>
      <c r="BF769" s="68"/>
      <c r="BG769" s="68"/>
      <c r="BH769" s="68"/>
      <c r="BI769" s="68"/>
      <c r="BJ769" s="68"/>
      <c r="BK769" s="68"/>
      <c r="BL769" s="68"/>
      <c r="BM769" s="68"/>
      <c r="BN769" s="68"/>
    </row>
    <row r="770" spans="1:66" ht="17">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68"/>
      <c r="AG770" s="68"/>
      <c r="AH770" s="68"/>
      <c r="AI770" s="68"/>
      <c r="AJ770" s="68"/>
      <c r="AK770" s="68"/>
      <c r="AL770" s="68"/>
      <c r="AM770" s="68"/>
      <c r="AN770" s="68"/>
      <c r="AO770" s="68"/>
      <c r="AP770" s="68"/>
      <c r="AQ770" s="68"/>
      <c r="AR770" s="68"/>
      <c r="AS770" s="68"/>
      <c r="AT770" s="68"/>
      <c r="AU770" s="68"/>
      <c r="AV770" s="68"/>
      <c r="AW770" s="68"/>
      <c r="AX770" s="68"/>
      <c r="AY770" s="68"/>
      <c r="AZ770" s="68"/>
      <c r="BA770" s="68"/>
      <c r="BB770" s="68"/>
      <c r="BC770" s="68"/>
      <c r="BD770" s="68"/>
      <c r="BE770" s="68"/>
      <c r="BF770" s="68"/>
      <c r="BG770" s="68"/>
      <c r="BH770" s="68"/>
      <c r="BI770" s="68"/>
      <c r="BJ770" s="68"/>
      <c r="BK770" s="68"/>
      <c r="BL770" s="68"/>
      <c r="BM770" s="68"/>
      <c r="BN770" s="68"/>
    </row>
    <row r="771" spans="1:66" ht="17">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8"/>
      <c r="AG771" s="68"/>
      <c r="AH771" s="68"/>
      <c r="AI771" s="68"/>
      <c r="AJ771" s="68"/>
      <c r="AK771" s="68"/>
      <c r="AL771" s="68"/>
      <c r="AM771" s="68"/>
      <c r="AN771" s="68"/>
      <c r="AO771" s="68"/>
      <c r="AP771" s="68"/>
      <c r="AQ771" s="68"/>
      <c r="AR771" s="68"/>
      <c r="AS771" s="68"/>
      <c r="AT771" s="68"/>
      <c r="AU771" s="68"/>
      <c r="AV771" s="68"/>
      <c r="AW771" s="68"/>
      <c r="AX771" s="68"/>
      <c r="AY771" s="68"/>
      <c r="AZ771" s="68"/>
      <c r="BA771" s="68"/>
      <c r="BB771" s="68"/>
      <c r="BC771" s="68"/>
      <c r="BD771" s="68"/>
      <c r="BE771" s="68"/>
      <c r="BF771" s="68"/>
      <c r="BG771" s="68"/>
      <c r="BH771" s="68"/>
      <c r="BI771" s="68"/>
      <c r="BJ771" s="68"/>
      <c r="BK771" s="68"/>
      <c r="BL771" s="68"/>
      <c r="BM771" s="68"/>
      <c r="BN771" s="68"/>
    </row>
    <row r="772" spans="1:66" ht="17">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68"/>
      <c r="AG772" s="68"/>
      <c r="AH772" s="68"/>
      <c r="AI772" s="68"/>
      <c r="AJ772" s="68"/>
      <c r="AK772" s="68"/>
      <c r="AL772" s="68"/>
      <c r="AM772" s="68"/>
      <c r="AN772" s="68"/>
      <c r="AO772" s="68"/>
      <c r="AP772" s="68"/>
      <c r="AQ772" s="68"/>
      <c r="AR772" s="68"/>
      <c r="AS772" s="68"/>
      <c r="AT772" s="68"/>
      <c r="AU772" s="68"/>
      <c r="AV772" s="68"/>
      <c r="AW772" s="68"/>
      <c r="AX772" s="68"/>
      <c r="AY772" s="68"/>
      <c r="AZ772" s="68"/>
      <c r="BA772" s="68"/>
      <c r="BB772" s="68"/>
      <c r="BC772" s="68"/>
      <c r="BD772" s="68"/>
      <c r="BE772" s="68"/>
      <c r="BF772" s="68"/>
      <c r="BG772" s="68"/>
      <c r="BH772" s="68"/>
      <c r="BI772" s="68"/>
      <c r="BJ772" s="68"/>
      <c r="BK772" s="68"/>
      <c r="BL772" s="68"/>
      <c r="BM772" s="68"/>
      <c r="BN772" s="68"/>
    </row>
    <row r="773" spans="1:66" ht="17">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8"/>
      <c r="AG773" s="68"/>
      <c r="AH773" s="68"/>
      <c r="AI773" s="68"/>
      <c r="AJ773" s="68"/>
      <c r="AK773" s="68"/>
      <c r="AL773" s="68"/>
      <c r="AM773" s="68"/>
      <c r="AN773" s="68"/>
      <c r="AO773" s="68"/>
      <c r="AP773" s="68"/>
      <c r="AQ773" s="68"/>
      <c r="AR773" s="68"/>
      <c r="AS773" s="68"/>
      <c r="AT773" s="68"/>
      <c r="AU773" s="68"/>
      <c r="AV773" s="68"/>
      <c r="AW773" s="68"/>
      <c r="AX773" s="68"/>
      <c r="AY773" s="68"/>
      <c r="AZ773" s="68"/>
      <c r="BA773" s="68"/>
      <c r="BB773" s="68"/>
      <c r="BC773" s="68"/>
      <c r="BD773" s="68"/>
      <c r="BE773" s="68"/>
      <c r="BF773" s="68"/>
      <c r="BG773" s="68"/>
      <c r="BH773" s="68"/>
      <c r="BI773" s="68"/>
      <c r="BJ773" s="68"/>
      <c r="BK773" s="68"/>
      <c r="BL773" s="68"/>
      <c r="BM773" s="68"/>
      <c r="BN773" s="68"/>
    </row>
    <row r="774" spans="1:66" ht="17">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68"/>
      <c r="AG774" s="68"/>
      <c r="AH774" s="68"/>
      <c r="AI774" s="68"/>
      <c r="AJ774" s="68"/>
      <c r="AK774" s="68"/>
      <c r="AL774" s="68"/>
      <c r="AM774" s="68"/>
      <c r="AN774" s="68"/>
      <c r="AO774" s="68"/>
      <c r="AP774" s="68"/>
      <c r="AQ774" s="68"/>
      <c r="AR774" s="68"/>
      <c r="AS774" s="68"/>
      <c r="AT774" s="68"/>
      <c r="AU774" s="68"/>
      <c r="AV774" s="68"/>
      <c r="AW774" s="68"/>
      <c r="AX774" s="68"/>
      <c r="AY774" s="68"/>
      <c r="AZ774" s="68"/>
      <c r="BA774" s="68"/>
      <c r="BB774" s="68"/>
      <c r="BC774" s="68"/>
      <c r="BD774" s="68"/>
      <c r="BE774" s="68"/>
      <c r="BF774" s="68"/>
      <c r="BG774" s="68"/>
      <c r="BH774" s="68"/>
      <c r="BI774" s="68"/>
      <c r="BJ774" s="68"/>
      <c r="BK774" s="68"/>
      <c r="BL774" s="68"/>
      <c r="BM774" s="68"/>
      <c r="BN774" s="68"/>
    </row>
    <row r="775" spans="1:66" ht="17">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68"/>
      <c r="AG775" s="68"/>
      <c r="AH775" s="68"/>
      <c r="AI775" s="68"/>
      <c r="AJ775" s="68"/>
      <c r="AK775" s="68"/>
      <c r="AL775" s="68"/>
      <c r="AM775" s="68"/>
      <c r="AN775" s="68"/>
      <c r="AO775" s="68"/>
      <c r="AP775" s="68"/>
      <c r="AQ775" s="68"/>
      <c r="AR775" s="68"/>
      <c r="AS775" s="68"/>
      <c r="AT775" s="68"/>
      <c r="AU775" s="68"/>
      <c r="AV775" s="68"/>
      <c r="AW775" s="68"/>
      <c r="AX775" s="68"/>
      <c r="AY775" s="68"/>
      <c r="AZ775" s="68"/>
      <c r="BA775" s="68"/>
      <c r="BB775" s="68"/>
      <c r="BC775" s="68"/>
      <c r="BD775" s="68"/>
      <c r="BE775" s="68"/>
      <c r="BF775" s="68"/>
      <c r="BG775" s="68"/>
      <c r="BH775" s="68"/>
      <c r="BI775" s="68"/>
      <c r="BJ775" s="68"/>
      <c r="BK775" s="68"/>
      <c r="BL775" s="68"/>
      <c r="BM775" s="68"/>
      <c r="BN775" s="68"/>
    </row>
    <row r="776" spans="1:66" ht="17">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68"/>
      <c r="AG776" s="68"/>
      <c r="AH776" s="68"/>
      <c r="AI776" s="68"/>
      <c r="AJ776" s="68"/>
      <c r="AK776" s="68"/>
      <c r="AL776" s="68"/>
      <c r="AM776" s="68"/>
      <c r="AN776" s="68"/>
      <c r="AO776" s="68"/>
      <c r="AP776" s="68"/>
      <c r="AQ776" s="68"/>
      <c r="AR776" s="68"/>
      <c r="AS776" s="68"/>
      <c r="AT776" s="68"/>
      <c r="AU776" s="68"/>
      <c r="AV776" s="68"/>
      <c r="AW776" s="68"/>
      <c r="AX776" s="68"/>
      <c r="AY776" s="68"/>
      <c r="AZ776" s="68"/>
      <c r="BA776" s="68"/>
      <c r="BB776" s="68"/>
      <c r="BC776" s="68"/>
      <c r="BD776" s="68"/>
      <c r="BE776" s="68"/>
      <c r="BF776" s="68"/>
      <c r="BG776" s="68"/>
      <c r="BH776" s="68"/>
      <c r="BI776" s="68"/>
      <c r="BJ776" s="68"/>
      <c r="BK776" s="68"/>
      <c r="BL776" s="68"/>
      <c r="BM776" s="68"/>
      <c r="BN776" s="68"/>
    </row>
    <row r="777" spans="1:66" ht="1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8"/>
      <c r="AG777" s="68"/>
      <c r="AH777" s="68"/>
      <c r="AI777" s="68"/>
      <c r="AJ777" s="68"/>
      <c r="AK777" s="68"/>
      <c r="AL777" s="68"/>
      <c r="AM777" s="68"/>
      <c r="AN777" s="68"/>
      <c r="AO777" s="68"/>
      <c r="AP777" s="68"/>
      <c r="AQ777" s="68"/>
      <c r="AR777" s="68"/>
      <c r="AS777" s="68"/>
      <c r="AT777" s="68"/>
      <c r="AU777" s="68"/>
      <c r="AV777" s="68"/>
      <c r="AW777" s="68"/>
      <c r="AX777" s="68"/>
      <c r="AY777" s="68"/>
      <c r="AZ777" s="68"/>
      <c r="BA777" s="68"/>
      <c r="BB777" s="68"/>
      <c r="BC777" s="68"/>
      <c r="BD777" s="68"/>
      <c r="BE777" s="68"/>
      <c r="BF777" s="68"/>
      <c r="BG777" s="68"/>
      <c r="BH777" s="68"/>
      <c r="BI777" s="68"/>
      <c r="BJ777" s="68"/>
      <c r="BK777" s="68"/>
      <c r="BL777" s="68"/>
      <c r="BM777" s="68"/>
      <c r="BN777" s="68"/>
    </row>
    <row r="778" spans="1:66" ht="17">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8"/>
      <c r="AG778" s="68"/>
      <c r="AH778" s="68"/>
      <c r="AI778" s="68"/>
      <c r="AJ778" s="68"/>
      <c r="AK778" s="68"/>
      <c r="AL778" s="68"/>
      <c r="AM778" s="68"/>
      <c r="AN778" s="68"/>
      <c r="AO778" s="68"/>
      <c r="AP778" s="68"/>
      <c r="AQ778" s="68"/>
      <c r="AR778" s="68"/>
      <c r="AS778" s="68"/>
      <c r="AT778" s="68"/>
      <c r="AU778" s="68"/>
      <c r="AV778" s="68"/>
      <c r="AW778" s="68"/>
      <c r="AX778" s="68"/>
      <c r="AY778" s="68"/>
      <c r="AZ778" s="68"/>
      <c r="BA778" s="68"/>
      <c r="BB778" s="68"/>
      <c r="BC778" s="68"/>
      <c r="BD778" s="68"/>
      <c r="BE778" s="68"/>
      <c r="BF778" s="68"/>
      <c r="BG778" s="68"/>
      <c r="BH778" s="68"/>
      <c r="BI778" s="68"/>
      <c r="BJ778" s="68"/>
      <c r="BK778" s="68"/>
      <c r="BL778" s="68"/>
      <c r="BM778" s="68"/>
      <c r="BN778" s="68"/>
    </row>
    <row r="779" spans="1:66" ht="17">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8"/>
      <c r="AG779" s="68"/>
      <c r="AH779" s="68"/>
      <c r="AI779" s="68"/>
      <c r="AJ779" s="68"/>
      <c r="AK779" s="68"/>
      <c r="AL779" s="68"/>
      <c r="AM779" s="68"/>
      <c r="AN779" s="68"/>
      <c r="AO779" s="68"/>
      <c r="AP779" s="68"/>
      <c r="AQ779" s="68"/>
      <c r="AR779" s="68"/>
      <c r="AS779" s="68"/>
      <c r="AT779" s="68"/>
      <c r="AU779" s="68"/>
      <c r="AV779" s="68"/>
      <c r="AW779" s="68"/>
      <c r="AX779" s="68"/>
      <c r="AY779" s="68"/>
      <c r="AZ779" s="68"/>
      <c r="BA779" s="68"/>
      <c r="BB779" s="68"/>
      <c r="BC779" s="68"/>
      <c r="BD779" s="68"/>
      <c r="BE779" s="68"/>
      <c r="BF779" s="68"/>
      <c r="BG779" s="68"/>
      <c r="BH779" s="68"/>
      <c r="BI779" s="68"/>
      <c r="BJ779" s="68"/>
      <c r="BK779" s="68"/>
      <c r="BL779" s="68"/>
      <c r="BM779" s="68"/>
      <c r="BN779" s="68"/>
    </row>
    <row r="780" spans="1:66" ht="17">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8"/>
      <c r="AG780" s="68"/>
      <c r="AH780" s="68"/>
      <c r="AI780" s="68"/>
      <c r="AJ780" s="68"/>
      <c r="AK780" s="68"/>
      <c r="AL780" s="68"/>
      <c r="AM780" s="68"/>
      <c r="AN780" s="68"/>
      <c r="AO780" s="68"/>
      <c r="AP780" s="68"/>
      <c r="AQ780" s="68"/>
      <c r="AR780" s="68"/>
      <c r="AS780" s="68"/>
      <c r="AT780" s="68"/>
      <c r="AU780" s="68"/>
      <c r="AV780" s="68"/>
      <c r="AW780" s="68"/>
      <c r="AX780" s="68"/>
      <c r="AY780" s="68"/>
      <c r="AZ780" s="68"/>
      <c r="BA780" s="68"/>
      <c r="BB780" s="68"/>
      <c r="BC780" s="68"/>
      <c r="BD780" s="68"/>
      <c r="BE780" s="68"/>
      <c r="BF780" s="68"/>
      <c r="BG780" s="68"/>
      <c r="BH780" s="68"/>
      <c r="BI780" s="68"/>
      <c r="BJ780" s="68"/>
      <c r="BK780" s="68"/>
      <c r="BL780" s="68"/>
      <c r="BM780" s="68"/>
      <c r="BN780" s="68"/>
    </row>
    <row r="781" spans="1:66" ht="17">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8"/>
      <c r="AG781" s="68"/>
      <c r="AH781" s="68"/>
      <c r="AI781" s="68"/>
      <c r="AJ781" s="68"/>
      <c r="AK781" s="68"/>
      <c r="AL781" s="68"/>
      <c r="AM781" s="68"/>
      <c r="AN781" s="68"/>
      <c r="AO781" s="68"/>
      <c r="AP781" s="68"/>
      <c r="AQ781" s="68"/>
      <c r="AR781" s="68"/>
      <c r="AS781" s="68"/>
      <c r="AT781" s="68"/>
      <c r="AU781" s="68"/>
      <c r="AV781" s="68"/>
      <c r="AW781" s="68"/>
      <c r="AX781" s="68"/>
      <c r="AY781" s="68"/>
      <c r="AZ781" s="68"/>
      <c r="BA781" s="68"/>
      <c r="BB781" s="68"/>
      <c r="BC781" s="68"/>
      <c r="BD781" s="68"/>
      <c r="BE781" s="68"/>
      <c r="BF781" s="68"/>
      <c r="BG781" s="68"/>
      <c r="BH781" s="68"/>
      <c r="BI781" s="68"/>
      <c r="BJ781" s="68"/>
      <c r="BK781" s="68"/>
      <c r="BL781" s="68"/>
      <c r="BM781" s="68"/>
      <c r="BN781" s="68"/>
    </row>
    <row r="782" spans="1:66" ht="17">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8"/>
      <c r="AG782" s="68"/>
      <c r="AH782" s="68"/>
      <c r="AI782" s="68"/>
      <c r="AJ782" s="68"/>
      <c r="AK782" s="68"/>
      <c r="AL782" s="68"/>
      <c r="AM782" s="68"/>
      <c r="AN782" s="68"/>
      <c r="AO782" s="68"/>
      <c r="AP782" s="68"/>
      <c r="AQ782" s="68"/>
      <c r="AR782" s="68"/>
      <c r="AS782" s="68"/>
      <c r="AT782" s="68"/>
      <c r="AU782" s="68"/>
      <c r="AV782" s="68"/>
      <c r="AW782" s="68"/>
      <c r="AX782" s="68"/>
      <c r="AY782" s="68"/>
      <c r="AZ782" s="68"/>
      <c r="BA782" s="68"/>
      <c r="BB782" s="68"/>
      <c r="BC782" s="68"/>
      <c r="BD782" s="68"/>
      <c r="BE782" s="68"/>
      <c r="BF782" s="68"/>
      <c r="BG782" s="68"/>
      <c r="BH782" s="68"/>
      <c r="BI782" s="68"/>
      <c r="BJ782" s="68"/>
      <c r="BK782" s="68"/>
      <c r="BL782" s="68"/>
      <c r="BM782" s="68"/>
      <c r="BN782" s="68"/>
    </row>
    <row r="783" spans="1:66" ht="17">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8"/>
      <c r="AG783" s="68"/>
      <c r="AH783" s="68"/>
      <c r="AI783" s="68"/>
      <c r="AJ783" s="68"/>
      <c r="AK783" s="68"/>
      <c r="AL783" s="68"/>
      <c r="AM783" s="68"/>
      <c r="AN783" s="68"/>
      <c r="AO783" s="68"/>
      <c r="AP783" s="68"/>
      <c r="AQ783" s="68"/>
      <c r="AR783" s="68"/>
      <c r="AS783" s="68"/>
      <c r="AT783" s="68"/>
      <c r="AU783" s="68"/>
      <c r="AV783" s="68"/>
      <c r="AW783" s="68"/>
      <c r="AX783" s="68"/>
      <c r="AY783" s="68"/>
      <c r="AZ783" s="68"/>
      <c r="BA783" s="68"/>
      <c r="BB783" s="68"/>
      <c r="BC783" s="68"/>
      <c r="BD783" s="68"/>
      <c r="BE783" s="68"/>
      <c r="BF783" s="68"/>
      <c r="BG783" s="68"/>
      <c r="BH783" s="68"/>
      <c r="BI783" s="68"/>
      <c r="BJ783" s="68"/>
      <c r="BK783" s="68"/>
      <c r="BL783" s="68"/>
      <c r="BM783" s="68"/>
      <c r="BN783" s="68"/>
    </row>
    <row r="784" spans="1:66" ht="17">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8"/>
      <c r="AG784" s="68"/>
      <c r="AH784" s="68"/>
      <c r="AI784" s="68"/>
      <c r="AJ784" s="68"/>
      <c r="AK784" s="68"/>
      <c r="AL784" s="68"/>
      <c r="AM784" s="68"/>
      <c r="AN784" s="68"/>
      <c r="AO784" s="68"/>
      <c r="AP784" s="68"/>
      <c r="AQ784" s="68"/>
      <c r="AR784" s="68"/>
      <c r="AS784" s="68"/>
      <c r="AT784" s="68"/>
      <c r="AU784" s="68"/>
      <c r="AV784" s="68"/>
      <c r="AW784" s="68"/>
      <c r="AX784" s="68"/>
      <c r="AY784" s="68"/>
      <c r="AZ784" s="68"/>
      <c r="BA784" s="68"/>
      <c r="BB784" s="68"/>
      <c r="BC784" s="68"/>
      <c r="BD784" s="68"/>
      <c r="BE784" s="68"/>
      <c r="BF784" s="68"/>
      <c r="BG784" s="68"/>
      <c r="BH784" s="68"/>
      <c r="BI784" s="68"/>
      <c r="BJ784" s="68"/>
      <c r="BK784" s="68"/>
      <c r="BL784" s="68"/>
      <c r="BM784" s="68"/>
      <c r="BN784" s="68"/>
    </row>
    <row r="785" spans="1:66" ht="17">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8"/>
      <c r="AG785" s="68"/>
      <c r="AH785" s="68"/>
      <c r="AI785" s="68"/>
      <c r="AJ785" s="68"/>
      <c r="AK785" s="68"/>
      <c r="AL785" s="68"/>
      <c r="AM785" s="68"/>
      <c r="AN785" s="68"/>
      <c r="AO785" s="68"/>
      <c r="AP785" s="68"/>
      <c r="AQ785" s="68"/>
      <c r="AR785" s="68"/>
      <c r="AS785" s="68"/>
      <c r="AT785" s="68"/>
      <c r="AU785" s="68"/>
      <c r="AV785" s="68"/>
      <c r="AW785" s="68"/>
      <c r="AX785" s="68"/>
      <c r="AY785" s="68"/>
      <c r="AZ785" s="68"/>
      <c r="BA785" s="68"/>
      <c r="BB785" s="68"/>
      <c r="BC785" s="68"/>
      <c r="BD785" s="68"/>
      <c r="BE785" s="68"/>
      <c r="BF785" s="68"/>
      <c r="BG785" s="68"/>
      <c r="BH785" s="68"/>
      <c r="BI785" s="68"/>
      <c r="BJ785" s="68"/>
      <c r="BK785" s="68"/>
      <c r="BL785" s="68"/>
      <c r="BM785" s="68"/>
      <c r="BN785" s="68"/>
    </row>
    <row r="786" spans="1:66" ht="17">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8"/>
      <c r="AG786" s="68"/>
      <c r="AH786" s="68"/>
      <c r="AI786" s="68"/>
      <c r="AJ786" s="68"/>
      <c r="AK786" s="68"/>
      <c r="AL786" s="68"/>
      <c r="AM786" s="68"/>
      <c r="AN786" s="68"/>
      <c r="AO786" s="68"/>
      <c r="AP786" s="68"/>
      <c r="AQ786" s="68"/>
      <c r="AR786" s="68"/>
      <c r="AS786" s="68"/>
      <c r="AT786" s="68"/>
      <c r="AU786" s="68"/>
      <c r="AV786" s="68"/>
      <c r="AW786" s="68"/>
      <c r="AX786" s="68"/>
      <c r="AY786" s="68"/>
      <c r="AZ786" s="68"/>
      <c r="BA786" s="68"/>
      <c r="BB786" s="68"/>
      <c r="BC786" s="68"/>
      <c r="BD786" s="68"/>
      <c r="BE786" s="68"/>
      <c r="BF786" s="68"/>
      <c r="BG786" s="68"/>
      <c r="BH786" s="68"/>
      <c r="BI786" s="68"/>
      <c r="BJ786" s="68"/>
      <c r="BK786" s="68"/>
      <c r="BL786" s="68"/>
      <c r="BM786" s="68"/>
      <c r="BN786" s="68"/>
    </row>
    <row r="787" spans="1:66" ht="1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8"/>
      <c r="AG787" s="68"/>
      <c r="AH787" s="68"/>
      <c r="AI787" s="68"/>
      <c r="AJ787" s="68"/>
      <c r="AK787" s="68"/>
      <c r="AL787" s="68"/>
      <c r="AM787" s="68"/>
      <c r="AN787" s="68"/>
      <c r="AO787" s="68"/>
      <c r="AP787" s="68"/>
      <c r="AQ787" s="68"/>
      <c r="AR787" s="68"/>
      <c r="AS787" s="68"/>
      <c r="AT787" s="68"/>
      <c r="AU787" s="68"/>
      <c r="AV787" s="68"/>
      <c r="AW787" s="68"/>
      <c r="AX787" s="68"/>
      <c r="AY787" s="68"/>
      <c r="AZ787" s="68"/>
      <c r="BA787" s="68"/>
      <c r="BB787" s="68"/>
      <c r="BC787" s="68"/>
      <c r="BD787" s="68"/>
      <c r="BE787" s="68"/>
      <c r="BF787" s="68"/>
      <c r="BG787" s="68"/>
      <c r="BH787" s="68"/>
      <c r="BI787" s="68"/>
      <c r="BJ787" s="68"/>
      <c r="BK787" s="68"/>
      <c r="BL787" s="68"/>
      <c r="BM787" s="68"/>
      <c r="BN787" s="68"/>
    </row>
    <row r="788" spans="1:66" ht="17">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8"/>
      <c r="AG788" s="68"/>
      <c r="AH788" s="68"/>
      <c r="AI788" s="68"/>
      <c r="AJ788" s="68"/>
      <c r="AK788" s="68"/>
      <c r="AL788" s="68"/>
      <c r="AM788" s="68"/>
      <c r="AN788" s="68"/>
      <c r="AO788" s="68"/>
      <c r="AP788" s="68"/>
      <c r="AQ788" s="68"/>
      <c r="AR788" s="68"/>
      <c r="AS788" s="68"/>
      <c r="AT788" s="68"/>
      <c r="AU788" s="68"/>
      <c r="AV788" s="68"/>
      <c r="AW788" s="68"/>
      <c r="AX788" s="68"/>
      <c r="AY788" s="68"/>
      <c r="AZ788" s="68"/>
      <c r="BA788" s="68"/>
      <c r="BB788" s="68"/>
      <c r="BC788" s="68"/>
      <c r="BD788" s="68"/>
      <c r="BE788" s="68"/>
      <c r="BF788" s="68"/>
      <c r="BG788" s="68"/>
      <c r="BH788" s="68"/>
      <c r="BI788" s="68"/>
      <c r="BJ788" s="68"/>
      <c r="BK788" s="68"/>
      <c r="BL788" s="68"/>
      <c r="BM788" s="68"/>
      <c r="BN788" s="68"/>
    </row>
    <row r="789" spans="1:66" ht="17">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8"/>
      <c r="AG789" s="68"/>
      <c r="AH789" s="68"/>
      <c r="AI789" s="68"/>
      <c r="AJ789" s="68"/>
      <c r="AK789" s="68"/>
      <c r="AL789" s="68"/>
      <c r="AM789" s="68"/>
      <c r="AN789" s="68"/>
      <c r="AO789" s="68"/>
      <c r="AP789" s="68"/>
      <c r="AQ789" s="68"/>
      <c r="AR789" s="68"/>
      <c r="AS789" s="68"/>
      <c r="AT789" s="68"/>
      <c r="AU789" s="68"/>
      <c r="AV789" s="68"/>
      <c r="AW789" s="68"/>
      <c r="AX789" s="68"/>
      <c r="AY789" s="68"/>
      <c r="AZ789" s="68"/>
      <c r="BA789" s="68"/>
      <c r="BB789" s="68"/>
      <c r="BC789" s="68"/>
      <c r="BD789" s="68"/>
      <c r="BE789" s="68"/>
      <c r="BF789" s="68"/>
      <c r="BG789" s="68"/>
      <c r="BH789" s="68"/>
      <c r="BI789" s="68"/>
      <c r="BJ789" s="68"/>
      <c r="BK789" s="68"/>
      <c r="BL789" s="68"/>
      <c r="BM789" s="68"/>
      <c r="BN789" s="68"/>
    </row>
    <row r="790" spans="1:66" ht="17">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8"/>
      <c r="AG790" s="68"/>
      <c r="AH790" s="68"/>
      <c r="AI790" s="68"/>
      <c r="AJ790" s="68"/>
      <c r="AK790" s="68"/>
      <c r="AL790" s="68"/>
      <c r="AM790" s="68"/>
      <c r="AN790" s="68"/>
      <c r="AO790" s="68"/>
      <c r="AP790" s="68"/>
      <c r="AQ790" s="68"/>
      <c r="AR790" s="68"/>
      <c r="AS790" s="68"/>
      <c r="AT790" s="68"/>
      <c r="AU790" s="68"/>
      <c r="AV790" s="68"/>
      <c r="AW790" s="68"/>
      <c r="AX790" s="68"/>
      <c r="AY790" s="68"/>
      <c r="AZ790" s="68"/>
      <c r="BA790" s="68"/>
      <c r="BB790" s="68"/>
      <c r="BC790" s="68"/>
      <c r="BD790" s="68"/>
      <c r="BE790" s="68"/>
      <c r="BF790" s="68"/>
      <c r="BG790" s="68"/>
      <c r="BH790" s="68"/>
      <c r="BI790" s="68"/>
      <c r="BJ790" s="68"/>
      <c r="BK790" s="68"/>
      <c r="BL790" s="68"/>
      <c r="BM790" s="68"/>
      <c r="BN790" s="68"/>
    </row>
    <row r="791" spans="1:66" ht="17">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8"/>
      <c r="AG791" s="68"/>
      <c r="AH791" s="68"/>
      <c r="AI791" s="68"/>
      <c r="AJ791" s="68"/>
      <c r="AK791" s="68"/>
      <c r="AL791" s="68"/>
      <c r="AM791" s="68"/>
      <c r="AN791" s="68"/>
      <c r="AO791" s="68"/>
      <c r="AP791" s="68"/>
      <c r="AQ791" s="68"/>
      <c r="AR791" s="68"/>
      <c r="AS791" s="68"/>
      <c r="AT791" s="68"/>
      <c r="AU791" s="68"/>
      <c r="AV791" s="68"/>
      <c r="AW791" s="68"/>
      <c r="AX791" s="68"/>
      <c r="AY791" s="68"/>
      <c r="AZ791" s="68"/>
      <c r="BA791" s="68"/>
      <c r="BB791" s="68"/>
      <c r="BC791" s="68"/>
      <c r="BD791" s="68"/>
      <c r="BE791" s="68"/>
      <c r="BF791" s="68"/>
      <c r="BG791" s="68"/>
      <c r="BH791" s="68"/>
      <c r="BI791" s="68"/>
      <c r="BJ791" s="68"/>
      <c r="BK791" s="68"/>
      <c r="BL791" s="68"/>
      <c r="BM791" s="68"/>
      <c r="BN791" s="68"/>
    </row>
    <row r="792" spans="1:66" ht="17">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8"/>
      <c r="AG792" s="68"/>
      <c r="AH792" s="68"/>
      <c r="AI792" s="68"/>
      <c r="AJ792" s="68"/>
      <c r="AK792" s="68"/>
      <c r="AL792" s="68"/>
      <c r="AM792" s="68"/>
      <c r="AN792" s="68"/>
      <c r="AO792" s="68"/>
      <c r="AP792" s="68"/>
      <c r="AQ792" s="68"/>
      <c r="AR792" s="68"/>
      <c r="AS792" s="68"/>
      <c r="AT792" s="68"/>
      <c r="AU792" s="68"/>
      <c r="AV792" s="68"/>
      <c r="AW792" s="68"/>
      <c r="AX792" s="68"/>
      <c r="AY792" s="68"/>
      <c r="AZ792" s="68"/>
      <c r="BA792" s="68"/>
      <c r="BB792" s="68"/>
      <c r="BC792" s="68"/>
      <c r="BD792" s="68"/>
      <c r="BE792" s="68"/>
      <c r="BF792" s="68"/>
      <c r="BG792" s="68"/>
      <c r="BH792" s="68"/>
      <c r="BI792" s="68"/>
      <c r="BJ792" s="68"/>
      <c r="BK792" s="68"/>
      <c r="BL792" s="68"/>
      <c r="BM792" s="68"/>
      <c r="BN792" s="68"/>
    </row>
    <row r="793" spans="1:66" ht="17">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8"/>
      <c r="AG793" s="68"/>
      <c r="AH793" s="68"/>
      <c r="AI793" s="68"/>
      <c r="AJ793" s="68"/>
      <c r="AK793" s="68"/>
      <c r="AL793" s="68"/>
      <c r="AM793" s="68"/>
      <c r="AN793" s="68"/>
      <c r="AO793" s="68"/>
      <c r="AP793" s="68"/>
      <c r="AQ793" s="68"/>
      <c r="AR793" s="68"/>
      <c r="AS793" s="68"/>
      <c r="AT793" s="68"/>
      <c r="AU793" s="68"/>
      <c r="AV793" s="68"/>
      <c r="AW793" s="68"/>
      <c r="AX793" s="68"/>
      <c r="AY793" s="68"/>
      <c r="AZ793" s="68"/>
      <c r="BA793" s="68"/>
      <c r="BB793" s="68"/>
      <c r="BC793" s="68"/>
      <c r="BD793" s="68"/>
      <c r="BE793" s="68"/>
      <c r="BF793" s="68"/>
      <c r="BG793" s="68"/>
      <c r="BH793" s="68"/>
      <c r="BI793" s="68"/>
      <c r="BJ793" s="68"/>
      <c r="BK793" s="68"/>
      <c r="BL793" s="68"/>
      <c r="BM793" s="68"/>
      <c r="BN793" s="68"/>
    </row>
    <row r="794" spans="1:66" ht="17">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8"/>
      <c r="AG794" s="68"/>
      <c r="AH794" s="68"/>
      <c r="AI794" s="68"/>
      <c r="AJ794" s="68"/>
      <c r="AK794" s="68"/>
      <c r="AL794" s="68"/>
      <c r="AM794" s="68"/>
      <c r="AN794" s="68"/>
      <c r="AO794" s="68"/>
      <c r="AP794" s="68"/>
      <c r="AQ794" s="68"/>
      <c r="AR794" s="68"/>
      <c r="AS794" s="68"/>
      <c r="AT794" s="68"/>
      <c r="AU794" s="68"/>
      <c r="AV794" s="68"/>
      <c r="AW794" s="68"/>
      <c r="AX794" s="68"/>
      <c r="AY794" s="68"/>
      <c r="AZ794" s="68"/>
      <c r="BA794" s="68"/>
      <c r="BB794" s="68"/>
      <c r="BC794" s="68"/>
      <c r="BD794" s="68"/>
      <c r="BE794" s="68"/>
      <c r="BF794" s="68"/>
      <c r="BG794" s="68"/>
      <c r="BH794" s="68"/>
      <c r="BI794" s="68"/>
      <c r="BJ794" s="68"/>
      <c r="BK794" s="68"/>
      <c r="BL794" s="68"/>
      <c r="BM794" s="68"/>
      <c r="BN794" s="68"/>
    </row>
    <row r="795" spans="1:66" ht="17">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8"/>
      <c r="AG795" s="68"/>
      <c r="AH795" s="68"/>
      <c r="AI795" s="68"/>
      <c r="AJ795" s="68"/>
      <c r="AK795" s="68"/>
      <c r="AL795" s="68"/>
      <c r="AM795" s="68"/>
      <c r="AN795" s="68"/>
      <c r="AO795" s="68"/>
      <c r="AP795" s="68"/>
      <c r="AQ795" s="68"/>
      <c r="AR795" s="68"/>
      <c r="AS795" s="68"/>
      <c r="AT795" s="68"/>
      <c r="AU795" s="68"/>
      <c r="AV795" s="68"/>
      <c r="AW795" s="68"/>
      <c r="AX795" s="68"/>
      <c r="AY795" s="68"/>
      <c r="AZ795" s="68"/>
      <c r="BA795" s="68"/>
      <c r="BB795" s="68"/>
      <c r="BC795" s="68"/>
      <c r="BD795" s="68"/>
      <c r="BE795" s="68"/>
      <c r="BF795" s="68"/>
      <c r="BG795" s="68"/>
      <c r="BH795" s="68"/>
      <c r="BI795" s="68"/>
      <c r="BJ795" s="68"/>
      <c r="BK795" s="68"/>
      <c r="BL795" s="68"/>
      <c r="BM795" s="68"/>
      <c r="BN795" s="68"/>
    </row>
    <row r="796" spans="1:66" ht="17">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8"/>
      <c r="AG796" s="68"/>
      <c r="AH796" s="68"/>
      <c r="AI796" s="68"/>
      <c r="AJ796" s="68"/>
      <c r="AK796" s="68"/>
      <c r="AL796" s="68"/>
      <c r="AM796" s="68"/>
      <c r="AN796" s="68"/>
      <c r="AO796" s="68"/>
      <c r="AP796" s="68"/>
      <c r="AQ796" s="68"/>
      <c r="AR796" s="68"/>
      <c r="AS796" s="68"/>
      <c r="AT796" s="68"/>
      <c r="AU796" s="68"/>
      <c r="AV796" s="68"/>
      <c r="AW796" s="68"/>
      <c r="AX796" s="68"/>
      <c r="AY796" s="68"/>
      <c r="AZ796" s="68"/>
      <c r="BA796" s="68"/>
      <c r="BB796" s="68"/>
      <c r="BC796" s="68"/>
      <c r="BD796" s="68"/>
      <c r="BE796" s="68"/>
      <c r="BF796" s="68"/>
      <c r="BG796" s="68"/>
      <c r="BH796" s="68"/>
      <c r="BI796" s="68"/>
      <c r="BJ796" s="68"/>
      <c r="BK796" s="68"/>
      <c r="BL796" s="68"/>
      <c r="BM796" s="68"/>
      <c r="BN796" s="68"/>
    </row>
    <row r="797" spans="1:66" ht="1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8"/>
      <c r="AG797" s="68"/>
      <c r="AH797" s="68"/>
      <c r="AI797" s="68"/>
      <c r="AJ797" s="68"/>
      <c r="AK797" s="68"/>
      <c r="AL797" s="68"/>
      <c r="AM797" s="68"/>
      <c r="AN797" s="68"/>
      <c r="AO797" s="68"/>
      <c r="AP797" s="68"/>
      <c r="AQ797" s="68"/>
      <c r="AR797" s="68"/>
      <c r="AS797" s="68"/>
      <c r="AT797" s="68"/>
      <c r="AU797" s="68"/>
      <c r="AV797" s="68"/>
      <c r="AW797" s="68"/>
      <c r="AX797" s="68"/>
      <c r="AY797" s="68"/>
      <c r="AZ797" s="68"/>
      <c r="BA797" s="68"/>
      <c r="BB797" s="68"/>
      <c r="BC797" s="68"/>
      <c r="BD797" s="68"/>
      <c r="BE797" s="68"/>
      <c r="BF797" s="68"/>
      <c r="BG797" s="68"/>
      <c r="BH797" s="68"/>
      <c r="BI797" s="68"/>
      <c r="BJ797" s="68"/>
      <c r="BK797" s="68"/>
      <c r="BL797" s="68"/>
      <c r="BM797" s="68"/>
      <c r="BN797" s="68"/>
    </row>
    <row r="798" spans="1:66" ht="17">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8"/>
      <c r="AG798" s="68"/>
      <c r="AH798" s="68"/>
      <c r="AI798" s="68"/>
      <c r="AJ798" s="68"/>
      <c r="AK798" s="68"/>
      <c r="AL798" s="68"/>
      <c r="AM798" s="68"/>
      <c r="AN798" s="68"/>
      <c r="AO798" s="68"/>
      <c r="AP798" s="68"/>
      <c r="AQ798" s="68"/>
      <c r="AR798" s="68"/>
      <c r="AS798" s="68"/>
      <c r="AT798" s="68"/>
      <c r="AU798" s="68"/>
      <c r="AV798" s="68"/>
      <c r="AW798" s="68"/>
      <c r="AX798" s="68"/>
      <c r="AY798" s="68"/>
      <c r="AZ798" s="68"/>
      <c r="BA798" s="68"/>
      <c r="BB798" s="68"/>
      <c r="BC798" s="68"/>
      <c r="BD798" s="68"/>
      <c r="BE798" s="68"/>
      <c r="BF798" s="68"/>
      <c r="BG798" s="68"/>
      <c r="BH798" s="68"/>
      <c r="BI798" s="68"/>
      <c r="BJ798" s="68"/>
      <c r="BK798" s="68"/>
      <c r="BL798" s="68"/>
      <c r="BM798" s="68"/>
      <c r="BN798" s="68"/>
    </row>
    <row r="799" spans="1:66" ht="17">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8"/>
      <c r="AG799" s="68"/>
      <c r="AH799" s="68"/>
      <c r="AI799" s="68"/>
      <c r="AJ799" s="68"/>
      <c r="AK799" s="68"/>
      <c r="AL799" s="68"/>
      <c r="AM799" s="68"/>
      <c r="AN799" s="68"/>
      <c r="AO799" s="68"/>
      <c r="AP799" s="68"/>
      <c r="AQ799" s="68"/>
      <c r="AR799" s="68"/>
      <c r="AS799" s="68"/>
      <c r="AT799" s="68"/>
      <c r="AU799" s="68"/>
      <c r="AV799" s="68"/>
      <c r="AW799" s="68"/>
      <c r="AX799" s="68"/>
      <c r="AY799" s="68"/>
      <c r="AZ799" s="68"/>
      <c r="BA799" s="68"/>
      <c r="BB799" s="68"/>
      <c r="BC799" s="68"/>
      <c r="BD799" s="68"/>
      <c r="BE799" s="68"/>
      <c r="BF799" s="68"/>
      <c r="BG799" s="68"/>
      <c r="BH799" s="68"/>
      <c r="BI799" s="68"/>
      <c r="BJ799" s="68"/>
      <c r="BK799" s="68"/>
      <c r="BL799" s="68"/>
      <c r="BM799" s="68"/>
      <c r="BN799" s="68"/>
    </row>
    <row r="800" spans="1:66" ht="17">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8"/>
      <c r="AG800" s="68"/>
      <c r="AH800" s="68"/>
      <c r="AI800" s="68"/>
      <c r="AJ800" s="68"/>
      <c r="AK800" s="68"/>
      <c r="AL800" s="68"/>
      <c r="AM800" s="68"/>
      <c r="AN800" s="68"/>
      <c r="AO800" s="68"/>
      <c r="AP800" s="68"/>
      <c r="AQ800" s="68"/>
      <c r="AR800" s="68"/>
      <c r="AS800" s="68"/>
      <c r="AT800" s="68"/>
      <c r="AU800" s="68"/>
      <c r="AV800" s="68"/>
      <c r="AW800" s="68"/>
      <c r="AX800" s="68"/>
      <c r="AY800" s="68"/>
      <c r="AZ800" s="68"/>
      <c r="BA800" s="68"/>
      <c r="BB800" s="68"/>
      <c r="BC800" s="68"/>
      <c r="BD800" s="68"/>
      <c r="BE800" s="68"/>
      <c r="BF800" s="68"/>
      <c r="BG800" s="68"/>
      <c r="BH800" s="68"/>
      <c r="BI800" s="68"/>
      <c r="BJ800" s="68"/>
      <c r="BK800" s="68"/>
      <c r="BL800" s="68"/>
      <c r="BM800" s="68"/>
      <c r="BN800" s="68"/>
    </row>
    <row r="801" spans="1:66" ht="17">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8"/>
      <c r="AG801" s="68"/>
      <c r="AH801" s="68"/>
      <c r="AI801" s="68"/>
      <c r="AJ801" s="68"/>
      <c r="AK801" s="68"/>
      <c r="AL801" s="68"/>
      <c r="AM801" s="68"/>
      <c r="AN801" s="68"/>
      <c r="AO801" s="68"/>
      <c r="AP801" s="68"/>
      <c r="AQ801" s="68"/>
      <c r="AR801" s="68"/>
      <c r="AS801" s="68"/>
      <c r="AT801" s="68"/>
      <c r="AU801" s="68"/>
      <c r="AV801" s="68"/>
      <c r="AW801" s="68"/>
      <c r="AX801" s="68"/>
      <c r="AY801" s="68"/>
      <c r="AZ801" s="68"/>
      <c r="BA801" s="68"/>
      <c r="BB801" s="68"/>
      <c r="BC801" s="68"/>
      <c r="BD801" s="68"/>
      <c r="BE801" s="68"/>
      <c r="BF801" s="68"/>
      <c r="BG801" s="68"/>
      <c r="BH801" s="68"/>
      <c r="BI801" s="68"/>
      <c r="BJ801" s="68"/>
      <c r="BK801" s="68"/>
      <c r="BL801" s="68"/>
      <c r="BM801" s="68"/>
      <c r="BN801" s="68"/>
    </row>
    <row r="802" spans="1:66" ht="17">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8"/>
      <c r="AG802" s="68"/>
      <c r="AH802" s="68"/>
      <c r="AI802" s="68"/>
      <c r="AJ802" s="68"/>
      <c r="AK802" s="68"/>
      <c r="AL802" s="68"/>
      <c r="AM802" s="68"/>
      <c r="AN802" s="68"/>
      <c r="AO802" s="68"/>
      <c r="AP802" s="68"/>
      <c r="AQ802" s="68"/>
      <c r="AR802" s="68"/>
      <c r="AS802" s="68"/>
      <c r="AT802" s="68"/>
      <c r="AU802" s="68"/>
      <c r="AV802" s="68"/>
      <c r="AW802" s="68"/>
      <c r="AX802" s="68"/>
      <c r="AY802" s="68"/>
      <c r="AZ802" s="68"/>
      <c r="BA802" s="68"/>
      <c r="BB802" s="68"/>
      <c r="BC802" s="68"/>
      <c r="BD802" s="68"/>
      <c r="BE802" s="68"/>
      <c r="BF802" s="68"/>
      <c r="BG802" s="68"/>
      <c r="BH802" s="68"/>
      <c r="BI802" s="68"/>
      <c r="BJ802" s="68"/>
      <c r="BK802" s="68"/>
      <c r="BL802" s="68"/>
      <c r="BM802" s="68"/>
      <c r="BN802" s="68"/>
    </row>
    <row r="803" spans="1:66" ht="17">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8"/>
      <c r="AG803" s="68"/>
      <c r="AH803" s="68"/>
      <c r="AI803" s="68"/>
      <c r="AJ803" s="68"/>
      <c r="AK803" s="68"/>
      <c r="AL803" s="68"/>
      <c r="AM803" s="68"/>
      <c r="AN803" s="68"/>
      <c r="AO803" s="68"/>
      <c r="AP803" s="68"/>
      <c r="AQ803" s="68"/>
      <c r="AR803" s="68"/>
      <c r="AS803" s="68"/>
      <c r="AT803" s="68"/>
      <c r="AU803" s="68"/>
      <c r="AV803" s="68"/>
      <c r="AW803" s="68"/>
      <c r="AX803" s="68"/>
      <c r="AY803" s="68"/>
      <c r="AZ803" s="68"/>
      <c r="BA803" s="68"/>
      <c r="BB803" s="68"/>
      <c r="BC803" s="68"/>
      <c r="BD803" s="68"/>
      <c r="BE803" s="68"/>
      <c r="BF803" s="68"/>
      <c r="BG803" s="68"/>
      <c r="BH803" s="68"/>
      <c r="BI803" s="68"/>
      <c r="BJ803" s="68"/>
      <c r="BK803" s="68"/>
      <c r="BL803" s="68"/>
      <c r="BM803" s="68"/>
      <c r="BN803" s="68"/>
    </row>
    <row r="804" spans="1:66" ht="17">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8"/>
      <c r="AG804" s="68"/>
      <c r="AH804" s="68"/>
      <c r="AI804" s="68"/>
      <c r="AJ804" s="68"/>
      <c r="AK804" s="68"/>
      <c r="AL804" s="68"/>
      <c r="AM804" s="68"/>
      <c r="AN804" s="68"/>
      <c r="AO804" s="68"/>
      <c r="AP804" s="68"/>
      <c r="AQ804" s="68"/>
      <c r="AR804" s="68"/>
      <c r="AS804" s="68"/>
      <c r="AT804" s="68"/>
      <c r="AU804" s="68"/>
      <c r="AV804" s="68"/>
      <c r="AW804" s="68"/>
      <c r="AX804" s="68"/>
      <c r="AY804" s="68"/>
      <c r="AZ804" s="68"/>
      <c r="BA804" s="68"/>
      <c r="BB804" s="68"/>
      <c r="BC804" s="68"/>
      <c r="BD804" s="68"/>
      <c r="BE804" s="68"/>
      <c r="BF804" s="68"/>
      <c r="BG804" s="68"/>
      <c r="BH804" s="68"/>
      <c r="BI804" s="68"/>
      <c r="BJ804" s="68"/>
      <c r="BK804" s="68"/>
      <c r="BL804" s="68"/>
      <c r="BM804" s="68"/>
      <c r="BN804" s="68"/>
    </row>
    <row r="805" spans="1:66" ht="17">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8"/>
      <c r="AG805" s="68"/>
      <c r="AH805" s="68"/>
      <c r="AI805" s="68"/>
      <c r="AJ805" s="68"/>
      <c r="AK805" s="68"/>
      <c r="AL805" s="68"/>
      <c r="AM805" s="68"/>
      <c r="AN805" s="68"/>
      <c r="AO805" s="68"/>
      <c r="AP805" s="68"/>
      <c r="AQ805" s="68"/>
      <c r="AR805" s="68"/>
      <c r="AS805" s="68"/>
      <c r="AT805" s="68"/>
      <c r="AU805" s="68"/>
      <c r="AV805" s="68"/>
      <c r="AW805" s="68"/>
      <c r="AX805" s="68"/>
      <c r="AY805" s="68"/>
      <c r="AZ805" s="68"/>
      <c r="BA805" s="68"/>
      <c r="BB805" s="68"/>
      <c r="BC805" s="68"/>
      <c r="BD805" s="68"/>
      <c r="BE805" s="68"/>
      <c r="BF805" s="68"/>
      <c r="BG805" s="68"/>
      <c r="BH805" s="68"/>
      <c r="BI805" s="68"/>
      <c r="BJ805" s="68"/>
      <c r="BK805" s="68"/>
      <c r="BL805" s="68"/>
      <c r="BM805" s="68"/>
      <c r="BN805" s="68"/>
    </row>
    <row r="806" spans="1:66" ht="17">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8"/>
      <c r="AG806" s="68"/>
      <c r="AH806" s="68"/>
      <c r="AI806" s="68"/>
      <c r="AJ806" s="68"/>
      <c r="AK806" s="68"/>
      <c r="AL806" s="68"/>
      <c r="AM806" s="68"/>
      <c r="AN806" s="68"/>
      <c r="AO806" s="68"/>
      <c r="AP806" s="68"/>
      <c r="AQ806" s="68"/>
      <c r="AR806" s="68"/>
      <c r="AS806" s="68"/>
      <c r="AT806" s="68"/>
      <c r="AU806" s="68"/>
      <c r="AV806" s="68"/>
      <c r="AW806" s="68"/>
      <c r="AX806" s="68"/>
      <c r="AY806" s="68"/>
      <c r="AZ806" s="68"/>
      <c r="BA806" s="68"/>
      <c r="BB806" s="68"/>
      <c r="BC806" s="68"/>
      <c r="BD806" s="68"/>
      <c r="BE806" s="68"/>
      <c r="BF806" s="68"/>
      <c r="BG806" s="68"/>
      <c r="BH806" s="68"/>
      <c r="BI806" s="68"/>
      <c r="BJ806" s="68"/>
      <c r="BK806" s="68"/>
      <c r="BL806" s="68"/>
      <c r="BM806" s="68"/>
      <c r="BN806" s="68"/>
    </row>
    <row r="807" spans="1:66" ht="1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8"/>
      <c r="AG807" s="68"/>
      <c r="AH807" s="68"/>
      <c r="AI807" s="68"/>
      <c r="AJ807" s="68"/>
      <c r="AK807" s="68"/>
      <c r="AL807" s="68"/>
      <c r="AM807" s="68"/>
      <c r="AN807" s="68"/>
      <c r="AO807" s="68"/>
      <c r="AP807" s="68"/>
      <c r="AQ807" s="68"/>
      <c r="AR807" s="68"/>
      <c r="AS807" s="68"/>
      <c r="AT807" s="68"/>
      <c r="AU807" s="68"/>
      <c r="AV807" s="68"/>
      <c r="AW807" s="68"/>
      <c r="AX807" s="68"/>
      <c r="AY807" s="68"/>
      <c r="AZ807" s="68"/>
      <c r="BA807" s="68"/>
      <c r="BB807" s="68"/>
      <c r="BC807" s="68"/>
      <c r="BD807" s="68"/>
      <c r="BE807" s="68"/>
      <c r="BF807" s="68"/>
      <c r="BG807" s="68"/>
      <c r="BH807" s="68"/>
      <c r="BI807" s="68"/>
      <c r="BJ807" s="68"/>
      <c r="BK807" s="68"/>
      <c r="BL807" s="68"/>
      <c r="BM807" s="68"/>
      <c r="BN807" s="68"/>
    </row>
    <row r="808" spans="1:66" ht="17">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8"/>
      <c r="AG808" s="68"/>
      <c r="AH808" s="68"/>
      <c r="AI808" s="68"/>
      <c r="AJ808" s="68"/>
      <c r="AK808" s="68"/>
      <c r="AL808" s="68"/>
      <c r="AM808" s="68"/>
      <c r="AN808" s="68"/>
      <c r="AO808" s="68"/>
      <c r="AP808" s="68"/>
      <c r="AQ808" s="68"/>
      <c r="AR808" s="68"/>
      <c r="AS808" s="68"/>
      <c r="AT808" s="68"/>
      <c r="AU808" s="68"/>
      <c r="AV808" s="68"/>
      <c r="AW808" s="68"/>
      <c r="AX808" s="68"/>
      <c r="AY808" s="68"/>
      <c r="AZ808" s="68"/>
      <c r="BA808" s="68"/>
      <c r="BB808" s="68"/>
      <c r="BC808" s="68"/>
      <c r="BD808" s="68"/>
      <c r="BE808" s="68"/>
      <c r="BF808" s="68"/>
      <c r="BG808" s="68"/>
      <c r="BH808" s="68"/>
      <c r="BI808" s="68"/>
      <c r="BJ808" s="68"/>
      <c r="BK808" s="68"/>
      <c r="BL808" s="68"/>
      <c r="BM808" s="68"/>
      <c r="BN808" s="68"/>
    </row>
    <row r="809" spans="1:66" ht="17">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8"/>
      <c r="AG809" s="68"/>
      <c r="AH809" s="68"/>
      <c r="AI809" s="68"/>
      <c r="AJ809" s="68"/>
      <c r="AK809" s="68"/>
      <c r="AL809" s="68"/>
      <c r="AM809" s="68"/>
      <c r="AN809" s="68"/>
      <c r="AO809" s="68"/>
      <c r="AP809" s="68"/>
      <c r="AQ809" s="68"/>
      <c r="AR809" s="68"/>
      <c r="AS809" s="68"/>
      <c r="AT809" s="68"/>
      <c r="AU809" s="68"/>
      <c r="AV809" s="68"/>
      <c r="AW809" s="68"/>
      <c r="AX809" s="68"/>
      <c r="AY809" s="68"/>
      <c r="AZ809" s="68"/>
      <c r="BA809" s="68"/>
      <c r="BB809" s="68"/>
      <c r="BC809" s="68"/>
      <c r="BD809" s="68"/>
      <c r="BE809" s="68"/>
      <c r="BF809" s="68"/>
      <c r="BG809" s="68"/>
      <c r="BH809" s="68"/>
      <c r="BI809" s="68"/>
      <c r="BJ809" s="68"/>
      <c r="BK809" s="68"/>
      <c r="BL809" s="68"/>
      <c r="BM809" s="68"/>
      <c r="BN809" s="68"/>
    </row>
    <row r="810" spans="1:66" ht="17">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8"/>
      <c r="AG810" s="68"/>
      <c r="AH810" s="68"/>
      <c r="AI810" s="68"/>
      <c r="AJ810" s="68"/>
      <c r="AK810" s="68"/>
      <c r="AL810" s="68"/>
      <c r="AM810" s="68"/>
      <c r="AN810" s="68"/>
      <c r="AO810" s="68"/>
      <c r="AP810" s="68"/>
      <c r="AQ810" s="68"/>
      <c r="AR810" s="68"/>
      <c r="AS810" s="68"/>
      <c r="AT810" s="68"/>
      <c r="AU810" s="68"/>
      <c r="AV810" s="68"/>
      <c r="AW810" s="68"/>
      <c r="AX810" s="68"/>
      <c r="AY810" s="68"/>
      <c r="AZ810" s="68"/>
      <c r="BA810" s="68"/>
      <c r="BB810" s="68"/>
      <c r="BC810" s="68"/>
      <c r="BD810" s="68"/>
      <c r="BE810" s="68"/>
      <c r="BF810" s="68"/>
      <c r="BG810" s="68"/>
      <c r="BH810" s="68"/>
      <c r="BI810" s="68"/>
      <c r="BJ810" s="68"/>
      <c r="BK810" s="68"/>
      <c r="BL810" s="68"/>
      <c r="BM810" s="68"/>
      <c r="BN810" s="68"/>
    </row>
    <row r="811" spans="1:66" ht="17">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8"/>
      <c r="AG811" s="68"/>
      <c r="AH811" s="68"/>
      <c r="AI811" s="68"/>
      <c r="AJ811" s="68"/>
      <c r="AK811" s="68"/>
      <c r="AL811" s="68"/>
      <c r="AM811" s="68"/>
      <c r="AN811" s="68"/>
      <c r="AO811" s="68"/>
      <c r="AP811" s="68"/>
      <c r="AQ811" s="68"/>
      <c r="AR811" s="68"/>
      <c r="AS811" s="68"/>
      <c r="AT811" s="68"/>
      <c r="AU811" s="68"/>
      <c r="AV811" s="68"/>
      <c r="AW811" s="68"/>
      <c r="AX811" s="68"/>
      <c r="AY811" s="68"/>
      <c r="AZ811" s="68"/>
      <c r="BA811" s="68"/>
      <c r="BB811" s="68"/>
      <c r="BC811" s="68"/>
      <c r="BD811" s="68"/>
      <c r="BE811" s="68"/>
      <c r="BF811" s="68"/>
      <c r="BG811" s="68"/>
      <c r="BH811" s="68"/>
      <c r="BI811" s="68"/>
      <c r="BJ811" s="68"/>
      <c r="BK811" s="68"/>
      <c r="BL811" s="68"/>
      <c r="BM811" s="68"/>
      <c r="BN811" s="68"/>
    </row>
    <row r="812" spans="1:66" ht="17">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8"/>
      <c r="AG812" s="68"/>
      <c r="AH812" s="68"/>
      <c r="AI812" s="68"/>
      <c r="AJ812" s="68"/>
      <c r="AK812" s="68"/>
      <c r="AL812" s="68"/>
      <c r="AM812" s="68"/>
      <c r="AN812" s="68"/>
      <c r="AO812" s="68"/>
      <c r="AP812" s="68"/>
      <c r="AQ812" s="68"/>
      <c r="AR812" s="68"/>
      <c r="AS812" s="68"/>
      <c r="AT812" s="68"/>
      <c r="AU812" s="68"/>
      <c r="AV812" s="68"/>
      <c r="AW812" s="68"/>
      <c r="AX812" s="68"/>
      <c r="AY812" s="68"/>
      <c r="AZ812" s="68"/>
      <c r="BA812" s="68"/>
      <c r="BB812" s="68"/>
      <c r="BC812" s="68"/>
      <c r="BD812" s="68"/>
      <c r="BE812" s="68"/>
      <c r="BF812" s="68"/>
      <c r="BG812" s="68"/>
      <c r="BH812" s="68"/>
      <c r="BI812" s="68"/>
      <c r="BJ812" s="68"/>
      <c r="BK812" s="68"/>
      <c r="BL812" s="68"/>
      <c r="BM812" s="68"/>
      <c r="BN812" s="68"/>
    </row>
    <row r="813" spans="1:66" ht="17">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8"/>
      <c r="AG813" s="68"/>
      <c r="AH813" s="68"/>
      <c r="AI813" s="68"/>
      <c r="AJ813" s="68"/>
      <c r="AK813" s="68"/>
      <c r="AL813" s="68"/>
      <c r="AM813" s="68"/>
      <c r="AN813" s="68"/>
      <c r="AO813" s="68"/>
      <c r="AP813" s="68"/>
      <c r="AQ813" s="68"/>
      <c r="AR813" s="68"/>
      <c r="AS813" s="68"/>
      <c r="AT813" s="68"/>
      <c r="AU813" s="68"/>
      <c r="AV813" s="68"/>
      <c r="AW813" s="68"/>
      <c r="AX813" s="68"/>
      <c r="AY813" s="68"/>
      <c r="AZ813" s="68"/>
      <c r="BA813" s="68"/>
      <c r="BB813" s="68"/>
      <c r="BC813" s="68"/>
      <c r="BD813" s="68"/>
      <c r="BE813" s="68"/>
      <c r="BF813" s="68"/>
      <c r="BG813" s="68"/>
      <c r="BH813" s="68"/>
      <c r="BI813" s="68"/>
      <c r="BJ813" s="68"/>
      <c r="BK813" s="68"/>
      <c r="BL813" s="68"/>
      <c r="BM813" s="68"/>
      <c r="BN813" s="68"/>
    </row>
    <row r="814" spans="1:66" ht="17">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8"/>
      <c r="AG814" s="68"/>
      <c r="AH814" s="68"/>
      <c r="AI814" s="68"/>
      <c r="AJ814" s="68"/>
      <c r="AK814" s="68"/>
      <c r="AL814" s="68"/>
      <c r="AM814" s="68"/>
      <c r="AN814" s="68"/>
      <c r="AO814" s="68"/>
      <c r="AP814" s="68"/>
      <c r="AQ814" s="68"/>
      <c r="AR814" s="68"/>
      <c r="AS814" s="68"/>
      <c r="AT814" s="68"/>
      <c r="AU814" s="68"/>
      <c r="AV814" s="68"/>
      <c r="AW814" s="68"/>
      <c r="AX814" s="68"/>
      <c r="AY814" s="68"/>
      <c r="AZ814" s="68"/>
      <c r="BA814" s="68"/>
      <c r="BB814" s="68"/>
      <c r="BC814" s="68"/>
      <c r="BD814" s="68"/>
      <c r="BE814" s="68"/>
      <c r="BF814" s="68"/>
      <c r="BG814" s="68"/>
      <c r="BH814" s="68"/>
      <c r="BI814" s="68"/>
      <c r="BJ814" s="68"/>
      <c r="BK814" s="68"/>
      <c r="BL814" s="68"/>
      <c r="BM814" s="68"/>
      <c r="BN814" s="68"/>
    </row>
    <row r="815" spans="1:66" ht="17">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8"/>
      <c r="AG815" s="68"/>
      <c r="AH815" s="68"/>
      <c r="AI815" s="68"/>
      <c r="AJ815" s="68"/>
      <c r="AK815" s="68"/>
      <c r="AL815" s="68"/>
      <c r="AM815" s="68"/>
      <c r="AN815" s="68"/>
      <c r="AO815" s="68"/>
      <c r="AP815" s="68"/>
      <c r="AQ815" s="68"/>
      <c r="AR815" s="68"/>
      <c r="AS815" s="68"/>
      <c r="AT815" s="68"/>
      <c r="AU815" s="68"/>
      <c r="AV815" s="68"/>
      <c r="AW815" s="68"/>
      <c r="AX815" s="68"/>
      <c r="AY815" s="68"/>
      <c r="AZ815" s="68"/>
      <c r="BA815" s="68"/>
      <c r="BB815" s="68"/>
      <c r="BC815" s="68"/>
      <c r="BD815" s="68"/>
      <c r="BE815" s="68"/>
      <c r="BF815" s="68"/>
      <c r="BG815" s="68"/>
      <c r="BH815" s="68"/>
      <c r="BI815" s="68"/>
      <c r="BJ815" s="68"/>
      <c r="BK815" s="68"/>
      <c r="BL815" s="68"/>
      <c r="BM815" s="68"/>
      <c r="BN815" s="68"/>
    </row>
    <row r="816" spans="1:66" ht="17">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8"/>
      <c r="AG816" s="68"/>
      <c r="AH816" s="68"/>
      <c r="AI816" s="68"/>
      <c r="AJ816" s="68"/>
      <c r="AK816" s="68"/>
      <c r="AL816" s="68"/>
      <c r="AM816" s="68"/>
      <c r="AN816" s="68"/>
      <c r="AO816" s="68"/>
      <c r="AP816" s="68"/>
      <c r="AQ816" s="68"/>
      <c r="AR816" s="68"/>
      <c r="AS816" s="68"/>
      <c r="AT816" s="68"/>
      <c r="AU816" s="68"/>
      <c r="AV816" s="68"/>
      <c r="AW816" s="68"/>
      <c r="AX816" s="68"/>
      <c r="AY816" s="68"/>
      <c r="AZ816" s="68"/>
      <c r="BA816" s="68"/>
      <c r="BB816" s="68"/>
      <c r="BC816" s="68"/>
      <c r="BD816" s="68"/>
      <c r="BE816" s="68"/>
      <c r="BF816" s="68"/>
      <c r="BG816" s="68"/>
      <c r="BH816" s="68"/>
      <c r="BI816" s="68"/>
      <c r="BJ816" s="68"/>
      <c r="BK816" s="68"/>
      <c r="BL816" s="68"/>
      <c r="BM816" s="68"/>
      <c r="BN816" s="68"/>
    </row>
    <row r="817" spans="1:66" ht="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8"/>
      <c r="AG817" s="68"/>
      <c r="AH817" s="68"/>
      <c r="AI817" s="68"/>
      <c r="AJ817" s="68"/>
      <c r="AK817" s="68"/>
      <c r="AL817" s="68"/>
      <c r="AM817" s="68"/>
      <c r="AN817" s="68"/>
      <c r="AO817" s="68"/>
      <c r="AP817" s="68"/>
      <c r="AQ817" s="68"/>
      <c r="AR817" s="68"/>
      <c r="AS817" s="68"/>
      <c r="AT817" s="68"/>
      <c r="AU817" s="68"/>
      <c r="AV817" s="68"/>
      <c r="AW817" s="68"/>
      <c r="AX817" s="68"/>
      <c r="AY817" s="68"/>
      <c r="AZ817" s="68"/>
      <c r="BA817" s="68"/>
      <c r="BB817" s="68"/>
      <c r="BC817" s="68"/>
      <c r="BD817" s="68"/>
      <c r="BE817" s="68"/>
      <c r="BF817" s="68"/>
      <c r="BG817" s="68"/>
      <c r="BH817" s="68"/>
      <c r="BI817" s="68"/>
      <c r="BJ817" s="68"/>
      <c r="BK817" s="68"/>
      <c r="BL817" s="68"/>
      <c r="BM817" s="68"/>
      <c r="BN817" s="68"/>
    </row>
    <row r="818" spans="1:66" ht="17">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8"/>
      <c r="AG818" s="68"/>
      <c r="AH818" s="68"/>
      <c r="AI818" s="68"/>
      <c r="AJ818" s="68"/>
      <c r="AK818" s="68"/>
      <c r="AL818" s="68"/>
      <c r="AM818" s="68"/>
      <c r="AN818" s="68"/>
      <c r="AO818" s="68"/>
      <c r="AP818" s="68"/>
      <c r="AQ818" s="68"/>
      <c r="AR818" s="68"/>
      <c r="AS818" s="68"/>
      <c r="AT818" s="68"/>
      <c r="AU818" s="68"/>
      <c r="AV818" s="68"/>
      <c r="AW818" s="68"/>
      <c r="AX818" s="68"/>
      <c r="AY818" s="68"/>
      <c r="AZ818" s="68"/>
      <c r="BA818" s="68"/>
      <c r="BB818" s="68"/>
      <c r="BC818" s="68"/>
      <c r="BD818" s="68"/>
      <c r="BE818" s="68"/>
      <c r="BF818" s="68"/>
      <c r="BG818" s="68"/>
      <c r="BH818" s="68"/>
      <c r="BI818" s="68"/>
      <c r="BJ818" s="68"/>
      <c r="BK818" s="68"/>
      <c r="BL818" s="68"/>
      <c r="BM818" s="68"/>
      <c r="BN818" s="68"/>
    </row>
    <row r="819" spans="1:66" ht="17">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8"/>
      <c r="AG819" s="68"/>
      <c r="AH819" s="68"/>
      <c r="AI819" s="68"/>
      <c r="AJ819" s="68"/>
      <c r="AK819" s="68"/>
      <c r="AL819" s="68"/>
      <c r="AM819" s="68"/>
      <c r="AN819" s="68"/>
      <c r="AO819" s="68"/>
      <c r="AP819" s="68"/>
      <c r="AQ819" s="68"/>
      <c r="AR819" s="68"/>
      <c r="AS819" s="68"/>
      <c r="AT819" s="68"/>
      <c r="AU819" s="68"/>
      <c r="AV819" s="68"/>
      <c r="AW819" s="68"/>
      <c r="AX819" s="68"/>
      <c r="AY819" s="68"/>
      <c r="AZ819" s="68"/>
      <c r="BA819" s="68"/>
      <c r="BB819" s="68"/>
      <c r="BC819" s="68"/>
      <c r="BD819" s="68"/>
      <c r="BE819" s="68"/>
      <c r="BF819" s="68"/>
      <c r="BG819" s="68"/>
      <c r="BH819" s="68"/>
      <c r="BI819" s="68"/>
      <c r="BJ819" s="68"/>
      <c r="BK819" s="68"/>
      <c r="BL819" s="68"/>
      <c r="BM819" s="68"/>
      <c r="BN819" s="68"/>
    </row>
    <row r="820" spans="1:66" ht="17">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8"/>
      <c r="AG820" s="68"/>
      <c r="AH820" s="68"/>
      <c r="AI820" s="68"/>
      <c r="AJ820" s="68"/>
      <c r="AK820" s="68"/>
      <c r="AL820" s="68"/>
      <c r="AM820" s="68"/>
      <c r="AN820" s="68"/>
      <c r="AO820" s="68"/>
      <c r="AP820" s="68"/>
      <c r="AQ820" s="68"/>
      <c r="AR820" s="68"/>
      <c r="AS820" s="68"/>
      <c r="AT820" s="68"/>
      <c r="AU820" s="68"/>
      <c r="AV820" s="68"/>
      <c r="AW820" s="68"/>
      <c r="AX820" s="68"/>
      <c r="AY820" s="68"/>
      <c r="AZ820" s="68"/>
      <c r="BA820" s="68"/>
      <c r="BB820" s="68"/>
      <c r="BC820" s="68"/>
      <c r="BD820" s="68"/>
      <c r="BE820" s="68"/>
      <c r="BF820" s="68"/>
      <c r="BG820" s="68"/>
      <c r="BH820" s="68"/>
      <c r="BI820" s="68"/>
      <c r="BJ820" s="68"/>
      <c r="BK820" s="68"/>
      <c r="BL820" s="68"/>
      <c r="BM820" s="68"/>
      <c r="BN820" s="68"/>
    </row>
    <row r="821" spans="1:66" ht="17">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8"/>
      <c r="AG821" s="68"/>
      <c r="AH821" s="68"/>
      <c r="AI821" s="68"/>
      <c r="AJ821" s="68"/>
      <c r="AK821" s="68"/>
      <c r="AL821" s="68"/>
      <c r="AM821" s="68"/>
      <c r="AN821" s="68"/>
      <c r="AO821" s="68"/>
      <c r="AP821" s="68"/>
      <c r="AQ821" s="68"/>
      <c r="AR821" s="68"/>
      <c r="AS821" s="68"/>
      <c r="AT821" s="68"/>
      <c r="AU821" s="68"/>
      <c r="AV821" s="68"/>
      <c r="AW821" s="68"/>
      <c r="AX821" s="68"/>
      <c r="AY821" s="68"/>
      <c r="AZ821" s="68"/>
      <c r="BA821" s="68"/>
      <c r="BB821" s="68"/>
      <c r="BC821" s="68"/>
      <c r="BD821" s="68"/>
      <c r="BE821" s="68"/>
      <c r="BF821" s="68"/>
      <c r="BG821" s="68"/>
      <c r="BH821" s="68"/>
      <c r="BI821" s="68"/>
      <c r="BJ821" s="68"/>
      <c r="BK821" s="68"/>
      <c r="BL821" s="68"/>
      <c r="BM821" s="68"/>
      <c r="BN821" s="68"/>
    </row>
    <row r="822" spans="1:66" ht="17">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8"/>
      <c r="AG822" s="68"/>
      <c r="AH822" s="68"/>
      <c r="AI822" s="68"/>
      <c r="AJ822" s="68"/>
      <c r="AK822" s="68"/>
      <c r="AL822" s="68"/>
      <c r="AM822" s="68"/>
      <c r="AN822" s="68"/>
      <c r="AO822" s="68"/>
      <c r="AP822" s="68"/>
      <c r="AQ822" s="68"/>
      <c r="AR822" s="68"/>
      <c r="AS822" s="68"/>
      <c r="AT822" s="68"/>
      <c r="AU822" s="68"/>
      <c r="AV822" s="68"/>
      <c r="AW822" s="68"/>
      <c r="AX822" s="68"/>
      <c r="AY822" s="68"/>
      <c r="AZ822" s="68"/>
      <c r="BA822" s="68"/>
      <c r="BB822" s="68"/>
      <c r="BC822" s="68"/>
      <c r="BD822" s="68"/>
      <c r="BE822" s="68"/>
      <c r="BF822" s="68"/>
      <c r="BG822" s="68"/>
      <c r="BH822" s="68"/>
      <c r="BI822" s="68"/>
      <c r="BJ822" s="68"/>
      <c r="BK822" s="68"/>
      <c r="BL822" s="68"/>
      <c r="BM822" s="68"/>
      <c r="BN822" s="68"/>
    </row>
    <row r="823" spans="1:66" ht="17">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8"/>
      <c r="AG823" s="68"/>
      <c r="AH823" s="68"/>
      <c r="AI823" s="68"/>
      <c r="AJ823" s="68"/>
      <c r="AK823" s="68"/>
      <c r="AL823" s="68"/>
      <c r="AM823" s="68"/>
      <c r="AN823" s="68"/>
      <c r="AO823" s="68"/>
      <c r="AP823" s="68"/>
      <c r="AQ823" s="68"/>
      <c r="AR823" s="68"/>
      <c r="AS823" s="68"/>
      <c r="AT823" s="68"/>
      <c r="AU823" s="68"/>
      <c r="AV823" s="68"/>
      <c r="AW823" s="68"/>
      <c r="AX823" s="68"/>
      <c r="AY823" s="68"/>
      <c r="AZ823" s="68"/>
      <c r="BA823" s="68"/>
      <c r="BB823" s="68"/>
      <c r="BC823" s="68"/>
      <c r="BD823" s="68"/>
      <c r="BE823" s="68"/>
      <c r="BF823" s="68"/>
      <c r="BG823" s="68"/>
      <c r="BH823" s="68"/>
      <c r="BI823" s="68"/>
      <c r="BJ823" s="68"/>
      <c r="BK823" s="68"/>
      <c r="BL823" s="68"/>
      <c r="BM823" s="68"/>
      <c r="BN823" s="68"/>
    </row>
    <row r="824" spans="1:66" ht="17">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8"/>
      <c r="AG824" s="68"/>
      <c r="AH824" s="68"/>
      <c r="AI824" s="68"/>
      <c r="AJ824" s="68"/>
      <c r="AK824" s="68"/>
      <c r="AL824" s="68"/>
      <c r="AM824" s="68"/>
      <c r="AN824" s="68"/>
      <c r="AO824" s="68"/>
      <c r="AP824" s="68"/>
      <c r="AQ824" s="68"/>
      <c r="AR824" s="68"/>
      <c r="AS824" s="68"/>
      <c r="AT824" s="68"/>
      <c r="AU824" s="68"/>
      <c r="AV824" s="68"/>
      <c r="AW824" s="68"/>
      <c r="AX824" s="68"/>
      <c r="AY824" s="68"/>
      <c r="AZ824" s="68"/>
      <c r="BA824" s="68"/>
      <c r="BB824" s="68"/>
      <c r="BC824" s="68"/>
      <c r="BD824" s="68"/>
      <c r="BE824" s="68"/>
      <c r="BF824" s="68"/>
      <c r="BG824" s="68"/>
      <c r="BH824" s="68"/>
      <c r="BI824" s="68"/>
      <c r="BJ824" s="68"/>
      <c r="BK824" s="68"/>
      <c r="BL824" s="68"/>
      <c r="BM824" s="68"/>
      <c r="BN824" s="68"/>
    </row>
    <row r="825" spans="1:66" ht="17">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8"/>
      <c r="AG825" s="68"/>
      <c r="AH825" s="68"/>
      <c r="AI825" s="68"/>
      <c r="AJ825" s="68"/>
      <c r="AK825" s="68"/>
      <c r="AL825" s="68"/>
      <c r="AM825" s="68"/>
      <c r="AN825" s="68"/>
      <c r="AO825" s="68"/>
      <c r="AP825" s="68"/>
      <c r="AQ825" s="68"/>
      <c r="AR825" s="68"/>
      <c r="AS825" s="68"/>
      <c r="AT825" s="68"/>
      <c r="AU825" s="68"/>
      <c r="AV825" s="68"/>
      <c r="AW825" s="68"/>
      <c r="AX825" s="68"/>
      <c r="AY825" s="68"/>
      <c r="AZ825" s="68"/>
      <c r="BA825" s="68"/>
      <c r="BB825" s="68"/>
      <c r="BC825" s="68"/>
      <c r="BD825" s="68"/>
      <c r="BE825" s="68"/>
      <c r="BF825" s="68"/>
      <c r="BG825" s="68"/>
      <c r="BH825" s="68"/>
      <c r="BI825" s="68"/>
      <c r="BJ825" s="68"/>
      <c r="BK825" s="68"/>
      <c r="BL825" s="68"/>
      <c r="BM825" s="68"/>
      <c r="BN825" s="68"/>
    </row>
    <row r="826" spans="1:66" ht="17">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8"/>
      <c r="AG826" s="68"/>
      <c r="AH826" s="68"/>
      <c r="AI826" s="68"/>
      <c r="AJ826" s="68"/>
      <c r="AK826" s="68"/>
      <c r="AL826" s="68"/>
      <c r="AM826" s="68"/>
      <c r="AN826" s="68"/>
      <c r="AO826" s="68"/>
      <c r="AP826" s="68"/>
      <c r="AQ826" s="68"/>
      <c r="AR826" s="68"/>
      <c r="AS826" s="68"/>
      <c r="AT826" s="68"/>
      <c r="AU826" s="68"/>
      <c r="AV826" s="68"/>
      <c r="AW826" s="68"/>
      <c r="AX826" s="68"/>
      <c r="AY826" s="68"/>
      <c r="AZ826" s="68"/>
      <c r="BA826" s="68"/>
      <c r="BB826" s="68"/>
      <c r="BC826" s="68"/>
      <c r="BD826" s="68"/>
      <c r="BE826" s="68"/>
      <c r="BF826" s="68"/>
      <c r="BG826" s="68"/>
      <c r="BH826" s="68"/>
      <c r="BI826" s="68"/>
      <c r="BJ826" s="68"/>
      <c r="BK826" s="68"/>
      <c r="BL826" s="68"/>
      <c r="BM826" s="68"/>
      <c r="BN826" s="68"/>
    </row>
    <row r="827" spans="1:66" ht="1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8"/>
      <c r="AG827" s="68"/>
      <c r="AH827" s="68"/>
      <c r="AI827" s="68"/>
      <c r="AJ827" s="68"/>
      <c r="AK827" s="68"/>
      <c r="AL827" s="68"/>
      <c r="AM827" s="68"/>
      <c r="AN827" s="68"/>
      <c r="AO827" s="68"/>
      <c r="AP827" s="68"/>
      <c r="AQ827" s="68"/>
      <c r="AR827" s="68"/>
      <c r="AS827" s="68"/>
      <c r="AT827" s="68"/>
      <c r="AU827" s="68"/>
      <c r="AV827" s="68"/>
      <c r="AW827" s="68"/>
      <c r="AX827" s="68"/>
      <c r="AY827" s="68"/>
      <c r="AZ827" s="68"/>
      <c r="BA827" s="68"/>
      <c r="BB827" s="68"/>
      <c r="BC827" s="68"/>
      <c r="BD827" s="68"/>
      <c r="BE827" s="68"/>
      <c r="BF827" s="68"/>
      <c r="BG827" s="68"/>
      <c r="BH827" s="68"/>
      <c r="BI827" s="68"/>
      <c r="BJ827" s="68"/>
      <c r="BK827" s="68"/>
      <c r="BL827" s="68"/>
      <c r="BM827" s="68"/>
      <c r="BN827" s="68"/>
    </row>
    <row r="828" spans="1:66" ht="17">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8"/>
      <c r="AG828" s="68"/>
      <c r="AH828" s="68"/>
      <c r="AI828" s="68"/>
      <c r="AJ828" s="68"/>
      <c r="AK828" s="68"/>
      <c r="AL828" s="68"/>
      <c r="AM828" s="68"/>
      <c r="AN828" s="68"/>
      <c r="AO828" s="68"/>
      <c r="AP828" s="68"/>
      <c r="AQ828" s="68"/>
      <c r="AR828" s="68"/>
      <c r="AS828" s="68"/>
      <c r="AT828" s="68"/>
      <c r="AU828" s="68"/>
      <c r="AV828" s="68"/>
      <c r="AW828" s="68"/>
      <c r="AX828" s="68"/>
      <c r="AY828" s="68"/>
      <c r="AZ828" s="68"/>
      <c r="BA828" s="68"/>
      <c r="BB828" s="68"/>
      <c r="BC828" s="68"/>
      <c r="BD828" s="68"/>
      <c r="BE828" s="68"/>
      <c r="BF828" s="68"/>
      <c r="BG828" s="68"/>
      <c r="BH828" s="68"/>
      <c r="BI828" s="68"/>
      <c r="BJ828" s="68"/>
      <c r="BK828" s="68"/>
      <c r="BL828" s="68"/>
      <c r="BM828" s="68"/>
      <c r="BN828" s="68"/>
    </row>
    <row r="829" spans="1:66" ht="17">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8"/>
      <c r="AG829" s="68"/>
      <c r="AH829" s="68"/>
      <c r="AI829" s="68"/>
      <c r="AJ829" s="68"/>
      <c r="AK829" s="68"/>
      <c r="AL829" s="68"/>
      <c r="AM829" s="68"/>
      <c r="AN829" s="68"/>
      <c r="AO829" s="68"/>
      <c r="AP829" s="68"/>
      <c r="AQ829" s="68"/>
      <c r="AR829" s="68"/>
      <c r="AS829" s="68"/>
      <c r="AT829" s="68"/>
      <c r="AU829" s="68"/>
      <c r="AV829" s="68"/>
      <c r="AW829" s="68"/>
      <c r="AX829" s="68"/>
      <c r="AY829" s="68"/>
      <c r="AZ829" s="68"/>
      <c r="BA829" s="68"/>
      <c r="BB829" s="68"/>
      <c r="BC829" s="68"/>
      <c r="BD829" s="68"/>
      <c r="BE829" s="68"/>
      <c r="BF829" s="68"/>
      <c r="BG829" s="68"/>
      <c r="BH829" s="68"/>
      <c r="BI829" s="68"/>
      <c r="BJ829" s="68"/>
      <c r="BK829" s="68"/>
      <c r="BL829" s="68"/>
      <c r="BM829" s="68"/>
      <c r="BN829" s="68"/>
    </row>
    <row r="830" spans="1:66" ht="17">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8"/>
      <c r="AG830" s="68"/>
      <c r="AH830" s="68"/>
      <c r="AI830" s="68"/>
      <c r="AJ830" s="68"/>
      <c r="AK830" s="68"/>
      <c r="AL830" s="68"/>
      <c r="AM830" s="68"/>
      <c r="AN830" s="68"/>
      <c r="AO830" s="68"/>
      <c r="AP830" s="68"/>
      <c r="AQ830" s="68"/>
      <c r="AR830" s="68"/>
      <c r="AS830" s="68"/>
      <c r="AT830" s="68"/>
      <c r="AU830" s="68"/>
      <c r="AV830" s="68"/>
      <c r="AW830" s="68"/>
      <c r="AX830" s="68"/>
      <c r="AY830" s="68"/>
      <c r="AZ830" s="68"/>
      <c r="BA830" s="68"/>
      <c r="BB830" s="68"/>
      <c r="BC830" s="68"/>
      <c r="BD830" s="68"/>
      <c r="BE830" s="68"/>
      <c r="BF830" s="68"/>
      <c r="BG830" s="68"/>
      <c r="BH830" s="68"/>
      <c r="BI830" s="68"/>
      <c r="BJ830" s="68"/>
      <c r="BK830" s="68"/>
      <c r="BL830" s="68"/>
      <c r="BM830" s="68"/>
      <c r="BN830" s="68"/>
    </row>
    <row r="831" spans="1:66" ht="17">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8"/>
      <c r="AG831" s="68"/>
      <c r="AH831" s="68"/>
      <c r="AI831" s="68"/>
      <c r="AJ831" s="68"/>
      <c r="AK831" s="68"/>
      <c r="AL831" s="68"/>
      <c r="AM831" s="68"/>
      <c r="AN831" s="68"/>
      <c r="AO831" s="68"/>
      <c r="AP831" s="68"/>
      <c r="AQ831" s="68"/>
      <c r="AR831" s="68"/>
      <c r="AS831" s="68"/>
      <c r="AT831" s="68"/>
      <c r="AU831" s="68"/>
      <c r="AV831" s="68"/>
      <c r="AW831" s="68"/>
      <c r="AX831" s="68"/>
      <c r="AY831" s="68"/>
      <c r="AZ831" s="68"/>
      <c r="BA831" s="68"/>
      <c r="BB831" s="68"/>
      <c r="BC831" s="68"/>
      <c r="BD831" s="68"/>
      <c r="BE831" s="68"/>
      <c r="BF831" s="68"/>
      <c r="BG831" s="68"/>
      <c r="BH831" s="68"/>
      <c r="BI831" s="68"/>
      <c r="BJ831" s="68"/>
      <c r="BK831" s="68"/>
      <c r="BL831" s="68"/>
      <c r="BM831" s="68"/>
      <c r="BN831" s="68"/>
    </row>
    <row r="832" spans="1:66" ht="17">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8"/>
      <c r="AG832" s="68"/>
      <c r="AH832" s="68"/>
      <c r="AI832" s="68"/>
      <c r="AJ832" s="68"/>
      <c r="AK832" s="68"/>
      <c r="AL832" s="68"/>
      <c r="AM832" s="68"/>
      <c r="AN832" s="68"/>
      <c r="AO832" s="68"/>
      <c r="AP832" s="68"/>
      <c r="AQ832" s="68"/>
      <c r="AR832" s="68"/>
      <c r="AS832" s="68"/>
      <c r="AT832" s="68"/>
      <c r="AU832" s="68"/>
      <c r="AV832" s="68"/>
      <c r="AW832" s="68"/>
      <c r="AX832" s="68"/>
      <c r="AY832" s="68"/>
      <c r="AZ832" s="68"/>
      <c r="BA832" s="68"/>
      <c r="BB832" s="68"/>
      <c r="BC832" s="68"/>
      <c r="BD832" s="68"/>
      <c r="BE832" s="68"/>
      <c r="BF832" s="68"/>
      <c r="BG832" s="68"/>
      <c r="BH832" s="68"/>
      <c r="BI832" s="68"/>
      <c r="BJ832" s="68"/>
      <c r="BK832" s="68"/>
      <c r="BL832" s="68"/>
      <c r="BM832" s="68"/>
      <c r="BN832" s="68"/>
    </row>
    <row r="833" spans="1:66" ht="17">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8"/>
      <c r="AG833" s="68"/>
      <c r="AH833" s="68"/>
      <c r="AI833" s="68"/>
      <c r="AJ833" s="68"/>
      <c r="AK833" s="68"/>
      <c r="AL833" s="68"/>
      <c r="AM833" s="68"/>
      <c r="AN833" s="68"/>
      <c r="AO833" s="68"/>
      <c r="AP833" s="68"/>
      <c r="AQ833" s="68"/>
      <c r="AR833" s="68"/>
      <c r="AS833" s="68"/>
      <c r="AT833" s="68"/>
      <c r="AU833" s="68"/>
      <c r="AV833" s="68"/>
      <c r="AW833" s="68"/>
      <c r="AX833" s="68"/>
      <c r="AY833" s="68"/>
      <c r="AZ833" s="68"/>
      <c r="BA833" s="68"/>
      <c r="BB833" s="68"/>
      <c r="BC833" s="68"/>
      <c r="BD833" s="68"/>
      <c r="BE833" s="68"/>
      <c r="BF833" s="68"/>
      <c r="BG833" s="68"/>
      <c r="BH833" s="68"/>
      <c r="BI833" s="68"/>
      <c r="BJ833" s="68"/>
      <c r="BK833" s="68"/>
      <c r="BL833" s="68"/>
      <c r="BM833" s="68"/>
      <c r="BN833" s="68"/>
    </row>
    <row r="834" spans="1:66" ht="17">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8"/>
      <c r="AG834" s="68"/>
      <c r="AH834" s="68"/>
      <c r="AI834" s="68"/>
      <c r="AJ834" s="68"/>
      <c r="AK834" s="68"/>
      <c r="AL834" s="68"/>
      <c r="AM834" s="68"/>
      <c r="AN834" s="68"/>
      <c r="AO834" s="68"/>
      <c r="AP834" s="68"/>
      <c r="AQ834" s="68"/>
      <c r="AR834" s="68"/>
      <c r="AS834" s="68"/>
      <c r="AT834" s="68"/>
      <c r="AU834" s="68"/>
      <c r="AV834" s="68"/>
      <c r="AW834" s="68"/>
      <c r="AX834" s="68"/>
      <c r="AY834" s="68"/>
      <c r="AZ834" s="68"/>
      <c r="BA834" s="68"/>
      <c r="BB834" s="68"/>
      <c r="BC834" s="68"/>
      <c r="BD834" s="68"/>
      <c r="BE834" s="68"/>
      <c r="BF834" s="68"/>
      <c r="BG834" s="68"/>
      <c r="BH834" s="68"/>
      <c r="BI834" s="68"/>
      <c r="BJ834" s="68"/>
      <c r="BK834" s="68"/>
      <c r="BL834" s="68"/>
      <c r="BM834" s="68"/>
      <c r="BN834" s="68"/>
    </row>
    <row r="835" spans="1:66" ht="17">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8"/>
      <c r="AG835" s="68"/>
      <c r="AH835" s="68"/>
      <c r="AI835" s="68"/>
      <c r="AJ835" s="68"/>
      <c r="AK835" s="68"/>
      <c r="AL835" s="68"/>
      <c r="AM835" s="68"/>
      <c r="AN835" s="68"/>
      <c r="AO835" s="68"/>
      <c r="AP835" s="68"/>
      <c r="AQ835" s="68"/>
      <c r="AR835" s="68"/>
      <c r="AS835" s="68"/>
      <c r="AT835" s="68"/>
      <c r="AU835" s="68"/>
      <c r="AV835" s="68"/>
      <c r="AW835" s="68"/>
      <c r="AX835" s="68"/>
      <c r="AY835" s="68"/>
      <c r="AZ835" s="68"/>
      <c r="BA835" s="68"/>
      <c r="BB835" s="68"/>
      <c r="BC835" s="68"/>
      <c r="BD835" s="68"/>
      <c r="BE835" s="68"/>
      <c r="BF835" s="68"/>
      <c r="BG835" s="68"/>
      <c r="BH835" s="68"/>
      <c r="BI835" s="68"/>
      <c r="BJ835" s="68"/>
      <c r="BK835" s="68"/>
      <c r="BL835" s="68"/>
      <c r="BM835" s="68"/>
      <c r="BN835" s="68"/>
    </row>
    <row r="836" spans="1:66" ht="17">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8"/>
      <c r="AG836" s="68"/>
      <c r="AH836" s="68"/>
      <c r="AI836" s="68"/>
      <c r="AJ836" s="68"/>
      <c r="AK836" s="68"/>
      <c r="AL836" s="68"/>
      <c r="AM836" s="68"/>
      <c r="AN836" s="68"/>
      <c r="AO836" s="68"/>
      <c r="AP836" s="68"/>
      <c r="AQ836" s="68"/>
      <c r="AR836" s="68"/>
      <c r="AS836" s="68"/>
      <c r="AT836" s="68"/>
      <c r="AU836" s="68"/>
      <c r="AV836" s="68"/>
      <c r="AW836" s="68"/>
      <c r="AX836" s="68"/>
      <c r="AY836" s="68"/>
      <c r="AZ836" s="68"/>
      <c r="BA836" s="68"/>
      <c r="BB836" s="68"/>
      <c r="BC836" s="68"/>
      <c r="BD836" s="68"/>
      <c r="BE836" s="68"/>
      <c r="BF836" s="68"/>
      <c r="BG836" s="68"/>
      <c r="BH836" s="68"/>
      <c r="BI836" s="68"/>
      <c r="BJ836" s="68"/>
      <c r="BK836" s="68"/>
      <c r="BL836" s="68"/>
      <c r="BM836" s="68"/>
      <c r="BN836" s="68"/>
    </row>
    <row r="837" spans="1:66" ht="1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8"/>
      <c r="AG837" s="68"/>
      <c r="AH837" s="68"/>
      <c r="AI837" s="68"/>
      <c r="AJ837" s="68"/>
      <c r="AK837" s="68"/>
      <c r="AL837" s="68"/>
      <c r="AM837" s="68"/>
      <c r="AN837" s="68"/>
      <c r="AO837" s="68"/>
      <c r="AP837" s="68"/>
      <c r="AQ837" s="68"/>
      <c r="AR837" s="68"/>
      <c r="AS837" s="68"/>
      <c r="AT837" s="68"/>
      <c r="AU837" s="68"/>
      <c r="AV837" s="68"/>
      <c r="AW837" s="68"/>
      <c r="AX837" s="68"/>
      <c r="AY837" s="68"/>
      <c r="AZ837" s="68"/>
      <c r="BA837" s="68"/>
      <c r="BB837" s="68"/>
      <c r="BC837" s="68"/>
      <c r="BD837" s="68"/>
      <c r="BE837" s="68"/>
      <c r="BF837" s="68"/>
      <c r="BG837" s="68"/>
      <c r="BH837" s="68"/>
      <c r="BI837" s="68"/>
      <c r="BJ837" s="68"/>
      <c r="BK837" s="68"/>
      <c r="BL837" s="68"/>
      <c r="BM837" s="68"/>
      <c r="BN837" s="68"/>
    </row>
    <row r="838" spans="1:66" ht="17">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8"/>
      <c r="AG838" s="68"/>
      <c r="AH838" s="68"/>
      <c r="AI838" s="68"/>
      <c r="AJ838" s="68"/>
      <c r="AK838" s="68"/>
      <c r="AL838" s="68"/>
      <c r="AM838" s="68"/>
      <c r="AN838" s="68"/>
      <c r="AO838" s="68"/>
      <c r="AP838" s="68"/>
      <c r="AQ838" s="68"/>
      <c r="AR838" s="68"/>
      <c r="AS838" s="68"/>
      <c r="AT838" s="68"/>
      <c r="AU838" s="68"/>
      <c r="AV838" s="68"/>
      <c r="AW838" s="68"/>
      <c r="AX838" s="68"/>
      <c r="AY838" s="68"/>
      <c r="AZ838" s="68"/>
      <c r="BA838" s="68"/>
      <c r="BB838" s="68"/>
      <c r="BC838" s="68"/>
      <c r="BD838" s="68"/>
      <c r="BE838" s="68"/>
      <c r="BF838" s="68"/>
      <c r="BG838" s="68"/>
      <c r="BH838" s="68"/>
      <c r="BI838" s="68"/>
      <c r="BJ838" s="68"/>
      <c r="BK838" s="68"/>
      <c r="BL838" s="68"/>
      <c r="BM838" s="68"/>
      <c r="BN838" s="68"/>
    </row>
    <row r="839" spans="1:66" ht="17">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8"/>
      <c r="AG839" s="68"/>
      <c r="AH839" s="68"/>
      <c r="AI839" s="68"/>
      <c r="AJ839" s="68"/>
      <c r="AK839" s="68"/>
      <c r="AL839" s="68"/>
      <c r="AM839" s="68"/>
      <c r="AN839" s="68"/>
      <c r="AO839" s="68"/>
      <c r="AP839" s="68"/>
      <c r="AQ839" s="68"/>
      <c r="AR839" s="68"/>
      <c r="AS839" s="68"/>
      <c r="AT839" s="68"/>
      <c r="AU839" s="68"/>
      <c r="AV839" s="68"/>
      <c r="AW839" s="68"/>
      <c r="AX839" s="68"/>
      <c r="AY839" s="68"/>
      <c r="AZ839" s="68"/>
      <c r="BA839" s="68"/>
      <c r="BB839" s="68"/>
      <c r="BC839" s="68"/>
      <c r="BD839" s="68"/>
      <c r="BE839" s="68"/>
      <c r="BF839" s="68"/>
      <c r="BG839" s="68"/>
      <c r="BH839" s="68"/>
      <c r="BI839" s="68"/>
      <c r="BJ839" s="68"/>
      <c r="BK839" s="68"/>
      <c r="BL839" s="68"/>
      <c r="BM839" s="68"/>
      <c r="BN839" s="68"/>
    </row>
    <row r="840" spans="1:66" ht="17">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8"/>
      <c r="AG840" s="68"/>
      <c r="AH840" s="68"/>
      <c r="AI840" s="68"/>
      <c r="AJ840" s="68"/>
      <c r="AK840" s="68"/>
      <c r="AL840" s="68"/>
      <c r="AM840" s="68"/>
      <c r="AN840" s="68"/>
      <c r="AO840" s="68"/>
      <c r="AP840" s="68"/>
      <c r="AQ840" s="68"/>
      <c r="AR840" s="68"/>
      <c r="AS840" s="68"/>
      <c r="AT840" s="68"/>
      <c r="AU840" s="68"/>
      <c r="AV840" s="68"/>
      <c r="AW840" s="68"/>
      <c r="AX840" s="68"/>
      <c r="AY840" s="68"/>
      <c r="AZ840" s="68"/>
      <c r="BA840" s="68"/>
      <c r="BB840" s="68"/>
      <c r="BC840" s="68"/>
      <c r="BD840" s="68"/>
      <c r="BE840" s="68"/>
      <c r="BF840" s="68"/>
      <c r="BG840" s="68"/>
      <c r="BH840" s="68"/>
      <c r="BI840" s="68"/>
      <c r="BJ840" s="68"/>
      <c r="BK840" s="68"/>
      <c r="BL840" s="68"/>
      <c r="BM840" s="68"/>
      <c r="BN840" s="68"/>
    </row>
    <row r="841" spans="1:66" ht="17">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8"/>
      <c r="AG841" s="68"/>
      <c r="AH841" s="68"/>
      <c r="AI841" s="68"/>
      <c r="AJ841" s="68"/>
      <c r="AK841" s="68"/>
      <c r="AL841" s="68"/>
      <c r="AM841" s="68"/>
      <c r="AN841" s="68"/>
      <c r="AO841" s="68"/>
      <c r="AP841" s="68"/>
      <c r="AQ841" s="68"/>
      <c r="AR841" s="68"/>
      <c r="AS841" s="68"/>
      <c r="AT841" s="68"/>
      <c r="AU841" s="68"/>
      <c r="AV841" s="68"/>
      <c r="AW841" s="68"/>
      <c r="AX841" s="68"/>
      <c r="AY841" s="68"/>
      <c r="AZ841" s="68"/>
      <c r="BA841" s="68"/>
      <c r="BB841" s="68"/>
      <c r="BC841" s="68"/>
      <c r="BD841" s="68"/>
      <c r="BE841" s="68"/>
      <c r="BF841" s="68"/>
      <c r="BG841" s="68"/>
      <c r="BH841" s="68"/>
      <c r="BI841" s="68"/>
      <c r="BJ841" s="68"/>
      <c r="BK841" s="68"/>
      <c r="BL841" s="68"/>
      <c r="BM841" s="68"/>
      <c r="BN841" s="68"/>
    </row>
    <row r="842" spans="1:66" ht="17">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8"/>
      <c r="AG842" s="68"/>
      <c r="AH842" s="68"/>
      <c r="AI842" s="68"/>
      <c r="AJ842" s="68"/>
      <c r="AK842" s="68"/>
      <c r="AL842" s="68"/>
      <c r="AM842" s="68"/>
      <c r="AN842" s="68"/>
      <c r="AO842" s="68"/>
      <c r="AP842" s="68"/>
      <c r="AQ842" s="68"/>
      <c r="AR842" s="68"/>
      <c r="AS842" s="68"/>
      <c r="AT842" s="68"/>
      <c r="AU842" s="68"/>
      <c r="AV842" s="68"/>
      <c r="AW842" s="68"/>
      <c r="AX842" s="68"/>
      <c r="AY842" s="68"/>
      <c r="AZ842" s="68"/>
      <c r="BA842" s="68"/>
      <c r="BB842" s="68"/>
      <c r="BC842" s="68"/>
      <c r="BD842" s="68"/>
      <c r="BE842" s="68"/>
      <c r="BF842" s="68"/>
      <c r="BG842" s="68"/>
      <c r="BH842" s="68"/>
      <c r="BI842" s="68"/>
      <c r="BJ842" s="68"/>
      <c r="BK842" s="68"/>
      <c r="BL842" s="68"/>
      <c r="BM842" s="68"/>
      <c r="BN842" s="68"/>
    </row>
    <row r="843" spans="1:66" ht="17">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8"/>
      <c r="AG843" s="68"/>
      <c r="AH843" s="68"/>
      <c r="AI843" s="68"/>
      <c r="AJ843" s="68"/>
      <c r="AK843" s="68"/>
      <c r="AL843" s="68"/>
      <c r="AM843" s="68"/>
      <c r="AN843" s="68"/>
      <c r="AO843" s="68"/>
      <c r="AP843" s="68"/>
      <c r="AQ843" s="68"/>
      <c r="AR843" s="68"/>
      <c r="AS843" s="68"/>
      <c r="AT843" s="68"/>
      <c r="AU843" s="68"/>
      <c r="AV843" s="68"/>
      <c r="AW843" s="68"/>
      <c r="AX843" s="68"/>
      <c r="AY843" s="68"/>
      <c r="AZ843" s="68"/>
      <c r="BA843" s="68"/>
      <c r="BB843" s="68"/>
      <c r="BC843" s="68"/>
      <c r="BD843" s="68"/>
      <c r="BE843" s="68"/>
      <c r="BF843" s="68"/>
      <c r="BG843" s="68"/>
      <c r="BH843" s="68"/>
      <c r="BI843" s="68"/>
      <c r="BJ843" s="68"/>
      <c r="BK843" s="68"/>
      <c r="BL843" s="68"/>
      <c r="BM843" s="68"/>
      <c r="BN843" s="68"/>
    </row>
    <row r="844" spans="1:66" ht="17">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8"/>
      <c r="AG844" s="68"/>
      <c r="AH844" s="68"/>
      <c r="AI844" s="68"/>
      <c r="AJ844" s="68"/>
      <c r="AK844" s="68"/>
      <c r="AL844" s="68"/>
      <c r="AM844" s="68"/>
      <c r="AN844" s="68"/>
      <c r="AO844" s="68"/>
      <c r="AP844" s="68"/>
      <c r="AQ844" s="68"/>
      <c r="AR844" s="68"/>
      <c r="AS844" s="68"/>
      <c r="AT844" s="68"/>
      <c r="AU844" s="68"/>
      <c r="AV844" s="68"/>
      <c r="AW844" s="68"/>
      <c r="AX844" s="68"/>
      <c r="AY844" s="68"/>
      <c r="AZ844" s="68"/>
      <c r="BA844" s="68"/>
      <c r="BB844" s="68"/>
      <c r="BC844" s="68"/>
      <c r="BD844" s="68"/>
      <c r="BE844" s="68"/>
      <c r="BF844" s="68"/>
      <c r="BG844" s="68"/>
      <c r="BH844" s="68"/>
      <c r="BI844" s="68"/>
      <c r="BJ844" s="68"/>
      <c r="BK844" s="68"/>
      <c r="BL844" s="68"/>
      <c r="BM844" s="68"/>
      <c r="BN844" s="68"/>
    </row>
    <row r="845" spans="1:66" ht="17">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8"/>
      <c r="AG845" s="68"/>
      <c r="AH845" s="68"/>
      <c r="AI845" s="68"/>
      <c r="AJ845" s="68"/>
      <c r="AK845" s="68"/>
      <c r="AL845" s="68"/>
      <c r="AM845" s="68"/>
      <c r="AN845" s="68"/>
      <c r="AO845" s="68"/>
      <c r="AP845" s="68"/>
      <c r="AQ845" s="68"/>
      <c r="AR845" s="68"/>
      <c r="AS845" s="68"/>
      <c r="AT845" s="68"/>
      <c r="AU845" s="68"/>
      <c r="AV845" s="68"/>
      <c r="AW845" s="68"/>
      <c r="AX845" s="68"/>
      <c r="AY845" s="68"/>
      <c r="AZ845" s="68"/>
      <c r="BA845" s="68"/>
      <c r="BB845" s="68"/>
      <c r="BC845" s="68"/>
      <c r="BD845" s="68"/>
      <c r="BE845" s="68"/>
      <c r="BF845" s="68"/>
      <c r="BG845" s="68"/>
      <c r="BH845" s="68"/>
      <c r="BI845" s="68"/>
      <c r="BJ845" s="68"/>
      <c r="BK845" s="68"/>
      <c r="BL845" s="68"/>
      <c r="BM845" s="68"/>
      <c r="BN845" s="68"/>
    </row>
    <row r="846" spans="1:66" ht="17">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8"/>
      <c r="AG846" s="68"/>
      <c r="AH846" s="68"/>
      <c r="AI846" s="68"/>
      <c r="AJ846" s="68"/>
      <c r="AK846" s="68"/>
      <c r="AL846" s="68"/>
      <c r="AM846" s="68"/>
      <c r="AN846" s="68"/>
      <c r="AO846" s="68"/>
      <c r="AP846" s="68"/>
      <c r="AQ846" s="68"/>
      <c r="AR846" s="68"/>
      <c r="AS846" s="68"/>
      <c r="AT846" s="68"/>
      <c r="AU846" s="68"/>
      <c r="AV846" s="68"/>
      <c r="AW846" s="68"/>
      <c r="AX846" s="68"/>
      <c r="AY846" s="68"/>
      <c r="AZ846" s="68"/>
      <c r="BA846" s="68"/>
      <c r="BB846" s="68"/>
      <c r="BC846" s="68"/>
      <c r="BD846" s="68"/>
      <c r="BE846" s="68"/>
      <c r="BF846" s="68"/>
      <c r="BG846" s="68"/>
      <c r="BH846" s="68"/>
      <c r="BI846" s="68"/>
      <c r="BJ846" s="68"/>
      <c r="BK846" s="68"/>
      <c r="BL846" s="68"/>
      <c r="BM846" s="68"/>
      <c r="BN846" s="68"/>
    </row>
    <row r="847" spans="1:66" ht="1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8"/>
      <c r="AG847" s="68"/>
      <c r="AH847" s="68"/>
      <c r="AI847" s="68"/>
      <c r="AJ847" s="68"/>
      <c r="AK847" s="68"/>
      <c r="AL847" s="68"/>
      <c r="AM847" s="68"/>
      <c r="AN847" s="68"/>
      <c r="AO847" s="68"/>
      <c r="AP847" s="68"/>
      <c r="AQ847" s="68"/>
      <c r="AR847" s="68"/>
      <c r="AS847" s="68"/>
      <c r="AT847" s="68"/>
      <c r="AU847" s="68"/>
      <c r="AV847" s="68"/>
      <c r="AW847" s="68"/>
      <c r="AX847" s="68"/>
      <c r="AY847" s="68"/>
      <c r="AZ847" s="68"/>
      <c r="BA847" s="68"/>
      <c r="BB847" s="68"/>
      <c r="BC847" s="68"/>
      <c r="BD847" s="68"/>
      <c r="BE847" s="68"/>
      <c r="BF847" s="68"/>
      <c r="BG847" s="68"/>
      <c r="BH847" s="68"/>
      <c r="BI847" s="68"/>
      <c r="BJ847" s="68"/>
      <c r="BK847" s="68"/>
      <c r="BL847" s="68"/>
      <c r="BM847" s="68"/>
      <c r="BN847" s="68"/>
    </row>
    <row r="848" spans="1:66" ht="17">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8"/>
      <c r="AG848" s="68"/>
      <c r="AH848" s="68"/>
      <c r="AI848" s="68"/>
      <c r="AJ848" s="68"/>
      <c r="AK848" s="68"/>
      <c r="AL848" s="68"/>
      <c r="AM848" s="68"/>
      <c r="AN848" s="68"/>
      <c r="AO848" s="68"/>
      <c r="AP848" s="68"/>
      <c r="AQ848" s="68"/>
      <c r="AR848" s="68"/>
      <c r="AS848" s="68"/>
      <c r="AT848" s="68"/>
      <c r="AU848" s="68"/>
      <c r="AV848" s="68"/>
      <c r="AW848" s="68"/>
      <c r="AX848" s="68"/>
      <c r="AY848" s="68"/>
      <c r="AZ848" s="68"/>
      <c r="BA848" s="68"/>
      <c r="BB848" s="68"/>
      <c r="BC848" s="68"/>
      <c r="BD848" s="68"/>
      <c r="BE848" s="68"/>
      <c r="BF848" s="68"/>
      <c r="BG848" s="68"/>
      <c r="BH848" s="68"/>
      <c r="BI848" s="68"/>
      <c r="BJ848" s="68"/>
      <c r="BK848" s="68"/>
      <c r="BL848" s="68"/>
      <c r="BM848" s="68"/>
      <c r="BN848" s="68"/>
    </row>
    <row r="849" spans="1:66" ht="17">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8"/>
      <c r="AG849" s="68"/>
      <c r="AH849" s="68"/>
      <c r="AI849" s="68"/>
      <c r="AJ849" s="68"/>
      <c r="AK849" s="68"/>
      <c r="AL849" s="68"/>
      <c r="AM849" s="68"/>
      <c r="AN849" s="68"/>
      <c r="AO849" s="68"/>
      <c r="AP849" s="68"/>
      <c r="AQ849" s="68"/>
      <c r="AR849" s="68"/>
      <c r="AS849" s="68"/>
      <c r="AT849" s="68"/>
      <c r="AU849" s="68"/>
      <c r="AV849" s="68"/>
      <c r="AW849" s="68"/>
      <c r="AX849" s="68"/>
      <c r="AY849" s="68"/>
      <c r="AZ849" s="68"/>
      <c r="BA849" s="68"/>
      <c r="BB849" s="68"/>
      <c r="BC849" s="68"/>
      <c r="BD849" s="68"/>
      <c r="BE849" s="68"/>
      <c r="BF849" s="68"/>
      <c r="BG849" s="68"/>
      <c r="BH849" s="68"/>
      <c r="BI849" s="68"/>
      <c r="BJ849" s="68"/>
      <c r="BK849" s="68"/>
      <c r="BL849" s="68"/>
      <c r="BM849" s="68"/>
      <c r="BN849" s="68"/>
    </row>
    <row r="850" spans="1:66" ht="17">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8"/>
      <c r="AG850" s="68"/>
      <c r="AH850" s="68"/>
      <c r="AI850" s="68"/>
      <c r="AJ850" s="68"/>
      <c r="AK850" s="68"/>
      <c r="AL850" s="68"/>
      <c r="AM850" s="68"/>
      <c r="AN850" s="68"/>
      <c r="AO850" s="68"/>
      <c r="AP850" s="68"/>
      <c r="AQ850" s="68"/>
      <c r="AR850" s="68"/>
      <c r="AS850" s="68"/>
      <c r="AT850" s="68"/>
      <c r="AU850" s="68"/>
      <c r="AV850" s="68"/>
      <c r="AW850" s="68"/>
      <c r="AX850" s="68"/>
      <c r="AY850" s="68"/>
      <c r="AZ850" s="68"/>
      <c r="BA850" s="68"/>
      <c r="BB850" s="68"/>
      <c r="BC850" s="68"/>
      <c r="BD850" s="68"/>
      <c r="BE850" s="68"/>
      <c r="BF850" s="68"/>
      <c r="BG850" s="68"/>
      <c r="BH850" s="68"/>
      <c r="BI850" s="68"/>
      <c r="BJ850" s="68"/>
      <c r="BK850" s="68"/>
      <c r="BL850" s="68"/>
      <c r="BM850" s="68"/>
      <c r="BN850" s="68"/>
    </row>
    <row r="851" spans="1:66" ht="17">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8"/>
      <c r="AG851" s="68"/>
      <c r="AH851" s="68"/>
      <c r="AI851" s="68"/>
      <c r="AJ851" s="68"/>
      <c r="AK851" s="68"/>
      <c r="AL851" s="68"/>
      <c r="AM851" s="68"/>
      <c r="AN851" s="68"/>
      <c r="AO851" s="68"/>
      <c r="AP851" s="68"/>
      <c r="AQ851" s="68"/>
      <c r="AR851" s="68"/>
      <c r="AS851" s="68"/>
      <c r="AT851" s="68"/>
      <c r="AU851" s="68"/>
      <c r="AV851" s="68"/>
      <c r="AW851" s="68"/>
      <c r="AX851" s="68"/>
      <c r="AY851" s="68"/>
      <c r="AZ851" s="68"/>
      <c r="BA851" s="68"/>
      <c r="BB851" s="68"/>
      <c r="BC851" s="68"/>
      <c r="BD851" s="68"/>
      <c r="BE851" s="68"/>
      <c r="BF851" s="68"/>
      <c r="BG851" s="68"/>
      <c r="BH851" s="68"/>
      <c r="BI851" s="68"/>
      <c r="BJ851" s="68"/>
      <c r="BK851" s="68"/>
      <c r="BL851" s="68"/>
      <c r="BM851" s="68"/>
      <c r="BN851" s="68"/>
    </row>
    <row r="852" spans="1:66" ht="17">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8"/>
      <c r="AG852" s="68"/>
      <c r="AH852" s="68"/>
      <c r="AI852" s="68"/>
      <c r="AJ852" s="68"/>
      <c r="AK852" s="68"/>
      <c r="AL852" s="68"/>
      <c r="AM852" s="68"/>
      <c r="AN852" s="68"/>
      <c r="AO852" s="68"/>
      <c r="AP852" s="68"/>
      <c r="AQ852" s="68"/>
      <c r="AR852" s="68"/>
      <c r="AS852" s="68"/>
      <c r="AT852" s="68"/>
      <c r="AU852" s="68"/>
      <c r="AV852" s="68"/>
      <c r="AW852" s="68"/>
      <c r="AX852" s="68"/>
      <c r="AY852" s="68"/>
      <c r="AZ852" s="68"/>
      <c r="BA852" s="68"/>
      <c r="BB852" s="68"/>
      <c r="BC852" s="68"/>
      <c r="BD852" s="68"/>
      <c r="BE852" s="68"/>
      <c r="BF852" s="68"/>
      <c r="BG852" s="68"/>
      <c r="BH852" s="68"/>
      <c r="BI852" s="68"/>
      <c r="BJ852" s="68"/>
      <c r="BK852" s="68"/>
      <c r="BL852" s="68"/>
      <c r="BM852" s="68"/>
      <c r="BN852" s="68"/>
    </row>
    <row r="853" spans="1:66" ht="17">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8"/>
      <c r="AG853" s="68"/>
      <c r="AH853" s="68"/>
      <c r="AI853" s="68"/>
      <c r="AJ853" s="68"/>
      <c r="AK853" s="68"/>
      <c r="AL853" s="68"/>
      <c r="AM853" s="68"/>
      <c r="AN853" s="68"/>
      <c r="AO853" s="68"/>
      <c r="AP853" s="68"/>
      <c r="AQ853" s="68"/>
      <c r="AR853" s="68"/>
      <c r="AS853" s="68"/>
      <c r="AT853" s="68"/>
      <c r="AU853" s="68"/>
      <c r="AV853" s="68"/>
      <c r="AW853" s="68"/>
      <c r="AX853" s="68"/>
      <c r="AY853" s="68"/>
      <c r="AZ853" s="68"/>
      <c r="BA853" s="68"/>
      <c r="BB853" s="68"/>
      <c r="BC853" s="68"/>
      <c r="BD853" s="68"/>
      <c r="BE853" s="68"/>
      <c r="BF853" s="68"/>
      <c r="BG853" s="68"/>
      <c r="BH853" s="68"/>
      <c r="BI853" s="68"/>
      <c r="BJ853" s="68"/>
      <c r="BK853" s="68"/>
      <c r="BL853" s="68"/>
      <c r="BM853" s="68"/>
      <c r="BN853" s="68"/>
    </row>
    <row r="854" spans="1:66" ht="17">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8"/>
      <c r="AG854" s="68"/>
      <c r="AH854" s="68"/>
      <c r="AI854" s="68"/>
      <c r="AJ854" s="68"/>
      <c r="AK854" s="68"/>
      <c r="AL854" s="68"/>
      <c r="AM854" s="68"/>
      <c r="AN854" s="68"/>
      <c r="AO854" s="68"/>
      <c r="AP854" s="68"/>
      <c r="AQ854" s="68"/>
      <c r="AR854" s="68"/>
      <c r="AS854" s="68"/>
      <c r="AT854" s="68"/>
      <c r="AU854" s="68"/>
      <c r="AV854" s="68"/>
      <c r="AW854" s="68"/>
      <c r="AX854" s="68"/>
      <c r="AY854" s="68"/>
      <c r="AZ854" s="68"/>
      <c r="BA854" s="68"/>
      <c r="BB854" s="68"/>
      <c r="BC854" s="68"/>
      <c r="BD854" s="68"/>
      <c r="BE854" s="68"/>
      <c r="BF854" s="68"/>
      <c r="BG854" s="68"/>
      <c r="BH854" s="68"/>
      <c r="BI854" s="68"/>
      <c r="BJ854" s="68"/>
      <c r="BK854" s="68"/>
      <c r="BL854" s="68"/>
      <c r="BM854" s="68"/>
      <c r="BN854" s="68"/>
    </row>
    <row r="855" spans="1:66" ht="17">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8"/>
      <c r="AG855" s="68"/>
      <c r="AH855" s="68"/>
      <c r="AI855" s="68"/>
      <c r="AJ855" s="68"/>
      <c r="AK855" s="68"/>
      <c r="AL855" s="68"/>
      <c r="AM855" s="68"/>
      <c r="AN855" s="68"/>
      <c r="AO855" s="68"/>
      <c r="AP855" s="68"/>
      <c r="AQ855" s="68"/>
      <c r="AR855" s="68"/>
      <c r="AS855" s="68"/>
      <c r="AT855" s="68"/>
      <c r="AU855" s="68"/>
      <c r="AV855" s="68"/>
      <c r="AW855" s="68"/>
      <c r="AX855" s="68"/>
      <c r="AY855" s="68"/>
      <c r="AZ855" s="68"/>
      <c r="BA855" s="68"/>
      <c r="BB855" s="68"/>
      <c r="BC855" s="68"/>
      <c r="BD855" s="68"/>
      <c r="BE855" s="68"/>
      <c r="BF855" s="68"/>
      <c r="BG855" s="68"/>
      <c r="BH855" s="68"/>
      <c r="BI855" s="68"/>
      <c r="BJ855" s="68"/>
      <c r="BK855" s="68"/>
      <c r="BL855" s="68"/>
      <c r="BM855" s="68"/>
      <c r="BN855" s="68"/>
    </row>
    <row r="856" spans="1:66" ht="17">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8"/>
      <c r="AG856" s="68"/>
      <c r="AH856" s="68"/>
      <c r="AI856" s="68"/>
      <c r="AJ856" s="68"/>
      <c r="AK856" s="68"/>
      <c r="AL856" s="68"/>
      <c r="AM856" s="68"/>
      <c r="AN856" s="68"/>
      <c r="AO856" s="68"/>
      <c r="AP856" s="68"/>
      <c r="AQ856" s="68"/>
      <c r="AR856" s="68"/>
      <c r="AS856" s="68"/>
      <c r="AT856" s="68"/>
      <c r="AU856" s="68"/>
      <c r="AV856" s="68"/>
      <c r="AW856" s="68"/>
      <c r="AX856" s="68"/>
      <c r="AY856" s="68"/>
      <c r="AZ856" s="68"/>
      <c r="BA856" s="68"/>
      <c r="BB856" s="68"/>
      <c r="BC856" s="68"/>
      <c r="BD856" s="68"/>
      <c r="BE856" s="68"/>
      <c r="BF856" s="68"/>
      <c r="BG856" s="68"/>
      <c r="BH856" s="68"/>
      <c r="BI856" s="68"/>
      <c r="BJ856" s="68"/>
      <c r="BK856" s="68"/>
      <c r="BL856" s="68"/>
      <c r="BM856" s="68"/>
      <c r="BN856" s="68"/>
    </row>
    <row r="857" spans="1:66" ht="1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8"/>
      <c r="AG857" s="68"/>
      <c r="AH857" s="68"/>
      <c r="AI857" s="68"/>
      <c r="AJ857" s="68"/>
      <c r="AK857" s="68"/>
      <c r="AL857" s="68"/>
      <c r="AM857" s="68"/>
      <c r="AN857" s="68"/>
      <c r="AO857" s="68"/>
      <c r="AP857" s="68"/>
      <c r="AQ857" s="68"/>
      <c r="AR857" s="68"/>
      <c r="AS857" s="68"/>
      <c r="AT857" s="68"/>
      <c r="AU857" s="68"/>
      <c r="AV857" s="68"/>
      <c r="AW857" s="68"/>
      <c r="AX857" s="68"/>
      <c r="AY857" s="68"/>
      <c r="AZ857" s="68"/>
      <c r="BA857" s="68"/>
      <c r="BB857" s="68"/>
      <c r="BC857" s="68"/>
      <c r="BD857" s="68"/>
      <c r="BE857" s="68"/>
      <c r="BF857" s="68"/>
      <c r="BG857" s="68"/>
      <c r="BH857" s="68"/>
      <c r="BI857" s="68"/>
      <c r="BJ857" s="68"/>
      <c r="BK857" s="68"/>
      <c r="BL857" s="68"/>
      <c r="BM857" s="68"/>
      <c r="BN857" s="68"/>
    </row>
    <row r="858" spans="1:66" ht="17">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8"/>
      <c r="AG858" s="68"/>
      <c r="AH858" s="68"/>
      <c r="AI858" s="68"/>
      <c r="AJ858" s="68"/>
      <c r="AK858" s="68"/>
      <c r="AL858" s="68"/>
      <c r="AM858" s="68"/>
      <c r="AN858" s="68"/>
      <c r="AO858" s="68"/>
      <c r="AP858" s="68"/>
      <c r="AQ858" s="68"/>
      <c r="AR858" s="68"/>
      <c r="AS858" s="68"/>
      <c r="AT858" s="68"/>
      <c r="AU858" s="68"/>
      <c r="AV858" s="68"/>
      <c r="AW858" s="68"/>
      <c r="AX858" s="68"/>
      <c r="AY858" s="68"/>
      <c r="AZ858" s="68"/>
      <c r="BA858" s="68"/>
      <c r="BB858" s="68"/>
      <c r="BC858" s="68"/>
      <c r="BD858" s="68"/>
      <c r="BE858" s="68"/>
      <c r="BF858" s="68"/>
      <c r="BG858" s="68"/>
      <c r="BH858" s="68"/>
      <c r="BI858" s="68"/>
      <c r="BJ858" s="68"/>
      <c r="BK858" s="68"/>
      <c r="BL858" s="68"/>
      <c r="BM858" s="68"/>
      <c r="BN858" s="68"/>
    </row>
    <row r="859" spans="1:66" ht="17">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8"/>
      <c r="AG859" s="68"/>
      <c r="AH859" s="68"/>
      <c r="AI859" s="68"/>
      <c r="AJ859" s="68"/>
      <c r="AK859" s="68"/>
      <c r="AL859" s="68"/>
      <c r="AM859" s="68"/>
      <c r="AN859" s="68"/>
      <c r="AO859" s="68"/>
      <c r="AP859" s="68"/>
      <c r="AQ859" s="68"/>
      <c r="AR859" s="68"/>
      <c r="AS859" s="68"/>
      <c r="AT859" s="68"/>
      <c r="AU859" s="68"/>
      <c r="AV859" s="68"/>
      <c r="AW859" s="68"/>
      <c r="AX859" s="68"/>
      <c r="AY859" s="68"/>
      <c r="AZ859" s="68"/>
      <c r="BA859" s="68"/>
      <c r="BB859" s="68"/>
      <c r="BC859" s="68"/>
      <c r="BD859" s="68"/>
      <c r="BE859" s="68"/>
      <c r="BF859" s="68"/>
      <c r="BG859" s="68"/>
      <c r="BH859" s="68"/>
      <c r="BI859" s="68"/>
      <c r="BJ859" s="68"/>
      <c r="BK859" s="68"/>
      <c r="BL859" s="68"/>
      <c r="BM859" s="68"/>
      <c r="BN859" s="68"/>
    </row>
    <row r="860" spans="1:66" ht="17">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8"/>
      <c r="AG860" s="68"/>
      <c r="AH860" s="68"/>
      <c r="AI860" s="68"/>
      <c r="AJ860" s="68"/>
      <c r="AK860" s="68"/>
      <c r="AL860" s="68"/>
      <c r="AM860" s="68"/>
      <c r="AN860" s="68"/>
      <c r="AO860" s="68"/>
      <c r="AP860" s="68"/>
      <c r="AQ860" s="68"/>
      <c r="AR860" s="68"/>
      <c r="AS860" s="68"/>
      <c r="AT860" s="68"/>
      <c r="AU860" s="68"/>
      <c r="AV860" s="68"/>
      <c r="AW860" s="68"/>
      <c r="AX860" s="68"/>
      <c r="AY860" s="68"/>
      <c r="AZ860" s="68"/>
      <c r="BA860" s="68"/>
      <c r="BB860" s="68"/>
      <c r="BC860" s="68"/>
      <c r="BD860" s="68"/>
      <c r="BE860" s="68"/>
      <c r="BF860" s="68"/>
      <c r="BG860" s="68"/>
      <c r="BH860" s="68"/>
      <c r="BI860" s="68"/>
      <c r="BJ860" s="68"/>
      <c r="BK860" s="68"/>
      <c r="BL860" s="68"/>
      <c r="BM860" s="68"/>
      <c r="BN860" s="68"/>
    </row>
    <row r="861" spans="1:66" ht="17">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8"/>
      <c r="AG861" s="68"/>
      <c r="AH861" s="68"/>
      <c r="AI861" s="68"/>
      <c r="AJ861" s="68"/>
      <c r="AK861" s="68"/>
      <c r="AL861" s="68"/>
      <c r="AM861" s="68"/>
      <c r="AN861" s="68"/>
      <c r="AO861" s="68"/>
      <c r="AP861" s="68"/>
      <c r="AQ861" s="68"/>
      <c r="AR861" s="68"/>
      <c r="AS861" s="68"/>
      <c r="AT861" s="68"/>
      <c r="AU861" s="68"/>
      <c r="AV861" s="68"/>
      <c r="AW861" s="68"/>
      <c r="AX861" s="68"/>
      <c r="AY861" s="68"/>
      <c r="AZ861" s="68"/>
      <c r="BA861" s="68"/>
      <c r="BB861" s="68"/>
      <c r="BC861" s="68"/>
      <c r="BD861" s="68"/>
      <c r="BE861" s="68"/>
      <c r="BF861" s="68"/>
      <c r="BG861" s="68"/>
      <c r="BH861" s="68"/>
      <c r="BI861" s="68"/>
      <c r="BJ861" s="68"/>
      <c r="BK861" s="68"/>
      <c r="BL861" s="68"/>
      <c r="BM861" s="68"/>
      <c r="BN861" s="68"/>
    </row>
    <row r="862" spans="1:66" ht="17">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8"/>
      <c r="AG862" s="68"/>
      <c r="AH862" s="68"/>
      <c r="AI862" s="68"/>
      <c r="AJ862" s="68"/>
      <c r="AK862" s="68"/>
      <c r="AL862" s="68"/>
      <c r="AM862" s="68"/>
      <c r="AN862" s="68"/>
      <c r="AO862" s="68"/>
      <c r="AP862" s="68"/>
      <c r="AQ862" s="68"/>
      <c r="AR862" s="68"/>
      <c r="AS862" s="68"/>
      <c r="AT862" s="68"/>
      <c r="AU862" s="68"/>
      <c r="AV862" s="68"/>
      <c r="AW862" s="68"/>
      <c r="AX862" s="68"/>
      <c r="AY862" s="68"/>
      <c r="AZ862" s="68"/>
      <c r="BA862" s="68"/>
      <c r="BB862" s="68"/>
      <c r="BC862" s="68"/>
      <c r="BD862" s="68"/>
      <c r="BE862" s="68"/>
      <c r="BF862" s="68"/>
      <c r="BG862" s="68"/>
      <c r="BH862" s="68"/>
      <c r="BI862" s="68"/>
      <c r="BJ862" s="68"/>
      <c r="BK862" s="68"/>
      <c r="BL862" s="68"/>
      <c r="BM862" s="68"/>
      <c r="BN862" s="68"/>
    </row>
    <row r="863" spans="1:66" ht="17">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8"/>
      <c r="AG863" s="68"/>
      <c r="AH863" s="68"/>
      <c r="AI863" s="68"/>
      <c r="AJ863" s="68"/>
      <c r="AK863" s="68"/>
      <c r="AL863" s="68"/>
      <c r="AM863" s="68"/>
      <c r="AN863" s="68"/>
      <c r="AO863" s="68"/>
      <c r="AP863" s="68"/>
      <c r="AQ863" s="68"/>
      <c r="AR863" s="68"/>
      <c r="AS863" s="68"/>
      <c r="AT863" s="68"/>
      <c r="AU863" s="68"/>
      <c r="AV863" s="68"/>
      <c r="AW863" s="68"/>
      <c r="AX863" s="68"/>
      <c r="AY863" s="68"/>
      <c r="AZ863" s="68"/>
      <c r="BA863" s="68"/>
      <c r="BB863" s="68"/>
      <c r="BC863" s="68"/>
      <c r="BD863" s="68"/>
      <c r="BE863" s="68"/>
      <c r="BF863" s="68"/>
      <c r="BG863" s="68"/>
      <c r="BH863" s="68"/>
      <c r="BI863" s="68"/>
      <c r="BJ863" s="68"/>
      <c r="BK863" s="68"/>
      <c r="BL863" s="68"/>
      <c r="BM863" s="68"/>
      <c r="BN863" s="68"/>
    </row>
    <row r="864" spans="1:66" ht="17">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8"/>
      <c r="AG864" s="68"/>
      <c r="AH864" s="68"/>
      <c r="AI864" s="68"/>
      <c r="AJ864" s="68"/>
      <c r="AK864" s="68"/>
      <c r="AL864" s="68"/>
      <c r="AM864" s="68"/>
      <c r="AN864" s="68"/>
      <c r="AO864" s="68"/>
      <c r="AP864" s="68"/>
      <c r="AQ864" s="68"/>
      <c r="AR864" s="68"/>
      <c r="AS864" s="68"/>
      <c r="AT864" s="68"/>
      <c r="AU864" s="68"/>
      <c r="AV864" s="68"/>
      <c r="AW864" s="68"/>
      <c r="AX864" s="68"/>
      <c r="AY864" s="68"/>
      <c r="AZ864" s="68"/>
      <c r="BA864" s="68"/>
      <c r="BB864" s="68"/>
      <c r="BC864" s="68"/>
      <c r="BD864" s="68"/>
      <c r="BE864" s="68"/>
      <c r="BF864" s="68"/>
      <c r="BG864" s="68"/>
      <c r="BH864" s="68"/>
      <c r="BI864" s="68"/>
      <c r="BJ864" s="68"/>
      <c r="BK864" s="68"/>
      <c r="BL864" s="68"/>
      <c r="BM864" s="68"/>
      <c r="BN864" s="68"/>
    </row>
    <row r="865" spans="1:66" ht="17">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8"/>
      <c r="AG865" s="68"/>
      <c r="AH865" s="68"/>
      <c r="AI865" s="68"/>
      <c r="AJ865" s="68"/>
      <c r="AK865" s="68"/>
      <c r="AL865" s="68"/>
      <c r="AM865" s="68"/>
      <c r="AN865" s="68"/>
      <c r="AO865" s="68"/>
      <c r="AP865" s="68"/>
      <c r="AQ865" s="68"/>
      <c r="AR865" s="68"/>
      <c r="AS865" s="68"/>
      <c r="AT865" s="68"/>
      <c r="AU865" s="68"/>
      <c r="AV865" s="68"/>
      <c r="AW865" s="68"/>
      <c r="AX865" s="68"/>
      <c r="AY865" s="68"/>
      <c r="AZ865" s="68"/>
      <c r="BA865" s="68"/>
      <c r="BB865" s="68"/>
      <c r="BC865" s="68"/>
      <c r="BD865" s="68"/>
      <c r="BE865" s="68"/>
      <c r="BF865" s="68"/>
      <c r="BG865" s="68"/>
      <c r="BH865" s="68"/>
      <c r="BI865" s="68"/>
      <c r="BJ865" s="68"/>
      <c r="BK865" s="68"/>
      <c r="BL865" s="68"/>
      <c r="BM865" s="68"/>
      <c r="BN865" s="68"/>
    </row>
    <row r="866" spans="1:66" ht="17">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8"/>
      <c r="AG866" s="68"/>
      <c r="AH866" s="68"/>
      <c r="AI866" s="68"/>
      <c r="AJ866" s="68"/>
      <c r="AK866" s="68"/>
      <c r="AL866" s="68"/>
      <c r="AM866" s="68"/>
      <c r="AN866" s="68"/>
      <c r="AO866" s="68"/>
      <c r="AP866" s="68"/>
      <c r="AQ866" s="68"/>
      <c r="AR866" s="68"/>
      <c r="AS866" s="68"/>
      <c r="AT866" s="68"/>
      <c r="AU866" s="68"/>
      <c r="AV866" s="68"/>
      <c r="AW866" s="68"/>
      <c r="AX866" s="68"/>
      <c r="AY866" s="68"/>
      <c r="AZ866" s="68"/>
      <c r="BA866" s="68"/>
      <c r="BB866" s="68"/>
      <c r="BC866" s="68"/>
      <c r="BD866" s="68"/>
      <c r="BE866" s="68"/>
      <c r="BF866" s="68"/>
      <c r="BG866" s="68"/>
      <c r="BH866" s="68"/>
      <c r="BI866" s="68"/>
      <c r="BJ866" s="68"/>
      <c r="BK866" s="68"/>
      <c r="BL866" s="68"/>
      <c r="BM866" s="68"/>
      <c r="BN866" s="68"/>
    </row>
    <row r="867" spans="1:66" ht="1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8"/>
      <c r="AG867" s="68"/>
      <c r="AH867" s="68"/>
      <c r="AI867" s="68"/>
      <c r="AJ867" s="68"/>
      <c r="AK867" s="68"/>
      <c r="AL867" s="68"/>
      <c r="AM867" s="68"/>
      <c r="AN867" s="68"/>
      <c r="AO867" s="68"/>
      <c r="AP867" s="68"/>
      <c r="AQ867" s="68"/>
      <c r="AR867" s="68"/>
      <c r="AS867" s="68"/>
      <c r="AT867" s="68"/>
      <c r="AU867" s="68"/>
      <c r="AV867" s="68"/>
      <c r="AW867" s="68"/>
      <c r="AX867" s="68"/>
      <c r="AY867" s="68"/>
      <c r="AZ867" s="68"/>
      <c r="BA867" s="68"/>
      <c r="BB867" s="68"/>
      <c r="BC867" s="68"/>
      <c r="BD867" s="68"/>
      <c r="BE867" s="68"/>
      <c r="BF867" s="68"/>
      <c r="BG867" s="68"/>
      <c r="BH867" s="68"/>
      <c r="BI867" s="68"/>
      <c r="BJ867" s="68"/>
      <c r="BK867" s="68"/>
      <c r="BL867" s="68"/>
      <c r="BM867" s="68"/>
      <c r="BN867" s="68"/>
    </row>
    <row r="868" spans="1:66" ht="17">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8"/>
      <c r="AG868" s="68"/>
      <c r="AH868" s="68"/>
      <c r="AI868" s="68"/>
      <c r="AJ868" s="68"/>
      <c r="AK868" s="68"/>
      <c r="AL868" s="68"/>
      <c r="AM868" s="68"/>
      <c r="AN868" s="68"/>
      <c r="AO868" s="68"/>
      <c r="AP868" s="68"/>
      <c r="AQ868" s="68"/>
      <c r="AR868" s="68"/>
      <c r="AS868" s="68"/>
      <c r="AT868" s="68"/>
      <c r="AU868" s="68"/>
      <c r="AV868" s="68"/>
      <c r="AW868" s="68"/>
      <c r="AX868" s="68"/>
      <c r="AY868" s="68"/>
      <c r="AZ868" s="68"/>
      <c r="BA868" s="68"/>
      <c r="BB868" s="68"/>
      <c r="BC868" s="68"/>
      <c r="BD868" s="68"/>
      <c r="BE868" s="68"/>
      <c r="BF868" s="68"/>
      <c r="BG868" s="68"/>
      <c r="BH868" s="68"/>
      <c r="BI868" s="68"/>
      <c r="BJ868" s="68"/>
      <c r="BK868" s="68"/>
      <c r="BL868" s="68"/>
      <c r="BM868" s="68"/>
      <c r="BN868" s="68"/>
    </row>
    <row r="869" spans="1:66" ht="17">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8"/>
      <c r="AG869" s="68"/>
      <c r="AH869" s="68"/>
      <c r="AI869" s="68"/>
      <c r="AJ869" s="68"/>
      <c r="AK869" s="68"/>
      <c r="AL869" s="68"/>
      <c r="AM869" s="68"/>
      <c r="AN869" s="68"/>
      <c r="AO869" s="68"/>
      <c r="AP869" s="68"/>
      <c r="AQ869" s="68"/>
      <c r="AR869" s="68"/>
      <c r="AS869" s="68"/>
      <c r="AT869" s="68"/>
      <c r="AU869" s="68"/>
      <c r="AV869" s="68"/>
      <c r="AW869" s="68"/>
      <c r="AX869" s="68"/>
      <c r="AY869" s="68"/>
      <c r="AZ869" s="68"/>
      <c r="BA869" s="68"/>
      <c r="BB869" s="68"/>
      <c r="BC869" s="68"/>
      <c r="BD869" s="68"/>
      <c r="BE869" s="68"/>
      <c r="BF869" s="68"/>
      <c r="BG869" s="68"/>
      <c r="BH869" s="68"/>
      <c r="BI869" s="68"/>
      <c r="BJ869" s="68"/>
      <c r="BK869" s="68"/>
      <c r="BL869" s="68"/>
      <c r="BM869" s="68"/>
      <c r="BN869" s="68"/>
    </row>
    <row r="870" spans="1:66" ht="17">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8"/>
      <c r="AG870" s="68"/>
      <c r="AH870" s="68"/>
      <c r="AI870" s="68"/>
      <c r="AJ870" s="68"/>
      <c r="AK870" s="68"/>
      <c r="AL870" s="68"/>
      <c r="AM870" s="68"/>
      <c r="AN870" s="68"/>
      <c r="AO870" s="68"/>
      <c r="AP870" s="68"/>
      <c r="AQ870" s="68"/>
      <c r="AR870" s="68"/>
      <c r="AS870" s="68"/>
      <c r="AT870" s="68"/>
      <c r="AU870" s="68"/>
      <c r="AV870" s="68"/>
      <c r="AW870" s="68"/>
      <c r="AX870" s="68"/>
      <c r="AY870" s="68"/>
      <c r="AZ870" s="68"/>
      <c r="BA870" s="68"/>
      <c r="BB870" s="68"/>
      <c r="BC870" s="68"/>
      <c r="BD870" s="68"/>
      <c r="BE870" s="68"/>
      <c r="BF870" s="68"/>
      <c r="BG870" s="68"/>
      <c r="BH870" s="68"/>
      <c r="BI870" s="68"/>
      <c r="BJ870" s="68"/>
      <c r="BK870" s="68"/>
      <c r="BL870" s="68"/>
      <c r="BM870" s="68"/>
      <c r="BN870" s="68"/>
    </row>
    <row r="871" spans="1:66" ht="17">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8"/>
      <c r="AG871" s="68"/>
      <c r="AH871" s="68"/>
      <c r="AI871" s="68"/>
      <c r="AJ871" s="68"/>
      <c r="AK871" s="68"/>
      <c r="AL871" s="68"/>
      <c r="AM871" s="68"/>
      <c r="AN871" s="68"/>
      <c r="AO871" s="68"/>
      <c r="AP871" s="68"/>
      <c r="AQ871" s="68"/>
      <c r="AR871" s="68"/>
      <c r="AS871" s="68"/>
      <c r="AT871" s="68"/>
      <c r="AU871" s="68"/>
      <c r="AV871" s="68"/>
      <c r="AW871" s="68"/>
      <c r="AX871" s="68"/>
      <c r="AY871" s="68"/>
      <c r="AZ871" s="68"/>
      <c r="BA871" s="68"/>
      <c r="BB871" s="68"/>
      <c r="BC871" s="68"/>
      <c r="BD871" s="68"/>
      <c r="BE871" s="68"/>
      <c r="BF871" s="68"/>
      <c r="BG871" s="68"/>
      <c r="BH871" s="68"/>
      <c r="BI871" s="68"/>
      <c r="BJ871" s="68"/>
      <c r="BK871" s="68"/>
      <c r="BL871" s="68"/>
      <c r="BM871" s="68"/>
      <c r="BN871" s="68"/>
    </row>
    <row r="872" spans="1:66" ht="17">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8"/>
      <c r="AG872" s="68"/>
      <c r="AH872" s="68"/>
      <c r="AI872" s="68"/>
      <c r="AJ872" s="68"/>
      <c r="AK872" s="68"/>
      <c r="AL872" s="68"/>
      <c r="AM872" s="68"/>
      <c r="AN872" s="68"/>
      <c r="AO872" s="68"/>
      <c r="AP872" s="68"/>
      <c r="AQ872" s="68"/>
      <c r="AR872" s="68"/>
      <c r="AS872" s="68"/>
      <c r="AT872" s="68"/>
      <c r="AU872" s="68"/>
      <c r="AV872" s="68"/>
      <c r="AW872" s="68"/>
      <c r="AX872" s="68"/>
      <c r="AY872" s="68"/>
      <c r="AZ872" s="68"/>
      <c r="BA872" s="68"/>
      <c r="BB872" s="68"/>
      <c r="BC872" s="68"/>
      <c r="BD872" s="68"/>
      <c r="BE872" s="68"/>
      <c r="BF872" s="68"/>
      <c r="BG872" s="68"/>
      <c r="BH872" s="68"/>
      <c r="BI872" s="68"/>
      <c r="BJ872" s="68"/>
      <c r="BK872" s="68"/>
      <c r="BL872" s="68"/>
      <c r="BM872" s="68"/>
      <c r="BN872" s="68"/>
    </row>
    <row r="873" spans="1:66" ht="17">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8"/>
      <c r="AG873" s="68"/>
      <c r="AH873" s="68"/>
      <c r="AI873" s="68"/>
      <c r="AJ873" s="68"/>
      <c r="AK873" s="68"/>
      <c r="AL873" s="68"/>
      <c r="AM873" s="68"/>
      <c r="AN873" s="68"/>
      <c r="AO873" s="68"/>
      <c r="AP873" s="68"/>
      <c r="AQ873" s="68"/>
      <c r="AR873" s="68"/>
      <c r="AS873" s="68"/>
      <c r="AT873" s="68"/>
      <c r="AU873" s="68"/>
      <c r="AV873" s="68"/>
      <c r="AW873" s="68"/>
      <c r="AX873" s="68"/>
      <c r="AY873" s="68"/>
      <c r="AZ873" s="68"/>
      <c r="BA873" s="68"/>
      <c r="BB873" s="68"/>
      <c r="BC873" s="68"/>
      <c r="BD873" s="68"/>
      <c r="BE873" s="68"/>
      <c r="BF873" s="68"/>
      <c r="BG873" s="68"/>
      <c r="BH873" s="68"/>
      <c r="BI873" s="68"/>
      <c r="BJ873" s="68"/>
      <c r="BK873" s="68"/>
      <c r="BL873" s="68"/>
      <c r="BM873" s="68"/>
      <c r="BN873" s="68"/>
    </row>
    <row r="874" spans="1:66" ht="17">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8"/>
      <c r="AG874" s="68"/>
      <c r="AH874" s="68"/>
      <c r="AI874" s="68"/>
      <c r="AJ874" s="68"/>
      <c r="AK874" s="68"/>
      <c r="AL874" s="68"/>
      <c r="AM874" s="68"/>
      <c r="AN874" s="68"/>
      <c r="AO874" s="68"/>
      <c r="AP874" s="68"/>
      <c r="AQ874" s="68"/>
      <c r="AR874" s="68"/>
      <c r="AS874" s="68"/>
      <c r="AT874" s="68"/>
      <c r="AU874" s="68"/>
      <c r="AV874" s="68"/>
      <c r="AW874" s="68"/>
      <c r="AX874" s="68"/>
      <c r="AY874" s="68"/>
      <c r="AZ874" s="68"/>
      <c r="BA874" s="68"/>
      <c r="BB874" s="68"/>
      <c r="BC874" s="68"/>
      <c r="BD874" s="68"/>
      <c r="BE874" s="68"/>
      <c r="BF874" s="68"/>
      <c r="BG874" s="68"/>
      <c r="BH874" s="68"/>
      <c r="BI874" s="68"/>
      <c r="BJ874" s="68"/>
      <c r="BK874" s="68"/>
      <c r="BL874" s="68"/>
      <c r="BM874" s="68"/>
      <c r="BN874" s="68"/>
    </row>
    <row r="875" spans="1:66" ht="17">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8"/>
      <c r="AG875" s="68"/>
      <c r="AH875" s="68"/>
      <c r="AI875" s="68"/>
      <c r="AJ875" s="68"/>
      <c r="AK875" s="68"/>
      <c r="AL875" s="68"/>
      <c r="AM875" s="68"/>
      <c r="AN875" s="68"/>
      <c r="AO875" s="68"/>
      <c r="AP875" s="68"/>
      <c r="AQ875" s="68"/>
      <c r="AR875" s="68"/>
      <c r="AS875" s="68"/>
      <c r="AT875" s="68"/>
      <c r="AU875" s="68"/>
      <c r="AV875" s="68"/>
      <c r="AW875" s="68"/>
      <c r="AX875" s="68"/>
      <c r="AY875" s="68"/>
      <c r="AZ875" s="68"/>
      <c r="BA875" s="68"/>
      <c r="BB875" s="68"/>
      <c r="BC875" s="68"/>
      <c r="BD875" s="68"/>
      <c r="BE875" s="68"/>
      <c r="BF875" s="68"/>
      <c r="BG875" s="68"/>
      <c r="BH875" s="68"/>
      <c r="BI875" s="68"/>
      <c r="BJ875" s="68"/>
      <c r="BK875" s="68"/>
      <c r="BL875" s="68"/>
      <c r="BM875" s="68"/>
      <c r="BN875" s="68"/>
    </row>
    <row r="876" spans="1:66" ht="17">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8"/>
      <c r="AG876" s="68"/>
      <c r="AH876" s="68"/>
      <c r="AI876" s="68"/>
      <c r="AJ876" s="68"/>
      <c r="AK876" s="68"/>
      <c r="AL876" s="68"/>
      <c r="AM876" s="68"/>
      <c r="AN876" s="68"/>
      <c r="AO876" s="68"/>
      <c r="AP876" s="68"/>
      <c r="AQ876" s="68"/>
      <c r="AR876" s="68"/>
      <c r="AS876" s="68"/>
      <c r="AT876" s="68"/>
      <c r="AU876" s="68"/>
      <c r="AV876" s="68"/>
      <c r="AW876" s="68"/>
      <c r="AX876" s="68"/>
      <c r="AY876" s="68"/>
      <c r="AZ876" s="68"/>
      <c r="BA876" s="68"/>
      <c r="BB876" s="68"/>
      <c r="BC876" s="68"/>
      <c r="BD876" s="68"/>
      <c r="BE876" s="68"/>
      <c r="BF876" s="68"/>
      <c r="BG876" s="68"/>
      <c r="BH876" s="68"/>
      <c r="BI876" s="68"/>
      <c r="BJ876" s="68"/>
      <c r="BK876" s="68"/>
      <c r="BL876" s="68"/>
      <c r="BM876" s="68"/>
      <c r="BN876" s="68"/>
    </row>
    <row r="877" spans="1:66" ht="1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8"/>
      <c r="AG877" s="68"/>
      <c r="AH877" s="68"/>
      <c r="AI877" s="68"/>
      <c r="AJ877" s="68"/>
      <c r="AK877" s="68"/>
      <c r="AL877" s="68"/>
      <c r="AM877" s="68"/>
      <c r="AN877" s="68"/>
      <c r="AO877" s="68"/>
      <c r="AP877" s="68"/>
      <c r="AQ877" s="68"/>
      <c r="AR877" s="68"/>
      <c r="AS877" s="68"/>
      <c r="AT877" s="68"/>
      <c r="AU877" s="68"/>
      <c r="AV877" s="68"/>
      <c r="AW877" s="68"/>
      <c r="AX877" s="68"/>
      <c r="AY877" s="68"/>
      <c r="AZ877" s="68"/>
      <c r="BA877" s="68"/>
      <c r="BB877" s="68"/>
      <c r="BC877" s="68"/>
      <c r="BD877" s="68"/>
      <c r="BE877" s="68"/>
      <c r="BF877" s="68"/>
      <c r="BG877" s="68"/>
      <c r="BH877" s="68"/>
      <c r="BI877" s="68"/>
      <c r="BJ877" s="68"/>
      <c r="BK877" s="68"/>
      <c r="BL877" s="68"/>
      <c r="BM877" s="68"/>
      <c r="BN877" s="68"/>
    </row>
    <row r="878" spans="1:66" ht="17">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8"/>
      <c r="AG878" s="68"/>
      <c r="AH878" s="68"/>
      <c r="AI878" s="68"/>
      <c r="AJ878" s="68"/>
      <c r="AK878" s="68"/>
      <c r="AL878" s="68"/>
      <c r="AM878" s="68"/>
      <c r="AN878" s="68"/>
      <c r="AO878" s="68"/>
      <c r="AP878" s="68"/>
      <c r="AQ878" s="68"/>
      <c r="AR878" s="68"/>
      <c r="AS878" s="68"/>
      <c r="AT878" s="68"/>
      <c r="AU878" s="68"/>
      <c r="AV878" s="68"/>
      <c r="AW878" s="68"/>
      <c r="AX878" s="68"/>
      <c r="AY878" s="68"/>
      <c r="AZ878" s="68"/>
      <c r="BA878" s="68"/>
      <c r="BB878" s="68"/>
      <c r="BC878" s="68"/>
      <c r="BD878" s="68"/>
      <c r="BE878" s="68"/>
      <c r="BF878" s="68"/>
      <c r="BG878" s="68"/>
      <c r="BH878" s="68"/>
      <c r="BI878" s="68"/>
      <c r="BJ878" s="68"/>
      <c r="BK878" s="68"/>
      <c r="BL878" s="68"/>
      <c r="BM878" s="68"/>
      <c r="BN878" s="68"/>
    </row>
    <row r="879" spans="1:66" ht="17">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8"/>
      <c r="AG879" s="68"/>
      <c r="AH879" s="68"/>
      <c r="AI879" s="68"/>
      <c r="AJ879" s="68"/>
      <c r="AK879" s="68"/>
      <c r="AL879" s="68"/>
      <c r="AM879" s="68"/>
      <c r="AN879" s="68"/>
      <c r="AO879" s="68"/>
      <c r="AP879" s="68"/>
      <c r="AQ879" s="68"/>
      <c r="AR879" s="68"/>
      <c r="AS879" s="68"/>
      <c r="AT879" s="68"/>
      <c r="AU879" s="68"/>
      <c r="AV879" s="68"/>
      <c r="AW879" s="68"/>
      <c r="AX879" s="68"/>
      <c r="AY879" s="68"/>
      <c r="AZ879" s="68"/>
      <c r="BA879" s="68"/>
      <c r="BB879" s="68"/>
      <c r="BC879" s="68"/>
      <c r="BD879" s="68"/>
      <c r="BE879" s="68"/>
      <c r="BF879" s="68"/>
      <c r="BG879" s="68"/>
      <c r="BH879" s="68"/>
      <c r="BI879" s="68"/>
      <c r="BJ879" s="68"/>
      <c r="BK879" s="68"/>
      <c r="BL879" s="68"/>
      <c r="BM879" s="68"/>
      <c r="BN879" s="68"/>
    </row>
    <row r="880" spans="1:66" ht="17">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8"/>
      <c r="AG880" s="68"/>
      <c r="AH880" s="68"/>
      <c r="AI880" s="68"/>
      <c r="AJ880" s="68"/>
      <c r="AK880" s="68"/>
      <c r="AL880" s="68"/>
      <c r="AM880" s="68"/>
      <c r="AN880" s="68"/>
      <c r="AO880" s="68"/>
      <c r="AP880" s="68"/>
      <c r="AQ880" s="68"/>
      <c r="AR880" s="68"/>
      <c r="AS880" s="68"/>
      <c r="AT880" s="68"/>
      <c r="AU880" s="68"/>
      <c r="AV880" s="68"/>
      <c r="AW880" s="68"/>
      <c r="AX880" s="68"/>
      <c r="AY880" s="68"/>
      <c r="AZ880" s="68"/>
      <c r="BA880" s="68"/>
      <c r="BB880" s="68"/>
      <c r="BC880" s="68"/>
      <c r="BD880" s="68"/>
      <c r="BE880" s="68"/>
      <c r="BF880" s="68"/>
      <c r="BG880" s="68"/>
      <c r="BH880" s="68"/>
      <c r="BI880" s="68"/>
      <c r="BJ880" s="68"/>
      <c r="BK880" s="68"/>
      <c r="BL880" s="68"/>
      <c r="BM880" s="68"/>
      <c r="BN880" s="68"/>
    </row>
    <row r="881" spans="1:66" ht="17">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8"/>
      <c r="AG881" s="68"/>
      <c r="AH881" s="68"/>
      <c r="AI881" s="68"/>
      <c r="AJ881" s="68"/>
      <c r="AK881" s="68"/>
      <c r="AL881" s="68"/>
      <c r="AM881" s="68"/>
      <c r="AN881" s="68"/>
      <c r="AO881" s="68"/>
      <c r="AP881" s="68"/>
      <c r="AQ881" s="68"/>
      <c r="AR881" s="68"/>
      <c r="AS881" s="68"/>
      <c r="AT881" s="68"/>
      <c r="AU881" s="68"/>
      <c r="AV881" s="68"/>
      <c r="AW881" s="68"/>
      <c r="AX881" s="68"/>
      <c r="AY881" s="68"/>
      <c r="AZ881" s="68"/>
      <c r="BA881" s="68"/>
      <c r="BB881" s="68"/>
      <c r="BC881" s="68"/>
      <c r="BD881" s="68"/>
      <c r="BE881" s="68"/>
      <c r="BF881" s="68"/>
      <c r="BG881" s="68"/>
      <c r="BH881" s="68"/>
      <c r="BI881" s="68"/>
      <c r="BJ881" s="68"/>
      <c r="BK881" s="68"/>
      <c r="BL881" s="68"/>
      <c r="BM881" s="68"/>
      <c r="BN881" s="68"/>
    </row>
    <row r="882" spans="1:66" ht="17">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8"/>
      <c r="AG882" s="68"/>
      <c r="AH882" s="68"/>
      <c r="AI882" s="68"/>
      <c r="AJ882" s="68"/>
      <c r="AK882" s="68"/>
      <c r="AL882" s="68"/>
      <c r="AM882" s="68"/>
      <c r="AN882" s="68"/>
      <c r="AO882" s="68"/>
      <c r="AP882" s="68"/>
      <c r="AQ882" s="68"/>
      <c r="AR882" s="68"/>
      <c r="AS882" s="68"/>
      <c r="AT882" s="68"/>
      <c r="AU882" s="68"/>
      <c r="AV882" s="68"/>
      <c r="AW882" s="68"/>
      <c r="AX882" s="68"/>
      <c r="AY882" s="68"/>
      <c r="AZ882" s="68"/>
      <c r="BA882" s="68"/>
      <c r="BB882" s="68"/>
      <c r="BC882" s="68"/>
      <c r="BD882" s="68"/>
      <c r="BE882" s="68"/>
      <c r="BF882" s="68"/>
      <c r="BG882" s="68"/>
      <c r="BH882" s="68"/>
      <c r="BI882" s="68"/>
      <c r="BJ882" s="68"/>
      <c r="BK882" s="68"/>
      <c r="BL882" s="68"/>
      <c r="BM882" s="68"/>
      <c r="BN882" s="68"/>
    </row>
    <row r="883" spans="1:66" ht="17">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8"/>
      <c r="AG883" s="68"/>
      <c r="AH883" s="68"/>
      <c r="AI883" s="68"/>
      <c r="AJ883" s="68"/>
      <c r="AK883" s="68"/>
      <c r="AL883" s="68"/>
      <c r="AM883" s="68"/>
      <c r="AN883" s="68"/>
      <c r="AO883" s="68"/>
      <c r="AP883" s="68"/>
      <c r="AQ883" s="68"/>
      <c r="AR883" s="68"/>
      <c r="AS883" s="68"/>
      <c r="AT883" s="68"/>
      <c r="AU883" s="68"/>
      <c r="AV883" s="68"/>
      <c r="AW883" s="68"/>
      <c r="AX883" s="68"/>
      <c r="AY883" s="68"/>
      <c r="AZ883" s="68"/>
      <c r="BA883" s="68"/>
      <c r="BB883" s="68"/>
      <c r="BC883" s="68"/>
      <c r="BD883" s="68"/>
      <c r="BE883" s="68"/>
      <c r="BF883" s="68"/>
      <c r="BG883" s="68"/>
      <c r="BH883" s="68"/>
      <c r="BI883" s="68"/>
      <c r="BJ883" s="68"/>
      <c r="BK883" s="68"/>
      <c r="BL883" s="68"/>
      <c r="BM883" s="68"/>
      <c r="BN883" s="68"/>
    </row>
    <row r="884" spans="1:66" ht="17">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8"/>
      <c r="AG884" s="68"/>
      <c r="AH884" s="68"/>
      <c r="AI884" s="68"/>
      <c r="AJ884" s="68"/>
      <c r="AK884" s="68"/>
      <c r="AL884" s="68"/>
      <c r="AM884" s="68"/>
      <c r="AN884" s="68"/>
      <c r="AO884" s="68"/>
      <c r="AP884" s="68"/>
      <c r="AQ884" s="68"/>
      <c r="AR884" s="68"/>
      <c r="AS884" s="68"/>
      <c r="AT884" s="68"/>
      <c r="AU884" s="68"/>
      <c r="AV884" s="68"/>
      <c r="AW884" s="68"/>
      <c r="AX884" s="68"/>
      <c r="AY884" s="68"/>
      <c r="AZ884" s="68"/>
      <c r="BA884" s="68"/>
      <c r="BB884" s="68"/>
      <c r="BC884" s="68"/>
      <c r="BD884" s="68"/>
      <c r="BE884" s="68"/>
      <c r="BF884" s="68"/>
      <c r="BG884" s="68"/>
      <c r="BH884" s="68"/>
      <c r="BI884" s="68"/>
      <c r="BJ884" s="68"/>
      <c r="BK884" s="68"/>
      <c r="BL884" s="68"/>
      <c r="BM884" s="68"/>
      <c r="BN884" s="68"/>
    </row>
    <row r="885" spans="1:66" ht="17">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c r="AG885" s="68"/>
      <c r="AH885" s="68"/>
      <c r="AI885" s="68"/>
      <c r="AJ885" s="68"/>
      <c r="AK885" s="68"/>
      <c r="AL885" s="68"/>
      <c r="AM885" s="68"/>
      <c r="AN885" s="68"/>
      <c r="AO885" s="68"/>
      <c r="AP885" s="68"/>
      <c r="AQ885" s="68"/>
      <c r="AR885" s="68"/>
      <c r="AS885" s="68"/>
      <c r="AT885" s="68"/>
      <c r="AU885" s="68"/>
      <c r="AV885" s="68"/>
      <c r="AW885" s="68"/>
      <c r="AX885" s="68"/>
      <c r="AY885" s="68"/>
      <c r="AZ885" s="68"/>
      <c r="BA885" s="68"/>
      <c r="BB885" s="68"/>
      <c r="BC885" s="68"/>
      <c r="BD885" s="68"/>
      <c r="BE885" s="68"/>
      <c r="BF885" s="68"/>
      <c r="BG885" s="68"/>
      <c r="BH885" s="68"/>
      <c r="BI885" s="68"/>
      <c r="BJ885" s="68"/>
      <c r="BK885" s="68"/>
      <c r="BL885" s="68"/>
      <c r="BM885" s="68"/>
      <c r="BN885" s="68"/>
    </row>
    <row r="886" spans="1:66" ht="17">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8"/>
      <c r="AG886" s="68"/>
      <c r="AH886" s="68"/>
      <c r="AI886" s="68"/>
      <c r="AJ886" s="68"/>
      <c r="AK886" s="68"/>
      <c r="AL886" s="68"/>
      <c r="AM886" s="68"/>
      <c r="AN886" s="68"/>
      <c r="AO886" s="68"/>
      <c r="AP886" s="68"/>
      <c r="AQ886" s="68"/>
      <c r="AR886" s="68"/>
      <c r="AS886" s="68"/>
      <c r="AT886" s="68"/>
      <c r="AU886" s="68"/>
      <c r="AV886" s="68"/>
      <c r="AW886" s="68"/>
      <c r="AX886" s="68"/>
      <c r="AY886" s="68"/>
      <c r="AZ886" s="68"/>
      <c r="BA886" s="68"/>
      <c r="BB886" s="68"/>
      <c r="BC886" s="68"/>
      <c r="BD886" s="68"/>
      <c r="BE886" s="68"/>
      <c r="BF886" s="68"/>
      <c r="BG886" s="68"/>
      <c r="BH886" s="68"/>
      <c r="BI886" s="68"/>
      <c r="BJ886" s="68"/>
      <c r="BK886" s="68"/>
      <c r="BL886" s="68"/>
      <c r="BM886" s="68"/>
      <c r="BN886" s="68"/>
    </row>
    <row r="887" spans="1:66" ht="1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8"/>
      <c r="AG887" s="68"/>
      <c r="AH887" s="68"/>
      <c r="AI887" s="68"/>
      <c r="AJ887" s="68"/>
      <c r="AK887" s="68"/>
      <c r="AL887" s="68"/>
      <c r="AM887" s="68"/>
      <c r="AN887" s="68"/>
      <c r="AO887" s="68"/>
      <c r="AP887" s="68"/>
      <c r="AQ887" s="68"/>
      <c r="AR887" s="68"/>
      <c r="AS887" s="68"/>
      <c r="AT887" s="68"/>
      <c r="AU887" s="68"/>
      <c r="AV887" s="68"/>
      <c r="AW887" s="68"/>
      <c r="AX887" s="68"/>
      <c r="AY887" s="68"/>
      <c r="AZ887" s="68"/>
      <c r="BA887" s="68"/>
      <c r="BB887" s="68"/>
      <c r="BC887" s="68"/>
      <c r="BD887" s="68"/>
      <c r="BE887" s="68"/>
      <c r="BF887" s="68"/>
      <c r="BG887" s="68"/>
      <c r="BH887" s="68"/>
      <c r="BI887" s="68"/>
      <c r="BJ887" s="68"/>
      <c r="BK887" s="68"/>
      <c r="BL887" s="68"/>
      <c r="BM887" s="68"/>
      <c r="BN887" s="68"/>
    </row>
    <row r="888" spans="1:66" ht="17">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8"/>
      <c r="AG888" s="68"/>
      <c r="AH888" s="68"/>
      <c r="AI888" s="68"/>
      <c r="AJ888" s="68"/>
      <c r="AK888" s="68"/>
      <c r="AL888" s="68"/>
      <c r="AM888" s="68"/>
      <c r="AN888" s="68"/>
      <c r="AO888" s="68"/>
      <c r="AP888" s="68"/>
      <c r="AQ888" s="68"/>
      <c r="AR888" s="68"/>
      <c r="AS888" s="68"/>
      <c r="AT888" s="68"/>
      <c r="AU888" s="68"/>
      <c r="AV888" s="68"/>
      <c r="AW888" s="68"/>
      <c r="AX888" s="68"/>
      <c r="AY888" s="68"/>
      <c r="AZ888" s="68"/>
      <c r="BA888" s="68"/>
      <c r="BB888" s="68"/>
      <c r="BC888" s="68"/>
      <c r="BD888" s="68"/>
      <c r="BE888" s="68"/>
      <c r="BF888" s="68"/>
      <c r="BG888" s="68"/>
      <c r="BH888" s="68"/>
      <c r="BI888" s="68"/>
      <c r="BJ888" s="68"/>
      <c r="BK888" s="68"/>
      <c r="BL888" s="68"/>
      <c r="BM888" s="68"/>
      <c r="BN888" s="68"/>
    </row>
    <row r="889" spans="1:66" ht="17">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8"/>
      <c r="AG889" s="68"/>
      <c r="AH889" s="68"/>
      <c r="AI889" s="68"/>
      <c r="AJ889" s="68"/>
      <c r="AK889" s="68"/>
      <c r="AL889" s="68"/>
      <c r="AM889" s="68"/>
      <c r="AN889" s="68"/>
      <c r="AO889" s="68"/>
      <c r="AP889" s="68"/>
      <c r="AQ889" s="68"/>
      <c r="AR889" s="68"/>
      <c r="AS889" s="68"/>
      <c r="AT889" s="68"/>
      <c r="AU889" s="68"/>
      <c r="AV889" s="68"/>
      <c r="AW889" s="68"/>
      <c r="AX889" s="68"/>
      <c r="AY889" s="68"/>
      <c r="AZ889" s="68"/>
      <c r="BA889" s="68"/>
      <c r="BB889" s="68"/>
      <c r="BC889" s="68"/>
      <c r="BD889" s="68"/>
      <c r="BE889" s="68"/>
      <c r="BF889" s="68"/>
      <c r="BG889" s="68"/>
      <c r="BH889" s="68"/>
      <c r="BI889" s="68"/>
      <c r="BJ889" s="68"/>
      <c r="BK889" s="68"/>
      <c r="BL889" s="68"/>
      <c r="BM889" s="68"/>
      <c r="BN889" s="68"/>
    </row>
    <row r="890" spans="1:66" ht="17">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8"/>
      <c r="AG890" s="68"/>
      <c r="AH890" s="68"/>
      <c r="AI890" s="68"/>
      <c r="AJ890" s="68"/>
      <c r="AK890" s="68"/>
      <c r="AL890" s="68"/>
      <c r="AM890" s="68"/>
      <c r="AN890" s="68"/>
      <c r="AO890" s="68"/>
      <c r="AP890" s="68"/>
      <c r="AQ890" s="68"/>
      <c r="AR890" s="68"/>
      <c r="AS890" s="68"/>
      <c r="AT890" s="68"/>
      <c r="AU890" s="68"/>
      <c r="AV890" s="68"/>
      <c r="AW890" s="68"/>
      <c r="AX890" s="68"/>
      <c r="AY890" s="68"/>
      <c r="AZ890" s="68"/>
      <c r="BA890" s="68"/>
      <c r="BB890" s="68"/>
      <c r="BC890" s="68"/>
      <c r="BD890" s="68"/>
      <c r="BE890" s="68"/>
      <c r="BF890" s="68"/>
      <c r="BG890" s="68"/>
      <c r="BH890" s="68"/>
      <c r="BI890" s="68"/>
      <c r="BJ890" s="68"/>
      <c r="BK890" s="68"/>
      <c r="BL890" s="68"/>
      <c r="BM890" s="68"/>
      <c r="BN890" s="68"/>
    </row>
    <row r="891" spans="1:66" ht="17">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8"/>
      <c r="AG891" s="68"/>
      <c r="AH891" s="68"/>
      <c r="AI891" s="68"/>
      <c r="AJ891" s="68"/>
      <c r="AK891" s="68"/>
      <c r="AL891" s="68"/>
      <c r="AM891" s="68"/>
      <c r="AN891" s="68"/>
      <c r="AO891" s="68"/>
      <c r="AP891" s="68"/>
      <c r="AQ891" s="68"/>
      <c r="AR891" s="68"/>
      <c r="AS891" s="68"/>
      <c r="AT891" s="68"/>
      <c r="AU891" s="68"/>
      <c r="AV891" s="68"/>
      <c r="AW891" s="68"/>
      <c r="AX891" s="68"/>
      <c r="AY891" s="68"/>
      <c r="AZ891" s="68"/>
      <c r="BA891" s="68"/>
      <c r="BB891" s="68"/>
      <c r="BC891" s="68"/>
      <c r="BD891" s="68"/>
      <c r="BE891" s="68"/>
      <c r="BF891" s="68"/>
      <c r="BG891" s="68"/>
      <c r="BH891" s="68"/>
      <c r="BI891" s="68"/>
      <c r="BJ891" s="68"/>
      <c r="BK891" s="68"/>
      <c r="BL891" s="68"/>
      <c r="BM891" s="68"/>
      <c r="BN891" s="68"/>
    </row>
    <row r="892" spans="1:66" ht="17">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8"/>
      <c r="AG892" s="68"/>
      <c r="AH892" s="68"/>
      <c r="AI892" s="68"/>
      <c r="AJ892" s="68"/>
      <c r="AK892" s="68"/>
      <c r="AL892" s="68"/>
      <c r="AM892" s="68"/>
      <c r="AN892" s="68"/>
      <c r="AO892" s="68"/>
      <c r="AP892" s="68"/>
      <c r="AQ892" s="68"/>
      <c r="AR892" s="68"/>
      <c r="AS892" s="68"/>
      <c r="AT892" s="68"/>
      <c r="AU892" s="68"/>
      <c r="AV892" s="68"/>
      <c r="AW892" s="68"/>
      <c r="AX892" s="68"/>
      <c r="AY892" s="68"/>
      <c r="AZ892" s="68"/>
      <c r="BA892" s="68"/>
      <c r="BB892" s="68"/>
      <c r="BC892" s="68"/>
      <c r="BD892" s="68"/>
      <c r="BE892" s="68"/>
      <c r="BF892" s="68"/>
      <c r="BG892" s="68"/>
      <c r="BH892" s="68"/>
      <c r="BI892" s="68"/>
      <c r="BJ892" s="68"/>
      <c r="BK892" s="68"/>
      <c r="BL892" s="68"/>
      <c r="BM892" s="68"/>
      <c r="BN892" s="68"/>
    </row>
    <row r="893" spans="1:66" ht="17">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8"/>
      <c r="AG893" s="68"/>
      <c r="AH893" s="68"/>
      <c r="AI893" s="68"/>
      <c r="AJ893" s="68"/>
      <c r="AK893" s="68"/>
      <c r="AL893" s="68"/>
      <c r="AM893" s="68"/>
      <c r="AN893" s="68"/>
      <c r="AO893" s="68"/>
      <c r="AP893" s="68"/>
      <c r="AQ893" s="68"/>
      <c r="AR893" s="68"/>
      <c r="AS893" s="68"/>
      <c r="AT893" s="68"/>
      <c r="AU893" s="68"/>
      <c r="AV893" s="68"/>
      <c r="AW893" s="68"/>
      <c r="AX893" s="68"/>
      <c r="AY893" s="68"/>
      <c r="AZ893" s="68"/>
      <c r="BA893" s="68"/>
      <c r="BB893" s="68"/>
      <c r="BC893" s="68"/>
      <c r="BD893" s="68"/>
      <c r="BE893" s="68"/>
      <c r="BF893" s="68"/>
      <c r="BG893" s="68"/>
      <c r="BH893" s="68"/>
      <c r="BI893" s="68"/>
      <c r="BJ893" s="68"/>
      <c r="BK893" s="68"/>
      <c r="BL893" s="68"/>
      <c r="BM893" s="68"/>
      <c r="BN893" s="68"/>
    </row>
    <row r="894" spans="1:66" ht="17">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8"/>
      <c r="AG894" s="68"/>
      <c r="AH894" s="68"/>
      <c r="AI894" s="68"/>
      <c r="AJ894" s="68"/>
      <c r="AK894" s="68"/>
      <c r="AL894" s="68"/>
      <c r="AM894" s="68"/>
      <c r="AN894" s="68"/>
      <c r="AO894" s="68"/>
      <c r="AP894" s="68"/>
      <c r="AQ894" s="68"/>
      <c r="AR894" s="68"/>
      <c r="AS894" s="68"/>
      <c r="AT894" s="68"/>
      <c r="AU894" s="68"/>
      <c r="AV894" s="68"/>
      <c r="AW894" s="68"/>
      <c r="AX894" s="68"/>
      <c r="AY894" s="68"/>
      <c r="AZ894" s="68"/>
      <c r="BA894" s="68"/>
      <c r="BB894" s="68"/>
      <c r="BC894" s="68"/>
      <c r="BD894" s="68"/>
      <c r="BE894" s="68"/>
      <c r="BF894" s="68"/>
      <c r="BG894" s="68"/>
      <c r="BH894" s="68"/>
      <c r="BI894" s="68"/>
      <c r="BJ894" s="68"/>
      <c r="BK894" s="68"/>
      <c r="BL894" s="68"/>
      <c r="BM894" s="68"/>
      <c r="BN894" s="68"/>
    </row>
    <row r="895" spans="1:66" ht="17">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8"/>
      <c r="AG895" s="68"/>
      <c r="AH895" s="68"/>
      <c r="AI895" s="68"/>
      <c r="AJ895" s="68"/>
      <c r="AK895" s="68"/>
      <c r="AL895" s="68"/>
      <c r="AM895" s="68"/>
      <c r="AN895" s="68"/>
      <c r="AO895" s="68"/>
      <c r="AP895" s="68"/>
      <c r="AQ895" s="68"/>
      <c r="AR895" s="68"/>
      <c r="AS895" s="68"/>
      <c r="AT895" s="68"/>
      <c r="AU895" s="68"/>
      <c r="AV895" s="68"/>
      <c r="AW895" s="68"/>
      <c r="AX895" s="68"/>
      <c r="AY895" s="68"/>
      <c r="AZ895" s="68"/>
      <c r="BA895" s="68"/>
      <c r="BB895" s="68"/>
      <c r="BC895" s="68"/>
      <c r="BD895" s="68"/>
      <c r="BE895" s="68"/>
      <c r="BF895" s="68"/>
      <c r="BG895" s="68"/>
      <c r="BH895" s="68"/>
      <c r="BI895" s="68"/>
      <c r="BJ895" s="68"/>
      <c r="BK895" s="68"/>
      <c r="BL895" s="68"/>
      <c r="BM895" s="68"/>
      <c r="BN895" s="68"/>
    </row>
    <row r="896" spans="1:66" ht="17">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8"/>
      <c r="AG896" s="68"/>
      <c r="AH896" s="68"/>
      <c r="AI896" s="68"/>
      <c r="AJ896" s="68"/>
      <c r="AK896" s="68"/>
      <c r="AL896" s="68"/>
      <c r="AM896" s="68"/>
      <c r="AN896" s="68"/>
      <c r="AO896" s="68"/>
      <c r="AP896" s="68"/>
      <c r="AQ896" s="68"/>
      <c r="AR896" s="68"/>
      <c r="AS896" s="68"/>
      <c r="AT896" s="68"/>
      <c r="AU896" s="68"/>
      <c r="AV896" s="68"/>
      <c r="AW896" s="68"/>
      <c r="AX896" s="68"/>
      <c r="AY896" s="68"/>
      <c r="AZ896" s="68"/>
      <c r="BA896" s="68"/>
      <c r="BB896" s="68"/>
      <c r="BC896" s="68"/>
      <c r="BD896" s="68"/>
      <c r="BE896" s="68"/>
      <c r="BF896" s="68"/>
      <c r="BG896" s="68"/>
      <c r="BH896" s="68"/>
      <c r="BI896" s="68"/>
      <c r="BJ896" s="68"/>
      <c r="BK896" s="68"/>
      <c r="BL896" s="68"/>
      <c r="BM896" s="68"/>
      <c r="BN896" s="68"/>
    </row>
    <row r="897" spans="1:66" ht="1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8"/>
      <c r="AG897" s="68"/>
      <c r="AH897" s="68"/>
      <c r="AI897" s="68"/>
      <c r="AJ897" s="68"/>
      <c r="AK897" s="68"/>
      <c r="AL897" s="68"/>
      <c r="AM897" s="68"/>
      <c r="AN897" s="68"/>
      <c r="AO897" s="68"/>
      <c r="AP897" s="68"/>
      <c r="AQ897" s="68"/>
      <c r="AR897" s="68"/>
      <c r="AS897" s="68"/>
      <c r="AT897" s="68"/>
      <c r="AU897" s="68"/>
      <c r="AV897" s="68"/>
      <c r="AW897" s="68"/>
      <c r="AX897" s="68"/>
      <c r="AY897" s="68"/>
      <c r="AZ897" s="68"/>
      <c r="BA897" s="68"/>
      <c r="BB897" s="68"/>
      <c r="BC897" s="68"/>
      <c r="BD897" s="68"/>
      <c r="BE897" s="68"/>
      <c r="BF897" s="68"/>
      <c r="BG897" s="68"/>
      <c r="BH897" s="68"/>
      <c r="BI897" s="68"/>
      <c r="BJ897" s="68"/>
      <c r="BK897" s="68"/>
      <c r="BL897" s="68"/>
      <c r="BM897" s="68"/>
      <c r="BN897" s="68"/>
    </row>
    <row r="898" spans="1:66" ht="17">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8"/>
      <c r="AG898" s="68"/>
      <c r="AH898" s="68"/>
      <c r="AI898" s="68"/>
      <c r="AJ898" s="68"/>
      <c r="AK898" s="68"/>
      <c r="AL898" s="68"/>
      <c r="AM898" s="68"/>
      <c r="AN898" s="68"/>
      <c r="AO898" s="68"/>
      <c r="AP898" s="68"/>
      <c r="AQ898" s="68"/>
      <c r="AR898" s="68"/>
      <c r="AS898" s="68"/>
      <c r="AT898" s="68"/>
      <c r="AU898" s="68"/>
      <c r="AV898" s="68"/>
      <c r="AW898" s="68"/>
      <c r="AX898" s="68"/>
      <c r="AY898" s="68"/>
      <c r="AZ898" s="68"/>
      <c r="BA898" s="68"/>
      <c r="BB898" s="68"/>
      <c r="BC898" s="68"/>
      <c r="BD898" s="68"/>
      <c r="BE898" s="68"/>
      <c r="BF898" s="68"/>
      <c r="BG898" s="68"/>
      <c r="BH898" s="68"/>
      <c r="BI898" s="68"/>
      <c r="BJ898" s="68"/>
      <c r="BK898" s="68"/>
      <c r="BL898" s="68"/>
      <c r="BM898" s="68"/>
      <c r="BN898" s="68"/>
    </row>
    <row r="899" spans="1:66" ht="17">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8"/>
      <c r="AG899" s="68"/>
      <c r="AH899" s="68"/>
      <c r="AI899" s="68"/>
      <c r="AJ899" s="68"/>
      <c r="AK899" s="68"/>
      <c r="AL899" s="68"/>
      <c r="AM899" s="68"/>
      <c r="AN899" s="68"/>
      <c r="AO899" s="68"/>
      <c r="AP899" s="68"/>
      <c r="AQ899" s="68"/>
      <c r="AR899" s="68"/>
      <c r="AS899" s="68"/>
      <c r="AT899" s="68"/>
      <c r="AU899" s="68"/>
      <c r="AV899" s="68"/>
      <c r="AW899" s="68"/>
      <c r="AX899" s="68"/>
      <c r="AY899" s="68"/>
      <c r="AZ899" s="68"/>
      <c r="BA899" s="68"/>
      <c r="BB899" s="68"/>
      <c r="BC899" s="68"/>
      <c r="BD899" s="68"/>
      <c r="BE899" s="68"/>
      <c r="BF899" s="68"/>
      <c r="BG899" s="68"/>
      <c r="BH899" s="68"/>
      <c r="BI899" s="68"/>
      <c r="BJ899" s="68"/>
      <c r="BK899" s="68"/>
      <c r="BL899" s="68"/>
      <c r="BM899" s="68"/>
      <c r="BN899" s="68"/>
    </row>
    <row r="900" spans="1:66" ht="17">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8"/>
      <c r="AG900" s="68"/>
      <c r="AH900" s="68"/>
      <c r="AI900" s="68"/>
      <c r="AJ900" s="68"/>
      <c r="AK900" s="68"/>
      <c r="AL900" s="68"/>
      <c r="AM900" s="68"/>
      <c r="AN900" s="68"/>
      <c r="AO900" s="68"/>
      <c r="AP900" s="68"/>
      <c r="AQ900" s="68"/>
      <c r="AR900" s="68"/>
      <c r="AS900" s="68"/>
      <c r="AT900" s="68"/>
      <c r="AU900" s="68"/>
      <c r="AV900" s="68"/>
      <c r="AW900" s="68"/>
      <c r="AX900" s="68"/>
      <c r="AY900" s="68"/>
      <c r="AZ900" s="68"/>
      <c r="BA900" s="68"/>
      <c r="BB900" s="68"/>
      <c r="BC900" s="68"/>
      <c r="BD900" s="68"/>
      <c r="BE900" s="68"/>
      <c r="BF900" s="68"/>
      <c r="BG900" s="68"/>
      <c r="BH900" s="68"/>
      <c r="BI900" s="68"/>
      <c r="BJ900" s="68"/>
      <c r="BK900" s="68"/>
      <c r="BL900" s="68"/>
      <c r="BM900" s="68"/>
      <c r="BN900" s="68"/>
    </row>
    <row r="901" spans="1:66" ht="17">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8"/>
      <c r="AG901" s="68"/>
      <c r="AH901" s="68"/>
      <c r="AI901" s="68"/>
      <c r="AJ901" s="68"/>
      <c r="AK901" s="68"/>
      <c r="AL901" s="68"/>
      <c r="AM901" s="68"/>
      <c r="AN901" s="68"/>
      <c r="AO901" s="68"/>
      <c r="AP901" s="68"/>
      <c r="AQ901" s="68"/>
      <c r="AR901" s="68"/>
      <c r="AS901" s="68"/>
      <c r="AT901" s="68"/>
      <c r="AU901" s="68"/>
      <c r="AV901" s="68"/>
      <c r="AW901" s="68"/>
      <c r="AX901" s="68"/>
      <c r="AY901" s="68"/>
      <c r="AZ901" s="68"/>
      <c r="BA901" s="68"/>
      <c r="BB901" s="68"/>
      <c r="BC901" s="68"/>
      <c r="BD901" s="68"/>
      <c r="BE901" s="68"/>
      <c r="BF901" s="68"/>
      <c r="BG901" s="68"/>
      <c r="BH901" s="68"/>
      <c r="BI901" s="68"/>
      <c r="BJ901" s="68"/>
      <c r="BK901" s="68"/>
      <c r="BL901" s="68"/>
      <c r="BM901" s="68"/>
      <c r="BN901" s="68"/>
    </row>
    <row r="902" spans="1:66" ht="17">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8"/>
      <c r="AG902" s="68"/>
      <c r="AH902" s="68"/>
      <c r="AI902" s="68"/>
      <c r="AJ902" s="68"/>
      <c r="AK902" s="68"/>
      <c r="AL902" s="68"/>
      <c r="AM902" s="68"/>
      <c r="AN902" s="68"/>
      <c r="AO902" s="68"/>
      <c r="AP902" s="68"/>
      <c r="AQ902" s="68"/>
      <c r="AR902" s="68"/>
      <c r="AS902" s="68"/>
      <c r="AT902" s="68"/>
      <c r="AU902" s="68"/>
      <c r="AV902" s="68"/>
      <c r="AW902" s="68"/>
      <c r="AX902" s="68"/>
      <c r="AY902" s="68"/>
      <c r="AZ902" s="68"/>
      <c r="BA902" s="68"/>
      <c r="BB902" s="68"/>
      <c r="BC902" s="68"/>
      <c r="BD902" s="68"/>
      <c r="BE902" s="68"/>
      <c r="BF902" s="68"/>
      <c r="BG902" s="68"/>
      <c r="BH902" s="68"/>
      <c r="BI902" s="68"/>
      <c r="BJ902" s="68"/>
      <c r="BK902" s="68"/>
      <c r="BL902" s="68"/>
      <c r="BM902" s="68"/>
      <c r="BN902" s="68"/>
    </row>
    <row r="903" spans="1:66" ht="17">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8"/>
      <c r="AG903" s="68"/>
      <c r="AH903" s="68"/>
      <c r="AI903" s="68"/>
      <c r="AJ903" s="68"/>
      <c r="AK903" s="68"/>
      <c r="AL903" s="68"/>
      <c r="AM903" s="68"/>
      <c r="AN903" s="68"/>
      <c r="AO903" s="68"/>
      <c r="AP903" s="68"/>
      <c r="AQ903" s="68"/>
      <c r="AR903" s="68"/>
      <c r="AS903" s="68"/>
      <c r="AT903" s="68"/>
      <c r="AU903" s="68"/>
      <c r="AV903" s="68"/>
      <c r="AW903" s="68"/>
      <c r="AX903" s="68"/>
      <c r="AY903" s="68"/>
      <c r="AZ903" s="68"/>
      <c r="BA903" s="68"/>
      <c r="BB903" s="68"/>
      <c r="BC903" s="68"/>
      <c r="BD903" s="68"/>
      <c r="BE903" s="68"/>
      <c r="BF903" s="68"/>
      <c r="BG903" s="68"/>
      <c r="BH903" s="68"/>
      <c r="BI903" s="68"/>
      <c r="BJ903" s="68"/>
      <c r="BK903" s="68"/>
      <c r="BL903" s="68"/>
      <c r="BM903" s="68"/>
      <c r="BN903" s="68"/>
    </row>
    <row r="904" spans="1:66" ht="17">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8"/>
      <c r="AG904" s="68"/>
      <c r="AH904" s="68"/>
      <c r="AI904" s="68"/>
      <c r="AJ904" s="68"/>
      <c r="AK904" s="68"/>
      <c r="AL904" s="68"/>
      <c r="AM904" s="68"/>
      <c r="AN904" s="68"/>
      <c r="AO904" s="68"/>
      <c r="AP904" s="68"/>
      <c r="AQ904" s="68"/>
      <c r="AR904" s="68"/>
      <c r="AS904" s="68"/>
      <c r="AT904" s="68"/>
      <c r="AU904" s="68"/>
      <c r="AV904" s="68"/>
      <c r="AW904" s="68"/>
      <c r="AX904" s="68"/>
      <c r="AY904" s="68"/>
      <c r="AZ904" s="68"/>
      <c r="BA904" s="68"/>
      <c r="BB904" s="68"/>
      <c r="BC904" s="68"/>
      <c r="BD904" s="68"/>
      <c r="BE904" s="68"/>
      <c r="BF904" s="68"/>
      <c r="BG904" s="68"/>
      <c r="BH904" s="68"/>
      <c r="BI904" s="68"/>
      <c r="BJ904" s="68"/>
      <c r="BK904" s="68"/>
      <c r="BL904" s="68"/>
      <c r="BM904" s="68"/>
      <c r="BN904" s="68"/>
    </row>
    <row r="905" spans="1:66" ht="17">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8"/>
      <c r="AG905" s="68"/>
      <c r="AH905" s="68"/>
      <c r="AI905" s="68"/>
      <c r="AJ905" s="68"/>
      <c r="AK905" s="68"/>
      <c r="AL905" s="68"/>
      <c r="AM905" s="68"/>
      <c r="AN905" s="68"/>
      <c r="AO905" s="68"/>
      <c r="AP905" s="68"/>
      <c r="AQ905" s="68"/>
      <c r="AR905" s="68"/>
      <c r="AS905" s="68"/>
      <c r="AT905" s="68"/>
      <c r="AU905" s="68"/>
      <c r="AV905" s="68"/>
      <c r="AW905" s="68"/>
      <c r="AX905" s="68"/>
      <c r="AY905" s="68"/>
      <c r="AZ905" s="68"/>
      <c r="BA905" s="68"/>
      <c r="BB905" s="68"/>
      <c r="BC905" s="68"/>
      <c r="BD905" s="68"/>
      <c r="BE905" s="68"/>
      <c r="BF905" s="68"/>
      <c r="BG905" s="68"/>
      <c r="BH905" s="68"/>
      <c r="BI905" s="68"/>
      <c r="BJ905" s="68"/>
      <c r="BK905" s="68"/>
      <c r="BL905" s="68"/>
      <c r="BM905" s="68"/>
      <c r="BN905" s="68"/>
    </row>
    <row r="906" spans="1:66" ht="17">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8"/>
      <c r="AG906" s="68"/>
      <c r="AH906" s="68"/>
      <c r="AI906" s="68"/>
      <c r="AJ906" s="68"/>
      <c r="AK906" s="68"/>
      <c r="AL906" s="68"/>
      <c r="AM906" s="68"/>
      <c r="AN906" s="68"/>
      <c r="AO906" s="68"/>
      <c r="AP906" s="68"/>
      <c r="AQ906" s="68"/>
      <c r="AR906" s="68"/>
      <c r="AS906" s="68"/>
      <c r="AT906" s="68"/>
      <c r="AU906" s="68"/>
      <c r="AV906" s="68"/>
      <c r="AW906" s="68"/>
      <c r="AX906" s="68"/>
      <c r="AY906" s="68"/>
      <c r="AZ906" s="68"/>
      <c r="BA906" s="68"/>
      <c r="BB906" s="68"/>
      <c r="BC906" s="68"/>
      <c r="BD906" s="68"/>
      <c r="BE906" s="68"/>
      <c r="BF906" s="68"/>
      <c r="BG906" s="68"/>
      <c r="BH906" s="68"/>
      <c r="BI906" s="68"/>
      <c r="BJ906" s="68"/>
      <c r="BK906" s="68"/>
      <c r="BL906" s="68"/>
      <c r="BM906" s="68"/>
      <c r="BN906" s="68"/>
    </row>
    <row r="907" spans="1:66" ht="1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8"/>
      <c r="AG907" s="68"/>
      <c r="AH907" s="68"/>
      <c r="AI907" s="68"/>
      <c r="AJ907" s="68"/>
      <c r="AK907" s="68"/>
      <c r="AL907" s="68"/>
      <c r="AM907" s="68"/>
      <c r="AN907" s="68"/>
      <c r="AO907" s="68"/>
      <c r="AP907" s="68"/>
      <c r="AQ907" s="68"/>
      <c r="AR907" s="68"/>
      <c r="AS907" s="68"/>
      <c r="AT907" s="68"/>
      <c r="AU907" s="68"/>
      <c r="AV907" s="68"/>
      <c r="AW907" s="68"/>
      <c r="AX907" s="68"/>
      <c r="AY907" s="68"/>
      <c r="AZ907" s="68"/>
      <c r="BA907" s="68"/>
      <c r="BB907" s="68"/>
      <c r="BC907" s="68"/>
      <c r="BD907" s="68"/>
      <c r="BE907" s="68"/>
      <c r="BF907" s="68"/>
      <c r="BG907" s="68"/>
      <c r="BH907" s="68"/>
      <c r="BI907" s="68"/>
      <c r="BJ907" s="68"/>
      <c r="BK907" s="68"/>
      <c r="BL907" s="68"/>
      <c r="BM907" s="68"/>
      <c r="BN907" s="68"/>
    </row>
    <row r="908" spans="1:66" ht="17">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8"/>
      <c r="AG908" s="68"/>
      <c r="AH908" s="68"/>
      <c r="AI908" s="68"/>
      <c r="AJ908" s="68"/>
      <c r="AK908" s="68"/>
      <c r="AL908" s="68"/>
      <c r="AM908" s="68"/>
      <c r="AN908" s="68"/>
      <c r="AO908" s="68"/>
      <c r="AP908" s="68"/>
      <c r="AQ908" s="68"/>
      <c r="AR908" s="68"/>
      <c r="AS908" s="68"/>
      <c r="AT908" s="68"/>
      <c r="AU908" s="68"/>
      <c r="AV908" s="68"/>
      <c r="AW908" s="68"/>
      <c r="AX908" s="68"/>
      <c r="AY908" s="68"/>
      <c r="AZ908" s="68"/>
      <c r="BA908" s="68"/>
      <c r="BB908" s="68"/>
      <c r="BC908" s="68"/>
      <c r="BD908" s="68"/>
      <c r="BE908" s="68"/>
      <c r="BF908" s="68"/>
      <c r="BG908" s="68"/>
      <c r="BH908" s="68"/>
      <c r="BI908" s="68"/>
      <c r="BJ908" s="68"/>
      <c r="BK908" s="68"/>
      <c r="BL908" s="68"/>
      <c r="BM908" s="68"/>
      <c r="BN908" s="68"/>
    </row>
    <row r="909" spans="1:66" ht="17">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8"/>
      <c r="AG909" s="68"/>
      <c r="AH909" s="68"/>
      <c r="AI909" s="68"/>
      <c r="AJ909" s="68"/>
      <c r="AK909" s="68"/>
      <c r="AL909" s="68"/>
      <c r="AM909" s="68"/>
      <c r="AN909" s="68"/>
      <c r="AO909" s="68"/>
      <c r="AP909" s="68"/>
      <c r="AQ909" s="68"/>
      <c r="AR909" s="68"/>
      <c r="AS909" s="68"/>
      <c r="AT909" s="68"/>
      <c r="AU909" s="68"/>
      <c r="AV909" s="68"/>
      <c r="AW909" s="68"/>
      <c r="AX909" s="68"/>
      <c r="AY909" s="68"/>
      <c r="AZ909" s="68"/>
      <c r="BA909" s="68"/>
      <c r="BB909" s="68"/>
      <c r="BC909" s="68"/>
      <c r="BD909" s="68"/>
      <c r="BE909" s="68"/>
      <c r="BF909" s="68"/>
      <c r="BG909" s="68"/>
      <c r="BH909" s="68"/>
      <c r="BI909" s="68"/>
      <c r="BJ909" s="68"/>
      <c r="BK909" s="68"/>
      <c r="BL909" s="68"/>
      <c r="BM909" s="68"/>
      <c r="BN909" s="68"/>
    </row>
    <row r="910" spans="1:66" ht="17">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8"/>
      <c r="AG910" s="68"/>
      <c r="AH910" s="68"/>
      <c r="AI910" s="68"/>
      <c r="AJ910" s="68"/>
      <c r="AK910" s="68"/>
      <c r="AL910" s="68"/>
      <c r="AM910" s="68"/>
      <c r="AN910" s="68"/>
      <c r="AO910" s="68"/>
      <c r="AP910" s="68"/>
      <c r="AQ910" s="68"/>
      <c r="AR910" s="68"/>
      <c r="AS910" s="68"/>
      <c r="AT910" s="68"/>
      <c r="AU910" s="68"/>
      <c r="AV910" s="68"/>
      <c r="AW910" s="68"/>
      <c r="AX910" s="68"/>
      <c r="AY910" s="68"/>
      <c r="AZ910" s="68"/>
      <c r="BA910" s="68"/>
      <c r="BB910" s="68"/>
      <c r="BC910" s="68"/>
      <c r="BD910" s="68"/>
      <c r="BE910" s="68"/>
      <c r="BF910" s="68"/>
      <c r="BG910" s="68"/>
      <c r="BH910" s="68"/>
      <c r="BI910" s="68"/>
      <c r="BJ910" s="68"/>
      <c r="BK910" s="68"/>
      <c r="BL910" s="68"/>
      <c r="BM910" s="68"/>
      <c r="BN910" s="68"/>
    </row>
    <row r="911" spans="1:66" ht="17">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8"/>
      <c r="AG911" s="68"/>
      <c r="AH911" s="68"/>
      <c r="AI911" s="68"/>
      <c r="AJ911" s="68"/>
      <c r="AK911" s="68"/>
      <c r="AL911" s="68"/>
      <c r="AM911" s="68"/>
      <c r="AN911" s="68"/>
      <c r="AO911" s="68"/>
      <c r="AP911" s="68"/>
      <c r="AQ911" s="68"/>
      <c r="AR911" s="68"/>
      <c r="AS911" s="68"/>
      <c r="AT911" s="68"/>
      <c r="AU911" s="68"/>
      <c r="AV911" s="68"/>
      <c r="AW911" s="68"/>
      <c r="AX911" s="68"/>
      <c r="AY911" s="68"/>
      <c r="AZ911" s="68"/>
      <c r="BA911" s="68"/>
      <c r="BB911" s="68"/>
      <c r="BC911" s="68"/>
      <c r="BD911" s="68"/>
      <c r="BE911" s="68"/>
      <c r="BF911" s="68"/>
      <c r="BG911" s="68"/>
      <c r="BH911" s="68"/>
      <c r="BI911" s="68"/>
      <c r="BJ911" s="68"/>
      <c r="BK911" s="68"/>
      <c r="BL911" s="68"/>
      <c r="BM911" s="68"/>
      <c r="BN911" s="68"/>
    </row>
    <row r="912" spans="1:66" ht="17">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8"/>
      <c r="AG912" s="68"/>
      <c r="AH912" s="68"/>
      <c r="AI912" s="68"/>
      <c r="AJ912" s="68"/>
      <c r="AK912" s="68"/>
      <c r="AL912" s="68"/>
      <c r="AM912" s="68"/>
      <c r="AN912" s="68"/>
      <c r="AO912" s="68"/>
      <c r="AP912" s="68"/>
      <c r="AQ912" s="68"/>
      <c r="AR912" s="68"/>
      <c r="AS912" s="68"/>
      <c r="AT912" s="68"/>
      <c r="AU912" s="68"/>
      <c r="AV912" s="68"/>
      <c r="AW912" s="68"/>
      <c r="AX912" s="68"/>
      <c r="AY912" s="68"/>
      <c r="AZ912" s="68"/>
      <c r="BA912" s="68"/>
      <c r="BB912" s="68"/>
      <c r="BC912" s="68"/>
      <c r="BD912" s="68"/>
      <c r="BE912" s="68"/>
      <c r="BF912" s="68"/>
      <c r="BG912" s="68"/>
      <c r="BH912" s="68"/>
      <c r="BI912" s="68"/>
      <c r="BJ912" s="68"/>
      <c r="BK912" s="68"/>
      <c r="BL912" s="68"/>
      <c r="BM912" s="68"/>
      <c r="BN912" s="68"/>
    </row>
    <row r="913" spans="1:66" ht="17">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8"/>
      <c r="AG913" s="68"/>
      <c r="AH913" s="68"/>
      <c r="AI913" s="68"/>
      <c r="AJ913" s="68"/>
      <c r="AK913" s="68"/>
      <c r="AL913" s="68"/>
      <c r="AM913" s="68"/>
      <c r="AN913" s="68"/>
      <c r="AO913" s="68"/>
      <c r="AP913" s="68"/>
      <c r="AQ913" s="68"/>
      <c r="AR913" s="68"/>
      <c r="AS913" s="68"/>
      <c r="AT913" s="68"/>
      <c r="AU913" s="68"/>
      <c r="AV913" s="68"/>
      <c r="AW913" s="68"/>
      <c r="AX913" s="68"/>
      <c r="AY913" s="68"/>
      <c r="AZ913" s="68"/>
      <c r="BA913" s="68"/>
      <c r="BB913" s="68"/>
      <c r="BC913" s="68"/>
      <c r="BD913" s="68"/>
      <c r="BE913" s="68"/>
      <c r="BF913" s="68"/>
      <c r="BG913" s="68"/>
      <c r="BH913" s="68"/>
      <c r="BI913" s="68"/>
      <c r="BJ913" s="68"/>
      <c r="BK913" s="68"/>
      <c r="BL913" s="68"/>
      <c r="BM913" s="68"/>
      <c r="BN913" s="68"/>
    </row>
    <row r="914" spans="1:66" ht="17">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8"/>
      <c r="AG914" s="68"/>
      <c r="AH914" s="68"/>
      <c r="AI914" s="68"/>
      <c r="AJ914" s="68"/>
      <c r="AK914" s="68"/>
      <c r="AL914" s="68"/>
      <c r="AM914" s="68"/>
      <c r="AN914" s="68"/>
      <c r="AO914" s="68"/>
      <c r="AP914" s="68"/>
      <c r="AQ914" s="68"/>
      <c r="AR914" s="68"/>
      <c r="AS914" s="68"/>
      <c r="AT914" s="68"/>
      <c r="AU914" s="68"/>
      <c r="AV914" s="68"/>
      <c r="AW914" s="68"/>
      <c r="AX914" s="68"/>
      <c r="AY914" s="68"/>
      <c r="AZ914" s="68"/>
      <c r="BA914" s="68"/>
      <c r="BB914" s="68"/>
      <c r="BC914" s="68"/>
      <c r="BD914" s="68"/>
      <c r="BE914" s="68"/>
      <c r="BF914" s="68"/>
      <c r="BG914" s="68"/>
      <c r="BH914" s="68"/>
      <c r="BI914" s="68"/>
      <c r="BJ914" s="68"/>
      <c r="BK914" s="68"/>
      <c r="BL914" s="68"/>
      <c r="BM914" s="68"/>
      <c r="BN914" s="68"/>
    </row>
    <row r="915" spans="1:66" ht="17">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8"/>
      <c r="AG915" s="68"/>
      <c r="AH915" s="68"/>
      <c r="AI915" s="68"/>
      <c r="AJ915" s="68"/>
      <c r="AK915" s="68"/>
      <c r="AL915" s="68"/>
      <c r="AM915" s="68"/>
      <c r="AN915" s="68"/>
      <c r="AO915" s="68"/>
      <c r="AP915" s="68"/>
      <c r="AQ915" s="68"/>
      <c r="AR915" s="68"/>
      <c r="AS915" s="68"/>
      <c r="AT915" s="68"/>
      <c r="AU915" s="68"/>
      <c r="AV915" s="68"/>
      <c r="AW915" s="68"/>
      <c r="AX915" s="68"/>
      <c r="AY915" s="68"/>
      <c r="AZ915" s="68"/>
      <c r="BA915" s="68"/>
      <c r="BB915" s="68"/>
      <c r="BC915" s="68"/>
      <c r="BD915" s="68"/>
      <c r="BE915" s="68"/>
      <c r="BF915" s="68"/>
      <c r="BG915" s="68"/>
      <c r="BH915" s="68"/>
      <c r="BI915" s="68"/>
      <c r="BJ915" s="68"/>
      <c r="BK915" s="68"/>
      <c r="BL915" s="68"/>
      <c r="BM915" s="68"/>
      <c r="BN915" s="68"/>
    </row>
    <row r="916" spans="1:66" ht="17">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8"/>
      <c r="AG916" s="68"/>
      <c r="AH916" s="68"/>
      <c r="AI916" s="68"/>
      <c r="AJ916" s="68"/>
      <c r="AK916" s="68"/>
      <c r="AL916" s="68"/>
      <c r="AM916" s="68"/>
      <c r="AN916" s="68"/>
      <c r="AO916" s="68"/>
      <c r="AP916" s="68"/>
      <c r="AQ916" s="68"/>
      <c r="AR916" s="68"/>
      <c r="AS916" s="68"/>
      <c r="AT916" s="68"/>
      <c r="AU916" s="68"/>
      <c r="AV916" s="68"/>
      <c r="AW916" s="68"/>
      <c r="AX916" s="68"/>
      <c r="AY916" s="68"/>
      <c r="AZ916" s="68"/>
      <c r="BA916" s="68"/>
      <c r="BB916" s="68"/>
      <c r="BC916" s="68"/>
      <c r="BD916" s="68"/>
      <c r="BE916" s="68"/>
      <c r="BF916" s="68"/>
      <c r="BG916" s="68"/>
      <c r="BH916" s="68"/>
      <c r="BI916" s="68"/>
      <c r="BJ916" s="68"/>
      <c r="BK916" s="68"/>
      <c r="BL916" s="68"/>
      <c r="BM916" s="68"/>
      <c r="BN916" s="68"/>
    </row>
    <row r="917" spans="1:66" ht="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8"/>
      <c r="AG917" s="68"/>
      <c r="AH917" s="68"/>
      <c r="AI917" s="68"/>
      <c r="AJ917" s="68"/>
      <c r="AK917" s="68"/>
      <c r="AL917" s="68"/>
      <c r="AM917" s="68"/>
      <c r="AN917" s="68"/>
      <c r="AO917" s="68"/>
      <c r="AP917" s="68"/>
      <c r="AQ917" s="68"/>
      <c r="AR917" s="68"/>
      <c r="AS917" s="68"/>
      <c r="AT917" s="68"/>
      <c r="AU917" s="68"/>
      <c r="AV917" s="68"/>
      <c r="AW917" s="68"/>
      <c r="AX917" s="68"/>
      <c r="AY917" s="68"/>
      <c r="AZ917" s="68"/>
      <c r="BA917" s="68"/>
      <c r="BB917" s="68"/>
      <c r="BC917" s="68"/>
      <c r="BD917" s="68"/>
      <c r="BE917" s="68"/>
      <c r="BF917" s="68"/>
      <c r="BG917" s="68"/>
      <c r="BH917" s="68"/>
      <c r="BI917" s="68"/>
      <c r="BJ917" s="68"/>
      <c r="BK917" s="68"/>
      <c r="BL917" s="68"/>
      <c r="BM917" s="68"/>
      <c r="BN917" s="68"/>
    </row>
    <row r="918" spans="1:66" ht="17">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8"/>
      <c r="AG918" s="68"/>
      <c r="AH918" s="68"/>
      <c r="AI918" s="68"/>
      <c r="AJ918" s="68"/>
      <c r="AK918" s="68"/>
      <c r="AL918" s="68"/>
      <c r="AM918" s="68"/>
      <c r="AN918" s="68"/>
      <c r="AO918" s="68"/>
      <c r="AP918" s="68"/>
      <c r="AQ918" s="68"/>
      <c r="AR918" s="68"/>
      <c r="AS918" s="68"/>
      <c r="AT918" s="68"/>
      <c r="AU918" s="68"/>
      <c r="AV918" s="68"/>
      <c r="AW918" s="68"/>
      <c r="AX918" s="68"/>
      <c r="AY918" s="68"/>
      <c r="AZ918" s="68"/>
      <c r="BA918" s="68"/>
      <c r="BB918" s="68"/>
      <c r="BC918" s="68"/>
      <c r="BD918" s="68"/>
      <c r="BE918" s="68"/>
      <c r="BF918" s="68"/>
      <c r="BG918" s="68"/>
      <c r="BH918" s="68"/>
      <c r="BI918" s="68"/>
      <c r="BJ918" s="68"/>
      <c r="BK918" s="68"/>
      <c r="BL918" s="68"/>
      <c r="BM918" s="68"/>
      <c r="BN918" s="68"/>
    </row>
    <row r="919" spans="1:66" ht="17">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8"/>
      <c r="AG919" s="68"/>
      <c r="AH919" s="68"/>
      <c r="AI919" s="68"/>
      <c r="AJ919" s="68"/>
      <c r="AK919" s="68"/>
      <c r="AL919" s="68"/>
      <c r="AM919" s="68"/>
      <c r="AN919" s="68"/>
      <c r="AO919" s="68"/>
      <c r="AP919" s="68"/>
      <c r="AQ919" s="68"/>
      <c r="AR919" s="68"/>
      <c r="AS919" s="68"/>
      <c r="AT919" s="68"/>
      <c r="AU919" s="68"/>
      <c r="AV919" s="68"/>
      <c r="AW919" s="68"/>
      <c r="AX919" s="68"/>
      <c r="AY919" s="68"/>
      <c r="AZ919" s="68"/>
      <c r="BA919" s="68"/>
      <c r="BB919" s="68"/>
      <c r="BC919" s="68"/>
      <c r="BD919" s="68"/>
      <c r="BE919" s="68"/>
      <c r="BF919" s="68"/>
      <c r="BG919" s="68"/>
      <c r="BH919" s="68"/>
      <c r="BI919" s="68"/>
      <c r="BJ919" s="68"/>
      <c r="BK919" s="68"/>
      <c r="BL919" s="68"/>
      <c r="BM919" s="68"/>
      <c r="BN919" s="68"/>
    </row>
    <row r="920" spans="1:66" ht="17">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8"/>
      <c r="AG920" s="68"/>
      <c r="AH920" s="68"/>
      <c r="AI920" s="68"/>
      <c r="AJ920" s="68"/>
      <c r="AK920" s="68"/>
      <c r="AL920" s="68"/>
      <c r="AM920" s="68"/>
      <c r="AN920" s="68"/>
      <c r="AO920" s="68"/>
      <c r="AP920" s="68"/>
      <c r="AQ920" s="68"/>
      <c r="AR920" s="68"/>
      <c r="AS920" s="68"/>
      <c r="AT920" s="68"/>
      <c r="AU920" s="68"/>
      <c r="AV920" s="68"/>
      <c r="AW920" s="68"/>
      <c r="AX920" s="68"/>
      <c r="AY920" s="68"/>
      <c r="AZ920" s="68"/>
      <c r="BA920" s="68"/>
      <c r="BB920" s="68"/>
      <c r="BC920" s="68"/>
      <c r="BD920" s="68"/>
      <c r="BE920" s="68"/>
      <c r="BF920" s="68"/>
      <c r="BG920" s="68"/>
      <c r="BH920" s="68"/>
      <c r="BI920" s="68"/>
      <c r="BJ920" s="68"/>
      <c r="BK920" s="68"/>
      <c r="BL920" s="68"/>
      <c r="BM920" s="68"/>
      <c r="BN920" s="68"/>
    </row>
    <row r="921" spans="1:66" ht="17">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8"/>
      <c r="AG921" s="68"/>
      <c r="AH921" s="68"/>
      <c r="AI921" s="68"/>
      <c r="AJ921" s="68"/>
      <c r="AK921" s="68"/>
      <c r="AL921" s="68"/>
      <c r="AM921" s="68"/>
      <c r="AN921" s="68"/>
      <c r="AO921" s="68"/>
      <c r="AP921" s="68"/>
      <c r="AQ921" s="68"/>
      <c r="AR921" s="68"/>
      <c r="AS921" s="68"/>
      <c r="AT921" s="68"/>
      <c r="AU921" s="68"/>
      <c r="AV921" s="68"/>
      <c r="AW921" s="68"/>
      <c r="AX921" s="68"/>
      <c r="AY921" s="68"/>
      <c r="AZ921" s="68"/>
      <c r="BA921" s="68"/>
      <c r="BB921" s="68"/>
      <c r="BC921" s="68"/>
      <c r="BD921" s="68"/>
      <c r="BE921" s="68"/>
      <c r="BF921" s="68"/>
      <c r="BG921" s="68"/>
      <c r="BH921" s="68"/>
      <c r="BI921" s="68"/>
      <c r="BJ921" s="68"/>
      <c r="BK921" s="68"/>
      <c r="BL921" s="68"/>
      <c r="BM921" s="68"/>
      <c r="BN921" s="68"/>
    </row>
    <row r="922" spans="1:66" ht="17">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8"/>
      <c r="AG922" s="68"/>
      <c r="AH922" s="68"/>
      <c r="AI922" s="68"/>
      <c r="AJ922" s="68"/>
      <c r="AK922" s="68"/>
      <c r="AL922" s="68"/>
      <c r="AM922" s="68"/>
      <c r="AN922" s="68"/>
      <c r="AO922" s="68"/>
      <c r="AP922" s="68"/>
      <c r="AQ922" s="68"/>
      <c r="AR922" s="68"/>
      <c r="AS922" s="68"/>
      <c r="AT922" s="68"/>
      <c r="AU922" s="68"/>
      <c r="AV922" s="68"/>
      <c r="AW922" s="68"/>
      <c r="AX922" s="68"/>
      <c r="AY922" s="68"/>
      <c r="AZ922" s="68"/>
      <c r="BA922" s="68"/>
      <c r="BB922" s="68"/>
      <c r="BC922" s="68"/>
      <c r="BD922" s="68"/>
      <c r="BE922" s="68"/>
      <c r="BF922" s="68"/>
      <c r="BG922" s="68"/>
      <c r="BH922" s="68"/>
      <c r="BI922" s="68"/>
      <c r="BJ922" s="68"/>
      <c r="BK922" s="68"/>
      <c r="BL922" s="68"/>
      <c r="BM922" s="68"/>
      <c r="BN922" s="68"/>
    </row>
    <row r="923" spans="1:66" ht="17">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8"/>
      <c r="AG923" s="68"/>
      <c r="AH923" s="68"/>
      <c r="AI923" s="68"/>
      <c r="AJ923" s="68"/>
      <c r="AK923" s="68"/>
      <c r="AL923" s="68"/>
      <c r="AM923" s="68"/>
      <c r="AN923" s="68"/>
      <c r="AO923" s="68"/>
      <c r="AP923" s="68"/>
      <c r="AQ923" s="68"/>
      <c r="AR923" s="68"/>
      <c r="AS923" s="68"/>
      <c r="AT923" s="68"/>
      <c r="AU923" s="68"/>
      <c r="AV923" s="68"/>
      <c r="AW923" s="68"/>
      <c r="AX923" s="68"/>
      <c r="AY923" s="68"/>
      <c r="AZ923" s="68"/>
      <c r="BA923" s="68"/>
      <c r="BB923" s="68"/>
      <c r="BC923" s="68"/>
      <c r="BD923" s="68"/>
      <c r="BE923" s="68"/>
      <c r="BF923" s="68"/>
      <c r="BG923" s="68"/>
      <c r="BH923" s="68"/>
      <c r="BI923" s="68"/>
      <c r="BJ923" s="68"/>
      <c r="BK923" s="68"/>
      <c r="BL923" s="68"/>
      <c r="BM923" s="68"/>
      <c r="BN923" s="68"/>
    </row>
    <row r="924" spans="1:66" ht="17">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8"/>
      <c r="AG924" s="68"/>
      <c r="AH924" s="68"/>
      <c r="AI924" s="68"/>
      <c r="AJ924" s="68"/>
      <c r="AK924" s="68"/>
      <c r="AL924" s="68"/>
      <c r="AM924" s="68"/>
      <c r="AN924" s="68"/>
      <c r="AO924" s="68"/>
      <c r="AP924" s="68"/>
      <c r="AQ924" s="68"/>
      <c r="AR924" s="68"/>
      <c r="AS924" s="68"/>
      <c r="AT924" s="68"/>
      <c r="AU924" s="68"/>
      <c r="AV924" s="68"/>
      <c r="AW924" s="68"/>
      <c r="AX924" s="68"/>
      <c r="AY924" s="68"/>
      <c r="AZ924" s="68"/>
      <c r="BA924" s="68"/>
      <c r="BB924" s="68"/>
      <c r="BC924" s="68"/>
      <c r="BD924" s="68"/>
      <c r="BE924" s="68"/>
      <c r="BF924" s="68"/>
      <c r="BG924" s="68"/>
      <c r="BH924" s="68"/>
      <c r="BI924" s="68"/>
      <c r="BJ924" s="68"/>
      <c r="BK924" s="68"/>
      <c r="BL924" s="68"/>
      <c r="BM924" s="68"/>
      <c r="BN924" s="68"/>
    </row>
    <row r="925" spans="1:66" ht="17">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8"/>
      <c r="AG925" s="68"/>
      <c r="AH925" s="68"/>
      <c r="AI925" s="68"/>
      <c r="AJ925" s="68"/>
      <c r="AK925" s="68"/>
      <c r="AL925" s="68"/>
      <c r="AM925" s="68"/>
      <c r="AN925" s="68"/>
      <c r="AO925" s="68"/>
      <c r="AP925" s="68"/>
      <c r="AQ925" s="68"/>
      <c r="AR925" s="68"/>
      <c r="AS925" s="68"/>
      <c r="AT925" s="68"/>
      <c r="AU925" s="68"/>
      <c r="AV925" s="68"/>
      <c r="AW925" s="68"/>
      <c r="AX925" s="68"/>
      <c r="AY925" s="68"/>
      <c r="AZ925" s="68"/>
      <c r="BA925" s="68"/>
      <c r="BB925" s="68"/>
      <c r="BC925" s="68"/>
      <c r="BD925" s="68"/>
      <c r="BE925" s="68"/>
      <c r="BF925" s="68"/>
      <c r="BG925" s="68"/>
      <c r="BH925" s="68"/>
      <c r="BI925" s="68"/>
      <c r="BJ925" s="68"/>
      <c r="BK925" s="68"/>
      <c r="BL925" s="68"/>
      <c r="BM925" s="68"/>
      <c r="BN925" s="68"/>
    </row>
    <row r="926" spans="1:66" ht="17">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c r="AG926" s="68"/>
      <c r="AH926" s="68"/>
      <c r="AI926" s="68"/>
      <c r="AJ926" s="68"/>
      <c r="AK926" s="68"/>
      <c r="AL926" s="68"/>
      <c r="AM926" s="68"/>
      <c r="AN926" s="68"/>
      <c r="AO926" s="68"/>
      <c r="AP926" s="68"/>
      <c r="AQ926" s="68"/>
      <c r="AR926" s="68"/>
      <c r="AS926" s="68"/>
      <c r="AT926" s="68"/>
      <c r="AU926" s="68"/>
      <c r="AV926" s="68"/>
      <c r="AW926" s="68"/>
      <c r="AX926" s="68"/>
      <c r="AY926" s="68"/>
      <c r="AZ926" s="68"/>
      <c r="BA926" s="68"/>
      <c r="BB926" s="68"/>
      <c r="BC926" s="68"/>
      <c r="BD926" s="68"/>
      <c r="BE926" s="68"/>
      <c r="BF926" s="68"/>
      <c r="BG926" s="68"/>
      <c r="BH926" s="68"/>
      <c r="BI926" s="68"/>
      <c r="BJ926" s="68"/>
      <c r="BK926" s="68"/>
      <c r="BL926" s="68"/>
      <c r="BM926" s="68"/>
      <c r="BN926" s="68"/>
    </row>
    <row r="927" spans="1:66" ht="1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8"/>
      <c r="AG927" s="68"/>
      <c r="AH927" s="68"/>
      <c r="AI927" s="68"/>
      <c r="AJ927" s="68"/>
      <c r="AK927" s="68"/>
      <c r="AL927" s="68"/>
      <c r="AM927" s="68"/>
      <c r="AN927" s="68"/>
      <c r="AO927" s="68"/>
      <c r="AP927" s="68"/>
      <c r="AQ927" s="68"/>
      <c r="AR927" s="68"/>
      <c r="AS927" s="68"/>
      <c r="AT927" s="68"/>
      <c r="AU927" s="68"/>
      <c r="AV927" s="68"/>
      <c r="AW927" s="68"/>
      <c r="AX927" s="68"/>
      <c r="AY927" s="68"/>
      <c r="AZ927" s="68"/>
      <c r="BA927" s="68"/>
      <c r="BB927" s="68"/>
      <c r="BC927" s="68"/>
      <c r="BD927" s="68"/>
      <c r="BE927" s="68"/>
      <c r="BF927" s="68"/>
      <c r="BG927" s="68"/>
      <c r="BH927" s="68"/>
      <c r="BI927" s="68"/>
      <c r="BJ927" s="68"/>
      <c r="BK927" s="68"/>
      <c r="BL927" s="68"/>
      <c r="BM927" s="68"/>
      <c r="BN927" s="68"/>
    </row>
    <row r="928" spans="1:66" ht="17">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8"/>
      <c r="AG928" s="68"/>
      <c r="AH928" s="68"/>
      <c r="AI928" s="68"/>
      <c r="AJ928" s="68"/>
      <c r="AK928" s="68"/>
      <c r="AL928" s="68"/>
      <c r="AM928" s="68"/>
      <c r="AN928" s="68"/>
      <c r="AO928" s="68"/>
      <c r="AP928" s="68"/>
      <c r="AQ928" s="68"/>
      <c r="AR928" s="68"/>
      <c r="AS928" s="68"/>
      <c r="AT928" s="68"/>
      <c r="AU928" s="68"/>
      <c r="AV928" s="68"/>
      <c r="AW928" s="68"/>
      <c r="AX928" s="68"/>
      <c r="AY928" s="68"/>
      <c r="AZ928" s="68"/>
      <c r="BA928" s="68"/>
      <c r="BB928" s="68"/>
      <c r="BC928" s="68"/>
      <c r="BD928" s="68"/>
      <c r="BE928" s="68"/>
      <c r="BF928" s="68"/>
      <c r="BG928" s="68"/>
      <c r="BH928" s="68"/>
      <c r="BI928" s="68"/>
      <c r="BJ928" s="68"/>
      <c r="BK928" s="68"/>
      <c r="BL928" s="68"/>
      <c r="BM928" s="68"/>
      <c r="BN928" s="68"/>
    </row>
    <row r="929" spans="1:66" ht="17">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8"/>
      <c r="AG929" s="68"/>
      <c r="AH929" s="68"/>
      <c r="AI929" s="68"/>
      <c r="AJ929" s="68"/>
      <c r="AK929" s="68"/>
      <c r="AL929" s="68"/>
      <c r="AM929" s="68"/>
      <c r="AN929" s="68"/>
      <c r="AO929" s="68"/>
      <c r="AP929" s="68"/>
      <c r="AQ929" s="68"/>
      <c r="AR929" s="68"/>
      <c r="AS929" s="68"/>
      <c r="AT929" s="68"/>
      <c r="AU929" s="68"/>
      <c r="AV929" s="68"/>
      <c r="AW929" s="68"/>
      <c r="AX929" s="68"/>
      <c r="AY929" s="68"/>
      <c r="AZ929" s="68"/>
      <c r="BA929" s="68"/>
      <c r="BB929" s="68"/>
      <c r="BC929" s="68"/>
      <c r="BD929" s="68"/>
      <c r="BE929" s="68"/>
      <c r="BF929" s="68"/>
      <c r="BG929" s="68"/>
      <c r="BH929" s="68"/>
      <c r="BI929" s="68"/>
      <c r="BJ929" s="68"/>
      <c r="BK929" s="68"/>
      <c r="BL929" s="68"/>
      <c r="BM929" s="68"/>
      <c r="BN929" s="68"/>
    </row>
    <row r="930" spans="1:66" ht="17">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8"/>
      <c r="AG930" s="68"/>
      <c r="AH930" s="68"/>
      <c r="AI930" s="68"/>
      <c r="AJ930" s="68"/>
      <c r="AK930" s="68"/>
      <c r="AL930" s="68"/>
      <c r="AM930" s="68"/>
      <c r="AN930" s="68"/>
      <c r="AO930" s="68"/>
      <c r="AP930" s="68"/>
      <c r="AQ930" s="68"/>
      <c r="AR930" s="68"/>
      <c r="AS930" s="68"/>
      <c r="AT930" s="68"/>
      <c r="AU930" s="68"/>
      <c r="AV930" s="68"/>
      <c r="AW930" s="68"/>
      <c r="AX930" s="68"/>
      <c r="AY930" s="68"/>
      <c r="AZ930" s="68"/>
      <c r="BA930" s="68"/>
      <c r="BB930" s="68"/>
      <c r="BC930" s="68"/>
      <c r="BD930" s="68"/>
      <c r="BE930" s="68"/>
      <c r="BF930" s="68"/>
      <c r="BG930" s="68"/>
      <c r="BH930" s="68"/>
      <c r="BI930" s="68"/>
      <c r="BJ930" s="68"/>
      <c r="BK930" s="68"/>
      <c r="BL930" s="68"/>
      <c r="BM930" s="68"/>
      <c r="BN930" s="68"/>
    </row>
    <row r="931" spans="1:66" ht="17">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8"/>
      <c r="AG931" s="68"/>
      <c r="AH931" s="68"/>
      <c r="AI931" s="68"/>
      <c r="AJ931" s="68"/>
      <c r="AK931" s="68"/>
      <c r="AL931" s="68"/>
      <c r="AM931" s="68"/>
      <c r="AN931" s="68"/>
      <c r="AO931" s="68"/>
      <c r="AP931" s="68"/>
      <c r="AQ931" s="68"/>
      <c r="AR931" s="68"/>
      <c r="AS931" s="68"/>
      <c r="AT931" s="68"/>
      <c r="AU931" s="68"/>
      <c r="AV931" s="68"/>
      <c r="AW931" s="68"/>
      <c r="AX931" s="68"/>
      <c r="AY931" s="68"/>
      <c r="AZ931" s="68"/>
      <c r="BA931" s="68"/>
      <c r="BB931" s="68"/>
      <c r="BC931" s="68"/>
      <c r="BD931" s="68"/>
      <c r="BE931" s="68"/>
      <c r="BF931" s="68"/>
      <c r="BG931" s="68"/>
      <c r="BH931" s="68"/>
      <c r="BI931" s="68"/>
      <c r="BJ931" s="68"/>
      <c r="BK931" s="68"/>
      <c r="BL931" s="68"/>
      <c r="BM931" s="68"/>
      <c r="BN931" s="68"/>
    </row>
    <row r="932" spans="1:66" ht="17">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8"/>
      <c r="AG932" s="68"/>
      <c r="AH932" s="68"/>
      <c r="AI932" s="68"/>
      <c r="AJ932" s="68"/>
      <c r="AK932" s="68"/>
      <c r="AL932" s="68"/>
      <c r="AM932" s="68"/>
      <c r="AN932" s="68"/>
      <c r="AO932" s="68"/>
      <c r="AP932" s="68"/>
      <c r="AQ932" s="68"/>
      <c r="AR932" s="68"/>
      <c r="AS932" s="68"/>
      <c r="AT932" s="68"/>
      <c r="AU932" s="68"/>
      <c r="AV932" s="68"/>
      <c r="AW932" s="68"/>
      <c r="AX932" s="68"/>
      <c r="AY932" s="68"/>
      <c r="AZ932" s="68"/>
      <c r="BA932" s="68"/>
      <c r="BB932" s="68"/>
      <c r="BC932" s="68"/>
      <c r="BD932" s="68"/>
      <c r="BE932" s="68"/>
      <c r="BF932" s="68"/>
      <c r="BG932" s="68"/>
      <c r="BH932" s="68"/>
      <c r="BI932" s="68"/>
      <c r="BJ932" s="68"/>
      <c r="BK932" s="68"/>
      <c r="BL932" s="68"/>
      <c r="BM932" s="68"/>
      <c r="BN932" s="68"/>
    </row>
    <row r="933" spans="1:66" ht="17">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8"/>
      <c r="AG933" s="68"/>
      <c r="AH933" s="68"/>
      <c r="AI933" s="68"/>
      <c r="AJ933" s="68"/>
      <c r="AK933" s="68"/>
      <c r="AL933" s="68"/>
      <c r="AM933" s="68"/>
      <c r="AN933" s="68"/>
      <c r="AO933" s="68"/>
      <c r="AP933" s="68"/>
      <c r="AQ933" s="68"/>
      <c r="AR933" s="68"/>
      <c r="AS933" s="68"/>
      <c r="AT933" s="68"/>
      <c r="AU933" s="68"/>
      <c r="AV933" s="68"/>
      <c r="AW933" s="68"/>
      <c r="AX933" s="68"/>
      <c r="AY933" s="68"/>
      <c r="AZ933" s="68"/>
      <c r="BA933" s="68"/>
      <c r="BB933" s="68"/>
      <c r="BC933" s="68"/>
      <c r="BD933" s="68"/>
      <c r="BE933" s="68"/>
      <c r="BF933" s="68"/>
      <c r="BG933" s="68"/>
      <c r="BH933" s="68"/>
      <c r="BI933" s="68"/>
      <c r="BJ933" s="68"/>
      <c r="BK933" s="68"/>
      <c r="BL933" s="68"/>
      <c r="BM933" s="68"/>
      <c r="BN933" s="68"/>
    </row>
    <row r="934" spans="1:66" ht="17">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8"/>
      <c r="AG934" s="68"/>
      <c r="AH934" s="68"/>
      <c r="AI934" s="68"/>
      <c r="AJ934" s="68"/>
      <c r="AK934" s="68"/>
      <c r="AL934" s="68"/>
      <c r="AM934" s="68"/>
      <c r="AN934" s="68"/>
      <c r="AO934" s="68"/>
      <c r="AP934" s="68"/>
      <c r="AQ934" s="68"/>
      <c r="AR934" s="68"/>
      <c r="AS934" s="68"/>
      <c r="AT934" s="68"/>
      <c r="AU934" s="68"/>
      <c r="AV934" s="68"/>
      <c r="AW934" s="68"/>
      <c r="AX934" s="68"/>
      <c r="AY934" s="68"/>
      <c r="AZ934" s="68"/>
      <c r="BA934" s="68"/>
      <c r="BB934" s="68"/>
      <c r="BC934" s="68"/>
      <c r="BD934" s="68"/>
      <c r="BE934" s="68"/>
      <c r="BF934" s="68"/>
      <c r="BG934" s="68"/>
      <c r="BH934" s="68"/>
      <c r="BI934" s="68"/>
      <c r="BJ934" s="68"/>
      <c r="BK934" s="68"/>
      <c r="BL934" s="68"/>
      <c r="BM934" s="68"/>
      <c r="BN934" s="68"/>
    </row>
    <row r="935" spans="1:66" ht="17">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8"/>
      <c r="AG935" s="68"/>
      <c r="AH935" s="68"/>
      <c r="AI935" s="68"/>
      <c r="AJ935" s="68"/>
      <c r="AK935" s="68"/>
      <c r="AL935" s="68"/>
      <c r="AM935" s="68"/>
      <c r="AN935" s="68"/>
      <c r="AO935" s="68"/>
      <c r="AP935" s="68"/>
      <c r="AQ935" s="68"/>
      <c r="AR935" s="68"/>
      <c r="AS935" s="68"/>
      <c r="AT935" s="68"/>
      <c r="AU935" s="68"/>
      <c r="AV935" s="68"/>
      <c r="AW935" s="68"/>
      <c r="AX935" s="68"/>
      <c r="AY935" s="68"/>
      <c r="AZ935" s="68"/>
      <c r="BA935" s="68"/>
      <c r="BB935" s="68"/>
      <c r="BC935" s="68"/>
      <c r="BD935" s="68"/>
      <c r="BE935" s="68"/>
      <c r="BF935" s="68"/>
      <c r="BG935" s="68"/>
      <c r="BH935" s="68"/>
      <c r="BI935" s="68"/>
      <c r="BJ935" s="68"/>
      <c r="BK935" s="68"/>
      <c r="BL935" s="68"/>
      <c r="BM935" s="68"/>
      <c r="BN935" s="68"/>
    </row>
    <row r="936" spans="1:66" ht="17">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8"/>
      <c r="AG936" s="68"/>
      <c r="AH936" s="68"/>
      <c r="AI936" s="68"/>
      <c r="AJ936" s="68"/>
      <c r="AK936" s="68"/>
      <c r="AL936" s="68"/>
      <c r="AM936" s="68"/>
      <c r="AN936" s="68"/>
      <c r="AO936" s="68"/>
      <c r="AP936" s="68"/>
      <c r="AQ936" s="68"/>
      <c r="AR936" s="68"/>
      <c r="AS936" s="68"/>
      <c r="AT936" s="68"/>
      <c r="AU936" s="68"/>
      <c r="AV936" s="68"/>
      <c r="AW936" s="68"/>
      <c r="AX936" s="68"/>
      <c r="AY936" s="68"/>
      <c r="AZ936" s="68"/>
      <c r="BA936" s="68"/>
      <c r="BB936" s="68"/>
      <c r="BC936" s="68"/>
      <c r="BD936" s="68"/>
      <c r="BE936" s="68"/>
      <c r="BF936" s="68"/>
      <c r="BG936" s="68"/>
      <c r="BH936" s="68"/>
      <c r="BI936" s="68"/>
      <c r="BJ936" s="68"/>
      <c r="BK936" s="68"/>
      <c r="BL936" s="68"/>
      <c r="BM936" s="68"/>
      <c r="BN936" s="68"/>
    </row>
    <row r="937" spans="1:66" ht="1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8"/>
      <c r="AG937" s="68"/>
      <c r="AH937" s="68"/>
      <c r="AI937" s="68"/>
      <c r="AJ937" s="68"/>
      <c r="AK937" s="68"/>
      <c r="AL937" s="68"/>
      <c r="AM937" s="68"/>
      <c r="AN937" s="68"/>
      <c r="AO937" s="68"/>
      <c r="AP937" s="68"/>
      <c r="AQ937" s="68"/>
      <c r="AR937" s="68"/>
      <c r="AS937" s="68"/>
      <c r="AT937" s="68"/>
      <c r="AU937" s="68"/>
      <c r="AV937" s="68"/>
      <c r="AW937" s="68"/>
      <c r="AX937" s="68"/>
      <c r="AY937" s="68"/>
      <c r="AZ937" s="68"/>
      <c r="BA937" s="68"/>
      <c r="BB937" s="68"/>
      <c r="BC937" s="68"/>
      <c r="BD937" s="68"/>
      <c r="BE937" s="68"/>
      <c r="BF937" s="68"/>
      <c r="BG937" s="68"/>
      <c r="BH937" s="68"/>
      <c r="BI937" s="68"/>
      <c r="BJ937" s="68"/>
      <c r="BK937" s="68"/>
      <c r="BL937" s="68"/>
      <c r="BM937" s="68"/>
      <c r="BN937" s="68"/>
    </row>
    <row r="938" spans="1:66" ht="17">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8"/>
      <c r="AG938" s="68"/>
      <c r="AH938" s="68"/>
      <c r="AI938" s="68"/>
      <c r="AJ938" s="68"/>
      <c r="AK938" s="68"/>
      <c r="AL938" s="68"/>
      <c r="AM938" s="68"/>
      <c r="AN938" s="68"/>
      <c r="AO938" s="68"/>
      <c r="AP938" s="68"/>
      <c r="AQ938" s="68"/>
      <c r="AR938" s="68"/>
      <c r="AS938" s="68"/>
      <c r="AT938" s="68"/>
      <c r="AU938" s="68"/>
      <c r="AV938" s="68"/>
      <c r="AW938" s="68"/>
      <c r="AX938" s="68"/>
      <c r="AY938" s="68"/>
      <c r="AZ938" s="68"/>
      <c r="BA938" s="68"/>
      <c r="BB938" s="68"/>
      <c r="BC938" s="68"/>
      <c r="BD938" s="68"/>
      <c r="BE938" s="68"/>
      <c r="BF938" s="68"/>
      <c r="BG938" s="68"/>
      <c r="BH938" s="68"/>
      <c r="BI938" s="68"/>
      <c r="BJ938" s="68"/>
      <c r="BK938" s="68"/>
      <c r="BL938" s="68"/>
      <c r="BM938" s="68"/>
      <c r="BN938" s="68"/>
    </row>
    <row r="939" spans="1:66" ht="17">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8"/>
      <c r="AG939" s="68"/>
      <c r="AH939" s="68"/>
      <c r="AI939" s="68"/>
      <c r="AJ939" s="68"/>
      <c r="AK939" s="68"/>
      <c r="AL939" s="68"/>
      <c r="AM939" s="68"/>
      <c r="AN939" s="68"/>
      <c r="AO939" s="68"/>
      <c r="AP939" s="68"/>
      <c r="AQ939" s="68"/>
      <c r="AR939" s="68"/>
      <c r="AS939" s="68"/>
      <c r="AT939" s="68"/>
      <c r="AU939" s="68"/>
      <c r="AV939" s="68"/>
      <c r="AW939" s="68"/>
      <c r="AX939" s="68"/>
      <c r="AY939" s="68"/>
      <c r="AZ939" s="68"/>
      <c r="BA939" s="68"/>
      <c r="BB939" s="68"/>
      <c r="BC939" s="68"/>
      <c r="BD939" s="68"/>
      <c r="BE939" s="68"/>
      <c r="BF939" s="68"/>
      <c r="BG939" s="68"/>
      <c r="BH939" s="68"/>
      <c r="BI939" s="68"/>
      <c r="BJ939" s="68"/>
      <c r="BK939" s="68"/>
      <c r="BL939" s="68"/>
      <c r="BM939" s="68"/>
      <c r="BN939" s="68"/>
    </row>
    <row r="940" spans="1:66" ht="17">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8"/>
      <c r="AG940" s="68"/>
      <c r="AH940" s="68"/>
      <c r="AI940" s="68"/>
      <c r="AJ940" s="68"/>
      <c r="AK940" s="68"/>
      <c r="AL940" s="68"/>
      <c r="AM940" s="68"/>
      <c r="AN940" s="68"/>
      <c r="AO940" s="68"/>
      <c r="AP940" s="68"/>
      <c r="AQ940" s="68"/>
      <c r="AR940" s="68"/>
      <c r="AS940" s="68"/>
      <c r="AT940" s="68"/>
      <c r="AU940" s="68"/>
      <c r="AV940" s="68"/>
      <c r="AW940" s="68"/>
      <c r="AX940" s="68"/>
      <c r="AY940" s="68"/>
      <c r="AZ940" s="68"/>
      <c r="BA940" s="68"/>
      <c r="BB940" s="68"/>
      <c r="BC940" s="68"/>
      <c r="BD940" s="68"/>
      <c r="BE940" s="68"/>
      <c r="BF940" s="68"/>
      <c r="BG940" s="68"/>
      <c r="BH940" s="68"/>
      <c r="BI940" s="68"/>
      <c r="BJ940" s="68"/>
      <c r="BK940" s="68"/>
      <c r="BL940" s="68"/>
      <c r="BM940" s="68"/>
      <c r="BN940" s="68"/>
    </row>
    <row r="941" spans="1:66" ht="17">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8"/>
      <c r="AG941" s="68"/>
      <c r="AH941" s="68"/>
      <c r="AI941" s="68"/>
      <c r="AJ941" s="68"/>
      <c r="AK941" s="68"/>
      <c r="AL941" s="68"/>
      <c r="AM941" s="68"/>
      <c r="AN941" s="68"/>
      <c r="AO941" s="68"/>
      <c r="AP941" s="68"/>
      <c r="AQ941" s="68"/>
      <c r="AR941" s="68"/>
      <c r="AS941" s="68"/>
      <c r="AT941" s="68"/>
      <c r="AU941" s="68"/>
      <c r="AV941" s="68"/>
      <c r="AW941" s="68"/>
      <c r="AX941" s="68"/>
      <c r="AY941" s="68"/>
      <c r="AZ941" s="68"/>
      <c r="BA941" s="68"/>
      <c r="BB941" s="68"/>
      <c r="BC941" s="68"/>
      <c r="BD941" s="68"/>
      <c r="BE941" s="68"/>
      <c r="BF941" s="68"/>
      <c r="BG941" s="68"/>
      <c r="BH941" s="68"/>
      <c r="BI941" s="68"/>
      <c r="BJ941" s="68"/>
      <c r="BK941" s="68"/>
      <c r="BL941" s="68"/>
      <c r="BM941" s="68"/>
      <c r="BN941" s="68"/>
    </row>
    <row r="942" spans="1:66" ht="17">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8"/>
      <c r="AG942" s="68"/>
      <c r="AH942" s="68"/>
      <c r="AI942" s="68"/>
      <c r="AJ942" s="68"/>
      <c r="AK942" s="68"/>
      <c r="AL942" s="68"/>
      <c r="AM942" s="68"/>
      <c r="AN942" s="68"/>
      <c r="AO942" s="68"/>
      <c r="AP942" s="68"/>
      <c r="AQ942" s="68"/>
      <c r="AR942" s="68"/>
      <c r="AS942" s="68"/>
      <c r="AT942" s="68"/>
      <c r="AU942" s="68"/>
      <c r="AV942" s="68"/>
      <c r="AW942" s="68"/>
      <c r="AX942" s="68"/>
      <c r="AY942" s="68"/>
      <c r="AZ942" s="68"/>
      <c r="BA942" s="68"/>
      <c r="BB942" s="68"/>
      <c r="BC942" s="68"/>
      <c r="BD942" s="68"/>
      <c r="BE942" s="68"/>
      <c r="BF942" s="68"/>
      <c r="BG942" s="68"/>
      <c r="BH942" s="68"/>
      <c r="BI942" s="68"/>
      <c r="BJ942" s="68"/>
      <c r="BK942" s="68"/>
      <c r="BL942" s="68"/>
      <c r="BM942" s="68"/>
      <c r="BN942" s="68"/>
    </row>
    <row r="943" spans="1:66" ht="17">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8"/>
      <c r="AG943" s="68"/>
      <c r="AH943" s="68"/>
      <c r="AI943" s="68"/>
      <c r="AJ943" s="68"/>
      <c r="AK943" s="68"/>
      <c r="AL943" s="68"/>
      <c r="AM943" s="68"/>
      <c r="AN943" s="68"/>
      <c r="AO943" s="68"/>
      <c r="AP943" s="68"/>
      <c r="AQ943" s="68"/>
      <c r="AR943" s="68"/>
      <c r="AS943" s="68"/>
      <c r="AT943" s="68"/>
      <c r="AU943" s="68"/>
      <c r="AV943" s="68"/>
      <c r="AW943" s="68"/>
      <c r="AX943" s="68"/>
      <c r="AY943" s="68"/>
      <c r="AZ943" s="68"/>
      <c r="BA943" s="68"/>
      <c r="BB943" s="68"/>
      <c r="BC943" s="68"/>
      <c r="BD943" s="68"/>
      <c r="BE943" s="68"/>
      <c r="BF943" s="68"/>
      <c r="BG943" s="68"/>
      <c r="BH943" s="68"/>
      <c r="BI943" s="68"/>
      <c r="BJ943" s="68"/>
      <c r="BK943" s="68"/>
      <c r="BL943" s="68"/>
      <c r="BM943" s="68"/>
      <c r="BN943" s="68"/>
    </row>
    <row r="944" spans="1:66" ht="17">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8"/>
      <c r="AG944" s="68"/>
      <c r="AH944" s="68"/>
      <c r="AI944" s="68"/>
      <c r="AJ944" s="68"/>
      <c r="AK944" s="68"/>
      <c r="AL944" s="68"/>
      <c r="AM944" s="68"/>
      <c r="AN944" s="68"/>
      <c r="AO944" s="68"/>
      <c r="AP944" s="68"/>
      <c r="AQ944" s="68"/>
      <c r="AR944" s="68"/>
      <c r="AS944" s="68"/>
      <c r="AT944" s="68"/>
      <c r="AU944" s="68"/>
      <c r="AV944" s="68"/>
      <c r="AW944" s="68"/>
      <c r="AX944" s="68"/>
      <c r="AY944" s="68"/>
      <c r="AZ944" s="68"/>
      <c r="BA944" s="68"/>
      <c r="BB944" s="68"/>
      <c r="BC944" s="68"/>
      <c r="BD944" s="68"/>
      <c r="BE944" s="68"/>
      <c r="BF944" s="68"/>
      <c r="BG944" s="68"/>
      <c r="BH944" s="68"/>
      <c r="BI944" s="68"/>
      <c r="BJ944" s="68"/>
      <c r="BK944" s="68"/>
      <c r="BL944" s="68"/>
      <c r="BM944" s="68"/>
      <c r="BN944" s="68"/>
    </row>
    <row r="945" spans="1:66" ht="17">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8"/>
      <c r="AG945" s="68"/>
      <c r="AH945" s="68"/>
      <c r="AI945" s="68"/>
      <c r="AJ945" s="68"/>
      <c r="AK945" s="68"/>
      <c r="AL945" s="68"/>
      <c r="AM945" s="68"/>
      <c r="AN945" s="68"/>
      <c r="AO945" s="68"/>
      <c r="AP945" s="68"/>
      <c r="AQ945" s="68"/>
      <c r="AR945" s="68"/>
      <c r="AS945" s="68"/>
      <c r="AT945" s="68"/>
      <c r="AU945" s="68"/>
      <c r="AV945" s="68"/>
      <c r="AW945" s="68"/>
      <c r="AX945" s="68"/>
      <c r="AY945" s="68"/>
      <c r="AZ945" s="68"/>
      <c r="BA945" s="68"/>
      <c r="BB945" s="68"/>
      <c r="BC945" s="68"/>
      <c r="BD945" s="68"/>
      <c r="BE945" s="68"/>
      <c r="BF945" s="68"/>
      <c r="BG945" s="68"/>
      <c r="BH945" s="68"/>
      <c r="BI945" s="68"/>
      <c r="BJ945" s="68"/>
      <c r="BK945" s="68"/>
      <c r="BL945" s="68"/>
      <c r="BM945" s="68"/>
      <c r="BN945" s="68"/>
    </row>
    <row r="946" spans="1:66" ht="17">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8"/>
      <c r="AG946" s="68"/>
      <c r="AH946" s="68"/>
      <c r="AI946" s="68"/>
      <c r="AJ946" s="68"/>
      <c r="AK946" s="68"/>
      <c r="AL946" s="68"/>
      <c r="AM946" s="68"/>
      <c r="AN946" s="68"/>
      <c r="AO946" s="68"/>
      <c r="AP946" s="68"/>
      <c r="AQ946" s="68"/>
      <c r="AR946" s="68"/>
      <c r="AS946" s="68"/>
      <c r="AT946" s="68"/>
      <c r="AU946" s="68"/>
      <c r="AV946" s="68"/>
      <c r="AW946" s="68"/>
      <c r="AX946" s="68"/>
      <c r="AY946" s="68"/>
      <c r="AZ946" s="68"/>
      <c r="BA946" s="68"/>
      <c r="BB946" s="68"/>
      <c r="BC946" s="68"/>
      <c r="BD946" s="68"/>
      <c r="BE946" s="68"/>
      <c r="BF946" s="68"/>
      <c r="BG946" s="68"/>
      <c r="BH946" s="68"/>
      <c r="BI946" s="68"/>
      <c r="BJ946" s="68"/>
      <c r="BK946" s="68"/>
      <c r="BL946" s="68"/>
      <c r="BM946" s="68"/>
      <c r="BN946" s="68"/>
    </row>
    <row r="947" spans="1:66" ht="1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8"/>
      <c r="AG947" s="68"/>
      <c r="AH947" s="68"/>
      <c r="AI947" s="68"/>
      <c r="AJ947" s="68"/>
      <c r="AK947" s="68"/>
      <c r="AL947" s="68"/>
      <c r="AM947" s="68"/>
      <c r="AN947" s="68"/>
      <c r="AO947" s="68"/>
      <c r="AP947" s="68"/>
      <c r="AQ947" s="68"/>
      <c r="AR947" s="68"/>
      <c r="AS947" s="68"/>
      <c r="AT947" s="68"/>
      <c r="AU947" s="68"/>
      <c r="AV947" s="68"/>
      <c r="AW947" s="68"/>
      <c r="AX947" s="68"/>
      <c r="AY947" s="68"/>
      <c r="AZ947" s="68"/>
      <c r="BA947" s="68"/>
      <c r="BB947" s="68"/>
      <c r="BC947" s="68"/>
      <c r="BD947" s="68"/>
      <c r="BE947" s="68"/>
      <c r="BF947" s="68"/>
      <c r="BG947" s="68"/>
      <c r="BH947" s="68"/>
      <c r="BI947" s="68"/>
      <c r="BJ947" s="68"/>
      <c r="BK947" s="68"/>
      <c r="BL947" s="68"/>
      <c r="BM947" s="68"/>
      <c r="BN947" s="68"/>
    </row>
    <row r="948" spans="1:66" ht="17">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8"/>
      <c r="AG948" s="68"/>
      <c r="AH948" s="68"/>
      <c r="AI948" s="68"/>
      <c r="AJ948" s="68"/>
      <c r="AK948" s="68"/>
      <c r="AL948" s="68"/>
      <c r="AM948" s="68"/>
      <c r="AN948" s="68"/>
      <c r="AO948" s="68"/>
      <c r="AP948" s="68"/>
      <c r="AQ948" s="68"/>
      <c r="AR948" s="68"/>
      <c r="AS948" s="68"/>
      <c r="AT948" s="68"/>
      <c r="AU948" s="68"/>
      <c r="AV948" s="68"/>
      <c r="AW948" s="68"/>
      <c r="AX948" s="68"/>
      <c r="AY948" s="68"/>
      <c r="AZ948" s="68"/>
      <c r="BA948" s="68"/>
      <c r="BB948" s="68"/>
      <c r="BC948" s="68"/>
      <c r="BD948" s="68"/>
      <c r="BE948" s="68"/>
      <c r="BF948" s="68"/>
      <c r="BG948" s="68"/>
      <c r="BH948" s="68"/>
      <c r="BI948" s="68"/>
      <c r="BJ948" s="68"/>
      <c r="BK948" s="68"/>
      <c r="BL948" s="68"/>
      <c r="BM948" s="68"/>
      <c r="BN948" s="68"/>
    </row>
    <row r="949" spans="1:66" ht="17">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68"/>
      <c r="AG949" s="68"/>
      <c r="AH949" s="68"/>
      <c r="AI949" s="68"/>
      <c r="AJ949" s="68"/>
      <c r="AK949" s="68"/>
      <c r="AL949" s="68"/>
      <c r="AM949" s="68"/>
      <c r="AN949" s="68"/>
      <c r="AO949" s="68"/>
      <c r="AP949" s="68"/>
      <c r="AQ949" s="68"/>
      <c r="AR949" s="68"/>
      <c r="AS949" s="68"/>
      <c r="AT949" s="68"/>
      <c r="AU949" s="68"/>
      <c r="AV949" s="68"/>
      <c r="AW949" s="68"/>
      <c r="AX949" s="68"/>
      <c r="AY949" s="68"/>
      <c r="AZ949" s="68"/>
      <c r="BA949" s="68"/>
      <c r="BB949" s="68"/>
      <c r="BC949" s="68"/>
      <c r="BD949" s="68"/>
      <c r="BE949" s="68"/>
      <c r="BF949" s="68"/>
      <c r="BG949" s="68"/>
      <c r="BH949" s="68"/>
      <c r="BI949" s="68"/>
      <c r="BJ949" s="68"/>
      <c r="BK949" s="68"/>
      <c r="BL949" s="68"/>
      <c r="BM949" s="68"/>
      <c r="BN949" s="68"/>
    </row>
    <row r="950" spans="1:66" ht="17">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68"/>
      <c r="AG950" s="68"/>
      <c r="AH950" s="68"/>
      <c r="AI950" s="68"/>
      <c r="AJ950" s="68"/>
      <c r="AK950" s="68"/>
      <c r="AL950" s="68"/>
      <c r="AM950" s="68"/>
      <c r="AN950" s="68"/>
      <c r="AO950" s="68"/>
      <c r="AP950" s="68"/>
      <c r="AQ950" s="68"/>
      <c r="AR950" s="68"/>
      <c r="AS950" s="68"/>
      <c r="AT950" s="68"/>
      <c r="AU950" s="68"/>
      <c r="AV950" s="68"/>
      <c r="AW950" s="68"/>
      <c r="AX950" s="68"/>
      <c r="AY950" s="68"/>
      <c r="AZ950" s="68"/>
      <c r="BA950" s="68"/>
      <c r="BB950" s="68"/>
      <c r="BC950" s="68"/>
      <c r="BD950" s="68"/>
      <c r="BE950" s="68"/>
      <c r="BF950" s="68"/>
      <c r="BG950" s="68"/>
      <c r="BH950" s="68"/>
      <c r="BI950" s="68"/>
      <c r="BJ950" s="68"/>
      <c r="BK950" s="68"/>
      <c r="BL950" s="68"/>
      <c r="BM950" s="68"/>
      <c r="BN950" s="68"/>
    </row>
    <row r="951" spans="1:66" ht="17">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68"/>
      <c r="AG951" s="68"/>
      <c r="AH951" s="68"/>
      <c r="AI951" s="68"/>
      <c r="AJ951" s="68"/>
      <c r="AK951" s="68"/>
      <c r="AL951" s="68"/>
      <c r="AM951" s="68"/>
      <c r="AN951" s="68"/>
      <c r="AO951" s="68"/>
      <c r="AP951" s="68"/>
      <c r="AQ951" s="68"/>
      <c r="AR951" s="68"/>
      <c r="AS951" s="68"/>
      <c r="AT951" s="68"/>
      <c r="AU951" s="68"/>
      <c r="AV951" s="68"/>
      <c r="AW951" s="68"/>
      <c r="AX951" s="68"/>
      <c r="AY951" s="68"/>
      <c r="AZ951" s="68"/>
      <c r="BA951" s="68"/>
      <c r="BB951" s="68"/>
      <c r="BC951" s="68"/>
      <c r="BD951" s="68"/>
      <c r="BE951" s="68"/>
      <c r="BF951" s="68"/>
      <c r="BG951" s="68"/>
      <c r="BH951" s="68"/>
      <c r="BI951" s="68"/>
      <c r="BJ951" s="68"/>
      <c r="BK951" s="68"/>
      <c r="BL951" s="68"/>
      <c r="BM951" s="68"/>
      <c r="BN951" s="68"/>
    </row>
    <row r="952" spans="1:66" ht="17">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68"/>
      <c r="AG952" s="68"/>
      <c r="AH952" s="68"/>
      <c r="AI952" s="68"/>
      <c r="AJ952" s="68"/>
      <c r="AK952" s="68"/>
      <c r="AL952" s="68"/>
      <c r="AM952" s="68"/>
      <c r="AN952" s="68"/>
      <c r="AO952" s="68"/>
      <c r="AP952" s="68"/>
      <c r="AQ952" s="68"/>
      <c r="AR952" s="68"/>
      <c r="AS952" s="68"/>
      <c r="AT952" s="68"/>
      <c r="AU952" s="68"/>
      <c r="AV952" s="68"/>
      <c r="AW952" s="68"/>
      <c r="AX952" s="68"/>
      <c r="AY952" s="68"/>
      <c r="AZ952" s="68"/>
      <c r="BA952" s="68"/>
      <c r="BB952" s="68"/>
      <c r="BC952" s="68"/>
      <c r="BD952" s="68"/>
      <c r="BE952" s="68"/>
      <c r="BF952" s="68"/>
      <c r="BG952" s="68"/>
      <c r="BH952" s="68"/>
      <c r="BI952" s="68"/>
      <c r="BJ952" s="68"/>
      <c r="BK952" s="68"/>
      <c r="BL952" s="68"/>
      <c r="BM952" s="68"/>
      <c r="BN952" s="68"/>
    </row>
    <row r="953" spans="1:66" ht="17">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68"/>
      <c r="AG953" s="68"/>
      <c r="AH953" s="68"/>
      <c r="AI953" s="68"/>
      <c r="AJ953" s="68"/>
      <c r="AK953" s="68"/>
      <c r="AL953" s="68"/>
      <c r="AM953" s="68"/>
      <c r="AN953" s="68"/>
      <c r="AO953" s="68"/>
      <c r="AP953" s="68"/>
      <c r="AQ953" s="68"/>
      <c r="AR953" s="68"/>
      <c r="AS953" s="68"/>
      <c r="AT953" s="68"/>
      <c r="AU953" s="68"/>
      <c r="AV953" s="68"/>
      <c r="AW953" s="68"/>
      <c r="AX953" s="68"/>
      <c r="AY953" s="68"/>
      <c r="AZ953" s="68"/>
      <c r="BA953" s="68"/>
      <c r="BB953" s="68"/>
      <c r="BC953" s="68"/>
      <c r="BD953" s="68"/>
      <c r="BE953" s="68"/>
      <c r="BF953" s="68"/>
      <c r="BG953" s="68"/>
      <c r="BH953" s="68"/>
      <c r="BI953" s="68"/>
      <c r="BJ953" s="68"/>
      <c r="BK953" s="68"/>
      <c r="BL953" s="68"/>
      <c r="BM953" s="68"/>
      <c r="BN953" s="68"/>
    </row>
    <row r="954" spans="1:66" ht="17">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68"/>
      <c r="AG954" s="68"/>
      <c r="AH954" s="68"/>
      <c r="AI954" s="68"/>
      <c r="AJ954" s="68"/>
      <c r="AK954" s="68"/>
      <c r="AL954" s="68"/>
      <c r="AM954" s="68"/>
      <c r="AN954" s="68"/>
      <c r="AO954" s="68"/>
      <c r="AP954" s="68"/>
      <c r="AQ954" s="68"/>
      <c r="AR954" s="68"/>
      <c r="AS954" s="68"/>
      <c r="AT954" s="68"/>
      <c r="AU954" s="68"/>
      <c r="AV954" s="68"/>
      <c r="AW954" s="68"/>
      <c r="AX954" s="68"/>
      <c r="AY954" s="68"/>
      <c r="AZ954" s="68"/>
      <c r="BA954" s="68"/>
      <c r="BB954" s="68"/>
      <c r="BC954" s="68"/>
      <c r="BD954" s="68"/>
      <c r="BE954" s="68"/>
      <c r="BF954" s="68"/>
      <c r="BG954" s="68"/>
      <c r="BH954" s="68"/>
      <c r="BI954" s="68"/>
      <c r="BJ954" s="68"/>
      <c r="BK954" s="68"/>
      <c r="BL954" s="68"/>
      <c r="BM954" s="68"/>
      <c r="BN954" s="68"/>
    </row>
    <row r="955" spans="1:66" ht="17">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68"/>
      <c r="AG955" s="68"/>
      <c r="AH955" s="68"/>
      <c r="AI955" s="68"/>
      <c r="AJ955" s="68"/>
      <c r="AK955" s="68"/>
      <c r="AL955" s="68"/>
      <c r="AM955" s="68"/>
      <c r="AN955" s="68"/>
      <c r="AO955" s="68"/>
      <c r="AP955" s="68"/>
      <c r="AQ955" s="68"/>
      <c r="AR955" s="68"/>
      <c r="AS955" s="68"/>
      <c r="AT955" s="68"/>
      <c r="AU955" s="68"/>
      <c r="AV955" s="68"/>
      <c r="AW955" s="68"/>
      <c r="AX955" s="68"/>
      <c r="AY955" s="68"/>
      <c r="AZ955" s="68"/>
      <c r="BA955" s="68"/>
      <c r="BB955" s="68"/>
      <c r="BC955" s="68"/>
      <c r="BD955" s="68"/>
      <c r="BE955" s="68"/>
      <c r="BF955" s="68"/>
      <c r="BG955" s="68"/>
      <c r="BH955" s="68"/>
      <c r="BI955" s="68"/>
      <c r="BJ955" s="68"/>
      <c r="BK955" s="68"/>
      <c r="BL955" s="68"/>
      <c r="BM955" s="68"/>
      <c r="BN955" s="68"/>
    </row>
    <row r="956" spans="1:66" ht="17">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68"/>
      <c r="AG956" s="68"/>
      <c r="AH956" s="68"/>
      <c r="AI956" s="68"/>
      <c r="AJ956" s="68"/>
      <c r="AK956" s="68"/>
      <c r="AL956" s="68"/>
      <c r="AM956" s="68"/>
      <c r="AN956" s="68"/>
      <c r="AO956" s="68"/>
      <c r="AP956" s="68"/>
      <c r="AQ956" s="68"/>
      <c r="AR956" s="68"/>
      <c r="AS956" s="68"/>
      <c r="AT956" s="68"/>
      <c r="AU956" s="68"/>
      <c r="AV956" s="68"/>
      <c r="AW956" s="68"/>
      <c r="AX956" s="68"/>
      <c r="AY956" s="68"/>
      <c r="AZ956" s="68"/>
      <c r="BA956" s="68"/>
      <c r="BB956" s="68"/>
      <c r="BC956" s="68"/>
      <c r="BD956" s="68"/>
      <c r="BE956" s="68"/>
      <c r="BF956" s="68"/>
      <c r="BG956" s="68"/>
      <c r="BH956" s="68"/>
      <c r="BI956" s="68"/>
      <c r="BJ956" s="68"/>
      <c r="BK956" s="68"/>
      <c r="BL956" s="68"/>
      <c r="BM956" s="68"/>
      <c r="BN956" s="68"/>
    </row>
    <row r="957" spans="1:66" ht="1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68"/>
      <c r="AG957" s="68"/>
      <c r="AH957" s="68"/>
      <c r="AI957" s="68"/>
      <c r="AJ957" s="68"/>
      <c r="AK957" s="68"/>
      <c r="AL957" s="68"/>
      <c r="AM957" s="68"/>
      <c r="AN957" s="68"/>
      <c r="AO957" s="68"/>
      <c r="AP957" s="68"/>
      <c r="AQ957" s="68"/>
      <c r="AR957" s="68"/>
      <c r="AS957" s="68"/>
      <c r="AT957" s="68"/>
      <c r="AU957" s="68"/>
      <c r="AV957" s="68"/>
      <c r="AW957" s="68"/>
      <c r="AX957" s="68"/>
      <c r="AY957" s="68"/>
      <c r="AZ957" s="68"/>
      <c r="BA957" s="68"/>
      <c r="BB957" s="68"/>
      <c r="BC957" s="68"/>
      <c r="BD957" s="68"/>
      <c r="BE957" s="68"/>
      <c r="BF957" s="68"/>
      <c r="BG957" s="68"/>
      <c r="BH957" s="68"/>
      <c r="BI957" s="68"/>
      <c r="BJ957" s="68"/>
      <c r="BK957" s="68"/>
      <c r="BL957" s="68"/>
      <c r="BM957" s="68"/>
      <c r="BN957" s="68"/>
    </row>
    <row r="958" spans="1:66" ht="17">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68"/>
      <c r="AG958" s="68"/>
      <c r="AH958" s="68"/>
      <c r="AI958" s="68"/>
      <c r="AJ958" s="68"/>
      <c r="AK958" s="68"/>
      <c r="AL958" s="68"/>
      <c r="AM958" s="68"/>
      <c r="AN958" s="68"/>
      <c r="AO958" s="68"/>
      <c r="AP958" s="68"/>
      <c r="AQ958" s="68"/>
      <c r="AR958" s="68"/>
      <c r="AS958" s="68"/>
      <c r="AT958" s="68"/>
      <c r="AU958" s="68"/>
      <c r="AV958" s="68"/>
      <c r="AW958" s="68"/>
      <c r="AX958" s="68"/>
      <c r="AY958" s="68"/>
      <c r="AZ958" s="68"/>
      <c r="BA958" s="68"/>
      <c r="BB958" s="68"/>
      <c r="BC958" s="68"/>
      <c r="BD958" s="68"/>
      <c r="BE958" s="68"/>
      <c r="BF958" s="68"/>
      <c r="BG958" s="68"/>
      <c r="BH958" s="68"/>
      <c r="BI958" s="68"/>
      <c r="BJ958" s="68"/>
      <c r="BK958" s="68"/>
      <c r="BL958" s="68"/>
      <c r="BM958" s="68"/>
      <c r="BN958" s="68"/>
    </row>
    <row r="959" spans="1:66" ht="17">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68"/>
      <c r="AG959" s="68"/>
      <c r="AH959" s="68"/>
      <c r="AI959" s="68"/>
      <c r="AJ959" s="68"/>
      <c r="AK959" s="68"/>
      <c r="AL959" s="68"/>
      <c r="AM959" s="68"/>
      <c r="AN959" s="68"/>
      <c r="AO959" s="68"/>
      <c r="AP959" s="68"/>
      <c r="AQ959" s="68"/>
      <c r="AR959" s="68"/>
      <c r="AS959" s="68"/>
      <c r="AT959" s="68"/>
      <c r="AU959" s="68"/>
      <c r="AV959" s="68"/>
      <c r="AW959" s="68"/>
      <c r="AX959" s="68"/>
      <c r="AY959" s="68"/>
      <c r="AZ959" s="68"/>
      <c r="BA959" s="68"/>
      <c r="BB959" s="68"/>
      <c r="BC959" s="68"/>
      <c r="BD959" s="68"/>
      <c r="BE959" s="68"/>
      <c r="BF959" s="68"/>
      <c r="BG959" s="68"/>
      <c r="BH959" s="68"/>
      <c r="BI959" s="68"/>
      <c r="BJ959" s="68"/>
      <c r="BK959" s="68"/>
      <c r="BL959" s="68"/>
      <c r="BM959" s="68"/>
      <c r="BN959" s="68"/>
    </row>
    <row r="960" spans="1:66" ht="17">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68"/>
      <c r="AG960" s="68"/>
      <c r="AH960" s="68"/>
      <c r="AI960" s="68"/>
      <c r="AJ960" s="68"/>
      <c r="AK960" s="68"/>
      <c r="AL960" s="68"/>
      <c r="AM960" s="68"/>
      <c r="AN960" s="68"/>
      <c r="AO960" s="68"/>
      <c r="AP960" s="68"/>
      <c r="AQ960" s="68"/>
      <c r="AR960" s="68"/>
      <c r="AS960" s="68"/>
      <c r="AT960" s="68"/>
      <c r="AU960" s="68"/>
      <c r="AV960" s="68"/>
      <c r="AW960" s="68"/>
      <c r="AX960" s="68"/>
      <c r="AY960" s="68"/>
      <c r="AZ960" s="68"/>
      <c r="BA960" s="68"/>
      <c r="BB960" s="68"/>
      <c r="BC960" s="68"/>
      <c r="BD960" s="68"/>
      <c r="BE960" s="68"/>
      <c r="BF960" s="68"/>
      <c r="BG960" s="68"/>
      <c r="BH960" s="68"/>
      <c r="BI960" s="68"/>
      <c r="BJ960" s="68"/>
      <c r="BK960" s="68"/>
      <c r="BL960" s="68"/>
      <c r="BM960" s="68"/>
      <c r="BN960" s="68"/>
    </row>
    <row r="961" spans="1:66" ht="17">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68"/>
      <c r="AG961" s="68"/>
      <c r="AH961" s="68"/>
      <c r="AI961" s="68"/>
      <c r="AJ961" s="68"/>
      <c r="AK961" s="68"/>
      <c r="AL961" s="68"/>
      <c r="AM961" s="68"/>
      <c r="AN961" s="68"/>
      <c r="AO961" s="68"/>
      <c r="AP961" s="68"/>
      <c r="AQ961" s="68"/>
      <c r="AR961" s="68"/>
      <c r="AS961" s="68"/>
      <c r="AT961" s="68"/>
      <c r="AU961" s="68"/>
      <c r="AV961" s="68"/>
      <c r="AW961" s="68"/>
      <c r="AX961" s="68"/>
      <c r="AY961" s="68"/>
      <c r="AZ961" s="68"/>
      <c r="BA961" s="68"/>
      <c r="BB961" s="68"/>
      <c r="BC961" s="68"/>
      <c r="BD961" s="68"/>
      <c r="BE961" s="68"/>
      <c r="BF961" s="68"/>
      <c r="BG961" s="68"/>
      <c r="BH961" s="68"/>
      <c r="BI961" s="68"/>
      <c r="BJ961" s="68"/>
      <c r="BK961" s="68"/>
      <c r="BL961" s="68"/>
      <c r="BM961" s="68"/>
      <c r="BN961" s="68"/>
    </row>
    <row r="962" spans="1:66" ht="17">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68"/>
      <c r="AG962" s="68"/>
      <c r="AH962" s="68"/>
      <c r="AI962" s="68"/>
      <c r="AJ962" s="68"/>
      <c r="AK962" s="68"/>
      <c r="AL962" s="68"/>
      <c r="AM962" s="68"/>
      <c r="AN962" s="68"/>
      <c r="AO962" s="68"/>
      <c r="AP962" s="68"/>
      <c r="AQ962" s="68"/>
      <c r="AR962" s="68"/>
      <c r="AS962" s="68"/>
      <c r="AT962" s="68"/>
      <c r="AU962" s="68"/>
      <c r="AV962" s="68"/>
      <c r="AW962" s="68"/>
      <c r="AX962" s="68"/>
      <c r="AY962" s="68"/>
      <c r="AZ962" s="68"/>
      <c r="BA962" s="68"/>
      <c r="BB962" s="68"/>
      <c r="BC962" s="68"/>
      <c r="BD962" s="68"/>
      <c r="BE962" s="68"/>
      <c r="BF962" s="68"/>
      <c r="BG962" s="68"/>
      <c r="BH962" s="68"/>
      <c r="BI962" s="68"/>
      <c r="BJ962" s="68"/>
      <c r="BK962" s="68"/>
      <c r="BL962" s="68"/>
      <c r="BM962" s="68"/>
      <c r="BN962" s="68"/>
    </row>
    <row r="963" spans="1:66" ht="17">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68"/>
      <c r="AG963" s="68"/>
      <c r="AH963" s="68"/>
      <c r="AI963" s="68"/>
      <c r="AJ963" s="68"/>
      <c r="AK963" s="68"/>
      <c r="AL963" s="68"/>
      <c r="AM963" s="68"/>
      <c r="AN963" s="68"/>
      <c r="AO963" s="68"/>
      <c r="AP963" s="68"/>
      <c r="AQ963" s="68"/>
      <c r="AR963" s="68"/>
      <c r="AS963" s="68"/>
      <c r="AT963" s="68"/>
      <c r="AU963" s="68"/>
      <c r="AV963" s="68"/>
      <c r="AW963" s="68"/>
      <c r="AX963" s="68"/>
      <c r="AY963" s="68"/>
      <c r="AZ963" s="68"/>
      <c r="BA963" s="68"/>
      <c r="BB963" s="68"/>
      <c r="BC963" s="68"/>
      <c r="BD963" s="68"/>
      <c r="BE963" s="68"/>
      <c r="BF963" s="68"/>
      <c r="BG963" s="68"/>
      <c r="BH963" s="68"/>
      <c r="BI963" s="68"/>
      <c r="BJ963" s="68"/>
      <c r="BK963" s="68"/>
      <c r="BL963" s="68"/>
      <c r="BM963" s="68"/>
      <c r="BN963" s="68"/>
    </row>
    <row r="964" spans="1:66" ht="17">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68"/>
      <c r="AG964" s="68"/>
      <c r="AH964" s="68"/>
      <c r="AI964" s="68"/>
      <c r="AJ964" s="68"/>
      <c r="AK964" s="68"/>
      <c r="AL964" s="68"/>
      <c r="AM964" s="68"/>
      <c r="AN964" s="68"/>
      <c r="AO964" s="68"/>
      <c r="AP964" s="68"/>
      <c r="AQ964" s="68"/>
      <c r="AR964" s="68"/>
      <c r="AS964" s="68"/>
      <c r="AT964" s="68"/>
      <c r="AU964" s="68"/>
      <c r="AV964" s="68"/>
      <c r="AW964" s="68"/>
      <c r="AX964" s="68"/>
      <c r="AY964" s="68"/>
      <c r="AZ964" s="68"/>
      <c r="BA964" s="68"/>
      <c r="BB964" s="68"/>
      <c r="BC964" s="68"/>
      <c r="BD964" s="68"/>
      <c r="BE964" s="68"/>
      <c r="BF964" s="68"/>
      <c r="BG964" s="68"/>
      <c r="BH964" s="68"/>
      <c r="BI964" s="68"/>
      <c r="BJ964" s="68"/>
      <c r="BK964" s="68"/>
      <c r="BL964" s="68"/>
      <c r="BM964" s="68"/>
      <c r="BN964" s="68"/>
    </row>
    <row r="965" spans="1:66" ht="17">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68"/>
      <c r="AG965" s="68"/>
      <c r="AH965" s="68"/>
      <c r="AI965" s="68"/>
      <c r="AJ965" s="68"/>
      <c r="AK965" s="68"/>
      <c r="AL965" s="68"/>
      <c r="AM965" s="68"/>
      <c r="AN965" s="68"/>
      <c r="AO965" s="68"/>
      <c r="AP965" s="68"/>
      <c r="AQ965" s="68"/>
      <c r="AR965" s="68"/>
      <c r="AS965" s="68"/>
      <c r="AT965" s="68"/>
      <c r="AU965" s="68"/>
      <c r="AV965" s="68"/>
      <c r="AW965" s="68"/>
      <c r="AX965" s="68"/>
      <c r="AY965" s="68"/>
      <c r="AZ965" s="68"/>
      <c r="BA965" s="68"/>
      <c r="BB965" s="68"/>
      <c r="BC965" s="68"/>
      <c r="BD965" s="68"/>
      <c r="BE965" s="68"/>
      <c r="BF965" s="68"/>
      <c r="BG965" s="68"/>
      <c r="BH965" s="68"/>
      <c r="BI965" s="68"/>
      <c r="BJ965" s="68"/>
      <c r="BK965" s="68"/>
      <c r="BL965" s="68"/>
      <c r="BM965" s="68"/>
      <c r="BN965" s="68"/>
    </row>
    <row r="966" spans="1:66" ht="17">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68"/>
      <c r="AG966" s="68"/>
      <c r="AH966" s="68"/>
      <c r="AI966" s="68"/>
      <c r="AJ966" s="68"/>
      <c r="AK966" s="68"/>
      <c r="AL966" s="68"/>
      <c r="AM966" s="68"/>
      <c r="AN966" s="68"/>
      <c r="AO966" s="68"/>
      <c r="AP966" s="68"/>
      <c r="AQ966" s="68"/>
      <c r="AR966" s="68"/>
      <c r="AS966" s="68"/>
      <c r="AT966" s="68"/>
      <c r="AU966" s="68"/>
      <c r="AV966" s="68"/>
      <c r="AW966" s="68"/>
      <c r="AX966" s="68"/>
      <c r="AY966" s="68"/>
      <c r="AZ966" s="68"/>
      <c r="BA966" s="68"/>
      <c r="BB966" s="68"/>
      <c r="BC966" s="68"/>
      <c r="BD966" s="68"/>
      <c r="BE966" s="68"/>
      <c r="BF966" s="68"/>
      <c r="BG966" s="68"/>
      <c r="BH966" s="68"/>
      <c r="BI966" s="68"/>
      <c r="BJ966" s="68"/>
      <c r="BK966" s="68"/>
      <c r="BL966" s="68"/>
      <c r="BM966" s="68"/>
      <c r="BN966" s="68"/>
    </row>
    <row r="967" spans="1:66" ht="1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68"/>
      <c r="AG967" s="68"/>
      <c r="AH967" s="68"/>
      <c r="AI967" s="68"/>
      <c r="AJ967" s="68"/>
      <c r="AK967" s="68"/>
      <c r="AL967" s="68"/>
      <c r="AM967" s="68"/>
      <c r="AN967" s="68"/>
      <c r="AO967" s="68"/>
      <c r="AP967" s="68"/>
      <c r="AQ967" s="68"/>
      <c r="AR967" s="68"/>
      <c r="AS967" s="68"/>
      <c r="AT967" s="68"/>
      <c r="AU967" s="68"/>
      <c r="AV967" s="68"/>
      <c r="AW967" s="68"/>
      <c r="AX967" s="68"/>
      <c r="AY967" s="68"/>
      <c r="AZ967" s="68"/>
      <c r="BA967" s="68"/>
      <c r="BB967" s="68"/>
      <c r="BC967" s="68"/>
      <c r="BD967" s="68"/>
      <c r="BE967" s="68"/>
      <c r="BF967" s="68"/>
      <c r="BG967" s="68"/>
      <c r="BH967" s="68"/>
      <c r="BI967" s="68"/>
      <c r="BJ967" s="68"/>
      <c r="BK967" s="68"/>
      <c r="BL967" s="68"/>
      <c r="BM967" s="68"/>
      <c r="BN967" s="68"/>
    </row>
    <row r="968" spans="1:66" ht="17">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8"/>
      <c r="AG968" s="68"/>
      <c r="AH968" s="68"/>
      <c r="AI968" s="68"/>
      <c r="AJ968" s="68"/>
      <c r="AK968" s="68"/>
      <c r="AL968" s="68"/>
      <c r="AM968" s="68"/>
      <c r="AN968" s="68"/>
      <c r="AO968" s="68"/>
      <c r="AP968" s="68"/>
      <c r="AQ968" s="68"/>
      <c r="AR968" s="68"/>
      <c r="AS968" s="68"/>
      <c r="AT968" s="68"/>
      <c r="AU968" s="68"/>
      <c r="AV968" s="68"/>
      <c r="AW968" s="68"/>
      <c r="AX968" s="68"/>
      <c r="AY968" s="68"/>
      <c r="AZ968" s="68"/>
      <c r="BA968" s="68"/>
      <c r="BB968" s="68"/>
      <c r="BC968" s="68"/>
      <c r="BD968" s="68"/>
      <c r="BE968" s="68"/>
      <c r="BF968" s="68"/>
      <c r="BG968" s="68"/>
      <c r="BH968" s="68"/>
      <c r="BI968" s="68"/>
      <c r="BJ968" s="68"/>
      <c r="BK968" s="68"/>
      <c r="BL968" s="68"/>
      <c r="BM968" s="68"/>
      <c r="BN968" s="68"/>
    </row>
    <row r="969" spans="1:66" ht="17">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68"/>
      <c r="AG969" s="68"/>
      <c r="AH969" s="68"/>
      <c r="AI969" s="68"/>
      <c r="AJ969" s="68"/>
      <c r="AK969" s="68"/>
      <c r="AL969" s="68"/>
      <c r="AM969" s="68"/>
      <c r="AN969" s="68"/>
      <c r="AO969" s="68"/>
      <c r="AP969" s="68"/>
      <c r="AQ969" s="68"/>
      <c r="AR969" s="68"/>
      <c r="AS969" s="68"/>
      <c r="AT969" s="68"/>
      <c r="AU969" s="68"/>
      <c r="AV969" s="68"/>
      <c r="AW969" s="68"/>
      <c r="AX969" s="68"/>
      <c r="AY969" s="68"/>
      <c r="AZ969" s="68"/>
      <c r="BA969" s="68"/>
      <c r="BB969" s="68"/>
      <c r="BC969" s="68"/>
      <c r="BD969" s="68"/>
      <c r="BE969" s="68"/>
      <c r="BF969" s="68"/>
      <c r="BG969" s="68"/>
      <c r="BH969" s="68"/>
      <c r="BI969" s="68"/>
      <c r="BJ969" s="68"/>
      <c r="BK969" s="68"/>
      <c r="BL969" s="68"/>
      <c r="BM969" s="68"/>
      <c r="BN969" s="68"/>
    </row>
    <row r="970" spans="1:66" ht="17">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68"/>
      <c r="AG970" s="68"/>
      <c r="AH970" s="68"/>
      <c r="AI970" s="68"/>
      <c r="AJ970" s="68"/>
      <c r="AK970" s="68"/>
      <c r="AL970" s="68"/>
      <c r="AM970" s="68"/>
      <c r="AN970" s="68"/>
      <c r="AO970" s="68"/>
      <c r="AP970" s="68"/>
      <c r="AQ970" s="68"/>
      <c r="AR970" s="68"/>
      <c r="AS970" s="68"/>
      <c r="AT970" s="68"/>
      <c r="AU970" s="68"/>
      <c r="AV970" s="68"/>
      <c r="AW970" s="68"/>
      <c r="AX970" s="68"/>
      <c r="AY970" s="68"/>
      <c r="AZ970" s="68"/>
      <c r="BA970" s="68"/>
      <c r="BB970" s="68"/>
      <c r="BC970" s="68"/>
      <c r="BD970" s="68"/>
      <c r="BE970" s="68"/>
      <c r="BF970" s="68"/>
      <c r="BG970" s="68"/>
      <c r="BH970" s="68"/>
      <c r="BI970" s="68"/>
      <c r="BJ970" s="68"/>
      <c r="BK970" s="68"/>
      <c r="BL970" s="68"/>
      <c r="BM970" s="68"/>
      <c r="BN970" s="68"/>
    </row>
    <row r="971" spans="1:66" ht="17">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68"/>
      <c r="AG971" s="68"/>
      <c r="AH971" s="68"/>
      <c r="AI971" s="68"/>
      <c r="AJ971" s="68"/>
      <c r="AK971" s="68"/>
      <c r="AL971" s="68"/>
      <c r="AM971" s="68"/>
      <c r="AN971" s="68"/>
      <c r="AO971" s="68"/>
      <c r="AP971" s="68"/>
      <c r="AQ971" s="68"/>
      <c r="AR971" s="68"/>
      <c r="AS971" s="68"/>
      <c r="AT971" s="68"/>
      <c r="AU971" s="68"/>
      <c r="AV971" s="68"/>
      <c r="AW971" s="68"/>
      <c r="AX971" s="68"/>
      <c r="AY971" s="68"/>
      <c r="AZ971" s="68"/>
      <c r="BA971" s="68"/>
      <c r="BB971" s="68"/>
      <c r="BC971" s="68"/>
      <c r="BD971" s="68"/>
      <c r="BE971" s="68"/>
      <c r="BF971" s="68"/>
      <c r="BG971" s="68"/>
      <c r="BH971" s="68"/>
      <c r="BI971" s="68"/>
      <c r="BJ971" s="68"/>
      <c r="BK971" s="68"/>
      <c r="BL971" s="68"/>
      <c r="BM971" s="68"/>
      <c r="BN971" s="68"/>
    </row>
    <row r="972" spans="1:66" ht="17">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68"/>
      <c r="AG972" s="68"/>
      <c r="AH972" s="68"/>
      <c r="AI972" s="68"/>
      <c r="AJ972" s="68"/>
      <c r="AK972" s="68"/>
      <c r="AL972" s="68"/>
      <c r="AM972" s="68"/>
      <c r="AN972" s="68"/>
      <c r="AO972" s="68"/>
      <c r="AP972" s="68"/>
      <c r="AQ972" s="68"/>
      <c r="AR972" s="68"/>
      <c r="AS972" s="68"/>
      <c r="AT972" s="68"/>
      <c r="AU972" s="68"/>
      <c r="AV972" s="68"/>
      <c r="AW972" s="68"/>
      <c r="AX972" s="68"/>
      <c r="AY972" s="68"/>
      <c r="AZ972" s="68"/>
      <c r="BA972" s="68"/>
      <c r="BB972" s="68"/>
      <c r="BC972" s="68"/>
      <c r="BD972" s="68"/>
      <c r="BE972" s="68"/>
      <c r="BF972" s="68"/>
      <c r="BG972" s="68"/>
      <c r="BH972" s="68"/>
      <c r="BI972" s="68"/>
      <c r="BJ972" s="68"/>
      <c r="BK972" s="68"/>
      <c r="BL972" s="68"/>
      <c r="BM972" s="68"/>
      <c r="BN972" s="68"/>
    </row>
    <row r="973" spans="1:66" ht="17">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68"/>
      <c r="AG973" s="68"/>
      <c r="AH973" s="68"/>
      <c r="AI973" s="68"/>
      <c r="AJ973" s="68"/>
      <c r="AK973" s="68"/>
      <c r="AL973" s="68"/>
      <c r="AM973" s="68"/>
      <c r="AN973" s="68"/>
      <c r="AO973" s="68"/>
      <c r="AP973" s="68"/>
      <c r="AQ973" s="68"/>
      <c r="AR973" s="68"/>
      <c r="AS973" s="68"/>
      <c r="AT973" s="68"/>
      <c r="AU973" s="68"/>
      <c r="AV973" s="68"/>
      <c r="AW973" s="68"/>
      <c r="AX973" s="68"/>
      <c r="AY973" s="68"/>
      <c r="AZ973" s="68"/>
      <c r="BA973" s="68"/>
      <c r="BB973" s="68"/>
      <c r="BC973" s="68"/>
      <c r="BD973" s="68"/>
      <c r="BE973" s="68"/>
      <c r="BF973" s="68"/>
      <c r="BG973" s="68"/>
      <c r="BH973" s="68"/>
      <c r="BI973" s="68"/>
      <c r="BJ973" s="68"/>
      <c r="BK973" s="68"/>
      <c r="BL973" s="68"/>
      <c r="BM973" s="68"/>
      <c r="BN973" s="68"/>
    </row>
    <row r="974" spans="1:66" ht="17">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68"/>
      <c r="AG974" s="68"/>
      <c r="AH974" s="68"/>
      <c r="AI974" s="68"/>
      <c r="AJ974" s="68"/>
      <c r="AK974" s="68"/>
      <c r="AL974" s="68"/>
      <c r="AM974" s="68"/>
      <c r="AN974" s="68"/>
      <c r="AO974" s="68"/>
      <c r="AP974" s="68"/>
      <c r="AQ974" s="68"/>
      <c r="AR974" s="68"/>
      <c r="AS974" s="68"/>
      <c r="AT974" s="68"/>
      <c r="AU974" s="68"/>
      <c r="AV974" s="68"/>
      <c r="AW974" s="68"/>
      <c r="AX974" s="68"/>
      <c r="AY974" s="68"/>
      <c r="AZ974" s="68"/>
      <c r="BA974" s="68"/>
      <c r="BB974" s="68"/>
      <c r="BC974" s="68"/>
      <c r="BD974" s="68"/>
      <c r="BE974" s="68"/>
      <c r="BF974" s="68"/>
      <c r="BG974" s="68"/>
      <c r="BH974" s="68"/>
      <c r="BI974" s="68"/>
      <c r="BJ974" s="68"/>
      <c r="BK974" s="68"/>
      <c r="BL974" s="68"/>
      <c r="BM974" s="68"/>
      <c r="BN974" s="68"/>
    </row>
    <row r="975" spans="1:66" ht="17">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68"/>
      <c r="AG975" s="68"/>
      <c r="AH975" s="68"/>
      <c r="AI975" s="68"/>
      <c r="AJ975" s="68"/>
      <c r="AK975" s="68"/>
      <c r="AL975" s="68"/>
      <c r="AM975" s="68"/>
      <c r="AN975" s="68"/>
      <c r="AO975" s="68"/>
      <c r="AP975" s="68"/>
      <c r="AQ975" s="68"/>
      <c r="AR975" s="68"/>
      <c r="AS975" s="68"/>
      <c r="AT975" s="68"/>
      <c r="AU975" s="68"/>
      <c r="AV975" s="68"/>
      <c r="AW975" s="68"/>
      <c r="AX975" s="68"/>
      <c r="AY975" s="68"/>
      <c r="AZ975" s="68"/>
      <c r="BA975" s="68"/>
      <c r="BB975" s="68"/>
      <c r="BC975" s="68"/>
      <c r="BD975" s="68"/>
      <c r="BE975" s="68"/>
      <c r="BF975" s="68"/>
      <c r="BG975" s="68"/>
      <c r="BH975" s="68"/>
      <c r="BI975" s="68"/>
      <c r="BJ975" s="68"/>
      <c r="BK975" s="68"/>
      <c r="BL975" s="68"/>
      <c r="BM975" s="68"/>
      <c r="BN975" s="68"/>
    </row>
    <row r="976" spans="1:66" ht="17">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68"/>
      <c r="AG976" s="68"/>
      <c r="AH976" s="68"/>
      <c r="AI976" s="68"/>
      <c r="AJ976" s="68"/>
      <c r="AK976" s="68"/>
      <c r="AL976" s="68"/>
      <c r="AM976" s="68"/>
      <c r="AN976" s="68"/>
      <c r="AO976" s="68"/>
      <c r="AP976" s="68"/>
      <c r="AQ976" s="68"/>
      <c r="AR976" s="68"/>
      <c r="AS976" s="68"/>
      <c r="AT976" s="68"/>
      <c r="AU976" s="68"/>
      <c r="AV976" s="68"/>
      <c r="AW976" s="68"/>
      <c r="AX976" s="68"/>
      <c r="AY976" s="68"/>
      <c r="AZ976" s="68"/>
      <c r="BA976" s="68"/>
      <c r="BB976" s="68"/>
      <c r="BC976" s="68"/>
      <c r="BD976" s="68"/>
      <c r="BE976" s="68"/>
      <c r="BF976" s="68"/>
      <c r="BG976" s="68"/>
      <c r="BH976" s="68"/>
      <c r="BI976" s="68"/>
      <c r="BJ976" s="68"/>
      <c r="BK976" s="68"/>
      <c r="BL976" s="68"/>
      <c r="BM976" s="68"/>
      <c r="BN976" s="68"/>
    </row>
    <row r="977" spans="1:66" ht="1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68"/>
      <c r="AG977" s="68"/>
      <c r="AH977" s="68"/>
      <c r="AI977" s="68"/>
      <c r="AJ977" s="68"/>
      <c r="AK977" s="68"/>
      <c r="AL977" s="68"/>
      <c r="AM977" s="68"/>
      <c r="AN977" s="68"/>
      <c r="AO977" s="68"/>
      <c r="AP977" s="68"/>
      <c r="AQ977" s="68"/>
      <c r="AR977" s="68"/>
      <c r="AS977" s="68"/>
      <c r="AT977" s="68"/>
      <c r="AU977" s="68"/>
      <c r="AV977" s="68"/>
      <c r="AW977" s="68"/>
      <c r="AX977" s="68"/>
      <c r="AY977" s="68"/>
      <c r="AZ977" s="68"/>
      <c r="BA977" s="68"/>
      <c r="BB977" s="68"/>
      <c r="BC977" s="68"/>
      <c r="BD977" s="68"/>
      <c r="BE977" s="68"/>
      <c r="BF977" s="68"/>
      <c r="BG977" s="68"/>
      <c r="BH977" s="68"/>
      <c r="BI977" s="68"/>
      <c r="BJ977" s="68"/>
      <c r="BK977" s="68"/>
      <c r="BL977" s="68"/>
      <c r="BM977" s="68"/>
      <c r="BN977" s="68"/>
    </row>
    <row r="978" spans="1:66" ht="17">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68"/>
      <c r="AG978" s="68"/>
      <c r="AH978" s="68"/>
      <c r="AI978" s="68"/>
      <c r="AJ978" s="68"/>
      <c r="AK978" s="68"/>
      <c r="AL978" s="68"/>
      <c r="AM978" s="68"/>
      <c r="AN978" s="68"/>
      <c r="AO978" s="68"/>
      <c r="AP978" s="68"/>
      <c r="AQ978" s="68"/>
      <c r="AR978" s="68"/>
      <c r="AS978" s="68"/>
      <c r="AT978" s="68"/>
      <c r="AU978" s="68"/>
      <c r="AV978" s="68"/>
      <c r="AW978" s="68"/>
      <c r="AX978" s="68"/>
      <c r="AY978" s="68"/>
      <c r="AZ978" s="68"/>
      <c r="BA978" s="68"/>
      <c r="BB978" s="68"/>
      <c r="BC978" s="68"/>
      <c r="BD978" s="68"/>
      <c r="BE978" s="68"/>
      <c r="BF978" s="68"/>
      <c r="BG978" s="68"/>
      <c r="BH978" s="68"/>
      <c r="BI978" s="68"/>
      <c r="BJ978" s="68"/>
      <c r="BK978" s="68"/>
      <c r="BL978" s="68"/>
      <c r="BM978" s="68"/>
      <c r="BN978" s="68"/>
    </row>
    <row r="979" spans="1:66" ht="17">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68"/>
      <c r="AG979" s="68"/>
      <c r="AH979" s="68"/>
      <c r="AI979" s="68"/>
      <c r="AJ979" s="68"/>
      <c r="AK979" s="68"/>
      <c r="AL979" s="68"/>
      <c r="AM979" s="68"/>
      <c r="AN979" s="68"/>
      <c r="AO979" s="68"/>
      <c r="AP979" s="68"/>
      <c r="AQ979" s="68"/>
      <c r="AR979" s="68"/>
      <c r="AS979" s="68"/>
      <c r="AT979" s="68"/>
      <c r="AU979" s="68"/>
      <c r="AV979" s="68"/>
      <c r="AW979" s="68"/>
      <c r="AX979" s="68"/>
      <c r="AY979" s="68"/>
      <c r="AZ979" s="68"/>
      <c r="BA979" s="68"/>
      <c r="BB979" s="68"/>
      <c r="BC979" s="68"/>
      <c r="BD979" s="68"/>
      <c r="BE979" s="68"/>
      <c r="BF979" s="68"/>
      <c r="BG979" s="68"/>
      <c r="BH979" s="68"/>
      <c r="BI979" s="68"/>
      <c r="BJ979" s="68"/>
      <c r="BK979" s="68"/>
      <c r="BL979" s="68"/>
      <c r="BM979" s="68"/>
      <c r="BN979" s="68"/>
    </row>
    <row r="980" spans="1:66" ht="17">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68"/>
      <c r="AG980" s="68"/>
      <c r="AH980" s="68"/>
      <c r="AI980" s="68"/>
      <c r="AJ980" s="68"/>
      <c r="AK980" s="68"/>
      <c r="AL980" s="68"/>
      <c r="AM980" s="68"/>
      <c r="AN980" s="68"/>
      <c r="AO980" s="68"/>
      <c r="AP980" s="68"/>
      <c r="AQ980" s="68"/>
      <c r="AR980" s="68"/>
      <c r="AS980" s="68"/>
      <c r="AT980" s="68"/>
      <c r="AU980" s="68"/>
      <c r="AV980" s="68"/>
      <c r="AW980" s="68"/>
      <c r="AX980" s="68"/>
      <c r="AY980" s="68"/>
      <c r="AZ980" s="68"/>
      <c r="BA980" s="68"/>
      <c r="BB980" s="68"/>
      <c r="BC980" s="68"/>
      <c r="BD980" s="68"/>
      <c r="BE980" s="68"/>
      <c r="BF980" s="68"/>
      <c r="BG980" s="68"/>
      <c r="BH980" s="68"/>
      <c r="BI980" s="68"/>
      <c r="BJ980" s="68"/>
      <c r="BK980" s="68"/>
      <c r="BL980" s="68"/>
      <c r="BM980" s="68"/>
      <c r="BN980" s="68"/>
    </row>
    <row r="981" spans="1:66" ht="17">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68"/>
      <c r="AG981" s="68"/>
      <c r="AH981" s="68"/>
      <c r="AI981" s="68"/>
      <c r="AJ981" s="68"/>
      <c r="AK981" s="68"/>
      <c r="AL981" s="68"/>
      <c r="AM981" s="68"/>
      <c r="AN981" s="68"/>
      <c r="AO981" s="68"/>
      <c r="AP981" s="68"/>
      <c r="AQ981" s="68"/>
      <c r="AR981" s="68"/>
      <c r="AS981" s="68"/>
      <c r="AT981" s="68"/>
      <c r="AU981" s="68"/>
      <c r="AV981" s="68"/>
      <c r="AW981" s="68"/>
      <c r="AX981" s="68"/>
      <c r="AY981" s="68"/>
      <c r="AZ981" s="68"/>
      <c r="BA981" s="68"/>
      <c r="BB981" s="68"/>
      <c r="BC981" s="68"/>
      <c r="BD981" s="68"/>
      <c r="BE981" s="68"/>
      <c r="BF981" s="68"/>
      <c r="BG981" s="68"/>
      <c r="BH981" s="68"/>
      <c r="BI981" s="68"/>
      <c r="BJ981" s="68"/>
      <c r="BK981" s="68"/>
      <c r="BL981" s="68"/>
      <c r="BM981" s="68"/>
      <c r="BN981" s="68"/>
    </row>
    <row r="982" spans="1:66" ht="17">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68"/>
      <c r="AG982" s="68"/>
      <c r="AH982" s="68"/>
      <c r="AI982" s="68"/>
      <c r="AJ982" s="68"/>
      <c r="AK982" s="68"/>
      <c r="AL982" s="68"/>
      <c r="AM982" s="68"/>
      <c r="AN982" s="68"/>
      <c r="AO982" s="68"/>
      <c r="AP982" s="68"/>
      <c r="AQ982" s="68"/>
      <c r="AR982" s="68"/>
      <c r="AS982" s="68"/>
      <c r="AT982" s="68"/>
      <c r="AU982" s="68"/>
      <c r="AV982" s="68"/>
      <c r="AW982" s="68"/>
      <c r="AX982" s="68"/>
      <c r="AY982" s="68"/>
      <c r="AZ982" s="68"/>
      <c r="BA982" s="68"/>
      <c r="BB982" s="68"/>
      <c r="BC982" s="68"/>
      <c r="BD982" s="68"/>
      <c r="BE982" s="68"/>
      <c r="BF982" s="68"/>
      <c r="BG982" s="68"/>
      <c r="BH982" s="68"/>
      <c r="BI982" s="68"/>
      <c r="BJ982" s="68"/>
      <c r="BK982" s="68"/>
      <c r="BL982" s="68"/>
      <c r="BM982" s="68"/>
      <c r="BN982" s="68"/>
    </row>
    <row r="983" spans="1:66" ht="17">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68"/>
      <c r="AG983" s="68"/>
      <c r="AH983" s="68"/>
      <c r="AI983" s="68"/>
      <c r="AJ983" s="68"/>
      <c r="AK983" s="68"/>
      <c r="AL983" s="68"/>
      <c r="AM983" s="68"/>
      <c r="AN983" s="68"/>
      <c r="AO983" s="68"/>
      <c r="AP983" s="68"/>
      <c r="AQ983" s="68"/>
      <c r="AR983" s="68"/>
      <c r="AS983" s="68"/>
      <c r="AT983" s="68"/>
      <c r="AU983" s="68"/>
      <c r="AV983" s="68"/>
      <c r="AW983" s="68"/>
      <c r="AX983" s="68"/>
      <c r="AY983" s="68"/>
      <c r="AZ983" s="68"/>
      <c r="BA983" s="68"/>
      <c r="BB983" s="68"/>
      <c r="BC983" s="68"/>
      <c r="BD983" s="68"/>
      <c r="BE983" s="68"/>
      <c r="BF983" s="68"/>
      <c r="BG983" s="68"/>
      <c r="BH983" s="68"/>
      <c r="BI983" s="68"/>
      <c r="BJ983" s="68"/>
      <c r="BK983" s="68"/>
      <c r="BL983" s="68"/>
      <c r="BM983" s="68"/>
      <c r="BN983" s="68"/>
    </row>
    <row r="984" spans="1:66" ht="17">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68"/>
      <c r="AG984" s="68"/>
      <c r="AH984" s="68"/>
      <c r="AI984" s="68"/>
      <c r="AJ984" s="68"/>
      <c r="AK984" s="68"/>
      <c r="AL984" s="68"/>
      <c r="AM984" s="68"/>
      <c r="AN984" s="68"/>
      <c r="AO984" s="68"/>
      <c r="AP984" s="68"/>
      <c r="AQ984" s="68"/>
      <c r="AR984" s="68"/>
      <c r="AS984" s="68"/>
      <c r="AT984" s="68"/>
      <c r="AU984" s="68"/>
      <c r="AV984" s="68"/>
      <c r="AW984" s="68"/>
      <c r="AX984" s="68"/>
      <c r="AY984" s="68"/>
      <c r="AZ984" s="68"/>
      <c r="BA984" s="68"/>
      <c r="BB984" s="68"/>
      <c r="BC984" s="68"/>
      <c r="BD984" s="68"/>
      <c r="BE984" s="68"/>
      <c r="BF984" s="68"/>
      <c r="BG984" s="68"/>
      <c r="BH984" s="68"/>
      <c r="BI984" s="68"/>
      <c r="BJ984" s="68"/>
      <c r="BK984" s="68"/>
      <c r="BL984" s="68"/>
      <c r="BM984" s="68"/>
      <c r="BN984" s="68"/>
    </row>
    <row r="985" spans="1:66" ht="17">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68"/>
      <c r="AG985" s="68"/>
      <c r="AH985" s="68"/>
      <c r="AI985" s="68"/>
      <c r="AJ985" s="68"/>
      <c r="AK985" s="68"/>
      <c r="AL985" s="68"/>
      <c r="AM985" s="68"/>
      <c r="AN985" s="68"/>
      <c r="AO985" s="68"/>
      <c r="AP985" s="68"/>
      <c r="AQ985" s="68"/>
      <c r="AR985" s="68"/>
      <c r="AS985" s="68"/>
      <c r="AT985" s="68"/>
      <c r="AU985" s="68"/>
      <c r="AV985" s="68"/>
      <c r="AW985" s="68"/>
      <c r="AX985" s="68"/>
      <c r="AY985" s="68"/>
      <c r="AZ985" s="68"/>
      <c r="BA985" s="68"/>
      <c r="BB985" s="68"/>
      <c r="BC985" s="68"/>
      <c r="BD985" s="68"/>
      <c r="BE985" s="68"/>
      <c r="BF985" s="68"/>
      <c r="BG985" s="68"/>
      <c r="BH985" s="68"/>
      <c r="BI985" s="68"/>
      <c r="BJ985" s="68"/>
      <c r="BK985" s="68"/>
      <c r="BL985" s="68"/>
      <c r="BM985" s="68"/>
      <c r="BN985" s="68"/>
    </row>
    <row r="986" spans="1:66" ht="17">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68"/>
      <c r="AG986" s="68"/>
      <c r="AH986" s="68"/>
      <c r="AI986" s="68"/>
      <c r="AJ986" s="68"/>
      <c r="AK986" s="68"/>
      <c r="AL986" s="68"/>
      <c r="AM986" s="68"/>
      <c r="AN986" s="68"/>
      <c r="AO986" s="68"/>
      <c r="AP986" s="68"/>
      <c r="AQ986" s="68"/>
      <c r="AR986" s="68"/>
      <c r="AS986" s="68"/>
      <c r="AT986" s="68"/>
      <c r="AU986" s="68"/>
      <c r="AV986" s="68"/>
      <c r="AW986" s="68"/>
      <c r="AX986" s="68"/>
      <c r="AY986" s="68"/>
      <c r="AZ986" s="68"/>
      <c r="BA986" s="68"/>
      <c r="BB986" s="68"/>
      <c r="BC986" s="68"/>
      <c r="BD986" s="68"/>
      <c r="BE986" s="68"/>
      <c r="BF986" s="68"/>
      <c r="BG986" s="68"/>
      <c r="BH986" s="68"/>
      <c r="BI986" s="68"/>
      <c r="BJ986" s="68"/>
      <c r="BK986" s="68"/>
      <c r="BL986" s="68"/>
      <c r="BM986" s="68"/>
      <c r="BN986" s="68"/>
    </row>
    <row r="987" spans="1:66" ht="1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68"/>
      <c r="AG987" s="68"/>
      <c r="AH987" s="68"/>
      <c r="AI987" s="68"/>
      <c r="AJ987" s="68"/>
      <c r="AK987" s="68"/>
      <c r="AL987" s="68"/>
      <c r="AM987" s="68"/>
      <c r="AN987" s="68"/>
      <c r="AO987" s="68"/>
      <c r="AP987" s="68"/>
      <c r="AQ987" s="68"/>
      <c r="AR987" s="68"/>
      <c r="AS987" s="68"/>
      <c r="AT987" s="68"/>
      <c r="AU987" s="68"/>
      <c r="AV987" s="68"/>
      <c r="AW987" s="68"/>
      <c r="AX987" s="68"/>
      <c r="AY987" s="68"/>
      <c r="AZ987" s="68"/>
      <c r="BA987" s="68"/>
      <c r="BB987" s="68"/>
      <c r="BC987" s="68"/>
      <c r="BD987" s="68"/>
      <c r="BE987" s="68"/>
      <c r="BF987" s="68"/>
      <c r="BG987" s="68"/>
      <c r="BH987" s="68"/>
      <c r="BI987" s="68"/>
      <c r="BJ987" s="68"/>
      <c r="BK987" s="68"/>
      <c r="BL987" s="68"/>
      <c r="BM987" s="68"/>
      <c r="BN987" s="68"/>
    </row>
    <row r="988" spans="1:66" ht="17">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68"/>
      <c r="AG988" s="68"/>
      <c r="AH988" s="68"/>
      <c r="AI988" s="68"/>
      <c r="AJ988" s="68"/>
      <c r="AK988" s="68"/>
      <c r="AL988" s="68"/>
      <c r="AM988" s="68"/>
      <c r="AN988" s="68"/>
      <c r="AO988" s="68"/>
      <c r="AP988" s="68"/>
      <c r="AQ988" s="68"/>
      <c r="AR988" s="68"/>
      <c r="AS988" s="68"/>
      <c r="AT988" s="68"/>
      <c r="AU988" s="68"/>
      <c r="AV988" s="68"/>
      <c r="AW988" s="68"/>
      <c r="AX988" s="68"/>
      <c r="AY988" s="68"/>
      <c r="AZ988" s="68"/>
      <c r="BA988" s="68"/>
      <c r="BB988" s="68"/>
      <c r="BC988" s="68"/>
      <c r="BD988" s="68"/>
      <c r="BE988" s="68"/>
      <c r="BF988" s="68"/>
      <c r="BG988" s="68"/>
      <c r="BH988" s="68"/>
      <c r="BI988" s="68"/>
      <c r="BJ988" s="68"/>
      <c r="BK988" s="68"/>
      <c r="BL988" s="68"/>
      <c r="BM988" s="68"/>
      <c r="BN988" s="68"/>
    </row>
    <row r="989" spans="1:66" ht="17">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68"/>
      <c r="AG989" s="68"/>
      <c r="AH989" s="68"/>
      <c r="AI989" s="68"/>
      <c r="AJ989" s="68"/>
      <c r="AK989" s="68"/>
      <c r="AL989" s="68"/>
      <c r="AM989" s="68"/>
      <c r="AN989" s="68"/>
      <c r="AO989" s="68"/>
      <c r="AP989" s="68"/>
      <c r="AQ989" s="68"/>
      <c r="AR989" s="68"/>
      <c r="AS989" s="68"/>
      <c r="AT989" s="68"/>
      <c r="AU989" s="68"/>
      <c r="AV989" s="68"/>
      <c r="AW989" s="68"/>
      <c r="AX989" s="68"/>
      <c r="AY989" s="68"/>
      <c r="AZ989" s="68"/>
      <c r="BA989" s="68"/>
      <c r="BB989" s="68"/>
      <c r="BC989" s="68"/>
      <c r="BD989" s="68"/>
      <c r="BE989" s="68"/>
      <c r="BF989" s="68"/>
      <c r="BG989" s="68"/>
      <c r="BH989" s="68"/>
      <c r="BI989" s="68"/>
      <c r="BJ989" s="68"/>
      <c r="BK989" s="68"/>
      <c r="BL989" s="68"/>
      <c r="BM989" s="68"/>
      <c r="BN989" s="68"/>
    </row>
    <row r="990" spans="1:66" ht="17">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68"/>
      <c r="AG990" s="68"/>
      <c r="AH990" s="68"/>
      <c r="AI990" s="68"/>
      <c r="AJ990" s="68"/>
      <c r="AK990" s="68"/>
      <c r="AL990" s="68"/>
      <c r="AM990" s="68"/>
      <c r="AN990" s="68"/>
      <c r="AO990" s="68"/>
      <c r="AP990" s="68"/>
      <c r="AQ990" s="68"/>
      <c r="AR990" s="68"/>
      <c r="AS990" s="68"/>
      <c r="AT990" s="68"/>
      <c r="AU990" s="68"/>
      <c r="AV990" s="68"/>
      <c r="AW990" s="68"/>
      <c r="AX990" s="68"/>
      <c r="AY990" s="68"/>
      <c r="AZ990" s="68"/>
      <c r="BA990" s="68"/>
      <c r="BB990" s="68"/>
      <c r="BC990" s="68"/>
      <c r="BD990" s="68"/>
      <c r="BE990" s="68"/>
      <c r="BF990" s="68"/>
      <c r="BG990" s="68"/>
      <c r="BH990" s="68"/>
      <c r="BI990" s="68"/>
      <c r="BJ990" s="68"/>
      <c r="BK990" s="68"/>
      <c r="BL990" s="68"/>
      <c r="BM990" s="68"/>
      <c r="BN990" s="68"/>
    </row>
    <row r="991" spans="1:66" ht="17">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68"/>
      <c r="AG991" s="68"/>
      <c r="AH991" s="68"/>
      <c r="AI991" s="68"/>
      <c r="AJ991" s="68"/>
      <c r="AK991" s="68"/>
      <c r="AL991" s="68"/>
      <c r="AM991" s="68"/>
      <c r="AN991" s="68"/>
      <c r="AO991" s="68"/>
      <c r="AP991" s="68"/>
      <c r="AQ991" s="68"/>
      <c r="AR991" s="68"/>
      <c r="AS991" s="68"/>
      <c r="AT991" s="68"/>
      <c r="AU991" s="68"/>
      <c r="AV991" s="68"/>
      <c r="AW991" s="68"/>
      <c r="AX991" s="68"/>
      <c r="AY991" s="68"/>
      <c r="AZ991" s="68"/>
      <c r="BA991" s="68"/>
      <c r="BB991" s="68"/>
      <c r="BC991" s="68"/>
      <c r="BD991" s="68"/>
      <c r="BE991" s="68"/>
      <c r="BF991" s="68"/>
      <c r="BG991" s="68"/>
      <c r="BH991" s="68"/>
      <c r="BI991" s="68"/>
      <c r="BJ991" s="68"/>
      <c r="BK991" s="68"/>
      <c r="BL991" s="68"/>
      <c r="BM991" s="68"/>
      <c r="BN991" s="68"/>
    </row>
    <row r="992" spans="1:66" ht="17">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68"/>
      <c r="AG992" s="68"/>
      <c r="AH992" s="68"/>
      <c r="AI992" s="68"/>
      <c r="AJ992" s="68"/>
      <c r="AK992" s="68"/>
      <c r="AL992" s="68"/>
      <c r="AM992" s="68"/>
      <c r="AN992" s="68"/>
      <c r="AO992" s="68"/>
      <c r="AP992" s="68"/>
      <c r="AQ992" s="68"/>
      <c r="AR992" s="68"/>
      <c r="AS992" s="68"/>
      <c r="AT992" s="68"/>
      <c r="AU992" s="68"/>
      <c r="AV992" s="68"/>
      <c r="AW992" s="68"/>
      <c r="AX992" s="68"/>
      <c r="AY992" s="68"/>
      <c r="AZ992" s="68"/>
      <c r="BA992" s="68"/>
      <c r="BB992" s="68"/>
      <c r="BC992" s="68"/>
      <c r="BD992" s="68"/>
      <c r="BE992" s="68"/>
      <c r="BF992" s="68"/>
      <c r="BG992" s="68"/>
      <c r="BH992" s="68"/>
      <c r="BI992" s="68"/>
      <c r="BJ992" s="68"/>
      <c r="BK992" s="68"/>
      <c r="BL992" s="68"/>
      <c r="BM992" s="68"/>
      <c r="BN992" s="68"/>
    </row>
    <row r="993" spans="1:66" ht="17">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68"/>
      <c r="AG993" s="68"/>
      <c r="AH993" s="68"/>
      <c r="AI993" s="68"/>
      <c r="AJ993" s="68"/>
      <c r="AK993" s="68"/>
      <c r="AL993" s="68"/>
      <c r="AM993" s="68"/>
      <c r="AN993" s="68"/>
      <c r="AO993" s="68"/>
      <c r="AP993" s="68"/>
      <c r="AQ993" s="68"/>
      <c r="AR993" s="68"/>
      <c r="AS993" s="68"/>
      <c r="AT993" s="68"/>
      <c r="AU993" s="68"/>
      <c r="AV993" s="68"/>
      <c r="AW993" s="68"/>
      <c r="AX993" s="68"/>
      <c r="AY993" s="68"/>
      <c r="AZ993" s="68"/>
      <c r="BA993" s="68"/>
      <c r="BB993" s="68"/>
      <c r="BC993" s="68"/>
      <c r="BD993" s="68"/>
      <c r="BE993" s="68"/>
      <c r="BF993" s="68"/>
      <c r="BG993" s="68"/>
      <c r="BH993" s="68"/>
      <c r="BI993" s="68"/>
      <c r="BJ993" s="68"/>
      <c r="BK993" s="68"/>
      <c r="BL993" s="68"/>
      <c r="BM993" s="68"/>
      <c r="BN993" s="68"/>
    </row>
    <row r="994" spans="1:66" ht="17">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68"/>
      <c r="AG994" s="68"/>
      <c r="AH994" s="68"/>
      <c r="AI994" s="68"/>
      <c r="AJ994" s="68"/>
      <c r="AK994" s="68"/>
      <c r="AL994" s="68"/>
      <c r="AM994" s="68"/>
      <c r="AN994" s="68"/>
      <c r="AO994" s="68"/>
      <c r="AP994" s="68"/>
      <c r="AQ994" s="68"/>
      <c r="AR994" s="68"/>
      <c r="AS994" s="68"/>
      <c r="AT994" s="68"/>
      <c r="AU994" s="68"/>
      <c r="AV994" s="68"/>
      <c r="AW994" s="68"/>
      <c r="AX994" s="68"/>
      <c r="AY994" s="68"/>
      <c r="AZ994" s="68"/>
      <c r="BA994" s="68"/>
      <c r="BB994" s="68"/>
      <c r="BC994" s="68"/>
      <c r="BD994" s="68"/>
      <c r="BE994" s="68"/>
      <c r="BF994" s="68"/>
      <c r="BG994" s="68"/>
      <c r="BH994" s="68"/>
      <c r="BI994" s="68"/>
      <c r="BJ994" s="68"/>
      <c r="BK994" s="68"/>
      <c r="BL994" s="68"/>
      <c r="BM994" s="68"/>
      <c r="BN994" s="68"/>
    </row>
    <row r="995" spans="1:66" ht="17">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68"/>
      <c r="AG995" s="68"/>
      <c r="AH995" s="68"/>
      <c r="AI995" s="68"/>
      <c r="AJ995" s="68"/>
      <c r="AK995" s="68"/>
      <c r="AL995" s="68"/>
      <c r="AM995" s="68"/>
      <c r="AN995" s="68"/>
      <c r="AO995" s="68"/>
      <c r="AP995" s="68"/>
      <c r="AQ995" s="68"/>
      <c r="AR995" s="68"/>
      <c r="AS995" s="68"/>
      <c r="AT995" s="68"/>
      <c r="AU995" s="68"/>
      <c r="AV995" s="68"/>
      <c r="AW995" s="68"/>
      <c r="AX995" s="68"/>
      <c r="AY995" s="68"/>
      <c r="AZ995" s="68"/>
      <c r="BA995" s="68"/>
      <c r="BB995" s="68"/>
      <c r="BC995" s="68"/>
      <c r="BD995" s="68"/>
      <c r="BE995" s="68"/>
      <c r="BF995" s="68"/>
      <c r="BG995" s="68"/>
      <c r="BH995" s="68"/>
      <c r="BI995" s="68"/>
      <c r="BJ995" s="68"/>
      <c r="BK995" s="68"/>
      <c r="BL995" s="68"/>
      <c r="BM995" s="68"/>
      <c r="BN995" s="68"/>
    </row>
    <row r="996" spans="1:66" ht="17">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c r="AF996" s="68"/>
      <c r="AG996" s="68"/>
      <c r="AH996" s="68"/>
      <c r="AI996" s="68"/>
      <c r="AJ996" s="68"/>
      <c r="AK996" s="68"/>
      <c r="AL996" s="68"/>
      <c r="AM996" s="68"/>
      <c r="AN996" s="68"/>
      <c r="AO996" s="68"/>
      <c r="AP996" s="68"/>
      <c r="AQ996" s="68"/>
      <c r="AR996" s="68"/>
      <c r="AS996" s="68"/>
      <c r="AT996" s="68"/>
      <c r="AU996" s="68"/>
      <c r="AV996" s="68"/>
      <c r="AW996" s="68"/>
      <c r="AX996" s="68"/>
      <c r="AY996" s="68"/>
      <c r="AZ996" s="68"/>
      <c r="BA996" s="68"/>
      <c r="BB996" s="68"/>
      <c r="BC996" s="68"/>
      <c r="BD996" s="68"/>
      <c r="BE996" s="68"/>
      <c r="BF996" s="68"/>
      <c r="BG996" s="68"/>
      <c r="BH996" s="68"/>
      <c r="BI996" s="68"/>
      <c r="BJ996" s="68"/>
      <c r="BK996" s="68"/>
      <c r="BL996" s="68"/>
      <c r="BM996" s="68"/>
      <c r="BN996" s="68"/>
    </row>
    <row r="997" spans="1:66" ht="1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c r="AF997" s="68"/>
      <c r="AG997" s="68"/>
      <c r="AH997" s="68"/>
      <c r="AI997" s="68"/>
      <c r="AJ997" s="68"/>
      <c r="AK997" s="68"/>
      <c r="AL997" s="68"/>
      <c r="AM997" s="68"/>
      <c r="AN997" s="68"/>
      <c r="AO997" s="68"/>
      <c r="AP997" s="68"/>
      <c r="AQ997" s="68"/>
      <c r="AR997" s="68"/>
      <c r="AS997" s="68"/>
      <c r="AT997" s="68"/>
      <c r="AU997" s="68"/>
      <c r="AV997" s="68"/>
      <c r="AW997" s="68"/>
      <c r="AX997" s="68"/>
      <c r="AY997" s="68"/>
      <c r="AZ997" s="68"/>
      <c r="BA997" s="68"/>
      <c r="BB997" s="68"/>
      <c r="BC997" s="68"/>
      <c r="BD997" s="68"/>
      <c r="BE997" s="68"/>
      <c r="BF997" s="68"/>
      <c r="BG997" s="68"/>
      <c r="BH997" s="68"/>
      <c r="BI997" s="68"/>
      <c r="BJ997" s="68"/>
      <c r="BK997" s="68"/>
      <c r="BL997" s="68"/>
      <c r="BM997" s="68"/>
      <c r="BN997" s="68"/>
    </row>
    <row r="998" spans="1:66" ht="17">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c r="AF998" s="68"/>
      <c r="AG998" s="68"/>
      <c r="AH998" s="68"/>
      <c r="AI998" s="68"/>
      <c r="AJ998" s="68"/>
      <c r="AK998" s="68"/>
      <c r="AL998" s="68"/>
      <c r="AM998" s="68"/>
      <c r="AN998" s="68"/>
      <c r="AO998" s="68"/>
      <c r="AP998" s="68"/>
      <c r="AQ998" s="68"/>
      <c r="AR998" s="68"/>
      <c r="AS998" s="68"/>
      <c r="AT998" s="68"/>
      <c r="AU998" s="68"/>
      <c r="AV998" s="68"/>
      <c r="AW998" s="68"/>
      <c r="AX998" s="68"/>
      <c r="AY998" s="68"/>
      <c r="AZ998" s="68"/>
      <c r="BA998" s="68"/>
      <c r="BB998" s="68"/>
      <c r="BC998" s="68"/>
      <c r="BD998" s="68"/>
      <c r="BE998" s="68"/>
      <c r="BF998" s="68"/>
      <c r="BG998" s="68"/>
      <c r="BH998" s="68"/>
      <c r="BI998" s="68"/>
      <c r="BJ998" s="68"/>
      <c r="BK998" s="68"/>
      <c r="BL998" s="68"/>
      <c r="BM998" s="68"/>
      <c r="BN998" s="68"/>
    </row>
    <row r="999" spans="1:66" ht="17">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c r="AF999" s="68"/>
      <c r="AG999" s="68"/>
      <c r="AH999" s="68"/>
      <c r="AI999" s="68"/>
      <c r="AJ999" s="68"/>
      <c r="AK999" s="68"/>
      <c r="AL999" s="68"/>
      <c r="AM999" s="68"/>
      <c r="AN999" s="68"/>
      <c r="AO999" s="68"/>
      <c r="AP999" s="68"/>
      <c r="AQ999" s="68"/>
      <c r="AR999" s="68"/>
      <c r="AS999" s="68"/>
      <c r="AT999" s="68"/>
      <c r="AU999" s="68"/>
      <c r="AV999" s="68"/>
      <c r="AW999" s="68"/>
      <c r="AX999" s="68"/>
      <c r="AY999" s="68"/>
      <c r="AZ999" s="68"/>
      <c r="BA999" s="68"/>
      <c r="BB999" s="68"/>
      <c r="BC999" s="68"/>
      <c r="BD999" s="68"/>
      <c r="BE999" s="68"/>
      <c r="BF999" s="68"/>
      <c r="BG999" s="68"/>
      <c r="BH999" s="68"/>
      <c r="BI999" s="68"/>
      <c r="BJ999" s="68"/>
      <c r="BK999" s="68"/>
      <c r="BL999" s="68"/>
      <c r="BM999" s="68"/>
      <c r="BN999" s="68"/>
    </row>
    <row r="1000" spans="1:66" ht="17">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c r="AF1000" s="68"/>
      <c r="AG1000" s="68"/>
      <c r="AH1000" s="68"/>
      <c r="AI1000" s="68"/>
      <c r="AJ1000" s="68"/>
      <c r="AK1000" s="68"/>
      <c r="AL1000" s="68"/>
      <c r="AM1000" s="68"/>
      <c r="AN1000" s="68"/>
      <c r="AO1000" s="68"/>
      <c r="AP1000" s="68"/>
      <c r="AQ1000" s="68"/>
      <c r="AR1000" s="68"/>
      <c r="AS1000" s="68"/>
      <c r="AT1000" s="68"/>
      <c r="AU1000" s="68"/>
      <c r="AV1000" s="68"/>
      <c r="AW1000" s="68"/>
      <c r="AX1000" s="68"/>
      <c r="AY1000" s="68"/>
      <c r="AZ1000" s="68"/>
      <c r="BA1000" s="68"/>
      <c r="BB1000" s="68"/>
      <c r="BC1000" s="68"/>
      <c r="BD1000" s="68"/>
      <c r="BE1000" s="68"/>
      <c r="BF1000" s="68"/>
      <c r="BG1000" s="68"/>
      <c r="BH1000" s="68"/>
      <c r="BI1000" s="68"/>
      <c r="BJ1000" s="68"/>
      <c r="BK1000" s="68"/>
      <c r="BL1000" s="68"/>
      <c r="BM1000" s="68"/>
      <c r="BN1000" s="68"/>
    </row>
    <row r="1001" spans="1:66" ht="17">
      <c r="A1001" s="68"/>
      <c r="B1001" s="68"/>
      <c r="C1001" s="68"/>
      <c r="D1001" s="68"/>
      <c r="E1001" s="68"/>
      <c r="F1001" s="68"/>
      <c r="G1001" s="68"/>
      <c r="H1001" s="68"/>
      <c r="I1001" s="68"/>
      <c r="J1001" s="68"/>
      <c r="K1001" s="68"/>
      <c r="L1001" s="68"/>
      <c r="M1001" s="68"/>
      <c r="N1001" s="68"/>
      <c r="O1001" s="68"/>
      <c r="P1001" s="68"/>
      <c r="Q1001" s="68"/>
      <c r="R1001" s="68"/>
      <c r="S1001" s="68"/>
      <c r="T1001" s="68"/>
      <c r="U1001" s="68"/>
      <c r="V1001" s="68"/>
      <c r="W1001" s="68"/>
      <c r="X1001" s="68"/>
      <c r="Y1001" s="68"/>
      <c r="Z1001" s="68"/>
      <c r="AA1001" s="68"/>
      <c r="AB1001" s="68"/>
      <c r="AC1001" s="68"/>
      <c r="AD1001" s="68"/>
      <c r="AE1001" s="68"/>
      <c r="AF1001" s="68"/>
      <c r="AG1001" s="68"/>
      <c r="AH1001" s="68"/>
      <c r="AI1001" s="68"/>
      <c r="AJ1001" s="68"/>
      <c r="AK1001" s="68"/>
      <c r="AL1001" s="68"/>
      <c r="AM1001" s="68"/>
      <c r="AN1001" s="68"/>
      <c r="AO1001" s="68"/>
      <c r="AP1001" s="68"/>
      <c r="AQ1001" s="68"/>
      <c r="AR1001" s="68"/>
      <c r="AS1001" s="68"/>
      <c r="AT1001" s="68"/>
      <c r="AU1001" s="68"/>
      <c r="AV1001" s="68"/>
      <c r="AW1001" s="68"/>
      <c r="AX1001" s="68"/>
      <c r="AY1001" s="68"/>
      <c r="AZ1001" s="68"/>
      <c r="BA1001" s="68"/>
      <c r="BB1001" s="68"/>
      <c r="BC1001" s="68"/>
      <c r="BD1001" s="68"/>
      <c r="BE1001" s="68"/>
      <c r="BF1001" s="68"/>
      <c r="BG1001" s="68"/>
      <c r="BH1001" s="68"/>
      <c r="BI1001" s="68"/>
      <c r="BJ1001" s="68"/>
      <c r="BK1001" s="68"/>
      <c r="BL1001" s="68"/>
      <c r="BM1001" s="68"/>
      <c r="BN1001" s="68"/>
    </row>
    <row r="1002" spans="1:66" ht="17">
      <c r="A1002" s="68"/>
      <c r="B1002" s="68"/>
      <c r="C1002" s="68"/>
      <c r="D1002" s="68"/>
      <c r="E1002" s="68"/>
      <c r="F1002" s="68"/>
      <c r="G1002" s="68"/>
      <c r="H1002" s="68"/>
      <c r="I1002" s="68"/>
      <c r="J1002" s="68"/>
      <c r="K1002" s="68"/>
      <c r="L1002" s="68"/>
      <c r="M1002" s="68"/>
      <c r="N1002" s="68"/>
      <c r="O1002" s="68"/>
      <c r="P1002" s="68"/>
      <c r="Q1002" s="68"/>
      <c r="R1002" s="68"/>
      <c r="S1002" s="68"/>
      <c r="T1002" s="68"/>
      <c r="U1002" s="68"/>
      <c r="V1002" s="68"/>
      <c r="W1002" s="68"/>
      <c r="X1002" s="68"/>
      <c r="Y1002" s="68"/>
      <c r="Z1002" s="68"/>
      <c r="AA1002" s="68"/>
      <c r="AB1002" s="68"/>
      <c r="AC1002" s="68"/>
      <c r="AD1002" s="68"/>
      <c r="AE1002" s="68"/>
      <c r="AF1002" s="68"/>
      <c r="AG1002" s="68"/>
      <c r="AH1002" s="68"/>
      <c r="AI1002" s="68"/>
      <c r="AJ1002" s="68"/>
      <c r="AK1002" s="68"/>
      <c r="AL1002" s="68"/>
      <c r="AM1002" s="68"/>
      <c r="AN1002" s="68"/>
      <c r="AO1002" s="68"/>
      <c r="AP1002" s="68"/>
      <c r="AQ1002" s="68"/>
      <c r="AR1002" s="68"/>
      <c r="AS1002" s="68"/>
      <c r="AT1002" s="68"/>
      <c r="AU1002" s="68"/>
      <c r="AV1002" s="68"/>
      <c r="AW1002" s="68"/>
      <c r="AX1002" s="68"/>
      <c r="AY1002" s="68"/>
      <c r="AZ1002" s="68"/>
      <c r="BA1002" s="68"/>
      <c r="BB1002" s="68"/>
      <c r="BC1002" s="68"/>
      <c r="BD1002" s="68"/>
      <c r="BE1002" s="68"/>
      <c r="BF1002" s="68"/>
      <c r="BG1002" s="68"/>
      <c r="BH1002" s="68"/>
      <c r="BI1002" s="68"/>
      <c r="BJ1002" s="68"/>
      <c r="BK1002" s="68"/>
      <c r="BL1002" s="68"/>
      <c r="BM1002" s="68"/>
      <c r="BN1002" s="68"/>
    </row>
    <row r="1003" spans="1:66" ht="17">
      <c r="A1003" s="68"/>
      <c r="B1003" s="68"/>
      <c r="C1003" s="68"/>
      <c r="D1003" s="68"/>
      <c r="E1003" s="68"/>
      <c r="F1003" s="68"/>
      <c r="G1003" s="68"/>
      <c r="H1003" s="68"/>
      <c r="I1003" s="68"/>
      <c r="J1003" s="68"/>
      <c r="K1003" s="68"/>
      <c r="L1003" s="68"/>
      <c r="M1003" s="68"/>
      <c r="N1003" s="68"/>
      <c r="O1003" s="68"/>
      <c r="P1003" s="68"/>
      <c r="Q1003" s="68"/>
      <c r="R1003" s="68"/>
      <c r="S1003" s="68"/>
      <c r="T1003" s="68"/>
      <c r="U1003" s="68"/>
      <c r="V1003" s="68"/>
      <c r="W1003" s="68"/>
      <c r="X1003" s="68"/>
      <c r="Y1003" s="68"/>
      <c r="Z1003" s="68"/>
      <c r="AA1003" s="68"/>
      <c r="AB1003" s="68"/>
      <c r="AC1003" s="68"/>
      <c r="AD1003" s="68"/>
      <c r="AE1003" s="68"/>
      <c r="AF1003" s="68"/>
      <c r="AG1003" s="68"/>
      <c r="AH1003" s="68"/>
      <c r="AI1003" s="68"/>
      <c r="AJ1003" s="68"/>
      <c r="AK1003" s="68"/>
      <c r="AL1003" s="68"/>
      <c r="AM1003" s="68"/>
      <c r="AN1003" s="68"/>
      <c r="AO1003" s="68"/>
      <c r="AP1003" s="68"/>
      <c r="AQ1003" s="68"/>
      <c r="AR1003" s="68"/>
      <c r="AS1003" s="68"/>
      <c r="AT1003" s="68"/>
      <c r="AU1003" s="68"/>
      <c r="AV1003" s="68"/>
      <c r="AW1003" s="68"/>
      <c r="AX1003" s="68"/>
      <c r="AY1003" s="68"/>
      <c r="AZ1003" s="68"/>
      <c r="BA1003" s="68"/>
      <c r="BB1003" s="68"/>
      <c r="BC1003" s="68"/>
      <c r="BD1003" s="68"/>
      <c r="BE1003" s="68"/>
      <c r="BF1003" s="68"/>
      <c r="BG1003" s="68"/>
      <c r="BH1003" s="68"/>
      <c r="BI1003" s="68"/>
      <c r="BJ1003" s="68"/>
      <c r="BK1003" s="68"/>
      <c r="BL1003" s="68"/>
      <c r="BM1003" s="68"/>
      <c r="BN1003" s="68"/>
    </row>
  </sheetData>
  <mergeCells count="15">
    <mergeCell ref="BN4:BN5"/>
    <mergeCell ref="AS7:BD7"/>
    <mergeCell ref="C4:E4"/>
    <mergeCell ref="F4:G4"/>
    <mergeCell ref="H4:K4"/>
    <mergeCell ref="L4:N4"/>
    <mergeCell ref="O4:Q4"/>
    <mergeCell ref="R4:AN4"/>
    <mergeCell ref="C5:E5"/>
    <mergeCell ref="F5:H5"/>
    <mergeCell ref="I5:J5"/>
    <mergeCell ref="K5:O5"/>
    <mergeCell ref="M7:V7"/>
    <mergeCell ref="P5:S5"/>
    <mergeCell ref="T5:AP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N1016"/>
  <sheetViews>
    <sheetView showGridLines="0" topLeftCell="A36" zoomScale="115" workbookViewId="0">
      <pane xSplit="1" topLeftCell="B1" activePane="topRight" state="frozen"/>
      <selection activeCell="A41" sqref="A41"/>
      <selection pane="topRight" activeCell="C40" sqref="C40"/>
    </sheetView>
  </sheetViews>
  <sheetFormatPr baseColWidth="10" defaultColWidth="12.6640625" defaultRowHeight="15.75" customHeight="1"/>
  <cols>
    <col min="1" max="1" width="35.5" style="63" customWidth="1"/>
    <col min="2" max="2" width="12.83203125" style="63" bestFit="1" customWidth="1"/>
    <col min="3" max="3" width="19.6640625" style="63" customWidth="1"/>
    <col min="4" max="4" width="23.1640625" style="63" customWidth="1"/>
    <col min="5" max="5" width="19" style="63" customWidth="1"/>
    <col min="6" max="6" width="20.5" style="63" customWidth="1"/>
    <col min="7" max="7" width="21.83203125" style="63" customWidth="1"/>
    <col min="8" max="8" width="18.1640625" style="63" customWidth="1"/>
    <col min="9" max="42" width="25.33203125" style="63" customWidth="1"/>
    <col min="43" max="43" width="24.6640625" style="63" bestFit="1" customWidth="1"/>
    <col min="44" max="44" width="13.6640625" style="63" customWidth="1"/>
    <col min="45" max="66" width="12.83203125" style="63" bestFit="1" customWidth="1"/>
    <col min="67" max="16384" width="12.6640625" style="63"/>
  </cols>
  <sheetData>
    <row r="1" spans="1:66" ht="17">
      <c r="A1" s="51" t="s">
        <v>237</v>
      </c>
      <c r="B1" s="52">
        <v>2024</v>
      </c>
      <c r="C1" s="53">
        <v>2025</v>
      </c>
      <c r="D1" s="54">
        <f t="shared" ref="D1:BN1" si="0">C1+1</f>
        <v>2026</v>
      </c>
      <c r="E1" s="55">
        <f t="shared" si="0"/>
        <v>2027</v>
      </c>
      <c r="F1" s="56">
        <f t="shared" si="0"/>
        <v>2028</v>
      </c>
      <c r="G1" s="53">
        <f t="shared" si="0"/>
        <v>2029</v>
      </c>
      <c r="H1" s="53">
        <f t="shared" si="0"/>
        <v>2030</v>
      </c>
      <c r="I1" s="54">
        <f t="shared" si="0"/>
        <v>2031</v>
      </c>
      <c r="J1" s="53">
        <f t="shared" si="0"/>
        <v>2032</v>
      </c>
      <c r="K1" s="53">
        <f t="shared" si="0"/>
        <v>2033</v>
      </c>
      <c r="L1" s="53">
        <f t="shared" si="0"/>
        <v>2034</v>
      </c>
      <c r="M1" s="53">
        <f t="shared" si="0"/>
        <v>2035</v>
      </c>
      <c r="N1" s="56">
        <f t="shared" si="0"/>
        <v>2036</v>
      </c>
      <c r="O1" s="54">
        <f t="shared" si="0"/>
        <v>2037</v>
      </c>
      <c r="P1" s="53">
        <f t="shared" si="0"/>
        <v>2038</v>
      </c>
      <c r="Q1" s="53">
        <f t="shared" si="0"/>
        <v>2039</v>
      </c>
      <c r="R1" s="53">
        <f t="shared" si="0"/>
        <v>2040</v>
      </c>
      <c r="S1" s="53">
        <f t="shared" si="0"/>
        <v>2041</v>
      </c>
      <c r="T1" s="53">
        <f t="shared" si="0"/>
        <v>2042</v>
      </c>
      <c r="U1" s="53">
        <f t="shared" si="0"/>
        <v>2043</v>
      </c>
      <c r="V1" s="53">
        <f t="shared" si="0"/>
        <v>2044</v>
      </c>
      <c r="W1" s="53">
        <f t="shared" si="0"/>
        <v>2045</v>
      </c>
      <c r="X1" s="57">
        <f t="shared" si="0"/>
        <v>2046</v>
      </c>
      <c r="Y1" s="57">
        <f t="shared" si="0"/>
        <v>2047</v>
      </c>
      <c r="Z1" s="57">
        <f t="shared" si="0"/>
        <v>2048</v>
      </c>
      <c r="AA1" s="57">
        <f t="shared" si="0"/>
        <v>2049</v>
      </c>
      <c r="AB1" s="57">
        <f t="shared" si="0"/>
        <v>2050</v>
      </c>
      <c r="AC1" s="57">
        <f t="shared" si="0"/>
        <v>2051</v>
      </c>
      <c r="AD1" s="57">
        <f t="shared" si="0"/>
        <v>2052</v>
      </c>
      <c r="AE1" s="57">
        <f t="shared" si="0"/>
        <v>2053</v>
      </c>
      <c r="AF1" s="57">
        <f t="shared" si="0"/>
        <v>2054</v>
      </c>
      <c r="AG1" s="57">
        <f t="shared" si="0"/>
        <v>2055</v>
      </c>
      <c r="AH1" s="57">
        <f t="shared" si="0"/>
        <v>2056</v>
      </c>
      <c r="AI1" s="57">
        <f t="shared" si="0"/>
        <v>2057</v>
      </c>
      <c r="AJ1" s="57">
        <f t="shared" si="0"/>
        <v>2058</v>
      </c>
      <c r="AK1" s="57">
        <f t="shared" si="0"/>
        <v>2059</v>
      </c>
      <c r="AL1" s="57">
        <f t="shared" si="0"/>
        <v>2060</v>
      </c>
      <c r="AM1" s="57">
        <f t="shared" si="0"/>
        <v>2061</v>
      </c>
      <c r="AN1" s="57">
        <f t="shared" si="0"/>
        <v>2062</v>
      </c>
      <c r="AO1" s="57">
        <f t="shared" si="0"/>
        <v>2063</v>
      </c>
      <c r="AP1" s="57">
        <f t="shared" si="0"/>
        <v>2064</v>
      </c>
      <c r="AQ1" s="57">
        <f t="shared" si="0"/>
        <v>2065</v>
      </c>
      <c r="AR1" s="57">
        <f t="shared" si="0"/>
        <v>2066</v>
      </c>
      <c r="AS1" s="57">
        <f t="shared" si="0"/>
        <v>2067</v>
      </c>
      <c r="AT1" s="57">
        <f t="shared" si="0"/>
        <v>2068</v>
      </c>
      <c r="AU1" s="57">
        <f t="shared" si="0"/>
        <v>2069</v>
      </c>
      <c r="AV1" s="57">
        <f t="shared" si="0"/>
        <v>2070</v>
      </c>
      <c r="AW1" s="57">
        <f t="shared" si="0"/>
        <v>2071</v>
      </c>
      <c r="AX1" s="58">
        <f t="shared" si="0"/>
        <v>2072</v>
      </c>
      <c r="AY1" s="59">
        <f t="shared" si="0"/>
        <v>2073</v>
      </c>
      <c r="AZ1" s="60">
        <f t="shared" si="0"/>
        <v>2074</v>
      </c>
      <c r="BA1" s="61">
        <f t="shared" si="0"/>
        <v>2075</v>
      </c>
      <c r="BB1" s="62">
        <f t="shared" si="0"/>
        <v>2076</v>
      </c>
      <c r="BC1" s="62">
        <f t="shared" si="0"/>
        <v>2077</v>
      </c>
      <c r="BD1" s="62">
        <f t="shared" si="0"/>
        <v>2078</v>
      </c>
      <c r="BE1" s="62">
        <f t="shared" si="0"/>
        <v>2079</v>
      </c>
      <c r="BF1" s="62">
        <f t="shared" si="0"/>
        <v>2080</v>
      </c>
      <c r="BG1" s="62">
        <f t="shared" si="0"/>
        <v>2081</v>
      </c>
      <c r="BH1" s="62">
        <f t="shared" si="0"/>
        <v>2082</v>
      </c>
      <c r="BI1" s="62">
        <f t="shared" si="0"/>
        <v>2083</v>
      </c>
      <c r="BJ1" s="62">
        <f t="shared" si="0"/>
        <v>2084</v>
      </c>
      <c r="BK1" s="62">
        <f t="shared" si="0"/>
        <v>2085</v>
      </c>
      <c r="BL1" s="62">
        <f t="shared" si="0"/>
        <v>2086</v>
      </c>
      <c r="BM1" s="62">
        <f t="shared" si="0"/>
        <v>2087</v>
      </c>
      <c r="BN1" s="62">
        <f t="shared" si="0"/>
        <v>2088</v>
      </c>
    </row>
    <row r="2" spans="1:66" ht="17">
      <c r="A2" s="64" t="s">
        <v>238</v>
      </c>
      <c r="B2" s="65">
        <v>0</v>
      </c>
      <c r="C2" s="66">
        <v>1</v>
      </c>
      <c r="D2" s="66">
        <v>2</v>
      </c>
      <c r="E2" s="66">
        <f t="shared" ref="E2:BN2" si="1">D2+1</f>
        <v>3</v>
      </c>
      <c r="F2" s="66">
        <f t="shared" si="1"/>
        <v>4</v>
      </c>
      <c r="G2" s="66">
        <f t="shared" si="1"/>
        <v>5</v>
      </c>
      <c r="H2" s="66">
        <f t="shared" si="1"/>
        <v>6</v>
      </c>
      <c r="I2" s="66">
        <f t="shared" si="1"/>
        <v>7</v>
      </c>
      <c r="J2" s="66">
        <f t="shared" si="1"/>
        <v>8</v>
      </c>
      <c r="K2" s="66">
        <f t="shared" si="1"/>
        <v>9</v>
      </c>
      <c r="L2" s="66">
        <f t="shared" si="1"/>
        <v>10</v>
      </c>
      <c r="M2" s="66">
        <f t="shared" si="1"/>
        <v>11</v>
      </c>
      <c r="N2" s="66">
        <f t="shared" si="1"/>
        <v>12</v>
      </c>
      <c r="O2" s="66">
        <f t="shared" si="1"/>
        <v>13</v>
      </c>
      <c r="P2" s="66">
        <f t="shared" si="1"/>
        <v>14</v>
      </c>
      <c r="Q2" s="66">
        <f t="shared" si="1"/>
        <v>15</v>
      </c>
      <c r="R2" s="66">
        <f t="shared" si="1"/>
        <v>16</v>
      </c>
      <c r="S2" s="66">
        <f t="shared" si="1"/>
        <v>17</v>
      </c>
      <c r="T2" s="66">
        <f t="shared" si="1"/>
        <v>18</v>
      </c>
      <c r="U2" s="66">
        <f t="shared" si="1"/>
        <v>19</v>
      </c>
      <c r="V2" s="66">
        <f t="shared" si="1"/>
        <v>20</v>
      </c>
      <c r="W2" s="66">
        <f t="shared" si="1"/>
        <v>21</v>
      </c>
      <c r="X2" s="66">
        <f t="shared" si="1"/>
        <v>22</v>
      </c>
      <c r="Y2" s="66">
        <f t="shared" si="1"/>
        <v>23</v>
      </c>
      <c r="Z2" s="66">
        <f t="shared" si="1"/>
        <v>24</v>
      </c>
      <c r="AA2" s="66">
        <f t="shared" si="1"/>
        <v>25</v>
      </c>
      <c r="AB2" s="66">
        <f t="shared" si="1"/>
        <v>26</v>
      </c>
      <c r="AC2" s="66">
        <f t="shared" si="1"/>
        <v>27</v>
      </c>
      <c r="AD2" s="66">
        <f t="shared" si="1"/>
        <v>28</v>
      </c>
      <c r="AE2" s="66">
        <f t="shared" si="1"/>
        <v>29</v>
      </c>
      <c r="AF2" s="66">
        <f t="shared" si="1"/>
        <v>30</v>
      </c>
      <c r="AG2" s="66">
        <f t="shared" si="1"/>
        <v>31</v>
      </c>
      <c r="AH2" s="66">
        <f t="shared" si="1"/>
        <v>32</v>
      </c>
      <c r="AI2" s="66">
        <f t="shared" si="1"/>
        <v>33</v>
      </c>
      <c r="AJ2" s="66">
        <f t="shared" si="1"/>
        <v>34</v>
      </c>
      <c r="AK2" s="66">
        <f t="shared" si="1"/>
        <v>35</v>
      </c>
      <c r="AL2" s="66">
        <f t="shared" si="1"/>
        <v>36</v>
      </c>
      <c r="AM2" s="66">
        <f t="shared" si="1"/>
        <v>37</v>
      </c>
      <c r="AN2" s="66">
        <f t="shared" si="1"/>
        <v>38</v>
      </c>
      <c r="AO2" s="66">
        <f t="shared" si="1"/>
        <v>39</v>
      </c>
      <c r="AP2" s="66">
        <f t="shared" si="1"/>
        <v>40</v>
      </c>
      <c r="AQ2" s="66">
        <f t="shared" si="1"/>
        <v>41</v>
      </c>
      <c r="AR2" s="66">
        <f t="shared" si="1"/>
        <v>42</v>
      </c>
      <c r="AS2" s="66">
        <f t="shared" si="1"/>
        <v>43</v>
      </c>
      <c r="AT2" s="66">
        <f t="shared" si="1"/>
        <v>44</v>
      </c>
      <c r="AU2" s="66">
        <f t="shared" si="1"/>
        <v>45</v>
      </c>
      <c r="AV2" s="66">
        <f t="shared" si="1"/>
        <v>46</v>
      </c>
      <c r="AW2" s="66">
        <f t="shared" si="1"/>
        <v>47</v>
      </c>
      <c r="AX2" s="66">
        <f t="shared" si="1"/>
        <v>48</v>
      </c>
      <c r="AY2" s="66">
        <f t="shared" si="1"/>
        <v>49</v>
      </c>
      <c r="AZ2" s="66">
        <f t="shared" si="1"/>
        <v>50</v>
      </c>
      <c r="BA2" s="66">
        <f t="shared" si="1"/>
        <v>51</v>
      </c>
      <c r="BB2" s="66">
        <f t="shared" si="1"/>
        <v>52</v>
      </c>
      <c r="BC2" s="66">
        <f t="shared" si="1"/>
        <v>53</v>
      </c>
      <c r="BD2" s="66">
        <f t="shared" si="1"/>
        <v>54</v>
      </c>
      <c r="BE2" s="66">
        <f t="shared" si="1"/>
        <v>55</v>
      </c>
      <c r="BF2" s="66">
        <f t="shared" si="1"/>
        <v>56</v>
      </c>
      <c r="BG2" s="66">
        <f t="shared" si="1"/>
        <v>57</v>
      </c>
      <c r="BH2" s="66">
        <f t="shared" si="1"/>
        <v>58</v>
      </c>
      <c r="BI2" s="66">
        <f t="shared" si="1"/>
        <v>59</v>
      </c>
      <c r="BJ2" s="66">
        <f t="shared" si="1"/>
        <v>60</v>
      </c>
      <c r="BK2" s="66">
        <f t="shared" si="1"/>
        <v>61</v>
      </c>
      <c r="BL2" s="66">
        <f t="shared" si="1"/>
        <v>62</v>
      </c>
      <c r="BM2" s="66">
        <f t="shared" si="1"/>
        <v>63</v>
      </c>
      <c r="BN2" s="66">
        <f t="shared" si="1"/>
        <v>64</v>
      </c>
    </row>
    <row r="3" spans="1:66" ht="17">
      <c r="A3" s="64" t="s">
        <v>239</v>
      </c>
      <c r="B3" s="65"/>
      <c r="C3" s="67">
        <f>'3. Financial drivers '!G26</f>
        <v>2.9499999999999998E-2</v>
      </c>
      <c r="D3" s="67">
        <f>'3. Financial drivers '!G27</f>
        <v>2.4899999999999999E-2</v>
      </c>
      <c r="E3" s="67">
        <f>'3. Financial drivers '!G28</f>
        <v>2.8000000000000001E-2</v>
      </c>
      <c r="F3" s="67">
        <f>'3. Financial drivers '!G29</f>
        <v>2.9000000000000001E-2</v>
      </c>
      <c r="G3" s="67">
        <f>'3. Financial drivers '!G30</f>
        <v>2.9000000000000001E-2</v>
      </c>
      <c r="H3" s="67">
        <f>'3. Financial drivers '!G31</f>
        <v>2.9000000000000001E-2</v>
      </c>
      <c r="I3" s="67">
        <f>'3. Financial drivers '!$G$32</f>
        <v>2.8810000000000002E-2</v>
      </c>
      <c r="J3" s="67">
        <f>'3. Financial drivers '!$G$32</f>
        <v>2.8810000000000002E-2</v>
      </c>
      <c r="K3" s="67">
        <f>'3. Financial drivers '!$G$32</f>
        <v>2.8810000000000002E-2</v>
      </c>
      <c r="L3" s="67">
        <f>'3. Financial drivers '!$G$32</f>
        <v>2.8810000000000002E-2</v>
      </c>
      <c r="M3" s="67">
        <f>'3. Financial drivers '!$G$32</f>
        <v>2.8810000000000002E-2</v>
      </c>
      <c r="N3" s="67">
        <f>'3. Financial drivers '!$G$32</f>
        <v>2.8810000000000002E-2</v>
      </c>
      <c r="O3" s="67">
        <f>'3. Financial drivers '!$G$32</f>
        <v>2.8810000000000002E-2</v>
      </c>
      <c r="P3" s="67">
        <f>'3. Financial drivers '!$G$32</f>
        <v>2.8810000000000002E-2</v>
      </c>
      <c r="Q3" s="67">
        <f>'3. Financial drivers '!$G$32</f>
        <v>2.8810000000000002E-2</v>
      </c>
      <c r="R3" s="67">
        <f>'3. Financial drivers '!$G$32</f>
        <v>2.8810000000000002E-2</v>
      </c>
      <c r="S3" s="67">
        <f>'3. Financial drivers '!$G$32</f>
        <v>2.8810000000000002E-2</v>
      </c>
      <c r="T3" s="67">
        <f>'3. Financial drivers '!$G$32</f>
        <v>2.8810000000000002E-2</v>
      </c>
      <c r="U3" s="67">
        <f>'3. Financial drivers '!$G$32</f>
        <v>2.8810000000000002E-2</v>
      </c>
      <c r="V3" s="67">
        <f>'3. Financial drivers '!$G$32</f>
        <v>2.8810000000000002E-2</v>
      </c>
      <c r="W3" s="67">
        <f>'3. Financial drivers '!$G$32</f>
        <v>2.8810000000000002E-2</v>
      </c>
      <c r="X3" s="67">
        <f>'3. Financial drivers '!$G$32</f>
        <v>2.8810000000000002E-2</v>
      </c>
      <c r="Y3" s="67">
        <f>'3. Financial drivers '!$G$32</f>
        <v>2.8810000000000002E-2</v>
      </c>
      <c r="Z3" s="67">
        <f>'3. Financial drivers '!$G$32</f>
        <v>2.8810000000000002E-2</v>
      </c>
      <c r="AA3" s="67">
        <f>'3. Financial drivers '!$G$32</f>
        <v>2.8810000000000002E-2</v>
      </c>
      <c r="AB3" s="67">
        <f>'3. Financial drivers '!$G$32</f>
        <v>2.8810000000000002E-2</v>
      </c>
      <c r="AC3" s="67">
        <f>'3. Financial drivers '!$G$32</f>
        <v>2.8810000000000002E-2</v>
      </c>
      <c r="AD3" s="67">
        <f>'3. Financial drivers '!$G$32</f>
        <v>2.8810000000000002E-2</v>
      </c>
      <c r="AE3" s="67">
        <f>'3. Financial drivers '!$G$32</f>
        <v>2.8810000000000002E-2</v>
      </c>
      <c r="AF3" s="67">
        <f>'3. Financial drivers '!$G$32</f>
        <v>2.8810000000000002E-2</v>
      </c>
      <c r="AG3" s="67">
        <f>'3. Financial drivers '!$G$32</f>
        <v>2.8810000000000002E-2</v>
      </c>
      <c r="AH3" s="67">
        <f>'3. Financial drivers '!$G$32</f>
        <v>2.8810000000000002E-2</v>
      </c>
      <c r="AI3" s="67">
        <f>'3. Financial drivers '!$G$32</f>
        <v>2.8810000000000002E-2</v>
      </c>
      <c r="AJ3" s="67">
        <f>'3. Financial drivers '!$G$32</f>
        <v>2.8810000000000002E-2</v>
      </c>
      <c r="AK3" s="67">
        <f>'3. Financial drivers '!$G$32</f>
        <v>2.8810000000000002E-2</v>
      </c>
      <c r="AL3" s="67">
        <f>'3. Financial drivers '!$G$32</f>
        <v>2.8810000000000002E-2</v>
      </c>
      <c r="AM3" s="67">
        <f>'3. Financial drivers '!$G$32</f>
        <v>2.8810000000000002E-2</v>
      </c>
      <c r="AN3" s="67">
        <f>'3. Financial drivers '!$G$32</f>
        <v>2.8810000000000002E-2</v>
      </c>
      <c r="AO3" s="67">
        <f>'3. Financial drivers '!$G$32</f>
        <v>2.8810000000000002E-2</v>
      </c>
      <c r="AP3" s="67">
        <f>'3. Financial drivers '!$G$32</f>
        <v>2.8810000000000002E-2</v>
      </c>
      <c r="AQ3" s="67">
        <f>'3. Financial drivers '!$G$32</f>
        <v>2.8810000000000002E-2</v>
      </c>
      <c r="AR3" s="67">
        <f>'3. Financial drivers '!$G$32</f>
        <v>2.8810000000000002E-2</v>
      </c>
      <c r="AS3" s="67">
        <f>'3. Financial drivers '!$G$32</f>
        <v>2.8810000000000002E-2</v>
      </c>
      <c r="AT3" s="67">
        <f>'3. Financial drivers '!$G$32</f>
        <v>2.8810000000000002E-2</v>
      </c>
      <c r="AU3" s="67">
        <f>'3. Financial drivers '!$G$32</f>
        <v>2.8810000000000002E-2</v>
      </c>
      <c r="AV3" s="67">
        <f>'3. Financial drivers '!$G$32</f>
        <v>2.8810000000000002E-2</v>
      </c>
      <c r="AW3" s="67">
        <f>'3. Financial drivers '!$G$32</f>
        <v>2.8810000000000002E-2</v>
      </c>
      <c r="AX3" s="67">
        <f>'3. Financial drivers '!$G$32</f>
        <v>2.8810000000000002E-2</v>
      </c>
      <c r="AY3" s="67">
        <f>'3. Financial drivers '!$G$32</f>
        <v>2.8810000000000002E-2</v>
      </c>
      <c r="AZ3" s="67">
        <f>'3. Financial drivers '!$G$32</f>
        <v>2.8810000000000002E-2</v>
      </c>
      <c r="BA3" s="67">
        <f>'3. Financial drivers '!$G$32</f>
        <v>2.8810000000000002E-2</v>
      </c>
      <c r="BB3" s="67">
        <f>'3. Financial drivers '!$G$32</f>
        <v>2.8810000000000002E-2</v>
      </c>
      <c r="BC3" s="67">
        <f>'3. Financial drivers '!$G$32</f>
        <v>2.8810000000000002E-2</v>
      </c>
      <c r="BD3" s="67">
        <f>'3. Financial drivers '!$G$32</f>
        <v>2.8810000000000002E-2</v>
      </c>
      <c r="BE3" s="67">
        <f>'3. Financial drivers '!$G$32</f>
        <v>2.8810000000000002E-2</v>
      </c>
      <c r="BF3" s="67">
        <f>'3. Financial drivers '!$G$32</f>
        <v>2.8810000000000002E-2</v>
      </c>
      <c r="BG3" s="67">
        <f>'3. Financial drivers '!$G$32</f>
        <v>2.8810000000000002E-2</v>
      </c>
      <c r="BH3" s="67">
        <f>'3. Financial drivers '!$G$32</f>
        <v>2.8810000000000002E-2</v>
      </c>
      <c r="BI3" s="67">
        <f>'3. Financial drivers '!$G$32</f>
        <v>2.8810000000000002E-2</v>
      </c>
      <c r="BJ3" s="67">
        <f>'3. Financial drivers '!$G$32</f>
        <v>2.8810000000000002E-2</v>
      </c>
      <c r="BK3" s="67">
        <f>'3. Financial drivers '!$G$32</f>
        <v>2.8810000000000002E-2</v>
      </c>
      <c r="BL3" s="67">
        <f>'3. Financial drivers '!$G$32</f>
        <v>2.8810000000000002E-2</v>
      </c>
      <c r="BM3" s="67">
        <f>'3. Financial drivers '!$G$32</f>
        <v>2.8810000000000002E-2</v>
      </c>
      <c r="BN3" s="67">
        <f>'3. Financial drivers '!$G$32</f>
        <v>2.8810000000000002E-2</v>
      </c>
    </row>
    <row r="4" spans="1:66" ht="18">
      <c r="A4" s="64" t="s">
        <v>240</v>
      </c>
      <c r="B4" s="68"/>
      <c r="C4" s="69" t="s">
        <v>225</v>
      </c>
      <c r="D4" s="70"/>
      <c r="E4" s="71"/>
      <c r="F4" s="69" t="s">
        <v>227</v>
      </c>
      <c r="G4" s="71"/>
      <c r="H4" s="72" t="s">
        <v>229</v>
      </c>
      <c r="I4" s="70"/>
      <c r="J4" s="70"/>
      <c r="K4" s="71"/>
      <c r="L4" s="73" t="s">
        <v>232</v>
      </c>
      <c r="M4" s="70"/>
      <c r="N4" s="70"/>
      <c r="O4" s="74" t="s">
        <v>233</v>
      </c>
      <c r="P4" s="70"/>
      <c r="Q4" s="70"/>
      <c r="R4" s="75" t="s">
        <v>241</v>
      </c>
      <c r="S4" s="70"/>
      <c r="T4" s="70"/>
      <c r="U4" s="70"/>
      <c r="V4" s="70"/>
      <c r="W4" s="70"/>
      <c r="X4" s="70"/>
      <c r="Y4" s="70"/>
      <c r="Z4" s="70"/>
      <c r="AA4" s="70"/>
      <c r="AB4" s="70"/>
      <c r="AC4" s="70"/>
      <c r="AD4" s="70"/>
      <c r="AE4" s="70"/>
      <c r="AF4" s="70"/>
      <c r="AG4" s="70"/>
      <c r="AH4" s="70"/>
      <c r="AI4" s="70"/>
      <c r="AJ4" s="70"/>
      <c r="AK4" s="70"/>
      <c r="AL4" s="70"/>
      <c r="AM4" s="70"/>
      <c r="AN4" s="71"/>
      <c r="AO4" s="76" t="s">
        <v>242</v>
      </c>
      <c r="AP4" s="77"/>
      <c r="AQ4" s="77"/>
      <c r="AR4" s="77"/>
      <c r="AS4" s="78"/>
      <c r="AT4" s="77"/>
      <c r="AU4" s="77"/>
      <c r="AV4" s="77"/>
      <c r="AW4" s="77"/>
      <c r="AX4" s="79"/>
      <c r="AY4" s="80"/>
      <c r="AZ4" s="80"/>
      <c r="BA4" s="80"/>
      <c r="BB4" s="80"/>
      <c r="BC4" s="80"/>
      <c r="BD4" s="80"/>
      <c r="BE4" s="80"/>
      <c r="BF4" s="80"/>
      <c r="BG4" s="80"/>
      <c r="BH4" s="80"/>
      <c r="BI4" s="80"/>
      <c r="BJ4" s="80"/>
      <c r="BK4" s="80"/>
      <c r="BL4" s="80"/>
      <c r="BM4" s="80"/>
      <c r="BN4" s="81" t="s">
        <v>243</v>
      </c>
    </row>
    <row r="5" spans="1:66" ht="29.25" customHeight="1">
      <c r="A5" s="68" t="s">
        <v>244</v>
      </c>
      <c r="B5" s="68"/>
      <c r="C5" s="82" t="s">
        <v>226</v>
      </c>
      <c r="D5" s="70"/>
      <c r="E5" s="71"/>
      <c r="F5" s="83" t="s">
        <v>228</v>
      </c>
      <c r="G5" s="70"/>
      <c r="H5" s="71"/>
      <c r="I5" s="83" t="s">
        <v>230</v>
      </c>
      <c r="J5" s="71"/>
      <c r="K5" s="82" t="s">
        <v>231</v>
      </c>
      <c r="L5" s="70"/>
      <c r="M5" s="70"/>
      <c r="N5" s="70"/>
      <c r="O5" s="71"/>
      <c r="P5" s="82" t="s">
        <v>234</v>
      </c>
      <c r="Q5" s="70"/>
      <c r="R5" s="70"/>
      <c r="S5" s="70"/>
      <c r="T5" s="70"/>
      <c r="U5" s="70"/>
      <c r="V5" s="70"/>
      <c r="W5" s="70"/>
      <c r="X5" s="70"/>
      <c r="Y5" s="70"/>
      <c r="Z5" s="70"/>
      <c r="AA5" s="70"/>
      <c r="AB5" s="70"/>
      <c r="AC5" s="70"/>
      <c r="AD5" s="70"/>
      <c r="AE5" s="70"/>
      <c r="AF5" s="70"/>
      <c r="AG5" s="70"/>
      <c r="AH5" s="70"/>
      <c r="AI5" s="70"/>
      <c r="AJ5" s="70"/>
      <c r="AK5" s="70"/>
      <c r="AL5" s="70"/>
      <c r="AM5" s="70"/>
      <c r="AN5" s="70"/>
      <c r="AO5" s="70"/>
      <c r="AP5" s="71"/>
      <c r="AQ5" s="84" t="s">
        <v>246</v>
      </c>
      <c r="AR5" s="80"/>
      <c r="AS5" s="80"/>
      <c r="AT5" s="80"/>
      <c r="AU5" s="80"/>
      <c r="AV5" s="80"/>
      <c r="AW5" s="80"/>
      <c r="AX5" s="80"/>
      <c r="AY5" s="66"/>
      <c r="AZ5" s="68"/>
      <c r="BA5" s="66"/>
      <c r="BB5" s="66"/>
      <c r="BC5" s="66"/>
      <c r="BD5" s="66"/>
      <c r="BE5" s="66"/>
      <c r="BF5" s="66"/>
      <c r="BG5" s="66"/>
      <c r="BH5" s="66"/>
      <c r="BI5" s="66"/>
      <c r="BJ5" s="66"/>
      <c r="BK5" s="66"/>
      <c r="BL5" s="66"/>
      <c r="BM5" s="66"/>
      <c r="BN5" s="70"/>
    </row>
    <row r="6" spans="1:66" ht="54">
      <c r="A6" s="64" t="s">
        <v>247</v>
      </c>
      <c r="B6" s="68"/>
      <c r="C6" s="68"/>
      <c r="D6" s="68"/>
      <c r="E6" s="68"/>
      <c r="F6" s="68"/>
      <c r="G6" s="68"/>
      <c r="H6" s="85" t="s">
        <v>248</v>
      </c>
      <c r="I6" s="68"/>
      <c r="J6" s="68"/>
      <c r="K6" s="68"/>
      <c r="L6" s="86"/>
      <c r="M6" s="87"/>
      <c r="N6" s="87"/>
      <c r="O6" s="87"/>
      <c r="P6" s="87"/>
      <c r="Q6" s="87"/>
      <c r="R6" s="87"/>
      <c r="S6" s="87"/>
      <c r="T6" s="87"/>
      <c r="U6" s="87"/>
      <c r="V6" s="87"/>
      <c r="W6" s="68"/>
      <c r="X6" s="88"/>
      <c r="Y6" s="88"/>
      <c r="Z6" s="89" t="s">
        <v>249</v>
      </c>
      <c r="AA6" s="90"/>
      <c r="AB6" s="90"/>
      <c r="AC6" s="90"/>
      <c r="AD6" s="91" t="s">
        <v>250</v>
      </c>
      <c r="AE6" s="88"/>
      <c r="AF6" s="88"/>
      <c r="AG6" s="88"/>
      <c r="AH6" s="88"/>
      <c r="AI6" s="88"/>
      <c r="AJ6" s="88"/>
      <c r="AK6" s="88"/>
      <c r="AL6" s="88"/>
      <c r="AM6" s="88"/>
      <c r="AN6" s="88"/>
      <c r="AO6" s="88"/>
      <c r="AP6" s="88"/>
      <c r="AQ6" s="88"/>
      <c r="AR6" s="88"/>
      <c r="AS6" s="88"/>
      <c r="AT6" s="88"/>
      <c r="AU6" s="88"/>
      <c r="AV6" s="88"/>
      <c r="AW6" s="88"/>
      <c r="AX6" s="92"/>
      <c r="AY6" s="80"/>
      <c r="AZ6" s="80"/>
      <c r="BA6" s="80"/>
      <c r="BB6" s="80"/>
      <c r="BC6" s="80"/>
      <c r="BD6" s="80"/>
      <c r="BE6" s="80"/>
      <c r="BF6" s="80"/>
      <c r="BG6" s="80"/>
      <c r="BH6" s="80"/>
      <c r="BI6" s="80"/>
      <c r="BJ6" s="80"/>
      <c r="BK6" s="80"/>
      <c r="BL6" s="80"/>
      <c r="BM6" s="80"/>
      <c r="BN6" s="80"/>
    </row>
    <row r="7" spans="1:66" ht="17">
      <c r="A7" s="68" t="s">
        <v>251</v>
      </c>
      <c r="B7" s="68"/>
      <c r="C7" s="68"/>
      <c r="D7" s="68"/>
      <c r="E7" s="68"/>
      <c r="F7" s="68"/>
      <c r="G7" s="68"/>
      <c r="H7" s="93"/>
      <c r="I7" s="68"/>
      <c r="J7" s="68"/>
      <c r="K7" s="68"/>
      <c r="L7" s="66"/>
      <c r="M7" s="94" t="s">
        <v>252</v>
      </c>
      <c r="N7" s="95"/>
      <c r="O7" s="95"/>
      <c r="P7" s="95"/>
      <c r="Q7" s="95"/>
      <c r="R7" s="95"/>
      <c r="S7" s="95"/>
      <c r="T7" s="95"/>
      <c r="U7" s="95"/>
      <c r="V7" s="95"/>
      <c r="W7" s="68"/>
      <c r="X7" s="80"/>
      <c r="Y7" s="80"/>
      <c r="Z7" s="96" t="s">
        <v>253</v>
      </c>
      <c r="AA7" s="97"/>
      <c r="AB7" s="97"/>
      <c r="AC7" s="97"/>
      <c r="AD7" s="68"/>
      <c r="AE7" s="68"/>
      <c r="AF7" s="68"/>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80"/>
      <c r="BK7" s="80"/>
      <c r="BL7" s="80"/>
      <c r="BM7" s="80"/>
      <c r="BN7" s="80"/>
    </row>
    <row r="8" spans="1:66" ht="17">
      <c r="A8" s="68"/>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8"/>
      <c r="BK8" s="68"/>
      <c r="BL8" s="68"/>
      <c r="BM8" s="68"/>
      <c r="BN8" s="68"/>
    </row>
    <row r="9" spans="1:66" ht="17">
      <c r="A9" s="68"/>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68"/>
      <c r="BK9" s="68"/>
      <c r="BL9" s="68"/>
      <c r="BM9" s="68"/>
      <c r="BN9" s="68"/>
    </row>
    <row r="10" spans="1:66" ht="17">
      <c r="A10" s="98" t="s">
        <v>288</v>
      </c>
      <c r="B10" s="98"/>
      <c r="C10" s="98"/>
      <c r="D10" s="98"/>
      <c r="E10" s="98"/>
      <c r="F10" s="98"/>
      <c r="G10" s="98"/>
      <c r="H10" s="98"/>
      <c r="I10" s="98"/>
      <c r="J10" s="98"/>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row>
    <row r="11" spans="1:66" ht="17">
      <c r="A11" s="68" t="s">
        <v>289</v>
      </c>
      <c r="B11" s="68"/>
      <c r="C11" s="99">
        <f>'7. Human capital &amp; pension valu'!C12</f>
        <v>179400000</v>
      </c>
      <c r="D11" s="99">
        <f>'7. Human capital &amp; pension valu'!D12</f>
        <v>183867060</v>
      </c>
      <c r="E11" s="99">
        <f>'7. Human capital &amp; pension valu'!E12</f>
        <v>189015337.68000001</v>
      </c>
      <c r="F11" s="99">
        <f>'7. Human capital &amp; pension valu'!F12</f>
        <v>228800000</v>
      </c>
      <c r="G11" s="99">
        <f>'7. Human capital &amp; pension valu'!G12</f>
        <v>235435199.99999997</v>
      </c>
      <c r="H11" s="99">
        <f>'7. Human capital &amp; pension valu'!H12</f>
        <v>130000000</v>
      </c>
      <c r="I11" s="99">
        <f>'7. Human capital &amp; pension valu'!I12</f>
        <v>267490600</v>
      </c>
      <c r="J11" s="99">
        <f>'7. Human capital &amp; pension valu'!J12</f>
        <v>275197004.18599999</v>
      </c>
      <c r="K11" s="99">
        <f>'7. Human capital &amp; pension valu'!K12</f>
        <v>283125429.87659866</v>
      </c>
      <c r="L11" s="99">
        <f>'7. Human capital &amp; pension valu'!L12</f>
        <v>325000000</v>
      </c>
      <c r="M11" s="99">
        <f>'7. Human capital &amp; pension valu'!M12</f>
        <v>334363250</v>
      </c>
      <c r="N11" s="99">
        <f>'7. Human capital &amp; pension valu'!N12</f>
        <v>343996255.23250002</v>
      </c>
      <c r="O11" s="99">
        <f>'7. Human capital &amp; pension valu'!O12</f>
        <v>520000000</v>
      </c>
      <c r="P11" s="99">
        <f>'7. Human capital &amp; pension valu'!P12</f>
        <v>534981200</v>
      </c>
      <c r="Q11" s="99">
        <f>'7. Human capital &amp; pension valu'!Q12</f>
        <v>550394008.37199998</v>
      </c>
      <c r="R11" s="99">
        <f>'7. Human capital &amp; pension valu'!R12</f>
        <v>910000000</v>
      </c>
      <c r="S11" s="99">
        <f>'7. Human capital &amp; pension valu'!S12</f>
        <v>936217100</v>
      </c>
      <c r="T11" s="99">
        <f>'7. Human capital &amp; pension valu'!T12</f>
        <v>963189514.65100002</v>
      </c>
      <c r="U11" s="99">
        <f>'7. Human capital &amp; pension valu'!U12</f>
        <v>990939004.56809533</v>
      </c>
      <c r="V11" s="99">
        <f>'7. Human capital &amp; pension valu'!V12</f>
        <v>1019487957.2897022</v>
      </c>
      <c r="W11" s="99">
        <f>'7. Human capital &amp; pension valu'!W12</f>
        <v>1048859405.3392185</v>
      </c>
      <c r="X11" s="99">
        <f>'7. Human capital &amp; pension valu'!X12</f>
        <v>1079077044.8070414</v>
      </c>
      <c r="Y11" s="99">
        <f>'7. Human capital &amp; pension valu'!Y12</f>
        <v>1110165254.4679322</v>
      </c>
      <c r="Z11" s="99">
        <f>'7. Human capital &amp; pension valu'!Z12</f>
        <v>1142149115.4491534</v>
      </c>
      <c r="AA11" s="99">
        <f>'7. Human capital &amp; pension valu'!AA12</f>
        <v>1175054431.4652436</v>
      </c>
      <c r="AB11" s="99">
        <f>'7. Human capital &amp; pension valu'!AB12</f>
        <v>1208907749.6357572</v>
      </c>
      <c r="AC11" s="99">
        <f>'7. Human capital &amp; pension valu'!AC12</f>
        <v>1243736381.9027634</v>
      </c>
      <c r="AD11" s="99">
        <f>'7. Human capital &amp; pension valu'!AD12</f>
        <v>1279568427.065382</v>
      </c>
      <c r="AE11" s="99">
        <f>'7. Human capital &amp; pension valu'!AE12</f>
        <v>1316432793.4491358</v>
      </c>
      <c r="AF11" s="99">
        <f>'7. Human capital &amp; pension valu'!AF12</f>
        <v>1354359222.2284055</v>
      </c>
      <c r="AG11" s="99">
        <f>'7. Human capital &amp; pension valu'!AG12</f>
        <v>1393378311.4208059</v>
      </c>
      <c r="AH11" s="99">
        <f>'7. Human capital &amp; pension valu'!AH12</f>
        <v>1433521540.5728393</v>
      </c>
      <c r="AI11" s="99">
        <f>'7. Human capital &amp; pension valu'!AI12</f>
        <v>1474821296.1567428</v>
      </c>
      <c r="AJ11" s="99">
        <f>'7. Human capital &amp; pension valu'!AJ12</f>
        <v>1517310897.6990185</v>
      </c>
      <c r="AK11" s="99">
        <f>'7. Human capital &amp; pension valu'!AK12</f>
        <v>1561024624.6617272</v>
      </c>
      <c r="AL11" s="99">
        <f>'7. Human capital &amp; pension valu'!AL12</f>
        <v>1605997744.0982316</v>
      </c>
      <c r="AM11" s="99">
        <f>'7. Human capital &amp; pension valu'!AM12</f>
        <v>1652266539.1057017</v>
      </c>
      <c r="AN11" s="99">
        <f>'7. Human capital &amp; pension valu'!AN12</f>
        <v>1699868338.097337</v>
      </c>
      <c r="AO11" s="99">
        <f>'7. Human capital &amp; pension valu'!AO12</f>
        <v>1748841544.9179213</v>
      </c>
      <c r="AP11" s="99">
        <f>'7. Human capital &amp; pension valu'!AP43</f>
        <v>545764155.95368361</v>
      </c>
      <c r="AQ11" s="99">
        <f>'7. Human capital &amp; pension valu'!AQ43</f>
        <v>545764155.95368361</v>
      </c>
      <c r="AR11" s="68"/>
      <c r="AS11" s="68"/>
      <c r="AT11" s="68"/>
      <c r="AU11" s="68"/>
      <c r="AV11" s="68"/>
      <c r="AW11" s="68"/>
      <c r="AX11" s="68"/>
      <c r="AY11" s="68"/>
      <c r="AZ11" s="68"/>
      <c r="BA11" s="68"/>
      <c r="BB11" s="68"/>
      <c r="BC11" s="68"/>
      <c r="BD11" s="68"/>
      <c r="BE11" s="68"/>
      <c r="BF11" s="68"/>
      <c r="BG11" s="68"/>
      <c r="BH11" s="68"/>
      <c r="BI11" s="68"/>
      <c r="BJ11" s="68"/>
      <c r="BK11" s="68"/>
      <c r="BL11" s="68"/>
      <c r="BM11" s="68"/>
      <c r="BN11" s="68"/>
    </row>
    <row r="12" spans="1:66" ht="17">
      <c r="A12" s="68" t="s">
        <v>290</v>
      </c>
      <c r="B12" s="68"/>
      <c r="C12" s="99">
        <f>'7. Human capital &amp; pension valu'!C25</f>
        <v>195000000</v>
      </c>
      <c r="D12" s="99">
        <f>'7. Human capital &amp; pension valu'!D25</f>
        <v>199855499.99999997</v>
      </c>
      <c r="E12" s="99">
        <f>'7. Human capital &amp; pension valu'!E25</f>
        <v>205451453.99999997</v>
      </c>
      <c r="F12" s="99">
        <f>'7. Human capital &amp; pension valu'!F25</f>
        <v>260000000</v>
      </c>
      <c r="G12" s="99">
        <f>'7. Human capital &amp; pension valu'!G25</f>
        <v>267539999.99999997</v>
      </c>
      <c r="H12" s="99">
        <f>'7. Human capital &amp; pension valu'!H25</f>
        <v>275298659.99999994</v>
      </c>
      <c r="I12" s="99">
        <f>'7. Human capital &amp; pension valu'!I25</f>
        <v>325000000</v>
      </c>
      <c r="J12" s="99">
        <f>'7. Human capital &amp; pension valu'!J25</f>
        <v>334363250</v>
      </c>
      <c r="K12" s="99">
        <f>'7. Human capital &amp; pension valu'!K25</f>
        <v>455000000</v>
      </c>
      <c r="L12" s="99">
        <f>'7. Human capital &amp; pension valu'!L25</f>
        <v>468108550</v>
      </c>
      <c r="M12" s="99">
        <f>'7. Human capital &amp; pension valu'!M25</f>
        <v>481594757.32550001</v>
      </c>
      <c r="N12" s="99">
        <f>'7. Human capital &amp; pension valu'!N25</f>
        <v>495469502.28404766</v>
      </c>
      <c r="O12" s="99">
        <f>'7. Human capital &amp; pension valu'!O25</f>
        <v>509743978.64485109</v>
      </c>
      <c r="P12" s="99">
        <f>'7. Human capital &amp; pension valu'!P25</f>
        <v>585000000</v>
      </c>
      <c r="Q12" s="99">
        <f>'7. Human capital &amp; pension valu'!Q25</f>
        <v>601853850</v>
      </c>
      <c r="R12" s="99">
        <f>'7. Human capital &amp; pension valu'!R25</f>
        <v>619193259.41849995</v>
      </c>
      <c r="S12" s="99">
        <f>'7. Human capital &amp; pension valu'!S25</f>
        <v>637032217.2223469</v>
      </c>
      <c r="T12" s="99">
        <f>'7. Human capital &amp; pension valu'!T25</f>
        <v>1040000000</v>
      </c>
      <c r="U12" s="99">
        <f>'7. Human capital &amp; pension valu'!U25</f>
        <v>1069962400</v>
      </c>
      <c r="V12" s="99">
        <f>'7. Human capital &amp; pension valu'!V25</f>
        <v>1100788016.744</v>
      </c>
      <c r="W12" s="99">
        <f>'7. Human capital &amp; pension valu'!W25</f>
        <v>1132501719.5063946</v>
      </c>
      <c r="X12" s="99">
        <f>'7. Human capital &amp; pension valu'!X25</f>
        <v>1165129094.0453739</v>
      </c>
      <c r="Y12" s="99">
        <f>'7. Human capital &amp; pension valu'!Y25</f>
        <v>1198696463.2448211</v>
      </c>
      <c r="Z12" s="99">
        <f>'7. Human capital &amp; pension valu'!Z25</f>
        <v>1233230908.3509045</v>
      </c>
      <c r="AA12" s="99">
        <f>'7. Human capital &amp; pension valu'!AA25</f>
        <v>1268760290.8204939</v>
      </c>
      <c r="AB12" s="99">
        <f>'7. Human capital &amp; pension valu'!AB25</f>
        <v>1305313274.7990324</v>
      </c>
      <c r="AC12" s="99">
        <f>'7. Human capital &amp; pension valu'!AC25</f>
        <v>1342919350.2459927</v>
      </c>
      <c r="AD12" s="99">
        <f>'7. Human capital &amp; pension valu'!AD25</f>
        <v>1381608856.7265797</v>
      </c>
      <c r="AE12" s="99">
        <f>'7. Human capital &amp; pension valu'!AE25</f>
        <v>1421413007.8888724</v>
      </c>
      <c r="AF12" s="99">
        <f>'7. Human capital &amp; pension valu'!AF25</f>
        <v>1462363916.6461508</v>
      </c>
      <c r="AG12" s="99">
        <f>'7. Human capital &amp; pension valu'!AG25</f>
        <v>1504494621.0847263</v>
      </c>
      <c r="AH12" s="99">
        <f>'7. Human capital &amp; pension valu'!AH25</f>
        <v>1547839111.1181774</v>
      </c>
      <c r="AI12" s="99">
        <f>'7. Human capital &amp; pension valu'!AI25</f>
        <v>1592432355.909492</v>
      </c>
      <c r="AJ12" s="99">
        <f>'7. Human capital &amp; pension valu'!AJ25</f>
        <v>1638310332.0832446</v>
      </c>
      <c r="AK12" s="99">
        <f>'7. Human capital &amp; pension valu'!AK25</f>
        <v>1685510052.7505629</v>
      </c>
      <c r="AL12" s="99">
        <f>'7. Human capital &amp; pension valu'!AL25</f>
        <v>1734069597.3703067</v>
      </c>
      <c r="AM12" s="99">
        <f>'7. Human capital &amp; pension valu'!AM25</f>
        <v>1784028142.4705453</v>
      </c>
      <c r="AN12" s="99">
        <f>'7. Human capital &amp; pension valu'!AN25</f>
        <v>1835425993.2551217</v>
      </c>
      <c r="AO12" s="99">
        <f>'7. Human capital &amp; pension valu'!AO25</f>
        <v>1888304616.1208017</v>
      </c>
      <c r="AP12" s="99">
        <f>'7. Human capital &amp; pension valu'!AP25</f>
        <v>1942706672.1112421</v>
      </c>
      <c r="AQ12" s="99">
        <f>'7. Human capital &amp; pension valu'!AQ25</f>
        <v>1998676051.3347669</v>
      </c>
      <c r="AR12" s="68"/>
      <c r="AS12" s="68"/>
      <c r="AT12" s="68"/>
      <c r="AU12" s="68"/>
      <c r="AV12" s="68"/>
      <c r="AW12" s="68"/>
      <c r="AX12" s="68"/>
      <c r="AY12" s="68"/>
      <c r="AZ12" s="68"/>
      <c r="BA12" s="68"/>
      <c r="BB12" s="68"/>
      <c r="BC12" s="68"/>
      <c r="BD12" s="68"/>
      <c r="BE12" s="68"/>
      <c r="BF12" s="68"/>
      <c r="BG12" s="68"/>
      <c r="BH12" s="68"/>
      <c r="BI12" s="68"/>
      <c r="BJ12" s="68"/>
      <c r="BK12" s="68"/>
      <c r="BL12" s="68"/>
      <c r="BM12" s="68"/>
      <c r="BN12" s="68"/>
    </row>
    <row r="13" spans="1:66" ht="17">
      <c r="A13" s="68" t="s">
        <v>214</v>
      </c>
      <c r="B13" s="68"/>
      <c r="C13" s="99">
        <f t="array" ref="C13:AQ13" ca="1">TRANSPOSE('21. Monte Carlo Simulation '!Q3:Q43)</f>
        <v>3920000</v>
      </c>
      <c r="D13" s="99">
        <f ca="1"/>
        <v>0</v>
      </c>
      <c r="E13" s="99">
        <f ca="1"/>
        <v>0</v>
      </c>
      <c r="F13" s="99">
        <f ca="1"/>
        <v>0</v>
      </c>
      <c r="G13" s="99">
        <f ca="1"/>
        <v>1837179.057720907</v>
      </c>
      <c r="H13" s="99">
        <f ca="1"/>
        <v>1792212.6471316516</v>
      </c>
      <c r="I13" s="99">
        <f ca="1"/>
        <v>5297777.4699013531</v>
      </c>
      <c r="J13" s="99">
        <f ca="1"/>
        <v>3557837.25467062</v>
      </c>
      <c r="K13" s="99">
        <f ca="1"/>
        <v>6972159.2625660449</v>
      </c>
      <c r="L13" s="99">
        <f ca="1"/>
        <v>11439651.674256265</v>
      </c>
      <c r="M13" s="99">
        <f ca="1"/>
        <v>40624669.539932191</v>
      </c>
      <c r="N13" s="99">
        <f ca="1"/>
        <v>26024234.827922523</v>
      </c>
      <c r="O13" s="99">
        <f ca="1"/>
        <v>22992530.247255981</v>
      </c>
      <c r="P13" s="99">
        <f ca="1"/>
        <v>22871510.154084742</v>
      </c>
      <c r="Q13" s="99">
        <f ca="1"/>
        <v>22164604.59979862</v>
      </c>
      <c r="R13" s="99">
        <f ca="1"/>
        <v>33202379.037884891</v>
      </c>
      <c r="S13" s="99">
        <f ca="1"/>
        <v>25321540.881072998</v>
      </c>
      <c r="T13" s="99">
        <f ca="1"/>
        <v>-6585607.1951472759</v>
      </c>
      <c r="U13" s="99">
        <f ca="1"/>
        <v>98398762.090151072</v>
      </c>
      <c r="V13" s="99">
        <f ca="1"/>
        <v>174123144.56408405</v>
      </c>
      <c r="W13" s="99">
        <f ca="1"/>
        <v>196907506.57418823</v>
      </c>
      <c r="X13" s="99">
        <f ca="1"/>
        <v>290673117.66881943</v>
      </c>
      <c r="Y13" s="99">
        <f ca="1"/>
        <v>427770798.90258408</v>
      </c>
      <c r="Z13" s="99">
        <f ca="1"/>
        <v>498848443.72416019</v>
      </c>
      <c r="AA13" s="99">
        <f ca="1"/>
        <v>75244091.927719116</v>
      </c>
      <c r="AB13" s="99">
        <f ca="1"/>
        <v>167956178.3943615</v>
      </c>
      <c r="AC13" s="99">
        <f ca="1"/>
        <v>584343698.17627525</v>
      </c>
      <c r="AD13" s="99">
        <f ca="1"/>
        <v>622573263.18940926</v>
      </c>
      <c r="AE13" s="99">
        <f ca="1"/>
        <v>623010530.93897247</v>
      </c>
      <c r="AF13" s="99">
        <f ca="1"/>
        <v>648943962.73975754</v>
      </c>
      <c r="AG13" s="99">
        <f ca="1"/>
        <v>1035248225.8662643</v>
      </c>
      <c r="AH13" s="99">
        <f ca="1"/>
        <v>923526255.89590073</v>
      </c>
      <c r="AI13" s="99">
        <f ca="1"/>
        <v>1089673510.1137428</v>
      </c>
      <c r="AJ13" s="99">
        <f ca="1"/>
        <v>1453435378.100441</v>
      </c>
      <c r="AK13" s="99">
        <f ca="1"/>
        <v>1528875692.1475487</v>
      </c>
      <c r="AL13" s="99">
        <f ca="1"/>
        <v>1499375472.9224701</v>
      </c>
      <c r="AM13" s="99">
        <f ca="1"/>
        <v>1456020247.9186096</v>
      </c>
      <c r="AN13" s="99">
        <f ca="1"/>
        <v>2542117500.1787949</v>
      </c>
      <c r="AO13" s="99">
        <f ca="1"/>
        <v>2634108377.2251892</v>
      </c>
      <c r="AP13" s="99">
        <f ca="1"/>
        <v>2030789026.3518372</v>
      </c>
      <c r="AQ13" s="99">
        <f ca="1"/>
        <v>2086353100.5573883</v>
      </c>
      <c r="AR13" s="68"/>
      <c r="AS13" s="68"/>
      <c r="AT13" s="68"/>
      <c r="AU13" s="68"/>
      <c r="AV13" s="68"/>
      <c r="AW13" s="68"/>
      <c r="AX13" s="68"/>
      <c r="AY13" s="68"/>
      <c r="AZ13" s="68"/>
      <c r="BA13" s="68"/>
      <c r="BB13" s="68"/>
      <c r="BC13" s="68"/>
      <c r="BD13" s="68"/>
      <c r="BE13" s="68"/>
      <c r="BF13" s="68"/>
      <c r="BG13" s="68"/>
      <c r="BH13" s="68"/>
      <c r="BI13" s="68"/>
      <c r="BJ13" s="68"/>
      <c r="BK13" s="68"/>
      <c r="BL13" s="68"/>
      <c r="BM13" s="68"/>
      <c r="BN13" s="68"/>
    </row>
    <row r="14" spans="1:66" ht="17">
      <c r="A14" s="100" t="s">
        <v>291</v>
      </c>
      <c r="B14" s="101"/>
      <c r="C14" s="102">
        <f t="shared" ref="C14:AQ14" ca="1" si="2">SUM(C11:C13)</f>
        <v>378320000</v>
      </c>
      <c r="D14" s="102">
        <f t="shared" ca="1" si="2"/>
        <v>383722560</v>
      </c>
      <c r="E14" s="102">
        <f t="shared" ca="1" si="2"/>
        <v>394466791.67999995</v>
      </c>
      <c r="F14" s="102">
        <f t="shared" ca="1" si="2"/>
        <v>488800000</v>
      </c>
      <c r="G14" s="102">
        <f t="shared" ca="1" si="2"/>
        <v>504812379.05772084</v>
      </c>
      <c r="H14" s="102">
        <f t="shared" ca="1" si="2"/>
        <v>407090872.64713156</v>
      </c>
      <c r="I14" s="102">
        <f t="shared" ca="1" si="2"/>
        <v>597788377.46990132</v>
      </c>
      <c r="J14" s="102">
        <f t="shared" ca="1" si="2"/>
        <v>613118091.44067061</v>
      </c>
      <c r="K14" s="102">
        <f t="shared" ca="1" si="2"/>
        <v>745097589.13916469</v>
      </c>
      <c r="L14" s="102">
        <f t="shared" ca="1" si="2"/>
        <v>804548201.67425632</v>
      </c>
      <c r="M14" s="102">
        <f t="shared" ca="1" si="2"/>
        <v>856582676.86543226</v>
      </c>
      <c r="N14" s="102">
        <f t="shared" ca="1" si="2"/>
        <v>865489992.34447026</v>
      </c>
      <c r="O14" s="102">
        <f t="shared" ca="1" si="2"/>
        <v>1052736508.892107</v>
      </c>
      <c r="P14" s="102">
        <f t="shared" ca="1" si="2"/>
        <v>1142852710.1540847</v>
      </c>
      <c r="Q14" s="102">
        <f t="shared" ca="1" si="2"/>
        <v>1174412462.9717987</v>
      </c>
      <c r="R14" s="102">
        <f t="shared" ca="1" si="2"/>
        <v>1562395638.4563849</v>
      </c>
      <c r="S14" s="102">
        <f t="shared" ca="1" si="2"/>
        <v>1598570858.1034198</v>
      </c>
      <c r="T14" s="102">
        <f t="shared" ca="1" si="2"/>
        <v>1996603907.4558527</v>
      </c>
      <c r="U14" s="102">
        <f t="shared" ca="1" si="2"/>
        <v>2159300166.658246</v>
      </c>
      <c r="V14" s="102">
        <f t="shared" ca="1" si="2"/>
        <v>2294399118.5977859</v>
      </c>
      <c r="W14" s="102">
        <f t="shared" ca="1" si="2"/>
        <v>2378268631.4198012</v>
      </c>
      <c r="X14" s="102">
        <f t="shared" ca="1" si="2"/>
        <v>2534879256.5212345</v>
      </c>
      <c r="Y14" s="102">
        <f t="shared" ca="1" si="2"/>
        <v>2736632516.6153374</v>
      </c>
      <c r="Z14" s="102">
        <f t="shared" ca="1" si="2"/>
        <v>2874228467.5242181</v>
      </c>
      <c r="AA14" s="102">
        <f t="shared" ca="1" si="2"/>
        <v>2519058814.2134566</v>
      </c>
      <c r="AB14" s="102">
        <f t="shared" ca="1" si="2"/>
        <v>2682177202.8291512</v>
      </c>
      <c r="AC14" s="102">
        <f t="shared" ca="1" si="2"/>
        <v>3170999430.3250313</v>
      </c>
      <c r="AD14" s="102">
        <f t="shared" ca="1" si="2"/>
        <v>3283750546.9813709</v>
      </c>
      <c r="AE14" s="102">
        <f t="shared" ca="1" si="2"/>
        <v>3360856332.2769804</v>
      </c>
      <c r="AF14" s="102">
        <f t="shared" ca="1" si="2"/>
        <v>3465667101.6143141</v>
      </c>
      <c r="AG14" s="102">
        <f t="shared" ca="1" si="2"/>
        <v>3933121158.3717966</v>
      </c>
      <c r="AH14" s="102">
        <f t="shared" ca="1" si="2"/>
        <v>3904886907.5869174</v>
      </c>
      <c r="AI14" s="102">
        <f t="shared" ca="1" si="2"/>
        <v>4156927162.1799774</v>
      </c>
      <c r="AJ14" s="102">
        <f t="shared" ca="1" si="2"/>
        <v>4609056607.8827038</v>
      </c>
      <c r="AK14" s="102">
        <f t="shared" ca="1" si="2"/>
        <v>4775410369.5598392</v>
      </c>
      <c r="AL14" s="102">
        <f t="shared" ca="1" si="2"/>
        <v>4839442814.3910084</v>
      </c>
      <c r="AM14" s="102">
        <f t="shared" ca="1" si="2"/>
        <v>4892314929.4948568</v>
      </c>
      <c r="AN14" s="102">
        <f t="shared" ca="1" si="2"/>
        <v>6077411831.5312538</v>
      </c>
      <c r="AO14" s="102">
        <f t="shared" ca="1" si="2"/>
        <v>6271254538.2639122</v>
      </c>
      <c r="AP14" s="102">
        <f t="shared" ca="1" si="2"/>
        <v>4519259854.4167633</v>
      </c>
      <c r="AQ14" s="102">
        <f t="shared" ca="1" si="2"/>
        <v>4630793307.8458385</v>
      </c>
      <c r="AR14" s="101"/>
      <c r="AS14" s="101"/>
      <c r="AT14" s="101"/>
      <c r="AU14" s="101"/>
      <c r="AV14" s="101"/>
      <c r="AW14" s="101"/>
      <c r="AX14" s="101"/>
      <c r="AY14" s="101"/>
      <c r="AZ14" s="101"/>
      <c r="BA14" s="101"/>
      <c r="BB14" s="101"/>
      <c r="BC14" s="101"/>
      <c r="BD14" s="101"/>
      <c r="BE14" s="101"/>
      <c r="BF14" s="101"/>
      <c r="BG14" s="101"/>
      <c r="BH14" s="101"/>
      <c r="BI14" s="101"/>
      <c r="BJ14" s="101"/>
      <c r="BK14" s="101"/>
      <c r="BL14" s="101"/>
      <c r="BM14" s="101"/>
      <c r="BN14" s="101"/>
    </row>
    <row r="15" spans="1:66" ht="17">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row>
    <row r="16" spans="1:66" ht="17">
      <c r="A16" s="98" t="s">
        <v>292</v>
      </c>
      <c r="B16" s="98"/>
      <c r="C16" s="98"/>
      <c r="D16" s="98"/>
      <c r="E16" s="98"/>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row>
    <row r="17" spans="1:66" ht="17">
      <c r="A17" s="68" t="s">
        <v>293</v>
      </c>
      <c r="B17" s="68"/>
      <c r="C17" s="99">
        <f>8000000*12</f>
        <v>96000000</v>
      </c>
      <c r="D17" s="99">
        <f t="shared" ref="D17:D26" si="3">C17*(1+$D$3)</f>
        <v>98390399.999999985</v>
      </c>
      <c r="E17" s="99">
        <f t="shared" ref="E17:E26" si="4">D17*(1+$E$3)</f>
        <v>101145331.19999999</v>
      </c>
      <c r="F17" s="99">
        <f t="shared" ref="F17:F26" si="5">E17*(1+$F$3)</f>
        <v>104078545.80479997</v>
      </c>
      <c r="G17" s="99">
        <f t="shared" ref="G17:G26" si="6">F17*(1+$G$3)</f>
        <v>107096823.63313916</v>
      </c>
      <c r="H17" s="99">
        <f t="shared" ref="H17:H26" si="7">G17*(1+$H$3)</f>
        <v>110202631.51850019</v>
      </c>
      <c r="I17" s="99">
        <f t="shared" ref="I17:L17" si="8">H17*(1+$I$3)</f>
        <v>113377569.33254819</v>
      </c>
      <c r="J17" s="99">
        <f t="shared" si="8"/>
        <v>116643977.1050189</v>
      </c>
      <c r="K17" s="99">
        <f t="shared" si="8"/>
        <v>120004490.0854145</v>
      </c>
      <c r="L17" s="99">
        <f t="shared" si="8"/>
        <v>123461819.4447753</v>
      </c>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row>
    <row r="18" spans="1:66" ht="17">
      <c r="A18" s="68" t="s">
        <v>294</v>
      </c>
      <c r="B18" s="68"/>
      <c r="C18" s="99">
        <f>6000000*12</f>
        <v>72000000</v>
      </c>
      <c r="D18" s="99">
        <f t="shared" si="3"/>
        <v>73792800</v>
      </c>
      <c r="E18" s="99">
        <f t="shared" si="4"/>
        <v>75858998.400000006</v>
      </c>
      <c r="F18" s="99">
        <f t="shared" si="5"/>
        <v>78058909.353599995</v>
      </c>
      <c r="G18" s="99">
        <f t="shared" si="6"/>
        <v>80322617.724854395</v>
      </c>
      <c r="H18" s="99">
        <f t="shared" si="7"/>
        <v>82651973.638875172</v>
      </c>
      <c r="I18" s="99">
        <f t="shared" ref="I18:AQ18" si="9">H18*(1+$I$3)</f>
        <v>85033176.999411166</v>
      </c>
      <c r="J18" s="99">
        <f t="shared" si="9"/>
        <v>87482982.8287642</v>
      </c>
      <c r="K18" s="99">
        <f t="shared" si="9"/>
        <v>90003367.564060897</v>
      </c>
      <c r="L18" s="99">
        <f t="shared" si="9"/>
        <v>92596364.583581492</v>
      </c>
      <c r="M18" s="99">
        <f t="shared" si="9"/>
        <v>95264065.847234473</v>
      </c>
      <c r="N18" s="99">
        <f t="shared" si="9"/>
        <v>98008623.584293291</v>
      </c>
      <c r="O18" s="99">
        <f t="shared" si="9"/>
        <v>100832252.02975678</v>
      </c>
      <c r="P18" s="99">
        <f t="shared" si="9"/>
        <v>103737229.21073408</v>
      </c>
      <c r="Q18" s="99">
        <f t="shared" si="9"/>
        <v>106725898.78429534</v>
      </c>
      <c r="R18" s="99">
        <f t="shared" si="9"/>
        <v>109800671.92827089</v>
      </c>
      <c r="S18" s="99">
        <f t="shared" si="9"/>
        <v>112964029.28652437</v>
      </c>
      <c r="T18" s="99">
        <f t="shared" si="9"/>
        <v>116218522.97026914</v>
      </c>
      <c r="U18" s="99">
        <f t="shared" si="9"/>
        <v>119566778.6170426</v>
      </c>
      <c r="V18" s="99">
        <f t="shared" si="9"/>
        <v>123011497.5089996</v>
      </c>
      <c r="W18" s="99">
        <f t="shared" si="9"/>
        <v>126555458.75223388</v>
      </c>
      <c r="X18" s="99">
        <f t="shared" si="9"/>
        <v>130201521.51888573</v>
      </c>
      <c r="Y18" s="99">
        <f t="shared" si="9"/>
        <v>133952627.35384484</v>
      </c>
      <c r="Z18" s="99">
        <f t="shared" si="9"/>
        <v>137811802.54790911</v>
      </c>
      <c r="AA18" s="99">
        <f t="shared" si="9"/>
        <v>141782160.57931438</v>
      </c>
      <c r="AB18" s="99">
        <f t="shared" si="9"/>
        <v>145866904.62560442</v>
      </c>
      <c r="AC18" s="99">
        <f t="shared" si="9"/>
        <v>150069330.1478681</v>
      </c>
      <c r="AD18" s="99">
        <f t="shared" si="9"/>
        <v>154392827.54942816</v>
      </c>
      <c r="AE18" s="99">
        <f t="shared" si="9"/>
        <v>158840884.91112718</v>
      </c>
      <c r="AF18" s="99">
        <f t="shared" si="9"/>
        <v>163417090.80541676</v>
      </c>
      <c r="AG18" s="99">
        <f t="shared" si="9"/>
        <v>168125137.19152081</v>
      </c>
      <c r="AH18" s="99">
        <f t="shared" si="9"/>
        <v>172968822.39400852</v>
      </c>
      <c r="AI18" s="99">
        <f t="shared" si="9"/>
        <v>177952054.16717991</v>
      </c>
      <c r="AJ18" s="99">
        <f t="shared" si="9"/>
        <v>183078852.84773636</v>
      </c>
      <c r="AK18" s="99">
        <f t="shared" si="9"/>
        <v>188353354.59827965</v>
      </c>
      <c r="AL18" s="99">
        <f t="shared" si="9"/>
        <v>193779814.74425608</v>
      </c>
      <c r="AM18" s="99">
        <f t="shared" si="9"/>
        <v>199362611.2070381</v>
      </c>
      <c r="AN18" s="99">
        <f t="shared" si="9"/>
        <v>205106248.03591287</v>
      </c>
      <c r="AO18" s="99">
        <f t="shared" si="9"/>
        <v>211015359.04182753</v>
      </c>
      <c r="AP18" s="99">
        <f t="shared" si="9"/>
        <v>217094711.53582257</v>
      </c>
      <c r="AQ18" s="99">
        <f t="shared" si="9"/>
        <v>223349210.17516962</v>
      </c>
      <c r="AR18" s="99"/>
      <c r="AS18" s="99"/>
      <c r="AT18" s="99"/>
      <c r="AU18" s="99"/>
      <c r="AV18" s="99"/>
      <c r="AW18" s="99"/>
      <c r="AX18" s="99"/>
      <c r="AY18" s="99"/>
      <c r="AZ18" s="99"/>
      <c r="BA18" s="99"/>
      <c r="BB18" s="99"/>
      <c r="BC18" s="99"/>
      <c r="BD18" s="99"/>
      <c r="BE18" s="99"/>
      <c r="BF18" s="99"/>
      <c r="BG18" s="99"/>
      <c r="BH18" s="99"/>
      <c r="BI18" s="99"/>
      <c r="BJ18" s="99"/>
      <c r="BK18" s="99"/>
      <c r="BL18" s="99"/>
      <c r="BM18" s="99"/>
      <c r="BN18" s="99"/>
    </row>
    <row r="19" spans="1:66" ht="17">
      <c r="A19" s="68" t="s">
        <v>295</v>
      </c>
      <c r="B19" s="68"/>
      <c r="C19" s="99">
        <f>2000000*12</f>
        <v>24000000</v>
      </c>
      <c r="D19" s="99">
        <f t="shared" si="3"/>
        <v>24597599.999999996</v>
      </c>
      <c r="E19" s="99">
        <f t="shared" si="4"/>
        <v>25286332.799999997</v>
      </c>
      <c r="F19" s="99">
        <f t="shared" si="5"/>
        <v>26019636.451199993</v>
      </c>
      <c r="G19" s="99">
        <f t="shared" si="6"/>
        <v>26774205.908284791</v>
      </c>
      <c r="H19" s="99">
        <f t="shared" si="7"/>
        <v>27550657.879625048</v>
      </c>
      <c r="I19" s="99">
        <f t="shared" ref="I19:AQ19" si="10">H19*(1+$I$3)</f>
        <v>28344392.333137047</v>
      </c>
      <c r="J19" s="99">
        <f t="shared" si="10"/>
        <v>29160994.276254725</v>
      </c>
      <c r="K19" s="99">
        <f t="shared" si="10"/>
        <v>30001122.521353625</v>
      </c>
      <c r="L19" s="99">
        <f t="shared" si="10"/>
        <v>30865454.861193825</v>
      </c>
      <c r="M19" s="99">
        <f t="shared" si="10"/>
        <v>31754688.615744818</v>
      </c>
      <c r="N19" s="99">
        <f t="shared" si="10"/>
        <v>32669541.194764428</v>
      </c>
      <c r="O19" s="99">
        <f t="shared" si="10"/>
        <v>33610750.676585592</v>
      </c>
      <c r="P19" s="99">
        <f t="shared" si="10"/>
        <v>34579076.403578021</v>
      </c>
      <c r="Q19" s="99">
        <f t="shared" si="10"/>
        <v>35575299.594765104</v>
      </c>
      <c r="R19" s="99">
        <f t="shared" si="10"/>
        <v>36600223.97609029</v>
      </c>
      <c r="S19" s="99">
        <f t="shared" si="10"/>
        <v>37654676.428841449</v>
      </c>
      <c r="T19" s="99">
        <f t="shared" si="10"/>
        <v>38739507.656756371</v>
      </c>
      <c r="U19" s="99">
        <f t="shared" si="10"/>
        <v>39855592.872347519</v>
      </c>
      <c r="V19" s="99">
        <f t="shared" si="10"/>
        <v>41003832.50299985</v>
      </c>
      <c r="W19" s="99">
        <f t="shared" si="10"/>
        <v>42185152.917411275</v>
      </c>
      <c r="X19" s="99">
        <f t="shared" si="10"/>
        <v>43400507.172961891</v>
      </c>
      <c r="Y19" s="99">
        <f t="shared" si="10"/>
        <v>44650875.784614921</v>
      </c>
      <c r="Z19" s="99">
        <f t="shared" si="10"/>
        <v>45937267.515969679</v>
      </c>
      <c r="AA19" s="99">
        <f t="shared" si="10"/>
        <v>47260720.193104766</v>
      </c>
      <c r="AB19" s="99">
        <f t="shared" si="10"/>
        <v>48622301.541868113</v>
      </c>
      <c r="AC19" s="99">
        <f t="shared" si="10"/>
        <v>50023110.049289331</v>
      </c>
      <c r="AD19" s="99">
        <f t="shared" si="10"/>
        <v>51464275.849809356</v>
      </c>
      <c r="AE19" s="99">
        <f t="shared" si="10"/>
        <v>52946961.637042366</v>
      </c>
      <c r="AF19" s="99">
        <f t="shared" si="10"/>
        <v>54472363.60180556</v>
      </c>
      <c r="AG19" s="99">
        <f t="shared" si="10"/>
        <v>56041712.397173576</v>
      </c>
      <c r="AH19" s="99">
        <f t="shared" si="10"/>
        <v>57656274.131336145</v>
      </c>
      <c r="AI19" s="99">
        <f t="shared" si="10"/>
        <v>59317351.389059938</v>
      </c>
      <c r="AJ19" s="99">
        <f t="shared" si="10"/>
        <v>61026284.282578759</v>
      </c>
      <c r="AK19" s="99">
        <f t="shared" si="10"/>
        <v>62784451.532759853</v>
      </c>
      <c r="AL19" s="99">
        <f t="shared" si="10"/>
        <v>64593271.581418663</v>
      </c>
      <c r="AM19" s="99">
        <f t="shared" si="10"/>
        <v>66454203.735679336</v>
      </c>
      <c r="AN19" s="99">
        <f t="shared" si="10"/>
        <v>68368749.345304251</v>
      </c>
      <c r="AO19" s="99">
        <f t="shared" si="10"/>
        <v>70338453.013942465</v>
      </c>
      <c r="AP19" s="99">
        <f t="shared" si="10"/>
        <v>72364903.84527415</v>
      </c>
      <c r="AQ19" s="99">
        <f t="shared" si="10"/>
        <v>74449736.725056499</v>
      </c>
      <c r="AR19" s="99"/>
      <c r="AS19" s="99"/>
      <c r="AT19" s="99"/>
      <c r="AU19" s="99"/>
      <c r="AV19" s="99"/>
      <c r="AW19" s="99"/>
      <c r="AX19" s="99"/>
      <c r="AY19" s="99"/>
      <c r="AZ19" s="99"/>
      <c r="BA19" s="99"/>
      <c r="BB19" s="99"/>
      <c r="BC19" s="99"/>
      <c r="BD19" s="99"/>
      <c r="BE19" s="99"/>
      <c r="BF19" s="99"/>
      <c r="BG19" s="99"/>
      <c r="BH19" s="99"/>
      <c r="BI19" s="99"/>
      <c r="BJ19" s="99"/>
      <c r="BK19" s="99"/>
      <c r="BL19" s="99"/>
      <c r="BM19" s="99"/>
      <c r="BN19" s="99"/>
    </row>
    <row r="20" spans="1:66" ht="17">
      <c r="A20" s="68" t="s">
        <v>296</v>
      </c>
      <c r="B20" s="68"/>
      <c r="C20" s="99">
        <f>1500000*12</f>
        <v>18000000</v>
      </c>
      <c r="D20" s="99">
        <f t="shared" si="3"/>
        <v>18448200</v>
      </c>
      <c r="E20" s="99">
        <f t="shared" si="4"/>
        <v>18964749.600000001</v>
      </c>
      <c r="F20" s="99">
        <f t="shared" si="5"/>
        <v>19514727.338399999</v>
      </c>
      <c r="G20" s="99">
        <f t="shared" si="6"/>
        <v>20080654.431213599</v>
      </c>
      <c r="H20" s="99">
        <f t="shared" si="7"/>
        <v>20662993.409718793</v>
      </c>
      <c r="I20" s="99">
        <f t="shared" ref="I20:AQ20" si="11">H20*(1+$I$3)</f>
        <v>21258294.249852791</v>
      </c>
      <c r="J20" s="99">
        <f t="shared" si="11"/>
        <v>21870745.70719105</v>
      </c>
      <c r="K20" s="99">
        <f t="shared" si="11"/>
        <v>22500841.891015224</v>
      </c>
      <c r="L20" s="99">
        <f t="shared" si="11"/>
        <v>23149091.145895373</v>
      </c>
      <c r="M20" s="99">
        <f t="shared" si="11"/>
        <v>23816016.461808618</v>
      </c>
      <c r="N20" s="99">
        <f t="shared" si="11"/>
        <v>24502155.896073323</v>
      </c>
      <c r="O20" s="99">
        <f t="shared" si="11"/>
        <v>25208063.007439196</v>
      </c>
      <c r="P20" s="99">
        <f t="shared" si="11"/>
        <v>25934307.302683521</v>
      </c>
      <c r="Q20" s="99">
        <f t="shared" si="11"/>
        <v>26681474.696073834</v>
      </c>
      <c r="R20" s="99">
        <f t="shared" si="11"/>
        <v>27450167.982067723</v>
      </c>
      <c r="S20" s="99">
        <f t="shared" si="11"/>
        <v>28241007.321631093</v>
      </c>
      <c r="T20" s="99">
        <f t="shared" si="11"/>
        <v>29054630.742567286</v>
      </c>
      <c r="U20" s="99">
        <f t="shared" si="11"/>
        <v>29891694.65426065</v>
      </c>
      <c r="V20" s="99">
        <f t="shared" si="11"/>
        <v>30752874.3772499</v>
      </c>
      <c r="W20" s="99">
        <f t="shared" si="11"/>
        <v>31638864.688058469</v>
      </c>
      <c r="X20" s="99">
        <f t="shared" si="11"/>
        <v>32550380.379721433</v>
      </c>
      <c r="Y20" s="99">
        <f t="shared" si="11"/>
        <v>33488156.838461209</v>
      </c>
      <c r="Z20" s="99">
        <f t="shared" si="11"/>
        <v>34452950.636977278</v>
      </c>
      <c r="AA20" s="99">
        <f t="shared" si="11"/>
        <v>35445540.144828595</v>
      </c>
      <c r="AB20" s="99">
        <f t="shared" si="11"/>
        <v>36466726.156401105</v>
      </c>
      <c r="AC20" s="99">
        <f t="shared" si="11"/>
        <v>37517332.536967024</v>
      </c>
      <c r="AD20" s="99">
        <f t="shared" si="11"/>
        <v>38598206.887357041</v>
      </c>
      <c r="AE20" s="99">
        <f t="shared" si="11"/>
        <v>39710221.227781795</v>
      </c>
      <c r="AF20" s="99">
        <f t="shared" si="11"/>
        <v>40854272.701354191</v>
      </c>
      <c r="AG20" s="99">
        <f t="shared" si="11"/>
        <v>42031284.297880203</v>
      </c>
      <c r="AH20" s="99">
        <f t="shared" si="11"/>
        <v>43242205.598502129</v>
      </c>
      <c r="AI20" s="99">
        <f t="shared" si="11"/>
        <v>44488013.541794978</v>
      </c>
      <c r="AJ20" s="99">
        <f t="shared" si="11"/>
        <v>45769713.21193409</v>
      </c>
      <c r="AK20" s="99">
        <f t="shared" si="11"/>
        <v>47088338.649569914</v>
      </c>
      <c r="AL20" s="99">
        <f t="shared" si="11"/>
        <v>48444953.68606402</v>
      </c>
      <c r="AM20" s="99">
        <f t="shared" si="11"/>
        <v>49840652.801759526</v>
      </c>
      <c r="AN20" s="99">
        <f t="shared" si="11"/>
        <v>51276562.008978218</v>
      </c>
      <c r="AO20" s="99">
        <f t="shared" si="11"/>
        <v>52753839.760456882</v>
      </c>
      <c r="AP20" s="99">
        <f t="shared" si="11"/>
        <v>54273677.883955643</v>
      </c>
      <c r="AQ20" s="99">
        <f t="shared" si="11"/>
        <v>55837302.543792404</v>
      </c>
      <c r="AR20" s="99"/>
      <c r="AS20" s="99"/>
      <c r="AT20" s="99"/>
      <c r="AU20" s="99"/>
      <c r="AV20" s="99"/>
      <c r="AW20" s="99"/>
      <c r="AX20" s="99"/>
      <c r="AY20" s="99"/>
      <c r="AZ20" s="99"/>
      <c r="BA20" s="99"/>
      <c r="BB20" s="99"/>
      <c r="BC20" s="99"/>
      <c r="BD20" s="99"/>
      <c r="BE20" s="99"/>
      <c r="BF20" s="99"/>
      <c r="BG20" s="99"/>
      <c r="BH20" s="99"/>
      <c r="BI20" s="99"/>
      <c r="BJ20" s="99"/>
      <c r="BK20" s="99"/>
      <c r="BL20" s="99"/>
      <c r="BM20" s="99"/>
      <c r="BN20" s="99"/>
    </row>
    <row r="21" spans="1:66" ht="17">
      <c r="A21" s="68" t="s">
        <v>297</v>
      </c>
      <c r="B21" s="68"/>
      <c r="C21" s="99">
        <f>150000*12</f>
        <v>1800000</v>
      </c>
      <c r="D21" s="99">
        <f t="shared" si="3"/>
        <v>1844819.9999999998</v>
      </c>
      <c r="E21" s="99">
        <f t="shared" si="4"/>
        <v>1896474.9599999997</v>
      </c>
      <c r="F21" s="99">
        <f t="shared" si="5"/>
        <v>1951472.7338399997</v>
      </c>
      <c r="G21" s="99">
        <f t="shared" si="6"/>
        <v>2008065.4431213595</v>
      </c>
      <c r="H21" s="99">
        <f t="shared" si="7"/>
        <v>2066299.3409718787</v>
      </c>
      <c r="I21" s="99">
        <f t="shared" ref="I21:AQ21" si="12">H21*(1+$I$3)</f>
        <v>2125829.4249852784</v>
      </c>
      <c r="J21" s="99">
        <f t="shared" si="12"/>
        <v>2187074.5707191043</v>
      </c>
      <c r="K21" s="99">
        <f t="shared" si="12"/>
        <v>2250084.1891015219</v>
      </c>
      <c r="L21" s="99">
        <f t="shared" si="12"/>
        <v>2314909.1145895366</v>
      </c>
      <c r="M21" s="99">
        <f t="shared" si="12"/>
        <v>2381601.6461808612</v>
      </c>
      <c r="N21" s="99">
        <f t="shared" si="12"/>
        <v>2450215.5896073319</v>
      </c>
      <c r="O21" s="99">
        <f t="shared" si="12"/>
        <v>2520806.3007439193</v>
      </c>
      <c r="P21" s="99">
        <f t="shared" si="12"/>
        <v>2593430.7302683517</v>
      </c>
      <c r="Q21" s="99">
        <f t="shared" si="12"/>
        <v>2668147.469607383</v>
      </c>
      <c r="R21" s="99">
        <f t="shared" si="12"/>
        <v>2745016.7982067717</v>
      </c>
      <c r="S21" s="99">
        <f t="shared" si="12"/>
        <v>2824100.7321631089</v>
      </c>
      <c r="T21" s="99">
        <f t="shared" si="12"/>
        <v>2905463.0742567279</v>
      </c>
      <c r="U21" s="99">
        <f t="shared" si="12"/>
        <v>2989169.4654260641</v>
      </c>
      <c r="V21" s="99">
        <f t="shared" si="12"/>
        <v>3075287.4377249889</v>
      </c>
      <c r="W21" s="99">
        <f t="shared" si="12"/>
        <v>3163886.4688058458</v>
      </c>
      <c r="X21" s="99">
        <f t="shared" si="12"/>
        <v>3255038.0379721425</v>
      </c>
      <c r="Y21" s="99">
        <f t="shared" si="12"/>
        <v>3348815.6838461198</v>
      </c>
      <c r="Z21" s="99">
        <f t="shared" si="12"/>
        <v>3445295.0636977265</v>
      </c>
      <c r="AA21" s="99">
        <f t="shared" si="12"/>
        <v>3544554.0144828581</v>
      </c>
      <c r="AB21" s="99">
        <f t="shared" si="12"/>
        <v>3646672.6156401094</v>
      </c>
      <c r="AC21" s="99">
        <f t="shared" si="12"/>
        <v>3751733.253696701</v>
      </c>
      <c r="AD21" s="99">
        <f t="shared" si="12"/>
        <v>3859820.688735703</v>
      </c>
      <c r="AE21" s="99">
        <f t="shared" si="12"/>
        <v>3971022.1227781787</v>
      </c>
      <c r="AF21" s="99">
        <f t="shared" si="12"/>
        <v>4085427.270135418</v>
      </c>
      <c r="AG21" s="99">
        <f t="shared" si="12"/>
        <v>4203128.4297880195</v>
      </c>
      <c r="AH21" s="99">
        <f t="shared" si="12"/>
        <v>4324220.5598502122</v>
      </c>
      <c r="AI21" s="99">
        <f t="shared" si="12"/>
        <v>4448801.3541794969</v>
      </c>
      <c r="AJ21" s="99">
        <f t="shared" si="12"/>
        <v>4576971.3211934082</v>
      </c>
      <c r="AK21" s="99">
        <f t="shared" si="12"/>
        <v>4708833.8649569899</v>
      </c>
      <c r="AL21" s="99">
        <f t="shared" si="12"/>
        <v>4844495.3686064007</v>
      </c>
      <c r="AM21" s="99">
        <f t="shared" si="12"/>
        <v>4984065.2801759513</v>
      </c>
      <c r="AN21" s="99">
        <f t="shared" si="12"/>
        <v>5127656.2008978203</v>
      </c>
      <c r="AO21" s="99">
        <f t="shared" si="12"/>
        <v>5275383.9760456868</v>
      </c>
      <c r="AP21" s="99">
        <f t="shared" si="12"/>
        <v>5427367.7883955631</v>
      </c>
      <c r="AQ21" s="99">
        <f t="shared" si="12"/>
        <v>5583730.2543792389</v>
      </c>
      <c r="AR21" s="99"/>
      <c r="AS21" s="99"/>
      <c r="AT21" s="99"/>
      <c r="AU21" s="99"/>
      <c r="AV21" s="99"/>
      <c r="AW21" s="99"/>
      <c r="AX21" s="99"/>
      <c r="AY21" s="99"/>
      <c r="AZ21" s="99"/>
      <c r="BA21" s="99"/>
      <c r="BB21" s="99"/>
      <c r="BC21" s="99"/>
      <c r="BD21" s="99"/>
      <c r="BE21" s="99"/>
      <c r="BF21" s="99"/>
      <c r="BG21" s="99"/>
      <c r="BH21" s="99"/>
      <c r="BI21" s="99"/>
      <c r="BJ21" s="99"/>
      <c r="BK21" s="99"/>
      <c r="BL21" s="99"/>
      <c r="BM21" s="99"/>
      <c r="BN21" s="99"/>
    </row>
    <row r="22" spans="1:66" ht="17">
      <c r="A22" s="68" t="s">
        <v>298</v>
      </c>
      <c r="B22" s="68"/>
      <c r="C22" s="99">
        <f>350000*12</f>
        <v>4200000</v>
      </c>
      <c r="D22" s="99">
        <f t="shared" si="3"/>
        <v>4304580</v>
      </c>
      <c r="E22" s="99">
        <f t="shared" si="4"/>
        <v>4425108.24</v>
      </c>
      <c r="F22" s="99">
        <f t="shared" si="5"/>
        <v>4553436.3789599994</v>
      </c>
      <c r="G22" s="99">
        <f t="shared" si="6"/>
        <v>4685486.033949839</v>
      </c>
      <c r="H22" s="99">
        <f t="shared" si="7"/>
        <v>4821365.1289343843</v>
      </c>
      <c r="I22" s="99">
        <f t="shared" ref="I22:AQ22" si="13">H22*(1+$I$3)</f>
        <v>4960268.6582989842</v>
      </c>
      <c r="J22" s="99">
        <f t="shared" si="13"/>
        <v>5103173.9983445778</v>
      </c>
      <c r="K22" s="99">
        <f t="shared" si="13"/>
        <v>5250196.4412368853</v>
      </c>
      <c r="L22" s="99">
        <f t="shared" si="13"/>
        <v>5401454.6007089196</v>
      </c>
      <c r="M22" s="99">
        <f t="shared" si="13"/>
        <v>5557070.5077553438</v>
      </c>
      <c r="N22" s="99">
        <f t="shared" si="13"/>
        <v>5717169.7090837751</v>
      </c>
      <c r="O22" s="99">
        <f t="shared" si="13"/>
        <v>5881881.3684024783</v>
      </c>
      <c r="P22" s="99">
        <f t="shared" si="13"/>
        <v>6051338.3706261534</v>
      </c>
      <c r="Q22" s="99">
        <f t="shared" si="13"/>
        <v>6225677.4290838931</v>
      </c>
      <c r="R22" s="99">
        <f t="shared" si="13"/>
        <v>6405039.1958157998</v>
      </c>
      <c r="S22" s="99">
        <f t="shared" si="13"/>
        <v>6589568.3750472525</v>
      </c>
      <c r="T22" s="99">
        <f t="shared" si="13"/>
        <v>6779413.8399323635</v>
      </c>
      <c r="U22" s="99">
        <f t="shared" si="13"/>
        <v>6974728.7526608147</v>
      </c>
      <c r="V22" s="99">
        <f t="shared" si="13"/>
        <v>7175670.6880249726</v>
      </c>
      <c r="W22" s="99">
        <f t="shared" si="13"/>
        <v>7382401.760546972</v>
      </c>
      <c r="X22" s="99">
        <f t="shared" si="13"/>
        <v>7595088.7552683307</v>
      </c>
      <c r="Y22" s="99">
        <f t="shared" si="13"/>
        <v>7813903.2623076113</v>
      </c>
      <c r="Z22" s="99">
        <f t="shared" si="13"/>
        <v>8039021.8152946932</v>
      </c>
      <c r="AA22" s="99">
        <f t="shared" si="13"/>
        <v>8270626.033793333</v>
      </c>
      <c r="AB22" s="99">
        <f t="shared" si="13"/>
        <v>8508902.7698269188</v>
      </c>
      <c r="AC22" s="99">
        <f t="shared" si="13"/>
        <v>8754044.2586256322</v>
      </c>
      <c r="AD22" s="99">
        <f t="shared" si="13"/>
        <v>9006248.273716636</v>
      </c>
      <c r="AE22" s="99">
        <f t="shared" si="13"/>
        <v>9265718.2864824124</v>
      </c>
      <c r="AF22" s="99">
        <f t="shared" si="13"/>
        <v>9532663.6303159706</v>
      </c>
      <c r="AG22" s="99">
        <f t="shared" si="13"/>
        <v>9807299.6695053745</v>
      </c>
      <c r="AH22" s="99">
        <f t="shared" si="13"/>
        <v>10089847.972983824</v>
      </c>
      <c r="AI22" s="99">
        <f t="shared" si="13"/>
        <v>10380536.493085489</v>
      </c>
      <c r="AJ22" s="99">
        <f t="shared" si="13"/>
        <v>10679599.749451282</v>
      </c>
      <c r="AK22" s="99">
        <f t="shared" si="13"/>
        <v>10987279.018232973</v>
      </c>
      <c r="AL22" s="99">
        <f t="shared" si="13"/>
        <v>11303822.526748266</v>
      </c>
      <c r="AM22" s="99">
        <f t="shared" si="13"/>
        <v>11629485.653743884</v>
      </c>
      <c r="AN22" s="99">
        <f t="shared" si="13"/>
        <v>11964531.135428244</v>
      </c>
      <c r="AO22" s="99">
        <f t="shared" si="13"/>
        <v>12309229.277439931</v>
      </c>
      <c r="AP22" s="99">
        <f t="shared" si="13"/>
        <v>12663858.172922976</v>
      </c>
      <c r="AQ22" s="99">
        <f t="shared" si="13"/>
        <v>13028703.926884888</v>
      </c>
      <c r="AR22" s="99"/>
      <c r="AS22" s="99"/>
      <c r="AT22" s="99"/>
      <c r="AU22" s="99"/>
      <c r="AV22" s="99"/>
      <c r="AW22" s="99"/>
      <c r="AX22" s="99"/>
      <c r="AY22" s="99"/>
      <c r="AZ22" s="99"/>
      <c r="BA22" s="99"/>
      <c r="BB22" s="99"/>
      <c r="BC22" s="99"/>
      <c r="BD22" s="99"/>
      <c r="BE22" s="99"/>
      <c r="BF22" s="99"/>
      <c r="BG22" s="99"/>
      <c r="BH22" s="99"/>
      <c r="BI22" s="99"/>
      <c r="BJ22" s="99"/>
      <c r="BK22" s="99"/>
      <c r="BL22" s="99"/>
      <c r="BM22" s="99"/>
      <c r="BN22" s="99"/>
    </row>
    <row r="23" spans="1:66" ht="17">
      <c r="A23" s="68" t="s">
        <v>299</v>
      </c>
      <c r="B23" s="68"/>
      <c r="C23" s="99">
        <f>200000*12</f>
        <v>2400000</v>
      </c>
      <c r="D23" s="99">
        <f t="shared" si="3"/>
        <v>2459760</v>
      </c>
      <c r="E23" s="99">
        <f t="shared" si="4"/>
        <v>2528633.2800000003</v>
      </c>
      <c r="F23" s="99">
        <f t="shared" si="5"/>
        <v>2601963.64512</v>
      </c>
      <c r="G23" s="99">
        <f t="shared" si="6"/>
        <v>2677420.5908284797</v>
      </c>
      <c r="H23" s="99">
        <f t="shared" si="7"/>
        <v>2755065.7879625056</v>
      </c>
      <c r="I23" s="99">
        <f t="shared" ref="I23:AQ23" si="14">H23*(1+I3)</f>
        <v>2834439.2333137053</v>
      </c>
      <c r="J23" s="99">
        <f t="shared" si="14"/>
        <v>2916099.4276254731</v>
      </c>
      <c r="K23" s="99">
        <f t="shared" si="14"/>
        <v>3000112.2521353629</v>
      </c>
      <c r="L23" s="99">
        <f t="shared" si="14"/>
        <v>3086545.4861193825</v>
      </c>
      <c r="M23" s="99">
        <f t="shared" si="14"/>
        <v>3175468.8615744822</v>
      </c>
      <c r="N23" s="99">
        <f t="shared" si="14"/>
        <v>3266954.1194764432</v>
      </c>
      <c r="O23" s="99">
        <f t="shared" si="14"/>
        <v>3361075.0676585594</v>
      </c>
      <c r="P23" s="99">
        <f t="shared" si="14"/>
        <v>3457907.6403578026</v>
      </c>
      <c r="Q23" s="99">
        <f t="shared" si="14"/>
        <v>3557529.959476511</v>
      </c>
      <c r="R23" s="99">
        <f t="shared" si="14"/>
        <v>3660022.3976090294</v>
      </c>
      <c r="S23" s="99">
        <f t="shared" si="14"/>
        <v>3765467.6428841455</v>
      </c>
      <c r="T23" s="99">
        <f t="shared" si="14"/>
        <v>3873950.7656756379</v>
      </c>
      <c r="U23" s="99">
        <f t="shared" si="14"/>
        <v>3985559.2872347529</v>
      </c>
      <c r="V23" s="99">
        <f t="shared" si="14"/>
        <v>4100383.250299986</v>
      </c>
      <c r="W23" s="99">
        <f t="shared" si="14"/>
        <v>4218515.291741129</v>
      </c>
      <c r="X23" s="99">
        <f t="shared" si="14"/>
        <v>4340050.7172961906</v>
      </c>
      <c r="Y23" s="99">
        <f t="shared" si="14"/>
        <v>4465087.5784614934</v>
      </c>
      <c r="Z23" s="99">
        <f t="shared" si="14"/>
        <v>4593726.7515969686</v>
      </c>
      <c r="AA23" s="99">
        <f t="shared" si="14"/>
        <v>4726072.0193104772</v>
      </c>
      <c r="AB23" s="99">
        <f t="shared" si="14"/>
        <v>4862230.1541868122</v>
      </c>
      <c r="AC23" s="99">
        <f t="shared" si="14"/>
        <v>5002311.0049289344</v>
      </c>
      <c r="AD23" s="99">
        <f t="shared" si="14"/>
        <v>5146427.5849809367</v>
      </c>
      <c r="AE23" s="99">
        <f t="shared" si="14"/>
        <v>5294696.1637042379</v>
      </c>
      <c r="AF23" s="99">
        <f t="shared" si="14"/>
        <v>5447236.3601805568</v>
      </c>
      <c r="AG23" s="99">
        <f t="shared" si="14"/>
        <v>5604171.2397173587</v>
      </c>
      <c r="AH23" s="99">
        <f t="shared" si="14"/>
        <v>5765627.4131336156</v>
      </c>
      <c r="AI23" s="99">
        <f t="shared" si="14"/>
        <v>5931735.1389059955</v>
      </c>
      <c r="AJ23" s="99">
        <f t="shared" si="14"/>
        <v>6102628.428257877</v>
      </c>
      <c r="AK23" s="99">
        <f t="shared" si="14"/>
        <v>6278445.1532759862</v>
      </c>
      <c r="AL23" s="99">
        <f t="shared" si="14"/>
        <v>6459327.1581418673</v>
      </c>
      <c r="AM23" s="99">
        <f t="shared" si="14"/>
        <v>6645420.3735679341</v>
      </c>
      <c r="AN23" s="99">
        <f t="shared" si="14"/>
        <v>6836874.9345304267</v>
      </c>
      <c r="AO23" s="99">
        <f t="shared" si="14"/>
        <v>7033845.3013942484</v>
      </c>
      <c r="AP23" s="99">
        <f t="shared" si="14"/>
        <v>7236490.3845274169</v>
      </c>
      <c r="AQ23" s="99">
        <f t="shared" si="14"/>
        <v>7444973.6725056516</v>
      </c>
      <c r="AR23" s="99"/>
      <c r="AS23" s="99"/>
      <c r="AT23" s="99"/>
      <c r="AU23" s="99"/>
      <c r="AV23" s="99"/>
      <c r="AW23" s="99"/>
      <c r="AX23" s="99"/>
      <c r="AY23" s="99"/>
      <c r="AZ23" s="99"/>
      <c r="BA23" s="99"/>
      <c r="BB23" s="99"/>
      <c r="BC23" s="99"/>
      <c r="BD23" s="99"/>
      <c r="BE23" s="99"/>
      <c r="BF23" s="99"/>
      <c r="BG23" s="99"/>
      <c r="BH23" s="99"/>
      <c r="BI23" s="99"/>
      <c r="BJ23" s="99"/>
      <c r="BK23" s="99"/>
      <c r="BL23" s="99"/>
      <c r="BM23" s="99"/>
      <c r="BN23" s="99"/>
    </row>
    <row r="24" spans="1:66" ht="17">
      <c r="A24" s="68" t="s">
        <v>300</v>
      </c>
      <c r="B24" s="68"/>
      <c r="C24" s="99">
        <f>2500000*12</f>
        <v>30000000</v>
      </c>
      <c r="D24" s="99">
        <f t="shared" si="3"/>
        <v>30746999.999999996</v>
      </c>
      <c r="E24" s="99">
        <f t="shared" si="4"/>
        <v>31607915.999999996</v>
      </c>
      <c r="F24" s="99">
        <f t="shared" si="5"/>
        <v>32524545.563999992</v>
      </c>
      <c r="G24" s="99">
        <f t="shared" si="6"/>
        <v>33467757.38535599</v>
      </c>
      <c r="H24" s="99">
        <f t="shared" si="7"/>
        <v>34438322.349531308</v>
      </c>
      <c r="I24" s="99">
        <f t="shared" ref="I24:AQ24" si="15">H24*(1+$I$3)</f>
        <v>35430490.416421302</v>
      </c>
      <c r="J24" s="99">
        <f t="shared" si="15"/>
        <v>36451242.845318399</v>
      </c>
      <c r="K24" s="99">
        <f t="shared" si="15"/>
        <v>37501403.151692025</v>
      </c>
      <c r="L24" s="99">
        <f t="shared" si="15"/>
        <v>38581818.576492272</v>
      </c>
      <c r="M24" s="99">
        <f t="shared" si="15"/>
        <v>39693360.769681014</v>
      </c>
      <c r="N24" s="99">
        <f t="shared" si="15"/>
        <v>40836926.493455522</v>
      </c>
      <c r="O24" s="99">
        <f t="shared" si="15"/>
        <v>42013438.345731974</v>
      </c>
      <c r="P24" s="99">
        <f t="shared" si="15"/>
        <v>43223845.504472509</v>
      </c>
      <c r="Q24" s="99">
        <f t="shared" si="15"/>
        <v>44469124.493456364</v>
      </c>
      <c r="R24" s="99">
        <f t="shared" si="15"/>
        <v>45750279.970112845</v>
      </c>
      <c r="S24" s="99">
        <f t="shared" si="15"/>
        <v>47068345.536051795</v>
      </c>
      <c r="T24" s="99">
        <f t="shared" si="15"/>
        <v>48424384.570945449</v>
      </c>
      <c r="U24" s="99">
        <f t="shared" si="15"/>
        <v>49819491.090434387</v>
      </c>
      <c r="V24" s="99">
        <f t="shared" si="15"/>
        <v>51254790.628749803</v>
      </c>
      <c r="W24" s="99">
        <f t="shared" si="15"/>
        <v>52731441.146764085</v>
      </c>
      <c r="X24" s="99">
        <f t="shared" si="15"/>
        <v>54250633.966202356</v>
      </c>
      <c r="Y24" s="99">
        <f t="shared" si="15"/>
        <v>55813594.730768643</v>
      </c>
      <c r="Z24" s="99">
        <f t="shared" si="15"/>
        <v>57421584.394962087</v>
      </c>
      <c r="AA24" s="99">
        <f t="shared" si="15"/>
        <v>59075900.241380945</v>
      </c>
      <c r="AB24" s="99">
        <f t="shared" si="15"/>
        <v>60777876.927335128</v>
      </c>
      <c r="AC24" s="99">
        <f t="shared" si="15"/>
        <v>62528887.561611652</v>
      </c>
      <c r="AD24" s="99">
        <f t="shared" si="15"/>
        <v>64330344.812261686</v>
      </c>
      <c r="AE24" s="99">
        <f t="shared" si="15"/>
        <v>66183702.046302944</v>
      </c>
      <c r="AF24" s="99">
        <f t="shared" si="15"/>
        <v>68090454.50225693</v>
      </c>
      <c r="AG24" s="99">
        <f t="shared" si="15"/>
        <v>70052140.49646695</v>
      </c>
      <c r="AH24" s="99">
        <f t="shared" si="15"/>
        <v>72070342.664170161</v>
      </c>
      <c r="AI24" s="99">
        <f t="shared" si="15"/>
        <v>74146689.236324906</v>
      </c>
      <c r="AJ24" s="99">
        <f t="shared" si="15"/>
        <v>76282855.353223428</v>
      </c>
      <c r="AK24" s="99">
        <f t="shared" si="15"/>
        <v>78480564.415949792</v>
      </c>
      <c r="AL24" s="99">
        <f t="shared" si="15"/>
        <v>80741589.476773307</v>
      </c>
      <c r="AM24" s="99">
        <f t="shared" si="15"/>
        <v>83067754.669599146</v>
      </c>
      <c r="AN24" s="99">
        <f t="shared" si="15"/>
        <v>85460936.681630298</v>
      </c>
      <c r="AO24" s="99">
        <f t="shared" si="15"/>
        <v>87923066.26742807</v>
      </c>
      <c r="AP24" s="99">
        <f t="shared" si="15"/>
        <v>90456129.806592673</v>
      </c>
      <c r="AQ24" s="99">
        <f t="shared" si="15"/>
        <v>93062170.906320602</v>
      </c>
      <c r="AR24" s="99"/>
      <c r="AS24" s="99"/>
      <c r="AT24" s="99"/>
      <c r="AU24" s="99"/>
      <c r="AV24" s="99"/>
      <c r="AW24" s="99"/>
      <c r="AX24" s="99"/>
      <c r="AY24" s="99"/>
      <c r="AZ24" s="99"/>
      <c r="BA24" s="99"/>
      <c r="BB24" s="99"/>
      <c r="BC24" s="99"/>
      <c r="BD24" s="99"/>
      <c r="BE24" s="99"/>
      <c r="BF24" s="99"/>
      <c r="BG24" s="99"/>
      <c r="BH24" s="99"/>
      <c r="BI24" s="99"/>
      <c r="BJ24" s="99"/>
      <c r="BK24" s="99"/>
      <c r="BL24" s="99"/>
      <c r="BM24" s="99"/>
      <c r="BN24" s="99"/>
    </row>
    <row r="25" spans="1:66" ht="17">
      <c r="A25" s="68" t="s">
        <v>301</v>
      </c>
      <c r="B25" s="68"/>
      <c r="C25" s="99">
        <f>850000*12</f>
        <v>10200000</v>
      </c>
      <c r="D25" s="99">
        <f t="shared" si="3"/>
        <v>10453980</v>
      </c>
      <c r="E25" s="99">
        <f t="shared" si="4"/>
        <v>10746691.439999999</v>
      </c>
      <c r="F25" s="99">
        <f t="shared" si="5"/>
        <v>11058345.491759999</v>
      </c>
      <c r="G25" s="99">
        <f t="shared" si="6"/>
        <v>11379037.511021039</v>
      </c>
      <c r="H25" s="99">
        <f t="shared" si="7"/>
        <v>11709029.598840648</v>
      </c>
      <c r="I25" s="99">
        <f t="shared" ref="I25:AQ25" si="16">H25*(1+$I$3)</f>
        <v>12046366.741583247</v>
      </c>
      <c r="J25" s="99">
        <f t="shared" si="16"/>
        <v>12393422.56740826</v>
      </c>
      <c r="K25" s="99">
        <f t="shared" si="16"/>
        <v>12750477.071575291</v>
      </c>
      <c r="L25" s="99">
        <f t="shared" si="16"/>
        <v>13117818.316007376</v>
      </c>
      <c r="M25" s="99">
        <f t="shared" si="16"/>
        <v>13495742.661691548</v>
      </c>
      <c r="N25" s="99">
        <f t="shared" si="16"/>
        <v>13884555.007774882</v>
      </c>
      <c r="O25" s="99">
        <f t="shared" si="16"/>
        <v>14284569.037548877</v>
      </c>
      <c r="P25" s="99">
        <f t="shared" si="16"/>
        <v>14696107.47152066</v>
      </c>
      <c r="Q25" s="99">
        <f t="shared" si="16"/>
        <v>15119502.327775171</v>
      </c>
      <c r="R25" s="99">
        <f t="shared" si="16"/>
        <v>15555095.189838374</v>
      </c>
      <c r="S25" s="99">
        <f t="shared" si="16"/>
        <v>16003237.482257618</v>
      </c>
      <c r="T25" s="99">
        <f t="shared" si="16"/>
        <v>16464290.75412146</v>
      </c>
      <c r="U25" s="99">
        <f t="shared" si="16"/>
        <v>16938626.970747698</v>
      </c>
      <c r="V25" s="99">
        <f t="shared" si="16"/>
        <v>17426628.81377494</v>
      </c>
      <c r="W25" s="99">
        <f t="shared" si="16"/>
        <v>17928689.989899796</v>
      </c>
      <c r="X25" s="99">
        <f t="shared" si="16"/>
        <v>18445215.548508808</v>
      </c>
      <c r="Y25" s="99">
        <f t="shared" si="16"/>
        <v>18976622.208461348</v>
      </c>
      <c r="Z25" s="99">
        <f t="shared" si="16"/>
        <v>19523338.694287121</v>
      </c>
      <c r="AA25" s="99">
        <f t="shared" si="16"/>
        <v>20085806.082069535</v>
      </c>
      <c r="AB25" s="99">
        <f t="shared" si="16"/>
        <v>20664478.155293956</v>
      </c>
      <c r="AC25" s="99">
        <f t="shared" si="16"/>
        <v>21259821.770947974</v>
      </c>
      <c r="AD25" s="99">
        <f t="shared" si="16"/>
        <v>21872317.236168984</v>
      </c>
      <c r="AE25" s="99">
        <f t="shared" si="16"/>
        <v>22502458.695743013</v>
      </c>
      <c r="AF25" s="99">
        <f t="shared" si="16"/>
        <v>23150754.53076737</v>
      </c>
      <c r="AG25" s="99">
        <f t="shared" si="16"/>
        <v>23817727.76879878</v>
      </c>
      <c r="AH25" s="99">
        <f t="shared" si="16"/>
        <v>24503916.505817872</v>
      </c>
      <c r="AI25" s="99">
        <f t="shared" si="16"/>
        <v>25209874.340350486</v>
      </c>
      <c r="AJ25" s="99">
        <f t="shared" si="16"/>
        <v>25936170.820095982</v>
      </c>
      <c r="AK25" s="99">
        <f t="shared" si="16"/>
        <v>26683391.901422948</v>
      </c>
      <c r="AL25" s="99">
        <f t="shared" si="16"/>
        <v>27452140.422102943</v>
      </c>
      <c r="AM25" s="99">
        <f t="shared" si="16"/>
        <v>28243036.587663729</v>
      </c>
      <c r="AN25" s="99">
        <f t="shared" si="16"/>
        <v>29056718.47175432</v>
      </c>
      <c r="AO25" s="99">
        <f t="shared" si="16"/>
        <v>29893842.530925561</v>
      </c>
      <c r="AP25" s="99">
        <f t="shared" si="16"/>
        <v>30755084.134241525</v>
      </c>
      <c r="AQ25" s="99">
        <f t="shared" si="16"/>
        <v>31641138.108149022</v>
      </c>
      <c r="AR25" s="99"/>
      <c r="AS25" s="99"/>
      <c r="AT25" s="99"/>
      <c r="AU25" s="99"/>
      <c r="AV25" s="99"/>
      <c r="AW25" s="99"/>
      <c r="AX25" s="99"/>
      <c r="AY25" s="99"/>
      <c r="AZ25" s="99"/>
      <c r="BA25" s="99"/>
      <c r="BB25" s="99"/>
      <c r="BC25" s="99"/>
      <c r="BD25" s="99"/>
      <c r="BE25" s="99"/>
      <c r="BF25" s="99"/>
      <c r="BG25" s="99"/>
      <c r="BH25" s="99"/>
      <c r="BI25" s="99"/>
      <c r="BJ25" s="99"/>
      <c r="BK25" s="99"/>
      <c r="BL25" s="99"/>
      <c r="BM25" s="99"/>
      <c r="BN25" s="99"/>
    </row>
    <row r="26" spans="1:66" ht="17">
      <c r="A26" s="68" t="s">
        <v>302</v>
      </c>
      <c r="B26" s="68"/>
      <c r="C26" s="99">
        <f>2000000*12</f>
        <v>24000000</v>
      </c>
      <c r="D26" s="99">
        <f t="shared" si="3"/>
        <v>24597599.999999996</v>
      </c>
      <c r="E26" s="99">
        <f t="shared" si="4"/>
        <v>25286332.799999997</v>
      </c>
      <c r="F26" s="99">
        <f t="shared" si="5"/>
        <v>26019636.451199993</v>
      </c>
      <c r="G26" s="99">
        <f t="shared" si="6"/>
        <v>26774205.908284791</v>
      </c>
      <c r="H26" s="99">
        <f t="shared" si="7"/>
        <v>27550657.879625048</v>
      </c>
      <c r="I26" s="99">
        <f t="shared" ref="I26:AQ26" si="17">H26*(1+$I$3)</f>
        <v>28344392.333137047</v>
      </c>
      <c r="J26" s="99">
        <f t="shared" si="17"/>
        <v>29160994.276254725</v>
      </c>
      <c r="K26" s="99">
        <f t="shared" si="17"/>
        <v>30001122.521353625</v>
      </c>
      <c r="L26" s="99">
        <f t="shared" si="17"/>
        <v>30865454.861193825</v>
      </c>
      <c r="M26" s="99">
        <f t="shared" si="17"/>
        <v>31754688.615744818</v>
      </c>
      <c r="N26" s="99">
        <f t="shared" si="17"/>
        <v>32669541.194764428</v>
      </c>
      <c r="O26" s="99">
        <f t="shared" si="17"/>
        <v>33610750.676585592</v>
      </c>
      <c r="P26" s="99">
        <f t="shared" si="17"/>
        <v>34579076.403578021</v>
      </c>
      <c r="Q26" s="99">
        <f t="shared" si="17"/>
        <v>35575299.594765104</v>
      </c>
      <c r="R26" s="99">
        <f t="shared" si="17"/>
        <v>36600223.97609029</v>
      </c>
      <c r="S26" s="99">
        <f t="shared" si="17"/>
        <v>37654676.428841449</v>
      </c>
      <c r="T26" s="99">
        <f t="shared" si="17"/>
        <v>38739507.656756371</v>
      </c>
      <c r="U26" s="99">
        <f t="shared" si="17"/>
        <v>39855592.872347519</v>
      </c>
      <c r="V26" s="99">
        <f t="shared" si="17"/>
        <v>41003832.50299985</v>
      </c>
      <c r="W26" s="99">
        <f t="shared" si="17"/>
        <v>42185152.917411275</v>
      </c>
      <c r="X26" s="99">
        <f t="shared" si="17"/>
        <v>43400507.172961891</v>
      </c>
      <c r="Y26" s="99">
        <f t="shared" si="17"/>
        <v>44650875.784614921</v>
      </c>
      <c r="Z26" s="99">
        <f t="shared" si="17"/>
        <v>45937267.515969679</v>
      </c>
      <c r="AA26" s="99">
        <f t="shared" si="17"/>
        <v>47260720.193104766</v>
      </c>
      <c r="AB26" s="99">
        <f t="shared" si="17"/>
        <v>48622301.541868113</v>
      </c>
      <c r="AC26" s="99">
        <f t="shared" si="17"/>
        <v>50023110.049289331</v>
      </c>
      <c r="AD26" s="99">
        <f t="shared" si="17"/>
        <v>51464275.849809356</v>
      </c>
      <c r="AE26" s="99">
        <f t="shared" si="17"/>
        <v>52946961.637042366</v>
      </c>
      <c r="AF26" s="99">
        <f t="shared" si="17"/>
        <v>54472363.60180556</v>
      </c>
      <c r="AG26" s="99">
        <f t="shared" si="17"/>
        <v>56041712.397173576</v>
      </c>
      <c r="AH26" s="99">
        <f t="shared" si="17"/>
        <v>57656274.131336145</v>
      </c>
      <c r="AI26" s="99">
        <f t="shared" si="17"/>
        <v>59317351.389059938</v>
      </c>
      <c r="AJ26" s="99">
        <f t="shared" si="17"/>
        <v>61026284.282578759</v>
      </c>
      <c r="AK26" s="99">
        <f t="shared" si="17"/>
        <v>62784451.532759853</v>
      </c>
      <c r="AL26" s="99">
        <f t="shared" si="17"/>
        <v>64593271.581418663</v>
      </c>
      <c r="AM26" s="99">
        <f t="shared" si="17"/>
        <v>66454203.735679336</v>
      </c>
      <c r="AN26" s="99">
        <f t="shared" si="17"/>
        <v>68368749.345304251</v>
      </c>
      <c r="AO26" s="99">
        <f t="shared" si="17"/>
        <v>70338453.013942465</v>
      </c>
      <c r="AP26" s="99">
        <f t="shared" si="17"/>
        <v>72364903.84527415</v>
      </c>
      <c r="AQ26" s="99">
        <f t="shared" si="17"/>
        <v>74449736.725056499</v>
      </c>
      <c r="AR26" s="99"/>
      <c r="AS26" s="99"/>
      <c r="AT26" s="99"/>
      <c r="AU26" s="99"/>
      <c r="AV26" s="99"/>
      <c r="AW26" s="99"/>
      <c r="AX26" s="99"/>
      <c r="AY26" s="99"/>
      <c r="AZ26" s="99"/>
      <c r="BA26" s="99"/>
      <c r="BB26" s="99"/>
      <c r="BC26" s="99"/>
      <c r="BD26" s="99"/>
      <c r="BE26" s="99"/>
      <c r="BF26" s="99"/>
      <c r="BG26" s="99"/>
      <c r="BH26" s="99"/>
      <c r="BI26" s="99"/>
      <c r="BJ26" s="99"/>
      <c r="BK26" s="99"/>
      <c r="BL26" s="99"/>
      <c r="BM26" s="99"/>
      <c r="BN26" s="99"/>
    </row>
    <row r="27" spans="1:66" ht="17">
      <c r="A27" s="99" t="s">
        <v>303</v>
      </c>
      <c r="B27" s="99"/>
      <c r="C27" s="99"/>
      <c r="D27" s="99"/>
      <c r="E27" s="99"/>
      <c r="F27" s="99"/>
      <c r="G27" s="99"/>
      <c r="H27" s="99">
        <v>10000000</v>
      </c>
      <c r="I27" s="99"/>
      <c r="J27" s="99"/>
      <c r="K27" s="99"/>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99"/>
      <c r="BB27" s="99"/>
      <c r="BC27" s="99"/>
      <c r="BD27" s="99"/>
      <c r="BE27" s="99"/>
      <c r="BF27" s="99"/>
      <c r="BG27" s="99"/>
      <c r="BH27" s="99"/>
      <c r="BI27" s="99"/>
      <c r="BJ27" s="99"/>
      <c r="BK27" s="99"/>
      <c r="BL27" s="99"/>
      <c r="BM27" s="99"/>
      <c r="BN27" s="99"/>
    </row>
    <row r="28" spans="1:66" ht="17">
      <c r="A28" s="68" t="s">
        <v>304</v>
      </c>
      <c r="B28" s="68"/>
      <c r="C28" s="99"/>
      <c r="D28" s="99"/>
      <c r="E28" s="99"/>
      <c r="F28" s="99"/>
      <c r="G28" s="99"/>
      <c r="H28" s="99">
        <f>'9. Child living expense'!$E$3</f>
        <v>58000000</v>
      </c>
      <c r="I28" s="99">
        <f>'9. Child living expense'!$E$4*(1+I3)</f>
        <v>82304800</v>
      </c>
      <c r="J28" s="99">
        <f>I28*(1+J3)</f>
        <v>84676001.288000003</v>
      </c>
      <c r="K28" s="99">
        <f>'9. Child living expense'!E5*(1+K3)</f>
        <v>59670980</v>
      </c>
      <c r="L28" s="99">
        <f t="shared" ref="L28:M28" si="18">K28*(1+L3)</f>
        <v>61390100.933799997</v>
      </c>
      <c r="M28" s="99">
        <f t="shared" si="18"/>
        <v>63158749.741702773</v>
      </c>
      <c r="N28" s="99">
        <f>'9. Child living expense'!E6*(1+N3)</f>
        <v>27777870</v>
      </c>
      <c r="O28" s="99">
        <f t="shared" ref="O28:R28" si="19">N28*(1+O3)</f>
        <v>28578150.434700001</v>
      </c>
      <c r="P28" s="99">
        <f t="shared" si="19"/>
        <v>29401486.948723707</v>
      </c>
      <c r="Q28" s="99">
        <f t="shared" si="19"/>
        <v>30248543.787716437</v>
      </c>
      <c r="R28" s="99">
        <f t="shared" si="19"/>
        <v>31120004.334240548</v>
      </c>
      <c r="S28" s="99">
        <f>'9. Child living expense'!E7*(1+S3)</f>
        <v>46296450</v>
      </c>
      <c r="T28" s="99">
        <f t="shared" ref="T28:V28" si="20">S28*(1+T3)</f>
        <v>47630250.7245</v>
      </c>
      <c r="U28" s="99">
        <f t="shared" si="20"/>
        <v>49002478.247872844</v>
      </c>
      <c r="V28" s="99">
        <f t="shared" si="20"/>
        <v>50414239.646194063</v>
      </c>
      <c r="W28" s="99">
        <f>'9. Child living expense'!E8*(1+W3)</f>
        <v>55555740</v>
      </c>
      <c r="X28" s="99">
        <f t="shared" ref="X28:Y28" si="21">W28*(1+X3)</f>
        <v>57156300.869400002</v>
      </c>
      <c r="Y28" s="99">
        <f t="shared" si="21"/>
        <v>58802973.897447415</v>
      </c>
      <c r="Z28" s="99">
        <f>'9. Child living expense'!E9*(1+Z3)</f>
        <v>128601250</v>
      </c>
      <c r="AA28" s="99">
        <f t="shared" ref="AA28:AD28" si="22">Z28*(1+AA3)</f>
        <v>132306252.0125</v>
      </c>
      <c r="AB28" s="99">
        <f t="shared" si="22"/>
        <v>136117995.13298014</v>
      </c>
      <c r="AC28" s="99">
        <f t="shared" si="22"/>
        <v>140039554.5727613</v>
      </c>
      <c r="AD28" s="99">
        <f t="shared" si="22"/>
        <v>144074094.14000255</v>
      </c>
      <c r="AE28" s="99"/>
      <c r="AF28" s="99"/>
      <c r="AG28" s="99"/>
      <c r="AH28" s="99"/>
      <c r="AI28" s="99"/>
      <c r="AJ28" s="99"/>
      <c r="AK28" s="99"/>
      <c r="AL28" s="99"/>
      <c r="AM28" s="99"/>
      <c r="AN28" s="99"/>
      <c r="AO28" s="99"/>
      <c r="AP28" s="99"/>
      <c r="AQ28" s="99"/>
      <c r="AR28" s="99"/>
      <c r="AS28" s="99"/>
      <c r="AT28" s="99"/>
      <c r="AU28" s="99"/>
      <c r="AV28" s="99"/>
      <c r="AW28" s="99"/>
      <c r="AX28" s="99"/>
      <c r="AY28" s="99"/>
      <c r="AZ28" s="99"/>
      <c r="BA28" s="99"/>
      <c r="BB28" s="99"/>
      <c r="BC28" s="99"/>
      <c r="BD28" s="99"/>
      <c r="BE28" s="99"/>
      <c r="BF28" s="99"/>
      <c r="BG28" s="99"/>
      <c r="BH28" s="99"/>
      <c r="BI28" s="99"/>
      <c r="BJ28" s="99"/>
      <c r="BK28" s="99"/>
      <c r="BL28" s="99"/>
      <c r="BM28" s="99"/>
      <c r="BN28" s="99"/>
    </row>
    <row r="29" spans="1:66" ht="17">
      <c r="A29" s="68" t="s">
        <v>305</v>
      </c>
      <c r="B29" s="68"/>
      <c r="C29" s="99">
        <f>400000*12</f>
        <v>4800000</v>
      </c>
      <c r="D29" s="99">
        <f t="shared" ref="D29:D30" si="23">C29*(1+$D$3)</f>
        <v>4919520</v>
      </c>
      <c r="E29" s="99">
        <f t="shared" ref="E29:E30" si="24">D29*(1+$E$3)</f>
        <v>5057266.5600000005</v>
      </c>
      <c r="F29" s="99">
        <f t="shared" ref="F29:F30" si="25">E29*(1+$F$3)</f>
        <v>5203927.29024</v>
      </c>
      <c r="G29" s="99">
        <f t="shared" ref="G29:G30" si="26">F29*(1+$G$3)</f>
        <v>5354841.1816569595</v>
      </c>
      <c r="H29" s="99">
        <f t="shared" ref="H29:H30" si="27">G29*(1+$H$3)</f>
        <v>5510131.5759250112</v>
      </c>
      <c r="I29" s="99">
        <f t="shared" ref="I29:I30" si="28">H29*(1+$I$3)</f>
        <v>5668878.4666274106</v>
      </c>
      <c r="J29" s="99">
        <f t="shared" ref="J29:AQ29" si="29">I29*(1+J3)</f>
        <v>5832198.8552509462</v>
      </c>
      <c r="K29" s="99">
        <f t="shared" si="29"/>
        <v>6000224.5042707259</v>
      </c>
      <c r="L29" s="99">
        <f t="shared" si="29"/>
        <v>6173090.9722387651</v>
      </c>
      <c r="M29" s="99">
        <f t="shared" si="29"/>
        <v>6350937.7231489643</v>
      </c>
      <c r="N29" s="99">
        <f t="shared" si="29"/>
        <v>6533908.2389528863</v>
      </c>
      <c r="O29" s="99">
        <f t="shared" si="29"/>
        <v>6722150.1353171188</v>
      </c>
      <c r="P29" s="99">
        <f t="shared" si="29"/>
        <v>6915815.2807156052</v>
      </c>
      <c r="Q29" s="99">
        <f t="shared" si="29"/>
        <v>7115059.918953022</v>
      </c>
      <c r="R29" s="99">
        <f t="shared" si="29"/>
        <v>7320044.7952180589</v>
      </c>
      <c r="S29" s="99">
        <f t="shared" si="29"/>
        <v>7530935.285768291</v>
      </c>
      <c r="T29" s="99">
        <f t="shared" si="29"/>
        <v>7747901.5313512757</v>
      </c>
      <c r="U29" s="99">
        <f t="shared" si="29"/>
        <v>7971118.5744695058</v>
      </c>
      <c r="V29" s="99">
        <f t="shared" si="29"/>
        <v>8200766.500599972</v>
      </c>
      <c r="W29" s="99">
        <f t="shared" si="29"/>
        <v>8437030.583482258</v>
      </c>
      <c r="X29" s="99">
        <f t="shared" si="29"/>
        <v>8680101.4345923811</v>
      </c>
      <c r="Y29" s="99">
        <f t="shared" si="29"/>
        <v>8930175.1569229867</v>
      </c>
      <c r="Z29" s="99">
        <f t="shared" si="29"/>
        <v>9187453.5031939372</v>
      </c>
      <c r="AA29" s="99">
        <f t="shared" si="29"/>
        <v>9452144.0386209544</v>
      </c>
      <c r="AB29" s="99">
        <f t="shared" si="29"/>
        <v>9724460.3083736245</v>
      </c>
      <c r="AC29" s="99">
        <f t="shared" si="29"/>
        <v>10004622.009857869</v>
      </c>
      <c r="AD29" s="99">
        <f t="shared" si="29"/>
        <v>10292855.169961873</v>
      </c>
      <c r="AE29" s="99">
        <f t="shared" si="29"/>
        <v>10589392.327408476</v>
      </c>
      <c r="AF29" s="99">
        <f t="shared" si="29"/>
        <v>10894472.720361114</v>
      </c>
      <c r="AG29" s="99">
        <f t="shared" si="29"/>
        <v>11208342.479434717</v>
      </c>
      <c r="AH29" s="99">
        <f t="shared" si="29"/>
        <v>11531254.826267231</v>
      </c>
      <c r="AI29" s="99">
        <f t="shared" si="29"/>
        <v>11863470.277811991</v>
      </c>
      <c r="AJ29" s="99">
        <f t="shared" si="29"/>
        <v>12205256.856515754</v>
      </c>
      <c r="AK29" s="99">
        <f t="shared" si="29"/>
        <v>12556890.306551972</v>
      </c>
      <c r="AL29" s="99">
        <f t="shared" si="29"/>
        <v>12918654.316283735</v>
      </c>
      <c r="AM29" s="99">
        <f t="shared" si="29"/>
        <v>13290840.747135868</v>
      </c>
      <c r="AN29" s="99">
        <f t="shared" si="29"/>
        <v>13673749.869060853</v>
      </c>
      <c r="AO29" s="99">
        <f t="shared" si="29"/>
        <v>14067690.602788497</v>
      </c>
      <c r="AP29" s="99">
        <f t="shared" si="29"/>
        <v>14472980.769054834</v>
      </c>
      <c r="AQ29" s="99">
        <f t="shared" si="29"/>
        <v>14889947.345011303</v>
      </c>
      <c r="AR29" s="99"/>
      <c r="AS29" s="99"/>
      <c r="AT29" s="99"/>
      <c r="AU29" s="99"/>
      <c r="AV29" s="99"/>
      <c r="AW29" s="99"/>
      <c r="AX29" s="99"/>
      <c r="AY29" s="99"/>
      <c r="AZ29" s="99"/>
      <c r="BA29" s="99"/>
      <c r="BB29" s="99"/>
      <c r="BC29" s="99"/>
      <c r="BD29" s="99"/>
      <c r="BE29" s="99"/>
      <c r="BF29" s="99"/>
      <c r="BG29" s="99"/>
      <c r="BH29" s="99"/>
      <c r="BI29" s="99"/>
      <c r="BJ29" s="99"/>
      <c r="BK29" s="99"/>
      <c r="BL29" s="99"/>
      <c r="BM29" s="99"/>
      <c r="BN29" s="99"/>
    </row>
    <row r="30" spans="1:66" ht="17">
      <c r="A30" s="68" t="s">
        <v>306</v>
      </c>
      <c r="B30" s="68"/>
      <c r="C30" s="99">
        <f>1000000*12</f>
        <v>12000000</v>
      </c>
      <c r="D30" s="99">
        <f t="shared" si="23"/>
        <v>12298799.999999998</v>
      </c>
      <c r="E30" s="99">
        <f t="shared" si="24"/>
        <v>12643166.399999999</v>
      </c>
      <c r="F30" s="99">
        <f t="shared" si="25"/>
        <v>13009818.225599997</v>
      </c>
      <c r="G30" s="99">
        <f t="shared" si="26"/>
        <v>13387102.954142395</v>
      </c>
      <c r="H30" s="99">
        <f t="shared" si="27"/>
        <v>13775328.939812524</v>
      </c>
      <c r="I30" s="99">
        <f t="shared" si="28"/>
        <v>14172196.166568523</v>
      </c>
      <c r="J30" s="99">
        <f t="shared" ref="J30:AQ30" si="30">I30*(1+$I$3)</f>
        <v>14580497.138127362</v>
      </c>
      <c r="K30" s="99">
        <f t="shared" si="30"/>
        <v>15000561.260676812</v>
      </c>
      <c r="L30" s="99">
        <f t="shared" si="30"/>
        <v>15432727.430596912</v>
      </c>
      <c r="M30" s="99">
        <f t="shared" si="30"/>
        <v>15877344.307872409</v>
      </c>
      <c r="N30" s="99">
        <f t="shared" si="30"/>
        <v>16334770.597382214</v>
      </c>
      <c r="O30" s="99">
        <f t="shared" si="30"/>
        <v>16805375.338292796</v>
      </c>
      <c r="P30" s="99">
        <f t="shared" si="30"/>
        <v>17289538.20178901</v>
      </c>
      <c r="Q30" s="99">
        <f t="shared" si="30"/>
        <v>17787649.797382552</v>
      </c>
      <c r="R30" s="99">
        <f t="shared" si="30"/>
        <v>18300111.988045145</v>
      </c>
      <c r="S30" s="99">
        <f t="shared" si="30"/>
        <v>18827338.214420725</v>
      </c>
      <c r="T30" s="99">
        <f t="shared" si="30"/>
        <v>19369753.828378186</v>
      </c>
      <c r="U30" s="99">
        <f t="shared" si="30"/>
        <v>19927796.436173759</v>
      </c>
      <c r="V30" s="99">
        <f t="shared" si="30"/>
        <v>20501916.251499925</v>
      </c>
      <c r="W30" s="99">
        <f t="shared" si="30"/>
        <v>21092576.458705638</v>
      </c>
      <c r="X30" s="99">
        <f t="shared" si="30"/>
        <v>21700253.586480945</v>
      </c>
      <c r="Y30" s="99">
        <f t="shared" si="30"/>
        <v>22325437.89230746</v>
      </c>
      <c r="Z30" s="99">
        <f t="shared" si="30"/>
        <v>22968633.757984839</v>
      </c>
      <c r="AA30" s="99">
        <f t="shared" si="30"/>
        <v>23630360.096552383</v>
      </c>
      <c r="AB30" s="99">
        <f t="shared" si="30"/>
        <v>24311150.770934056</v>
      </c>
      <c r="AC30" s="99">
        <f t="shared" si="30"/>
        <v>25011555.024644665</v>
      </c>
      <c r="AD30" s="99">
        <f t="shared" si="30"/>
        <v>25732137.924904678</v>
      </c>
      <c r="AE30" s="99">
        <f t="shared" si="30"/>
        <v>26473480.818521183</v>
      </c>
      <c r="AF30" s="99">
        <f t="shared" si="30"/>
        <v>27236181.80090278</v>
      </c>
      <c r="AG30" s="99">
        <f t="shared" si="30"/>
        <v>28020856.198586788</v>
      </c>
      <c r="AH30" s="99">
        <f t="shared" si="30"/>
        <v>28828137.065668073</v>
      </c>
      <c r="AI30" s="99">
        <f t="shared" si="30"/>
        <v>29658675.694529969</v>
      </c>
      <c r="AJ30" s="99">
        <f t="shared" si="30"/>
        <v>30513142.141289379</v>
      </c>
      <c r="AK30" s="99">
        <f t="shared" si="30"/>
        <v>31392225.766379926</v>
      </c>
      <c r="AL30" s="99">
        <f t="shared" si="30"/>
        <v>32296635.790709332</v>
      </c>
      <c r="AM30" s="99">
        <f t="shared" si="30"/>
        <v>33227101.867839668</v>
      </c>
      <c r="AN30" s="99">
        <f t="shared" si="30"/>
        <v>34184374.672652125</v>
      </c>
      <c r="AO30" s="99">
        <f t="shared" si="30"/>
        <v>35169226.506971233</v>
      </c>
      <c r="AP30" s="99">
        <f t="shared" si="30"/>
        <v>36182451.922637075</v>
      </c>
      <c r="AQ30" s="99">
        <f t="shared" si="30"/>
        <v>37224868.36252825</v>
      </c>
      <c r="AR30" s="99"/>
      <c r="AS30" s="99"/>
      <c r="AT30" s="99"/>
      <c r="AU30" s="99"/>
      <c r="AV30" s="99"/>
      <c r="AW30" s="99"/>
      <c r="AX30" s="99"/>
      <c r="AY30" s="99"/>
      <c r="AZ30" s="99"/>
      <c r="BA30" s="99"/>
      <c r="BB30" s="99"/>
      <c r="BC30" s="99"/>
      <c r="BD30" s="99"/>
      <c r="BE30" s="99"/>
      <c r="BF30" s="99"/>
      <c r="BG30" s="99"/>
      <c r="BH30" s="99"/>
      <c r="BI30" s="99"/>
      <c r="BJ30" s="99"/>
      <c r="BK30" s="99"/>
      <c r="BL30" s="99"/>
      <c r="BM30" s="99"/>
      <c r="BN30" s="99"/>
    </row>
    <row r="31" spans="1:66" ht="17">
      <c r="A31" s="68" t="s">
        <v>56</v>
      </c>
      <c r="C31" s="99">
        <f>'7. Human capital &amp; pension valu'!C14+'7. Human capital &amp; pension valu'!C27</f>
        <v>39312000</v>
      </c>
      <c r="D31" s="99">
        <f>'7. Human capital &amp; pension valu'!D14+'7. Human capital &amp; pension valu'!D27</f>
        <v>40290868.799999997</v>
      </c>
      <c r="E31" s="99">
        <f>'7. Human capital &amp; pension valu'!E14+'7. Human capital &amp; pension valu'!E27</f>
        <v>41419013.126399994</v>
      </c>
      <c r="F31" s="99">
        <f>'7. Human capital &amp; pension valu'!F14+'7. Human capital &amp; pension valu'!F27</f>
        <v>51324000</v>
      </c>
      <c r="G31" s="99">
        <f>'7. Human capital &amp; pension valu'!G14+'7. Human capital &amp; pension valu'!G27</f>
        <v>52812395.999999993</v>
      </c>
      <c r="H31" s="99">
        <f>'7. Human capital &amp; pension valu'!H14+'7. Human capital &amp; pension valu'!H27</f>
        <v>42556359.299999997</v>
      </c>
      <c r="I31" s="99">
        <f>'7. Human capital &amp; pension valu'!I14+'7. Human capital &amp; pension valu'!I27</f>
        <v>62211513</v>
      </c>
      <c r="J31" s="99">
        <f>'7. Human capital &amp; pension valu'!J14+'7. Human capital &amp; pension valu'!J27</f>
        <v>64003826.68953</v>
      </c>
      <c r="K31" s="99">
        <f>'7. Human capital &amp; pension valu'!K14+'7. Human capital &amp; pension valu'!K27</f>
        <v>77503170.13704285</v>
      </c>
      <c r="L31" s="99">
        <f>'7. Human capital &amp; pension valu'!L14+'7. Human capital &amp; pension valu'!L27</f>
        <v>83276397.75</v>
      </c>
      <c r="M31" s="99">
        <f>'7. Human capital &amp; pension valu'!M14+'7. Human capital &amp; pension valu'!M27</f>
        <v>85675590.769177496</v>
      </c>
      <c r="N31" s="99">
        <f>'7. Human capital &amp; pension valu'!N14+'7. Human capital &amp; pension valu'!N27</f>
        <v>88143904.539237499</v>
      </c>
      <c r="O31" s="99">
        <f>'7. Human capital &amp; pension valu'!O14+'7. Human capital &amp; pension valu'!O27</f>
        <v>108123117.75770935</v>
      </c>
      <c r="P31" s="99">
        <f>'7. Human capital &amp; pension valu'!P14+'7. Human capital &amp; pension valu'!P27</f>
        <v>117598026</v>
      </c>
      <c r="Q31" s="99">
        <f>'7. Human capital &amp; pension valu'!Q14+'7. Human capital &amp; pension valu'!Q27</f>
        <v>120986025.12906</v>
      </c>
      <c r="R31" s="99">
        <f>'7. Human capital &amp; pension valu'!R14+'7. Human capital &amp; pension valu'!R27</f>
        <v>160565292.2389425</v>
      </c>
      <c r="S31" s="99">
        <f>'7. Human capital &amp; pension valu'!S14+'7. Human capital &amp; pension valu'!S27</f>
        <v>165191178.30834642</v>
      </c>
      <c r="T31" s="99">
        <f>'7. Human capital &amp; pension valu'!T14+'7. Human capital &amp; pension valu'!T27</f>
        <v>210334899.03835499</v>
      </c>
      <c r="U31" s="99">
        <f>'7. Human capital &amp; pension valu'!U14+'7. Human capital &amp; pension valu'!U27</f>
        <v>216394647.47965002</v>
      </c>
      <c r="V31" s="99">
        <f>'7. Human capital &amp; pension valu'!V14+'7. Human capital &amp; pension valu'!V27</f>
        <v>222628977.27353871</v>
      </c>
      <c r="W31" s="99">
        <f>'7. Human capital &amp; pension valu'!W14+'7. Human capital &amp; pension valu'!W27</f>
        <v>229042918.10878938</v>
      </c>
      <c r="X31" s="99">
        <f>'7. Human capital &amp; pension valu'!X14+'7. Human capital &amp; pension valu'!X27</f>
        <v>235641644.5795036</v>
      </c>
      <c r="Y31" s="99">
        <f>'7. Human capital &amp; pension valu'!Y14+'7. Human capital &amp; pension valu'!Y27</f>
        <v>242430480.35983908</v>
      </c>
      <c r="Z31" s="99">
        <f>'7. Human capital &amp; pension valu'!Z14+'7. Human capital &amp; pension valu'!Z27</f>
        <v>249414902.49900606</v>
      </c>
      <c r="AA31" s="99">
        <f>'7. Human capital &amp; pension valu'!AA14+'7. Human capital &amp; pension valu'!AA27</f>
        <v>256600545.84000242</v>
      </c>
      <c r="AB31" s="99">
        <f>'7. Human capital &amp; pension valu'!AB14+'7. Human capital &amp; pension valu'!AB27</f>
        <v>263993207.56565291</v>
      </c>
      <c r="AC31" s="99">
        <f>'7. Human capital &amp; pension valu'!AC14+'7. Human capital &amp; pension valu'!AC27</f>
        <v>271598851.87561941</v>
      </c>
      <c r="AD31" s="99">
        <f>'7. Human capital &amp; pension valu'!AD14+'7. Human capital &amp; pension valu'!AD27</f>
        <v>279423614.79815596</v>
      </c>
      <c r="AE31" s="99">
        <f>'7. Human capital &amp; pension valu'!AE14+'7. Human capital &amp; pension valu'!AE27</f>
        <v>287473809.14049083</v>
      </c>
      <c r="AF31" s="99">
        <f>'7. Human capital &amp; pension valu'!AF14+'7. Human capital &amp; pension valu'!AF27</f>
        <v>295755929.58182836</v>
      </c>
      <c r="AG31" s="99">
        <f>'7. Human capital &amp; pension valu'!AG14+'7. Human capital &amp; pension valu'!AG27</f>
        <v>304276657.91308087</v>
      </c>
      <c r="AH31" s="99">
        <f>'7. Human capital &amp; pension valu'!AH14+'7. Human capital &amp; pension valu'!AH27</f>
        <v>313042868.42755675</v>
      </c>
      <c r="AI31" s="99">
        <f>'7. Human capital &amp; pension valu'!AI14+'7. Human capital &amp; pension valu'!AI27</f>
        <v>322061633.46695465</v>
      </c>
      <c r="AJ31" s="99">
        <f>'7. Human capital &amp; pension valu'!AJ14+'7. Human capital &amp; pension valu'!AJ27</f>
        <v>331340229.1271376</v>
      </c>
      <c r="AK31" s="99">
        <f>'7. Human capital &amp; pension valu'!AK14+'7. Human capital &amp; pension valu'!AK27</f>
        <v>340886141.12829041</v>
      </c>
      <c r="AL31" s="99">
        <f>'7. Human capital &amp; pension valu'!AL14+'7. Human capital &amp; pension valu'!AL27</f>
        <v>350707070.85419655</v>
      </c>
      <c r="AM31" s="99">
        <f>'7. Human capital &amp; pension valu'!AM14+'7. Human capital &amp; pension valu'!AM27</f>
        <v>360810941.56550592</v>
      </c>
      <c r="AN31" s="99">
        <f>'7. Human capital &amp; pension valu'!AN14+'7. Human capital &amp; pension valu'!AN27</f>
        <v>371205904.79200816</v>
      </c>
      <c r="AO31" s="99">
        <f>'7. Human capital &amp; pension valu'!AO14+'7. Human capital &amp; pension valu'!AO27</f>
        <v>381900346.9090659</v>
      </c>
      <c r="AP31" s="99">
        <f>'7. Human capital &amp; pension valu'!AP14+'7. Human capital &amp; pension valu'!AP27</f>
        <v>203984200.5716804</v>
      </c>
      <c r="AQ31" s="99">
        <f>'7. Human capital &amp; pension valu'!AQ14+'7. Human capital &amp; pension valu'!AQ27</f>
        <v>209860985.39015052</v>
      </c>
    </row>
    <row r="32" spans="1:66" ht="17">
      <c r="A32" s="68" t="s">
        <v>307</v>
      </c>
      <c r="C32" s="99">
        <f>'7. Human capital &amp; pension valu'!C16+'7. Human capital &amp; pension valu'!C29</f>
        <v>35544000</v>
      </c>
      <c r="D32" s="99">
        <f>'7. Human capital &amp; pension valu'!D16+'7. Human capital &amp; pension valu'!D29</f>
        <v>39715845.599999979</v>
      </c>
      <c r="E32" s="99">
        <f>'7. Human capital &amp; pension valu'!E16+'7. Human capital &amp; pension valu'!E29</f>
        <v>44523889.276799992</v>
      </c>
      <c r="F32" s="99">
        <f>'7. Human capital &amp; pension valu'!F16+'7. Human capital &amp; pension valu'!F29</f>
        <v>65347600</v>
      </c>
      <c r="G32" s="99">
        <f>'7. Human capital &amp; pension valu'!G16+'7. Human capital &amp; pension valu'!G29</f>
        <v>66616280.399999999</v>
      </c>
      <c r="H32" s="99">
        <f>'7. Human capital &amp; pension valu'!H16+'7. Human capital &amp; pension valu'!H29</f>
        <v>65794230.069999993</v>
      </c>
      <c r="I32" s="99">
        <f>'7. Human capital &amp; pension valu'!I16+'7. Human capital &amp; pension valu'!I29</f>
        <v>69347908.700000003</v>
      </c>
      <c r="J32" s="99">
        <f>'7. Human capital &amp; pension valu'!J16+'7. Human capital &amp; pension valu'!J29</f>
        <v>70875642.749646991</v>
      </c>
      <c r="K32" s="99">
        <f>'7. Human capital &amp; pension valu'!K16+'7. Human capital &amp; pension valu'!K29</f>
        <v>87894588.960933372</v>
      </c>
      <c r="L32" s="99">
        <f>'7. Human capital &amp; pension valu'!L16+'7. Human capital &amp; pension valu'!L29</f>
        <v>95862680.450000003</v>
      </c>
      <c r="M32" s="99">
        <f>'7. Human capital &amp; pension valu'!M16+'7. Human capital &amp; pension valu'!M29</f>
        <v>99533727.8737645</v>
      </c>
      <c r="N32" s="99">
        <f>'7. Human capital &amp; pension valu'!N16+'7. Human capital &amp; pension valu'!N29</f>
        <v>103310538.17380765</v>
      </c>
      <c r="O32" s="99">
        <f>'7. Human capital &amp; pension valu'!O16+'7. Human capital &amp; pension valu'!O29</f>
        <v>135364172.17742833</v>
      </c>
      <c r="P32" s="99">
        <f>'7. Human capital &amp; pension valu'!P16+'7. Human capital &amp; pension valu'!P29</f>
        <v>151516634.80000001</v>
      </c>
      <c r="Q32" s="99">
        <f>'7. Human capital &amp; pension valu'!Q16+'7. Human capital &amp; pension valu'!Q29</f>
        <v>157292366.648588</v>
      </c>
      <c r="R32" s="99">
        <f>'7. Human capital &amp; pension valu'!R16+'7. Human capital &amp; pension valu'!R29</f>
        <v>242610593.43591148</v>
      </c>
      <c r="S32" s="99">
        <f>'7. Human capital &amp; pension valu'!S16+'7. Human capital &amp; pension valu'!S29</f>
        <v>252910249.95350012</v>
      </c>
      <c r="T32" s="99">
        <f>'7. Human capital &amp; pension valu'!T16+'7. Human capital &amp; pension valu'!T29</f>
        <v>356416384.68379354</v>
      </c>
      <c r="U32" s="99">
        <f>'7. Human capital &amp; pension valu'!U16+'7. Human capital &amp; pension valu'!U29</f>
        <v>371912027.12653363</v>
      </c>
      <c r="V32" s="99">
        <f>'7. Human capital &amp; pension valu'!V16+'7. Human capital &amp; pension valu'!V29</f>
        <v>387854099.02804899</v>
      </c>
      <c r="W32" s="99">
        <f>'7. Human capital &amp; pension valu'!W16+'7. Human capital &amp; pension valu'!W29</f>
        <v>404255462.02104712</v>
      </c>
      <c r="X32" s="99">
        <f>'7. Human capital &amp; pension valu'!X16+'7. Human capital &amp; pension valu'!X29</f>
        <v>421129348.28187352</v>
      </c>
      <c r="Y32" s="99">
        <f>'7. Human capital &amp; pension valu'!Y16+'7. Human capital &amp; pension valu'!Y29</f>
        <v>438489371.20587426</v>
      </c>
      <c r="Z32" s="99">
        <f>'7. Human capital &amp; pension valu'!Z16+'7. Human capital &amp; pension valu'!Z29</f>
        <v>456349536.39031553</v>
      </c>
      <c r="AA32" s="99">
        <f>'7. Human capital &amp; pension valu'!AA16+'7. Human capital &amp; pension valu'!AA29</f>
        <v>474724252.93372047</v>
      </c>
      <c r="AB32" s="99">
        <f>'7. Human capital &amp; pension valu'!AB16+'7. Human capital &amp; pension valu'!AB29</f>
        <v>494801114.10799772</v>
      </c>
      <c r="AC32" s="99">
        <f>'7. Human capital &amp; pension valu'!AC16+'7. Human capital &amp; pension valu'!AC29</f>
        <v>516989908.09559786</v>
      </c>
      <c r="AD32" s="99">
        <f>'7. Human capital &amp; pension valu'!AD16+'7. Human capital &amp; pension valu'!AD29</f>
        <v>540333784.14783204</v>
      </c>
      <c r="AE32" s="99">
        <f>'7. Human capital &amp; pension valu'!AE16+'7. Human capital &amp; pension valu'!AE29</f>
        <v>564350197.26913095</v>
      </c>
      <c r="AF32" s="99">
        <f>'7. Human capital &amp; pension valu'!AF16+'7. Human capital &amp; pension valu'!AF29</f>
        <v>589058523.25245476</v>
      </c>
      <c r="AG32" s="99">
        <f>'7. Human capital &amp; pension valu'!AG16+'7. Human capital &amp; pension valu'!AG29</f>
        <v>614478696.10735798</v>
      </c>
      <c r="AH32" s="99">
        <f>'7. Human capital &amp; pension valu'!AH16+'7. Human capital &amp; pension valu'!AH29</f>
        <v>640631224.14221096</v>
      </c>
      <c r="AI32" s="99">
        <f>'7. Human capital &amp; pension valu'!AI16+'7. Human capital &amp; pension valu'!AI29</f>
        <v>667537206.50974798</v>
      </c>
      <c r="AJ32" s="99">
        <f>'7. Human capital &amp; pension valu'!AJ16+'7. Human capital &amp; pension valu'!AJ29</f>
        <v>695218350.22929382</v>
      </c>
      <c r="AK32" s="99">
        <f>'7. Human capital &amp; pension valu'!AK16+'7. Human capital &amp; pension valu'!AK29</f>
        <v>723696987.69939995</v>
      </c>
      <c r="AL32" s="99">
        <f>'7. Human capital &amp; pension valu'!AL16+'7. Human capital &amp; pension valu'!AL29</f>
        <v>752996094.71501958</v>
      </c>
      <c r="AM32" s="99">
        <f>'7. Human capital &amp; pension valu'!AM16+'7. Human capital &amp; pension valu'!AM29</f>
        <v>783139309.00375938</v>
      </c>
      <c r="AN32" s="99">
        <f>'7. Human capital &amp; pension valu'!AN16+'7. Human capital &amp; pension valu'!AN29</f>
        <v>814150949.2961576</v>
      </c>
      <c r="AO32" s="99">
        <f>'7. Human capital &amp; pension valu'!AO16+'7. Human capital &amp; pension valu'!AO29</f>
        <v>846056034.94537997</v>
      </c>
      <c r="AP32" s="99">
        <f>'7. Human capital &amp; pension valu'!AP16+'7. Human capital &amp; pension valu'!AP29</f>
        <v>452672865.03884661</v>
      </c>
      <c r="AQ32" s="99">
        <f>'7. Human capital &amp; pension valu'!AQ16+'7. Human capital &amp; pension valu'!AQ29</f>
        <v>470205273.0806157</v>
      </c>
    </row>
    <row r="33" spans="1:66" ht="17">
      <c r="A33" s="68" t="s">
        <v>308</v>
      </c>
      <c r="B33" s="68"/>
      <c r="C33" s="103">
        <f>'11. Motorbike insurance'!$F$7*2</f>
        <v>132000</v>
      </c>
      <c r="D33" s="103">
        <f>'11. Motorbike insurance'!$F$7*2</f>
        <v>132000</v>
      </c>
      <c r="E33" s="103">
        <f>'11. Motorbike insurance'!$F$7*2</f>
        <v>132000</v>
      </c>
      <c r="F33" s="103">
        <f>'11. Motorbike insurance'!$F$7*2</f>
        <v>132000</v>
      </c>
      <c r="G33" s="103">
        <f>'11. Motorbike insurance'!$F$7*2</f>
        <v>132000</v>
      </c>
      <c r="H33" s="103">
        <f>'11. Motorbike insurance'!$F$7*2</f>
        <v>132000</v>
      </c>
      <c r="I33" s="103">
        <f>'11. Motorbike insurance'!$F$7*2</f>
        <v>132000</v>
      </c>
      <c r="J33" s="103">
        <f>'11. Motorbike insurance'!$F$7*2</f>
        <v>132000</v>
      </c>
      <c r="K33" s="103">
        <f>'11. Motorbike insurance'!$F$7*2</f>
        <v>132000</v>
      </c>
      <c r="L33" s="103">
        <f>'11. Motorbike insurance'!$F$7*2</f>
        <v>132000</v>
      </c>
      <c r="M33" s="103">
        <f>'11. Motorbike insurance'!$F$7*2</f>
        <v>132000</v>
      </c>
      <c r="N33" s="103">
        <f>'11. Motorbike insurance'!$F$7*2</f>
        <v>132000</v>
      </c>
      <c r="O33" s="103">
        <f>'11. Motorbike insurance'!$F$7*2</f>
        <v>132000</v>
      </c>
      <c r="P33" s="103">
        <f>'11. Motorbike insurance'!$F$7*2</f>
        <v>132000</v>
      </c>
      <c r="Q33" s="103">
        <f>'11. Motorbike insurance'!$F$7*2</f>
        <v>132000</v>
      </c>
      <c r="R33" s="103">
        <f>'11. Motorbike insurance'!$F$7*2</f>
        <v>132000</v>
      </c>
      <c r="S33" s="103">
        <f>'11. Motorbike insurance'!$F$7*2</f>
        <v>132000</v>
      </c>
      <c r="T33" s="103">
        <f>'11. Motorbike insurance'!$F$7*2</f>
        <v>132000</v>
      </c>
      <c r="U33" s="103">
        <f>'11. Motorbike insurance'!$F$7*2</f>
        <v>132000</v>
      </c>
      <c r="V33" s="103">
        <f>'11. Motorbike insurance'!$F$7*2</f>
        <v>132000</v>
      </c>
      <c r="W33" s="103">
        <f>'11. Motorbike insurance'!$F$7*2</f>
        <v>132000</v>
      </c>
      <c r="X33" s="103">
        <f>'11. Motorbike insurance'!$F$7*2</f>
        <v>132000</v>
      </c>
      <c r="Y33" s="103">
        <f>'11. Motorbike insurance'!$F$7*2</f>
        <v>132000</v>
      </c>
      <c r="Z33" s="103">
        <f>'11. Motorbike insurance'!$F$7*2</f>
        <v>132000</v>
      </c>
      <c r="AA33" s="103">
        <f>'11. Motorbike insurance'!$F$7*2</f>
        <v>132000</v>
      </c>
      <c r="AB33" s="103">
        <f>'11. Motorbike insurance'!$F$7*2</f>
        <v>132000</v>
      </c>
      <c r="AC33" s="103">
        <f>'11. Motorbike insurance'!$F$7*2</f>
        <v>132000</v>
      </c>
      <c r="AD33" s="103">
        <f>'11. Motorbike insurance'!$F$7*2</f>
        <v>132000</v>
      </c>
      <c r="AE33" s="103">
        <f>'11. Motorbike insurance'!$F$7*2</f>
        <v>132000</v>
      </c>
      <c r="AF33" s="103">
        <f>'11. Motorbike insurance'!$F$7*2</f>
        <v>132000</v>
      </c>
      <c r="AG33" s="103">
        <f>'11. Motorbike insurance'!$F$7*2</f>
        <v>132000</v>
      </c>
      <c r="AH33" s="103">
        <f>'11. Motorbike insurance'!$F$7*2</f>
        <v>132000</v>
      </c>
      <c r="AI33" s="103">
        <f>'11. Motorbike insurance'!$F$7*2</f>
        <v>132000</v>
      </c>
      <c r="AJ33" s="103">
        <f>'11. Motorbike insurance'!$F$7*2</f>
        <v>132000</v>
      </c>
      <c r="AK33" s="103">
        <f>'11. Motorbike insurance'!$F$7*2</f>
        <v>132000</v>
      </c>
      <c r="AL33" s="103">
        <f>'11. Motorbike insurance'!$F$7*2</f>
        <v>132000</v>
      </c>
      <c r="AM33" s="103">
        <f>'11. Motorbike insurance'!$F$7*2</f>
        <v>132000</v>
      </c>
      <c r="AN33" s="103">
        <f>'11. Motorbike insurance'!$F$7*2</f>
        <v>132000</v>
      </c>
      <c r="AO33" s="103">
        <f>'11. Motorbike insurance'!$F$7*2</f>
        <v>132000</v>
      </c>
      <c r="AP33" s="103">
        <f>'11. Motorbike insurance'!$F$7*2</f>
        <v>132000</v>
      </c>
      <c r="AQ33" s="103">
        <f>'11. Motorbike insurance'!$F$7*2</f>
        <v>132000</v>
      </c>
      <c r="AR33" s="99"/>
      <c r="AS33" s="99"/>
      <c r="AT33" s="99"/>
      <c r="AU33" s="99"/>
      <c r="AV33" s="99"/>
      <c r="AW33" s="99"/>
      <c r="AX33" s="99"/>
      <c r="AY33" s="99"/>
      <c r="AZ33" s="99"/>
      <c r="BA33" s="99"/>
      <c r="BB33" s="99"/>
      <c r="BC33" s="99"/>
      <c r="BD33" s="99"/>
      <c r="BE33" s="99"/>
      <c r="BF33" s="99"/>
      <c r="BG33" s="99"/>
      <c r="BH33" s="99"/>
      <c r="BI33" s="99"/>
      <c r="BJ33" s="99"/>
      <c r="BK33" s="99"/>
      <c r="BL33" s="99"/>
      <c r="BM33" s="99"/>
      <c r="BN33" s="99"/>
    </row>
    <row r="34" spans="1:66" ht="17">
      <c r="A34" s="68" t="s">
        <v>309</v>
      </c>
      <c r="B34" s="68"/>
      <c r="C34" s="99"/>
      <c r="D34" s="99"/>
      <c r="E34" s="99"/>
      <c r="F34" s="99"/>
      <c r="G34" s="99"/>
      <c r="H34" s="99"/>
      <c r="I34" s="99"/>
      <c r="J34" s="99"/>
      <c r="K34" s="68"/>
      <c r="L34" s="68"/>
      <c r="M34" s="68"/>
      <c r="N34" s="68"/>
      <c r="O34" s="68"/>
      <c r="P34" s="68"/>
      <c r="Q34" s="68"/>
      <c r="R34" s="68"/>
      <c r="S34" s="68"/>
      <c r="T34" s="68"/>
      <c r="U34" s="68"/>
      <c r="V34" s="68"/>
      <c r="W34" s="68"/>
      <c r="X34" s="68"/>
      <c r="Y34" s="68"/>
      <c r="Z34" s="99">
        <f>'12. Car insurance '!K33</f>
        <v>11750334.261157054</v>
      </c>
      <c r="AA34" s="99">
        <f>'12. Car insurance '!K34</f>
        <v>10698370.83504135</v>
      </c>
      <c r="AB34" s="99">
        <f>'12. Car insurance '!$K$35</f>
        <v>8594443.9828099385</v>
      </c>
      <c r="AC34" s="99">
        <f>'12. Car insurance '!$K$35</f>
        <v>8594443.9828099385</v>
      </c>
      <c r="AD34" s="99">
        <f>'12. Car insurance '!$K$35</f>
        <v>8594443.9828099385</v>
      </c>
      <c r="AE34" s="99">
        <f>'12. Car insurance '!$K$36</f>
        <v>7147994.2719008429</v>
      </c>
      <c r="AF34" s="99">
        <f>'12. Car insurance '!$K$36</f>
        <v>7147994.2719008429</v>
      </c>
      <c r="AG34" s="99">
        <f>'12. Car insurance '!$K$36</f>
        <v>7147994.2719008429</v>
      </c>
      <c r="AH34" s="99">
        <f>'12. Car insurance '!$K$37</f>
        <v>5175562.847933895</v>
      </c>
      <c r="AI34" s="99">
        <f>'12. Car insurance '!$K$37</f>
        <v>5175562.847933895</v>
      </c>
      <c r="AJ34" s="99">
        <f>'12. Car insurance '!$K$37</f>
        <v>5175562.847933895</v>
      </c>
      <c r="AK34" s="99">
        <f>'12. Car insurance '!$K$37</f>
        <v>5175562.847933895</v>
      </c>
      <c r="AL34" s="99">
        <f>'12. Car insurance '!$K$38</f>
        <v>4035935.8029752146</v>
      </c>
      <c r="AM34" s="99">
        <f>'12. Car insurance '!$K$38</f>
        <v>4035935.8029752146</v>
      </c>
      <c r="AN34" s="99">
        <f>'12. Car insurance '!$K$38</f>
        <v>4035935.8029752146</v>
      </c>
      <c r="AO34" s="99">
        <f>'12. Car insurance '!$K$38</f>
        <v>4035935.8029752146</v>
      </c>
      <c r="AP34" s="99">
        <f>'12. Car insurance '!$K$38</f>
        <v>4035935.8029752146</v>
      </c>
      <c r="AQ34" s="99">
        <f>'12. Car insurance '!$K$38</f>
        <v>4035935.8029752146</v>
      </c>
      <c r="AR34" s="99"/>
      <c r="AS34" s="99"/>
      <c r="AT34" s="99"/>
      <c r="AU34" s="99"/>
      <c r="AV34" s="99"/>
      <c r="AW34" s="99"/>
      <c r="AX34" s="99"/>
      <c r="AY34" s="99"/>
      <c r="AZ34" s="99"/>
      <c r="BA34" s="99"/>
      <c r="BB34" s="99"/>
      <c r="BC34" s="99"/>
      <c r="BD34" s="99"/>
      <c r="BE34" s="99"/>
      <c r="BF34" s="99"/>
      <c r="BG34" s="99"/>
      <c r="BH34" s="99"/>
      <c r="BI34" s="99"/>
      <c r="BJ34" s="99"/>
      <c r="BK34" s="99"/>
      <c r="BL34" s="99"/>
      <c r="BM34" s="99"/>
      <c r="BN34" s="99"/>
    </row>
    <row r="35" spans="1:66" ht="17">
      <c r="A35" s="68" t="s">
        <v>19</v>
      </c>
      <c r="B35" s="68"/>
      <c r="C35" s="99"/>
      <c r="D35" s="99"/>
      <c r="E35" s="99"/>
      <c r="F35" s="99"/>
      <c r="G35" s="99"/>
      <c r="H35" s="99"/>
      <c r="I35" s="99"/>
      <c r="J35" s="99"/>
      <c r="K35" s="103">
        <f>'14. Life insurance'!$F$5</f>
        <v>10900000</v>
      </c>
      <c r="L35" s="103">
        <f>'14. Life insurance'!$F$5</f>
        <v>10900000</v>
      </c>
      <c r="M35" s="103">
        <f t="shared" ref="M35:AO35" si="31">L35</f>
        <v>10900000</v>
      </c>
      <c r="N35" s="103">
        <f t="shared" si="31"/>
        <v>10900000</v>
      </c>
      <c r="O35" s="103">
        <f t="shared" si="31"/>
        <v>10900000</v>
      </c>
      <c r="P35" s="103">
        <f t="shared" si="31"/>
        <v>10900000</v>
      </c>
      <c r="Q35" s="103">
        <f t="shared" si="31"/>
        <v>10900000</v>
      </c>
      <c r="R35" s="103">
        <f t="shared" si="31"/>
        <v>10900000</v>
      </c>
      <c r="S35" s="103">
        <f t="shared" si="31"/>
        <v>10900000</v>
      </c>
      <c r="T35" s="103">
        <f t="shared" si="31"/>
        <v>10900000</v>
      </c>
      <c r="U35" s="103">
        <f t="shared" si="31"/>
        <v>10900000</v>
      </c>
      <c r="V35" s="103">
        <f t="shared" si="31"/>
        <v>10900000</v>
      </c>
      <c r="W35" s="103">
        <f t="shared" si="31"/>
        <v>10900000</v>
      </c>
      <c r="X35" s="103">
        <f t="shared" si="31"/>
        <v>10900000</v>
      </c>
      <c r="Y35" s="103">
        <f t="shared" si="31"/>
        <v>10900000</v>
      </c>
      <c r="Z35" s="103">
        <f t="shared" si="31"/>
        <v>10900000</v>
      </c>
      <c r="AA35" s="103">
        <f t="shared" si="31"/>
        <v>10900000</v>
      </c>
      <c r="AB35" s="103">
        <f t="shared" si="31"/>
        <v>10900000</v>
      </c>
      <c r="AC35" s="103">
        <f t="shared" si="31"/>
        <v>10900000</v>
      </c>
      <c r="AD35" s="103">
        <f t="shared" si="31"/>
        <v>10900000</v>
      </c>
      <c r="AE35" s="103">
        <f t="shared" si="31"/>
        <v>10900000</v>
      </c>
      <c r="AF35" s="103">
        <f t="shared" si="31"/>
        <v>10900000</v>
      </c>
      <c r="AG35" s="103">
        <f t="shared" si="31"/>
        <v>10900000</v>
      </c>
      <c r="AH35" s="103">
        <f t="shared" si="31"/>
        <v>10900000</v>
      </c>
      <c r="AI35" s="103">
        <f t="shared" si="31"/>
        <v>10900000</v>
      </c>
      <c r="AJ35" s="103">
        <f t="shared" si="31"/>
        <v>10900000</v>
      </c>
      <c r="AK35" s="103">
        <f t="shared" si="31"/>
        <v>10900000</v>
      </c>
      <c r="AL35" s="103">
        <f t="shared" si="31"/>
        <v>10900000</v>
      </c>
      <c r="AM35" s="103">
        <f t="shared" si="31"/>
        <v>10900000</v>
      </c>
      <c r="AN35" s="103">
        <f t="shared" si="31"/>
        <v>10900000</v>
      </c>
      <c r="AO35" s="103">
        <f t="shared" si="31"/>
        <v>10900000</v>
      </c>
      <c r="AP35" s="99"/>
      <c r="AQ35" s="99"/>
      <c r="AR35" s="99"/>
      <c r="AS35" s="99"/>
      <c r="AT35" s="99"/>
      <c r="AU35" s="99"/>
      <c r="AV35" s="99"/>
      <c r="AW35" s="99"/>
      <c r="AX35" s="99"/>
      <c r="AY35" s="99"/>
      <c r="AZ35" s="99"/>
      <c r="BA35" s="99"/>
      <c r="BB35" s="99"/>
      <c r="BC35" s="99"/>
      <c r="BD35" s="99"/>
      <c r="BE35" s="99"/>
      <c r="BF35" s="99"/>
      <c r="BG35" s="99"/>
      <c r="BH35" s="99"/>
      <c r="BI35" s="99"/>
      <c r="BJ35" s="99"/>
      <c r="BK35" s="99"/>
      <c r="BL35" s="99"/>
      <c r="BM35" s="99"/>
      <c r="BN35" s="99"/>
    </row>
    <row r="36" spans="1:66" ht="17">
      <c r="A36" s="68" t="s">
        <v>310</v>
      </c>
      <c r="B36" s="68"/>
      <c r="C36" s="99"/>
      <c r="D36" s="99"/>
      <c r="E36" s="99"/>
      <c r="F36" s="99"/>
      <c r="G36" s="99"/>
      <c r="H36" s="99"/>
      <c r="I36" s="99">
        <f>'13. Health insurance '!$G$15+'13. Health insurance '!$G$18*2</f>
        <v>6017500</v>
      </c>
      <c r="J36" s="99">
        <f>'13. Health insurance '!$G$15+'13. Health insurance '!$G$18*2</f>
        <v>6017500</v>
      </c>
      <c r="K36" s="99">
        <f>'13. Health insurance '!$G$15+'13. Health insurance '!$G$18*2</f>
        <v>6017500</v>
      </c>
      <c r="L36" s="99">
        <f>'13. Health insurance '!$G$16+'13. Health insurance '!$G$18*2</f>
        <v>4814000</v>
      </c>
      <c r="M36" s="99">
        <f>'13. Health insurance '!$G$16+'13. Health insurance '!$G$18*2</f>
        <v>4814000</v>
      </c>
      <c r="N36" s="99">
        <f>'13. Health insurance '!$G$16+'13. Health insurance '!$G$18*2</f>
        <v>4814000</v>
      </c>
      <c r="O36" s="99">
        <f>'13. Health insurance '!$G$16+'13. Health insurance '!$G$18*2</f>
        <v>4814000</v>
      </c>
      <c r="P36" s="99">
        <f>'13. Health insurance '!$G$16+'13. Health insurance '!$G$18*2</f>
        <v>4814000</v>
      </c>
      <c r="Q36" s="99">
        <f>'13. Health insurance '!$G$16+'13. Health insurance '!$G$18*2</f>
        <v>4814000</v>
      </c>
      <c r="R36" s="99">
        <f>'13. Health insurance '!$G$16+'13. Health insurance '!$G$18*2</f>
        <v>4814000</v>
      </c>
      <c r="S36" s="99">
        <f>'13. Health insurance '!$G$17+'13. Health insurance '!$G$18*2</f>
        <v>4573300</v>
      </c>
      <c r="T36" s="99">
        <f>'13. Health insurance '!$G$17+'13. Health insurance '!$G$18*2</f>
        <v>4573300</v>
      </c>
      <c r="U36" s="99">
        <f>'13. Health insurance '!$G$17+'13. Health insurance '!$G$18*2</f>
        <v>4573300</v>
      </c>
      <c r="V36" s="99">
        <f>'13. Health insurance '!$G$17+'13. Health insurance '!$G$19*2</f>
        <v>4934350</v>
      </c>
      <c r="W36" s="99">
        <f>'13. Health insurance '!$G$17+'13. Health insurance '!$G$19*2</f>
        <v>4934350</v>
      </c>
      <c r="X36" s="99">
        <f>'13. Health insurance '!$G$17+'13. Health insurance '!$G$19*2</f>
        <v>4934350</v>
      </c>
      <c r="Y36" s="99">
        <f>'13. Health insurance '!$G$17+'13. Health insurance '!$G$19*2</f>
        <v>4934350</v>
      </c>
      <c r="Z36" s="99">
        <f>'13. Health insurance '!$G$17+'13. Health insurance '!$G$19*2</f>
        <v>4934350</v>
      </c>
      <c r="AA36" s="99">
        <f>'13. Health insurance '!$G$19*2+'13. Health insurance '!G17</f>
        <v>4934350</v>
      </c>
      <c r="AB36" s="99">
        <f>'13. Health insurance '!$G$19*2+'13. Health insurance '!G17</f>
        <v>4934350</v>
      </c>
      <c r="AC36" s="99">
        <f>'13. Health insurance '!$G$19*2+'13. Health insurance '!G17</f>
        <v>4934350</v>
      </c>
      <c r="AD36" s="99">
        <f>'13. Health insurance '!$G$19*2+'13. Health insurance '!G17</f>
        <v>4934350</v>
      </c>
      <c r="AE36" s="99">
        <f>'13. Health insurance '!$G$19*2</f>
        <v>3369800</v>
      </c>
      <c r="AF36" s="99">
        <f>'13. Health insurance '!$G$20*2</f>
        <v>3610500</v>
      </c>
      <c r="AG36" s="99">
        <f>'13. Health insurance '!$G$20*2</f>
        <v>3610500</v>
      </c>
      <c r="AH36" s="99">
        <f>'13. Health insurance '!$G$20*2</f>
        <v>3610500</v>
      </c>
      <c r="AI36" s="99">
        <f>'13. Health insurance '!$G$20*2</f>
        <v>3610500</v>
      </c>
      <c r="AJ36" s="99">
        <f>'13. Health insurance '!$G$20*2</f>
        <v>3610500</v>
      </c>
      <c r="AK36" s="99">
        <f>'13. Health insurance '!$G$20*2</f>
        <v>3610500</v>
      </c>
      <c r="AL36" s="99">
        <f>'13. Health insurance '!$G$20*2</f>
        <v>3610500</v>
      </c>
      <c r="AM36" s="99">
        <f>'13. Health insurance '!$G$20*2</f>
        <v>3610500</v>
      </c>
      <c r="AN36" s="99">
        <f>'13. Health insurance '!$G$20*2</f>
        <v>3610500</v>
      </c>
      <c r="AO36" s="99">
        <f>'13. Health insurance '!$G$20*2</f>
        <v>3610500</v>
      </c>
      <c r="AP36" s="99">
        <f>'13. Health insurance '!$G$20</f>
        <v>1805250</v>
      </c>
      <c r="AQ36" s="99">
        <f>'13. Health insurance '!$G$20</f>
        <v>1805250</v>
      </c>
      <c r="AR36" s="99"/>
      <c r="AS36" s="99"/>
      <c r="AT36" s="99"/>
      <c r="AU36" s="99"/>
      <c r="AV36" s="99"/>
      <c r="AW36" s="99"/>
      <c r="AX36" s="99"/>
      <c r="AY36" s="99"/>
      <c r="AZ36" s="99"/>
      <c r="BA36" s="99"/>
      <c r="BB36" s="99"/>
      <c r="BC36" s="99"/>
      <c r="BD36" s="99"/>
      <c r="BE36" s="99"/>
      <c r="BF36" s="99"/>
      <c r="BG36" s="99"/>
      <c r="BH36" s="99"/>
      <c r="BI36" s="99"/>
      <c r="BJ36" s="99"/>
      <c r="BK36" s="99"/>
      <c r="BL36" s="99"/>
      <c r="BM36" s="99"/>
      <c r="BN36" s="99"/>
    </row>
    <row r="37" spans="1:66" ht="17">
      <c r="A37" s="68" t="s">
        <v>311</v>
      </c>
      <c r="B37" s="68"/>
      <c r="C37" s="99"/>
      <c r="D37" s="99"/>
      <c r="E37" s="99"/>
      <c r="F37" s="99"/>
      <c r="G37" s="99"/>
      <c r="H37" s="99"/>
      <c r="I37" s="99"/>
      <c r="J37" s="99"/>
      <c r="K37" s="99"/>
      <c r="L37" s="99"/>
      <c r="M37" s="99">
        <f>'10. Mortgage payment '!$M$14</f>
        <v>450276095.35562545</v>
      </c>
      <c r="N37" s="99">
        <f>'10. Mortgage payment '!$M$14</f>
        <v>450276095.35562545</v>
      </c>
      <c r="O37" s="99">
        <f>'10. Mortgage payment '!$M$14</f>
        <v>450276095.35562545</v>
      </c>
      <c r="P37" s="99">
        <f>'10. Mortgage payment '!$M$14</f>
        <v>450276095.35562545</v>
      </c>
      <c r="Q37" s="99">
        <f>'10. Mortgage payment '!$M$14</f>
        <v>450276095.35562545</v>
      </c>
      <c r="R37" s="99">
        <f>'10. Mortgage payment '!$M$14</f>
        <v>450276095.35562545</v>
      </c>
      <c r="S37" s="99">
        <f>'10. Mortgage payment '!$M$14</f>
        <v>450276095.35562545</v>
      </c>
      <c r="T37" s="99">
        <f>'10. Mortgage payment '!$M$14</f>
        <v>450276095.35562545</v>
      </c>
      <c r="U37" s="99">
        <f>'10. Mortgage payment '!$M$14</f>
        <v>450276095.35562545</v>
      </c>
      <c r="V37" s="99">
        <f>'10. Mortgage payment '!$M$14</f>
        <v>450276095.35562545</v>
      </c>
      <c r="W37" s="99"/>
      <c r="X37" s="99"/>
      <c r="Y37" s="99"/>
      <c r="Z37" s="99"/>
      <c r="AA37" s="99"/>
      <c r="AB37" s="99"/>
      <c r="AC37" s="99"/>
      <c r="AD37" s="99"/>
      <c r="AE37" s="99"/>
      <c r="AF37" s="99"/>
      <c r="AG37" s="99"/>
      <c r="AH37" s="99"/>
      <c r="AI37" s="99"/>
      <c r="AJ37" s="99"/>
      <c r="AK37" s="99"/>
      <c r="AL37" s="99"/>
      <c r="AM37" s="99"/>
      <c r="AN37" s="99"/>
      <c r="AO37" s="99"/>
      <c r="AP37" s="99"/>
      <c r="AQ37" s="99"/>
      <c r="AR37" s="99"/>
      <c r="AS37" s="99"/>
      <c r="AT37" s="99"/>
      <c r="AU37" s="99"/>
      <c r="AV37" s="99"/>
      <c r="AW37" s="99"/>
      <c r="AX37" s="99"/>
      <c r="AY37" s="99"/>
      <c r="AZ37" s="99"/>
      <c r="BA37" s="99"/>
      <c r="BB37" s="99"/>
      <c r="BC37" s="99"/>
      <c r="BD37" s="99"/>
      <c r="BE37" s="99"/>
      <c r="BF37" s="99"/>
      <c r="BG37" s="99"/>
      <c r="BH37" s="99"/>
      <c r="BI37" s="99"/>
      <c r="BJ37" s="99"/>
      <c r="BK37" s="99"/>
      <c r="BL37" s="99"/>
      <c r="BM37" s="99"/>
      <c r="BN37" s="99"/>
    </row>
    <row r="38" spans="1:66" ht="17">
      <c r="A38" s="68" t="s">
        <v>312</v>
      </c>
      <c r="B38" s="68"/>
      <c r="C38" s="99"/>
      <c r="D38" s="99"/>
      <c r="E38" s="99"/>
      <c r="F38" s="99"/>
      <c r="G38" s="99"/>
      <c r="H38" s="99"/>
      <c r="I38" s="99"/>
      <c r="J38" s="99"/>
      <c r="K38" s="99"/>
      <c r="L38" s="99"/>
      <c r="M38" s="99"/>
      <c r="N38" s="99"/>
      <c r="O38" s="99"/>
      <c r="P38" s="99"/>
      <c r="Q38" s="99"/>
      <c r="R38" s="99"/>
      <c r="S38" s="99"/>
      <c r="T38" s="99"/>
      <c r="U38" s="99"/>
      <c r="V38" s="99"/>
      <c r="W38" s="99"/>
      <c r="X38" s="99"/>
      <c r="Y38" s="99"/>
      <c r="Z38" s="99">
        <f>'3. Financial drivers '!D27*(1+D3)*(1+E3)*(1+F3)*(1+G3)*(1+H3)*(1+I3)^18</f>
        <v>876636188.42975581</v>
      </c>
      <c r="AA38" s="99"/>
      <c r="AB38" s="99"/>
      <c r="AC38" s="99"/>
      <c r="AD38" s="68"/>
      <c r="AE38" s="68"/>
      <c r="AF38" s="68"/>
      <c r="AG38" s="99"/>
      <c r="AH38" s="99"/>
      <c r="AI38" s="99"/>
      <c r="AJ38" s="99"/>
      <c r="AK38" s="99"/>
      <c r="AL38" s="99"/>
      <c r="AM38" s="99"/>
      <c r="AN38" s="99"/>
      <c r="AO38" s="99"/>
      <c r="AP38" s="99"/>
      <c r="AQ38" s="99"/>
      <c r="AR38" s="99"/>
      <c r="AS38" s="99"/>
      <c r="AT38" s="99"/>
      <c r="AU38" s="99"/>
      <c r="AV38" s="99"/>
      <c r="AW38" s="99"/>
      <c r="AX38" s="99"/>
      <c r="AY38" s="99"/>
      <c r="AZ38" s="99"/>
      <c r="BA38" s="99"/>
      <c r="BB38" s="99"/>
      <c r="BC38" s="99"/>
      <c r="BD38" s="99"/>
      <c r="BE38" s="99"/>
      <c r="BF38" s="99"/>
      <c r="BG38" s="99"/>
      <c r="BH38" s="99"/>
      <c r="BI38" s="99"/>
      <c r="BJ38" s="99"/>
      <c r="BK38" s="99"/>
      <c r="BL38" s="99"/>
      <c r="BM38" s="99"/>
      <c r="BN38" s="99"/>
    </row>
    <row r="39" spans="1:66" ht="17">
      <c r="A39" s="100" t="s">
        <v>313</v>
      </c>
      <c r="B39" s="101"/>
      <c r="C39" s="102">
        <f>SUM(C17:C38)</f>
        <v>374388000</v>
      </c>
      <c r="D39" s="102">
        <f t="shared" ref="D39:AQ39" si="32">SUM(D17:D38)</f>
        <v>386993774.39999998</v>
      </c>
      <c r="E39" s="102">
        <f t="shared" si="32"/>
        <v>401521904.08319998</v>
      </c>
      <c r="F39" s="102">
        <f t="shared" si="32"/>
        <v>441398564.72871995</v>
      </c>
      <c r="G39" s="102">
        <f t="shared" si="32"/>
        <v>453568895.10585272</v>
      </c>
      <c r="H39" s="102">
        <f t="shared" si="32"/>
        <v>520177046.4183225</v>
      </c>
      <c r="I39" s="102">
        <f t="shared" si="32"/>
        <v>573610016.05588472</v>
      </c>
      <c r="J39" s="102">
        <f t="shared" si="32"/>
        <v>589488374.32345474</v>
      </c>
      <c r="K39" s="102">
        <f t="shared" si="32"/>
        <v>616382242.5518626</v>
      </c>
      <c r="L39" s="102">
        <f t="shared" si="32"/>
        <v>641421728.52719295</v>
      </c>
      <c r="M39" s="102">
        <f t="shared" si="32"/>
        <v>983611149.75870752</v>
      </c>
      <c r="N39" s="102">
        <f t="shared" si="32"/>
        <v>962228769.69429898</v>
      </c>
      <c r="O39" s="102">
        <f t="shared" si="32"/>
        <v>1023038647.7095261</v>
      </c>
      <c r="P39" s="102">
        <f t="shared" si="32"/>
        <v>1057695915.6246729</v>
      </c>
      <c r="Q39" s="102">
        <f t="shared" si="32"/>
        <v>1076149694.986624</v>
      </c>
      <c r="R39" s="102">
        <f t="shared" si="32"/>
        <v>1210604883.5620852</v>
      </c>
      <c r="S39" s="102">
        <f t="shared" si="32"/>
        <v>1249402656.3519034</v>
      </c>
      <c r="T39" s="102">
        <f t="shared" si="32"/>
        <v>1408580257.1932843</v>
      </c>
      <c r="U39" s="102">
        <f t="shared" si="32"/>
        <v>1440966697.8028271</v>
      </c>
      <c r="V39" s="102">
        <f t="shared" si="32"/>
        <v>1474647241.766331</v>
      </c>
      <c r="W39" s="102">
        <f t="shared" si="32"/>
        <v>1062339641.1048973</v>
      </c>
      <c r="X39" s="102">
        <f t="shared" si="32"/>
        <v>1097712942.0216291</v>
      </c>
      <c r="Y39" s="102">
        <f t="shared" si="32"/>
        <v>1134105347.7377722</v>
      </c>
      <c r="Z39" s="102">
        <f t="shared" si="32"/>
        <v>2128036903.7780776</v>
      </c>
      <c r="AA39" s="102">
        <f t="shared" si="32"/>
        <v>1290830375.257827</v>
      </c>
      <c r="AB39" s="102">
        <f t="shared" si="32"/>
        <v>1331547116.3567731</v>
      </c>
      <c r="AC39" s="102">
        <f t="shared" si="32"/>
        <v>1377134966.1945157</v>
      </c>
      <c r="AD39" s="102">
        <f t="shared" si="32"/>
        <v>1424552024.8959351</v>
      </c>
      <c r="AE39" s="102">
        <f t="shared" si="32"/>
        <v>1322099300.5554569</v>
      </c>
      <c r="AF39" s="102">
        <f t="shared" si="32"/>
        <v>1368258228.6314862</v>
      </c>
      <c r="AG39" s="102">
        <f t="shared" si="32"/>
        <v>1415499360.8583858</v>
      </c>
      <c r="AH39" s="102">
        <f t="shared" si="32"/>
        <v>1462129078.6807756</v>
      </c>
      <c r="AI39" s="102">
        <f t="shared" si="32"/>
        <v>1512131455.8469198</v>
      </c>
      <c r="AJ39" s="102">
        <f t="shared" si="32"/>
        <v>1563574401.4992206</v>
      </c>
      <c r="AK39" s="102">
        <f t="shared" si="32"/>
        <v>1616499418.4157643</v>
      </c>
      <c r="AL39" s="102">
        <f t="shared" si="32"/>
        <v>1669809578.0247145</v>
      </c>
      <c r="AM39" s="102">
        <f t="shared" si="32"/>
        <v>1725828063.0321229</v>
      </c>
      <c r="AN39" s="102">
        <f t="shared" si="32"/>
        <v>1783460440.5925946</v>
      </c>
      <c r="AO39" s="102">
        <f t="shared" si="32"/>
        <v>1842753206.9505835</v>
      </c>
      <c r="AP39" s="102">
        <f t="shared" si="32"/>
        <v>1275922811.5022011</v>
      </c>
      <c r="AQ39" s="102">
        <f t="shared" si="32"/>
        <v>1317000963.0185955</v>
      </c>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row>
    <row r="40" spans="1:66" ht="17">
      <c r="A40" s="68" t="s">
        <v>219</v>
      </c>
      <c r="B40" s="68"/>
      <c r="C40" s="99">
        <f t="shared" ref="C40:AQ40" ca="1" si="33">C14-C39</f>
        <v>3932000</v>
      </c>
      <c r="D40" s="99">
        <f t="shared" ca="1" si="33"/>
        <v>-3271214.3999999762</v>
      </c>
      <c r="E40" s="99">
        <f t="shared" ca="1" si="33"/>
        <v>-7055112.4032000303</v>
      </c>
      <c r="F40" s="99">
        <f t="shared" ca="1" si="33"/>
        <v>47401435.27128005</v>
      </c>
      <c r="G40" s="99">
        <f t="shared" ca="1" si="33"/>
        <v>51243483.951868117</v>
      </c>
      <c r="H40" s="99">
        <f t="shared" ca="1" si="33"/>
        <v>-113086173.77119094</v>
      </c>
      <c r="I40" s="99">
        <f t="shared" ca="1" si="33"/>
        <v>24178361.414016604</v>
      </c>
      <c r="J40" s="99">
        <f t="shared" ca="1" si="33"/>
        <v>23629717.117215872</v>
      </c>
      <c r="K40" s="99">
        <f t="shared" ca="1" si="33"/>
        <v>128715346.58730209</v>
      </c>
      <c r="L40" s="99">
        <f t="shared" ca="1" si="33"/>
        <v>163126473.14706337</v>
      </c>
      <c r="M40" s="99">
        <f t="shared" ca="1" si="33"/>
        <v>-127028472.89327526</v>
      </c>
      <c r="N40" s="99">
        <f t="shared" ca="1" si="33"/>
        <v>-96738777.34982872</v>
      </c>
      <c r="O40" s="99">
        <f t="shared" ca="1" si="33"/>
        <v>29697861.182580948</v>
      </c>
      <c r="P40" s="99">
        <f t="shared" ca="1" si="33"/>
        <v>85156794.529411793</v>
      </c>
      <c r="Q40" s="99">
        <f t="shared" ca="1" si="33"/>
        <v>98262767.985174656</v>
      </c>
      <c r="R40" s="99">
        <f t="shared" ca="1" si="33"/>
        <v>351790754.89429975</v>
      </c>
      <c r="S40" s="99">
        <f t="shared" ca="1" si="33"/>
        <v>349168201.75151634</v>
      </c>
      <c r="T40" s="99">
        <f t="shared" ca="1" si="33"/>
        <v>588023650.26256847</v>
      </c>
      <c r="U40" s="99">
        <f t="shared" ca="1" si="33"/>
        <v>718333468.85541892</v>
      </c>
      <c r="V40" s="99">
        <f t="shared" ca="1" si="33"/>
        <v>819751876.83145499</v>
      </c>
      <c r="W40" s="99">
        <f t="shared" ca="1" si="33"/>
        <v>1315928990.314904</v>
      </c>
      <c r="X40" s="99">
        <f t="shared" ca="1" si="33"/>
        <v>1437166314.4996054</v>
      </c>
      <c r="Y40" s="99">
        <f t="shared" ca="1" si="33"/>
        <v>1602527168.8775651</v>
      </c>
      <c r="Z40" s="99">
        <f t="shared" ca="1" si="33"/>
        <v>746191563.74614048</v>
      </c>
      <c r="AA40" s="99">
        <f t="shared" ca="1" si="33"/>
        <v>1228228438.9556296</v>
      </c>
      <c r="AB40" s="99">
        <f t="shared" ca="1" si="33"/>
        <v>1350630086.472378</v>
      </c>
      <c r="AC40" s="99">
        <f t="shared" ca="1" si="33"/>
        <v>1793864464.1305156</v>
      </c>
      <c r="AD40" s="99">
        <f t="shared" ca="1" si="33"/>
        <v>1859198522.0854359</v>
      </c>
      <c r="AE40" s="99">
        <f t="shared" ca="1" si="33"/>
        <v>2038757031.7215235</v>
      </c>
      <c r="AF40" s="99">
        <f t="shared" ca="1" si="33"/>
        <v>2097408872.9828279</v>
      </c>
      <c r="AG40" s="99">
        <f t="shared" ca="1" si="33"/>
        <v>2517621797.5134106</v>
      </c>
      <c r="AH40" s="99">
        <f t="shared" ca="1" si="33"/>
        <v>2442757828.9061418</v>
      </c>
      <c r="AI40" s="99">
        <f t="shared" ca="1" si="33"/>
        <v>2644795706.3330574</v>
      </c>
      <c r="AJ40" s="99">
        <f t="shared" ca="1" si="33"/>
        <v>3045482206.3834829</v>
      </c>
      <c r="AK40" s="99">
        <f t="shared" ca="1" si="33"/>
        <v>3158910951.1440749</v>
      </c>
      <c r="AL40" s="99">
        <f t="shared" ca="1" si="33"/>
        <v>3169633236.3662939</v>
      </c>
      <c r="AM40" s="99">
        <f t="shared" ca="1" si="33"/>
        <v>3166486866.4627342</v>
      </c>
      <c r="AN40" s="99">
        <f t="shared" ca="1" si="33"/>
        <v>4293951390.9386592</v>
      </c>
      <c r="AO40" s="99">
        <f t="shared" ca="1" si="33"/>
        <v>4428501331.3133287</v>
      </c>
      <c r="AP40" s="99">
        <f t="shared" ca="1" si="33"/>
        <v>3243337042.9145622</v>
      </c>
      <c r="AQ40" s="99">
        <f t="shared" ca="1" si="33"/>
        <v>3313792344.8272429</v>
      </c>
      <c r="AR40" s="99"/>
      <c r="AS40" s="99"/>
      <c r="AT40" s="99"/>
      <c r="AU40" s="99"/>
      <c r="AV40" s="99"/>
      <c r="AW40" s="99"/>
      <c r="AX40" s="99"/>
      <c r="AY40" s="99"/>
      <c r="AZ40" s="99"/>
      <c r="BA40" s="99"/>
      <c r="BB40" s="99"/>
      <c r="BC40" s="99"/>
      <c r="BD40" s="99"/>
      <c r="BE40" s="99"/>
      <c r="BF40" s="99"/>
      <c r="BG40" s="99"/>
      <c r="BH40" s="99"/>
      <c r="BI40" s="99"/>
      <c r="BJ40" s="99"/>
      <c r="BK40" s="99"/>
      <c r="BL40" s="99"/>
      <c r="BM40" s="99"/>
      <c r="BN40" s="99"/>
    </row>
    <row r="41" spans="1:66" ht="17">
      <c r="A41" s="68"/>
      <c r="B41" s="68"/>
      <c r="C41" s="99"/>
      <c r="D41" s="99"/>
      <c r="E41" s="99"/>
      <c r="F41" s="99"/>
      <c r="G41" s="99"/>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c r="AU41" s="99"/>
      <c r="AV41" s="99"/>
      <c r="AW41" s="99"/>
      <c r="AX41" s="99"/>
      <c r="AY41" s="99"/>
      <c r="AZ41" s="99"/>
      <c r="BA41" s="99"/>
      <c r="BB41" s="99"/>
      <c r="BC41" s="99"/>
      <c r="BD41" s="99"/>
      <c r="BE41" s="99"/>
      <c r="BF41" s="99"/>
      <c r="BG41" s="99"/>
      <c r="BH41" s="99"/>
      <c r="BI41" s="99"/>
      <c r="BJ41" s="99"/>
      <c r="BK41" s="99"/>
      <c r="BL41" s="99"/>
      <c r="BM41" s="99"/>
      <c r="BN41" s="99"/>
    </row>
    <row r="42" spans="1:66" ht="17">
      <c r="A42" s="68"/>
      <c r="B42" s="68"/>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X42" s="99"/>
      <c r="AY42" s="99"/>
      <c r="AZ42" s="99"/>
      <c r="BA42" s="99"/>
      <c r="BB42" s="99"/>
      <c r="BC42" s="99"/>
      <c r="BD42" s="99"/>
      <c r="BE42" s="99"/>
      <c r="BF42" s="99"/>
      <c r="BG42" s="99"/>
      <c r="BH42" s="99"/>
      <c r="BI42" s="99"/>
      <c r="BJ42" s="99"/>
      <c r="BK42" s="99"/>
      <c r="BL42" s="99"/>
      <c r="BM42" s="99"/>
      <c r="BN42" s="99"/>
    </row>
    <row r="43" spans="1:66" ht="17">
      <c r="A43" s="68"/>
      <c r="B43" s="68"/>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c r="BE43" s="99"/>
      <c r="BF43" s="99"/>
      <c r="BG43" s="99"/>
      <c r="BH43" s="99"/>
      <c r="BI43" s="99"/>
      <c r="BJ43" s="99"/>
      <c r="BK43" s="99"/>
      <c r="BL43" s="99"/>
      <c r="BM43" s="99"/>
      <c r="BN43" s="99"/>
    </row>
    <row r="44" spans="1:66" ht="17">
      <c r="A44" s="68"/>
      <c r="B44" s="68"/>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c r="BC44" s="99"/>
      <c r="BD44" s="99"/>
      <c r="BE44" s="99"/>
      <c r="BF44" s="99"/>
      <c r="BG44" s="99"/>
      <c r="BH44" s="99"/>
      <c r="BI44" s="99"/>
      <c r="BJ44" s="99"/>
      <c r="BK44" s="99"/>
      <c r="BL44" s="99"/>
      <c r="BM44" s="99"/>
      <c r="BN44" s="99"/>
    </row>
    <row r="45" spans="1:66" ht="17">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K45" s="68"/>
      <c r="BL45" s="68"/>
      <c r="BM45" s="68"/>
      <c r="BN45" s="68"/>
    </row>
    <row r="46" spans="1:66" ht="17">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68"/>
      <c r="BK46" s="68"/>
      <c r="BL46" s="68"/>
      <c r="BM46" s="68"/>
      <c r="BN46" s="68"/>
    </row>
    <row r="47" spans="1:66" ht="1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c r="BJ47" s="68"/>
      <c r="BK47" s="68"/>
      <c r="BL47" s="68"/>
      <c r="BM47" s="68"/>
      <c r="BN47" s="68"/>
    </row>
    <row r="48" spans="1:66" ht="17">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68"/>
      <c r="BF48" s="68"/>
      <c r="BG48" s="68"/>
      <c r="BH48" s="68"/>
      <c r="BI48" s="68"/>
      <c r="BJ48" s="68"/>
      <c r="BK48" s="68"/>
      <c r="BL48" s="68"/>
      <c r="BM48" s="68"/>
      <c r="BN48" s="68"/>
    </row>
    <row r="49" spans="1:66" ht="17">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c r="BA49" s="68"/>
      <c r="BB49" s="68"/>
      <c r="BC49" s="68"/>
      <c r="BD49" s="68"/>
      <c r="BE49" s="68"/>
      <c r="BF49" s="68"/>
      <c r="BG49" s="68"/>
      <c r="BH49" s="68"/>
      <c r="BI49" s="68"/>
      <c r="BJ49" s="68"/>
      <c r="BK49" s="68"/>
      <c r="BL49" s="68"/>
      <c r="BM49" s="68"/>
      <c r="BN49" s="68"/>
    </row>
    <row r="50" spans="1:66" ht="17">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c r="BG50" s="68"/>
      <c r="BH50" s="68"/>
      <c r="BI50" s="68"/>
      <c r="BJ50" s="68"/>
      <c r="BK50" s="68"/>
      <c r="BL50" s="68"/>
      <c r="BM50" s="68"/>
      <c r="BN50" s="68"/>
    </row>
    <row r="51" spans="1:66" ht="17">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68"/>
      <c r="BK51" s="68"/>
      <c r="BL51" s="68"/>
      <c r="BM51" s="68"/>
      <c r="BN51" s="68"/>
    </row>
    <row r="52" spans="1:66" ht="17">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row>
    <row r="53" spans="1:66" ht="17">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N53" s="68"/>
    </row>
    <row r="54" spans="1:66" ht="17">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row>
    <row r="55" spans="1:66" ht="17">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68"/>
      <c r="BK55" s="68"/>
      <c r="BL55" s="68"/>
      <c r="BM55" s="68"/>
      <c r="BN55" s="68"/>
    </row>
    <row r="56" spans="1:66" ht="17">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68"/>
      <c r="BK56" s="68"/>
      <c r="BL56" s="68"/>
      <c r="BM56" s="68"/>
      <c r="BN56" s="68"/>
    </row>
    <row r="57" spans="1:66" ht="1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68"/>
      <c r="BK57" s="68"/>
      <c r="BL57" s="68"/>
      <c r="BM57" s="68"/>
      <c r="BN57" s="68"/>
    </row>
    <row r="58" spans="1:66" ht="17">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row>
    <row r="59" spans="1:66" ht="17">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68"/>
      <c r="BK59" s="68"/>
      <c r="BL59" s="68"/>
      <c r="BM59" s="68"/>
      <c r="BN59" s="68"/>
    </row>
    <row r="60" spans="1:66" ht="17">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68"/>
      <c r="BK60" s="68"/>
      <c r="BL60" s="68"/>
      <c r="BM60" s="68"/>
      <c r="BN60" s="68"/>
    </row>
    <row r="61" spans="1:66" ht="17">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68"/>
      <c r="BK61" s="68"/>
      <c r="BL61" s="68"/>
      <c r="BM61" s="68"/>
      <c r="BN61" s="68"/>
    </row>
    <row r="62" spans="1:66" ht="17">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c r="BJ62" s="68"/>
      <c r="BK62" s="68"/>
      <c r="BL62" s="68"/>
      <c r="BM62" s="68"/>
      <c r="BN62" s="68"/>
    </row>
    <row r="63" spans="1:66" ht="17">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c r="BJ63" s="68"/>
      <c r="BK63" s="68"/>
      <c r="BL63" s="68"/>
      <c r="BM63" s="68"/>
      <c r="BN63" s="68"/>
    </row>
    <row r="64" spans="1:66" ht="17">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68"/>
      <c r="BK64" s="68"/>
      <c r="BL64" s="68"/>
      <c r="BM64" s="68"/>
      <c r="BN64" s="68"/>
    </row>
    <row r="65" spans="1:66" ht="17">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68"/>
      <c r="BK65" s="68"/>
      <c r="BL65" s="68"/>
      <c r="BM65" s="68"/>
      <c r="BN65" s="68"/>
    </row>
    <row r="66" spans="1:66" ht="17">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c r="BG66" s="68"/>
      <c r="BH66" s="68"/>
      <c r="BI66" s="68"/>
      <c r="BJ66" s="68"/>
      <c r="BK66" s="68"/>
      <c r="BL66" s="68"/>
      <c r="BM66" s="68"/>
      <c r="BN66" s="68"/>
    </row>
    <row r="67" spans="1:66" ht="1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68"/>
      <c r="BK67" s="68"/>
      <c r="BL67" s="68"/>
      <c r="BM67" s="68"/>
      <c r="BN67" s="68"/>
    </row>
    <row r="68" spans="1:66" ht="17">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68"/>
      <c r="BK68" s="68"/>
      <c r="BL68" s="68"/>
      <c r="BM68" s="68"/>
      <c r="BN68" s="68"/>
    </row>
    <row r="69" spans="1:66" ht="17">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row>
    <row r="70" spans="1:66" ht="17">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68"/>
      <c r="BK70" s="68"/>
      <c r="BL70" s="68"/>
      <c r="BM70" s="68"/>
      <c r="BN70" s="68"/>
    </row>
    <row r="71" spans="1:66" ht="17">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c r="BG71" s="68"/>
      <c r="BH71" s="68"/>
      <c r="BI71" s="68"/>
      <c r="BJ71" s="68"/>
      <c r="BK71" s="68"/>
      <c r="BL71" s="68"/>
      <c r="BM71" s="68"/>
      <c r="BN71" s="68"/>
    </row>
    <row r="72" spans="1:66" ht="17">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68"/>
      <c r="BK72" s="68"/>
      <c r="BL72" s="68"/>
      <c r="BM72" s="68"/>
      <c r="BN72" s="68"/>
    </row>
    <row r="73" spans="1:66" ht="17">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K73" s="68"/>
      <c r="BL73" s="68"/>
      <c r="BM73" s="68"/>
      <c r="BN73" s="68"/>
    </row>
    <row r="74" spans="1:66" ht="17">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row>
    <row r="75" spans="1:66" ht="17">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68"/>
      <c r="BK75" s="68"/>
      <c r="BL75" s="68"/>
      <c r="BM75" s="68"/>
      <c r="BN75" s="68"/>
    </row>
    <row r="76" spans="1:66" ht="17">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c r="BJ76" s="68"/>
      <c r="BK76" s="68"/>
      <c r="BL76" s="68"/>
      <c r="BM76" s="68"/>
      <c r="BN76" s="68"/>
    </row>
    <row r="77" spans="1:66" ht="1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68"/>
      <c r="BK77" s="68"/>
      <c r="BL77" s="68"/>
      <c r="BM77" s="68"/>
      <c r="BN77" s="68"/>
    </row>
    <row r="78" spans="1:66" ht="17">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68"/>
      <c r="BK78" s="68"/>
      <c r="BL78" s="68"/>
      <c r="BM78" s="68"/>
      <c r="BN78" s="68"/>
    </row>
    <row r="79" spans="1:66" ht="17">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68"/>
      <c r="BK79" s="68"/>
      <c r="BL79" s="68"/>
      <c r="BM79" s="68"/>
      <c r="BN79" s="68"/>
    </row>
    <row r="80" spans="1:66" ht="17">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68"/>
      <c r="BK80" s="68"/>
      <c r="BL80" s="68"/>
      <c r="BM80" s="68"/>
      <c r="BN80" s="68"/>
    </row>
    <row r="81" spans="1:66" ht="17">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c r="BA81" s="68"/>
      <c r="BB81" s="68"/>
      <c r="BC81" s="68"/>
      <c r="BD81" s="68"/>
      <c r="BE81" s="68"/>
      <c r="BF81" s="68"/>
      <c r="BG81" s="68"/>
      <c r="BH81" s="68"/>
      <c r="BI81" s="68"/>
      <c r="BJ81" s="68"/>
      <c r="BK81" s="68"/>
      <c r="BL81" s="68"/>
      <c r="BM81" s="68"/>
      <c r="BN81" s="68"/>
    </row>
    <row r="82" spans="1:66" ht="17">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68"/>
      <c r="BF82" s="68"/>
      <c r="BG82" s="68"/>
      <c r="BH82" s="68"/>
      <c r="BI82" s="68"/>
      <c r="BJ82" s="68"/>
      <c r="BK82" s="68"/>
      <c r="BL82" s="68"/>
      <c r="BM82" s="68"/>
      <c r="BN82" s="68"/>
    </row>
    <row r="83" spans="1:66" ht="17">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c r="BJ83" s="68"/>
      <c r="BK83" s="68"/>
      <c r="BL83" s="68"/>
      <c r="BM83" s="68"/>
      <c r="BN83" s="68"/>
    </row>
    <row r="84" spans="1:66" ht="17">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c r="BJ84" s="68"/>
      <c r="BK84" s="68"/>
      <c r="BL84" s="68"/>
      <c r="BM84" s="68"/>
      <c r="BN84" s="68"/>
    </row>
    <row r="85" spans="1:66" ht="17">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68"/>
      <c r="BK85" s="68"/>
      <c r="BL85" s="68"/>
      <c r="BM85" s="68"/>
      <c r="BN85" s="68"/>
    </row>
    <row r="86" spans="1:66" ht="17">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68"/>
      <c r="BK86" s="68"/>
      <c r="BL86" s="68"/>
      <c r="BM86" s="68"/>
      <c r="BN86" s="68"/>
    </row>
    <row r="87" spans="1:66" ht="1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c r="BJ87" s="68"/>
      <c r="BK87" s="68"/>
      <c r="BL87" s="68"/>
      <c r="BM87" s="68"/>
      <c r="BN87" s="68"/>
    </row>
    <row r="88" spans="1:66" ht="17">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68"/>
      <c r="BK88" s="68"/>
      <c r="BL88" s="68"/>
      <c r="BM88" s="68"/>
      <c r="BN88" s="68"/>
    </row>
    <row r="89" spans="1:66" ht="17">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68"/>
      <c r="BK89" s="68"/>
      <c r="BL89" s="68"/>
      <c r="BM89" s="68"/>
      <c r="BN89" s="68"/>
    </row>
    <row r="90" spans="1:66" ht="17">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68"/>
      <c r="BK90" s="68"/>
      <c r="BL90" s="68"/>
      <c r="BM90" s="68"/>
      <c r="BN90" s="68"/>
    </row>
    <row r="91" spans="1:66" ht="17">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c r="BJ91" s="68"/>
      <c r="BK91" s="68"/>
      <c r="BL91" s="68"/>
      <c r="BM91" s="68"/>
      <c r="BN91" s="68"/>
    </row>
    <row r="92" spans="1:66" ht="17">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row>
    <row r="93" spans="1:66" ht="17">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c r="BJ93" s="68"/>
      <c r="BK93" s="68"/>
      <c r="BL93" s="68"/>
      <c r="BM93" s="68"/>
      <c r="BN93" s="68"/>
    </row>
    <row r="94" spans="1:66" ht="17">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c r="BA94" s="68"/>
      <c r="BB94" s="68"/>
      <c r="BC94" s="68"/>
      <c r="BD94" s="68"/>
      <c r="BE94" s="68"/>
      <c r="BF94" s="68"/>
      <c r="BG94" s="68"/>
      <c r="BH94" s="68"/>
      <c r="BI94" s="68"/>
      <c r="BJ94" s="68"/>
      <c r="BK94" s="68"/>
      <c r="BL94" s="68"/>
      <c r="BM94" s="68"/>
      <c r="BN94" s="68"/>
    </row>
    <row r="95" spans="1:66" ht="17">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c r="AI95" s="68"/>
      <c r="AJ95" s="68"/>
      <c r="AK95" s="68"/>
      <c r="AL95" s="68"/>
      <c r="AM95" s="68"/>
      <c r="AN95" s="68"/>
      <c r="AO95" s="68"/>
      <c r="AP95" s="68"/>
      <c r="AQ95" s="68"/>
      <c r="AR95" s="68"/>
      <c r="AS95" s="68"/>
      <c r="AT95" s="68"/>
      <c r="AU95" s="68"/>
      <c r="AV95" s="68"/>
      <c r="AW95" s="68"/>
      <c r="AX95" s="68"/>
      <c r="AY95" s="68"/>
      <c r="AZ95" s="68"/>
      <c r="BA95" s="68"/>
      <c r="BB95" s="68"/>
      <c r="BC95" s="68"/>
      <c r="BD95" s="68"/>
      <c r="BE95" s="68"/>
      <c r="BF95" s="68"/>
      <c r="BG95" s="68"/>
      <c r="BH95" s="68"/>
      <c r="BI95" s="68"/>
      <c r="BJ95" s="68"/>
      <c r="BK95" s="68"/>
      <c r="BL95" s="68"/>
      <c r="BM95" s="68"/>
      <c r="BN95" s="68"/>
    </row>
    <row r="96" spans="1:66" ht="17">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c r="BA96" s="68"/>
      <c r="BB96" s="68"/>
      <c r="BC96" s="68"/>
      <c r="BD96" s="68"/>
      <c r="BE96" s="68"/>
      <c r="BF96" s="68"/>
      <c r="BG96" s="68"/>
      <c r="BH96" s="68"/>
      <c r="BI96" s="68"/>
      <c r="BJ96" s="68"/>
      <c r="BK96" s="68"/>
      <c r="BL96" s="68"/>
      <c r="BM96" s="68"/>
      <c r="BN96" s="68"/>
    </row>
    <row r="97" spans="1:66" ht="1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row>
    <row r="98" spans="1:66" ht="17">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c r="BG98" s="68"/>
      <c r="BH98" s="68"/>
      <c r="BI98" s="68"/>
      <c r="BJ98" s="68"/>
      <c r="BK98" s="68"/>
      <c r="BL98" s="68"/>
      <c r="BM98" s="68"/>
      <c r="BN98" s="68"/>
    </row>
    <row r="99" spans="1:66" ht="17">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N99" s="68"/>
    </row>
    <row r="100" spans="1:66" ht="17">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8"/>
      <c r="AI100" s="68"/>
      <c r="AJ100" s="68"/>
      <c r="AK100" s="68"/>
      <c r="AL100" s="68"/>
      <c r="AM100" s="68"/>
      <c r="AN100" s="68"/>
      <c r="AO100" s="68"/>
      <c r="AP100" s="68"/>
      <c r="AQ100" s="68"/>
      <c r="AR100" s="68"/>
      <c r="AS100" s="68"/>
      <c r="AT100" s="68"/>
      <c r="AU100" s="68"/>
      <c r="AV100" s="68"/>
      <c r="AW100" s="68"/>
      <c r="AX100" s="68"/>
      <c r="AY100" s="68"/>
      <c r="AZ100" s="68"/>
      <c r="BA100" s="68"/>
      <c r="BB100" s="68"/>
      <c r="BC100" s="68"/>
      <c r="BD100" s="68"/>
      <c r="BE100" s="68"/>
      <c r="BF100" s="68"/>
      <c r="BG100" s="68"/>
      <c r="BH100" s="68"/>
      <c r="BI100" s="68"/>
      <c r="BJ100" s="68"/>
      <c r="BK100" s="68"/>
      <c r="BL100" s="68"/>
      <c r="BM100" s="68"/>
      <c r="BN100" s="68"/>
    </row>
    <row r="101" spans="1:66" ht="17">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68"/>
      <c r="BA101" s="68"/>
      <c r="BB101" s="68"/>
      <c r="BC101" s="68"/>
      <c r="BD101" s="68"/>
      <c r="BE101" s="68"/>
      <c r="BF101" s="68"/>
      <c r="BG101" s="68"/>
      <c r="BH101" s="68"/>
      <c r="BI101" s="68"/>
      <c r="BJ101" s="68"/>
      <c r="BK101" s="68"/>
      <c r="BL101" s="68"/>
      <c r="BM101" s="68"/>
      <c r="BN101" s="68"/>
    </row>
    <row r="102" spans="1:66" ht="17">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68"/>
      <c r="BA102" s="68"/>
      <c r="BB102" s="68"/>
      <c r="BC102" s="68"/>
      <c r="BD102" s="68"/>
      <c r="BE102" s="68"/>
      <c r="BF102" s="68"/>
      <c r="BG102" s="68"/>
      <c r="BH102" s="68"/>
      <c r="BI102" s="68"/>
      <c r="BJ102" s="68"/>
      <c r="BK102" s="68"/>
      <c r="BL102" s="68"/>
      <c r="BM102" s="68"/>
      <c r="BN102" s="68"/>
    </row>
    <row r="103" spans="1:66" ht="17">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N103" s="68"/>
    </row>
    <row r="104" spans="1:66" ht="17">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68"/>
      <c r="BA104" s="68"/>
      <c r="BB104" s="68"/>
      <c r="BC104" s="68"/>
      <c r="BD104" s="68"/>
      <c r="BE104" s="68"/>
      <c r="BF104" s="68"/>
      <c r="BG104" s="68"/>
      <c r="BH104" s="68"/>
      <c r="BI104" s="68"/>
      <c r="BJ104" s="68"/>
      <c r="BK104" s="68"/>
      <c r="BL104" s="68"/>
      <c r="BM104" s="68"/>
      <c r="BN104" s="68"/>
    </row>
    <row r="105" spans="1:66" ht="17">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8"/>
      <c r="AJ105" s="68"/>
      <c r="AK105" s="68"/>
      <c r="AL105" s="68"/>
      <c r="AM105" s="68"/>
      <c r="AN105" s="68"/>
      <c r="AO105" s="68"/>
      <c r="AP105" s="68"/>
      <c r="AQ105" s="68"/>
      <c r="AR105" s="68"/>
      <c r="AS105" s="68"/>
      <c r="AT105" s="68"/>
      <c r="AU105" s="68"/>
      <c r="AV105" s="68"/>
      <c r="AW105" s="68"/>
      <c r="AX105" s="68"/>
      <c r="AY105" s="68"/>
      <c r="AZ105" s="68"/>
      <c r="BA105" s="68"/>
      <c r="BB105" s="68"/>
      <c r="BC105" s="68"/>
      <c r="BD105" s="68"/>
      <c r="BE105" s="68"/>
      <c r="BF105" s="68"/>
      <c r="BG105" s="68"/>
      <c r="BH105" s="68"/>
      <c r="BI105" s="68"/>
      <c r="BJ105" s="68"/>
      <c r="BK105" s="68"/>
      <c r="BL105" s="68"/>
      <c r="BM105" s="68"/>
      <c r="BN105" s="68"/>
    </row>
    <row r="106" spans="1:66" ht="17">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c r="BA106" s="68"/>
      <c r="BB106" s="68"/>
      <c r="BC106" s="68"/>
      <c r="BD106" s="68"/>
      <c r="BE106" s="68"/>
      <c r="BF106" s="68"/>
      <c r="BG106" s="68"/>
      <c r="BH106" s="68"/>
      <c r="BI106" s="68"/>
      <c r="BJ106" s="68"/>
      <c r="BK106" s="68"/>
      <c r="BL106" s="68"/>
      <c r="BM106" s="68"/>
      <c r="BN106" s="68"/>
    </row>
    <row r="107" spans="1:66" ht="1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c r="BA107" s="68"/>
      <c r="BB107" s="68"/>
      <c r="BC107" s="68"/>
      <c r="BD107" s="68"/>
      <c r="BE107" s="68"/>
      <c r="BF107" s="68"/>
      <c r="BG107" s="68"/>
      <c r="BH107" s="68"/>
      <c r="BI107" s="68"/>
      <c r="BJ107" s="68"/>
      <c r="BK107" s="68"/>
      <c r="BL107" s="68"/>
      <c r="BM107" s="68"/>
      <c r="BN107" s="68"/>
    </row>
    <row r="108" spans="1:66" ht="17">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68"/>
      <c r="AG108" s="68"/>
      <c r="AH108" s="68"/>
      <c r="AI108" s="68"/>
      <c r="AJ108" s="68"/>
      <c r="AK108" s="68"/>
      <c r="AL108" s="68"/>
      <c r="AM108" s="68"/>
      <c r="AN108" s="68"/>
      <c r="AO108" s="68"/>
      <c r="AP108" s="68"/>
      <c r="AQ108" s="68"/>
      <c r="AR108" s="68"/>
      <c r="AS108" s="68"/>
      <c r="AT108" s="68"/>
      <c r="AU108" s="68"/>
      <c r="AV108" s="68"/>
      <c r="AW108" s="68"/>
      <c r="AX108" s="68"/>
      <c r="AY108" s="68"/>
      <c r="AZ108" s="68"/>
      <c r="BA108" s="68"/>
      <c r="BB108" s="68"/>
      <c r="BC108" s="68"/>
      <c r="BD108" s="68"/>
      <c r="BE108" s="68"/>
      <c r="BF108" s="68"/>
      <c r="BG108" s="68"/>
      <c r="BH108" s="68"/>
      <c r="BI108" s="68"/>
      <c r="BJ108" s="68"/>
      <c r="BK108" s="68"/>
      <c r="BL108" s="68"/>
      <c r="BM108" s="68"/>
      <c r="BN108" s="68"/>
    </row>
    <row r="109" spans="1:66" ht="17">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c r="BA109" s="68"/>
      <c r="BB109" s="68"/>
      <c r="BC109" s="68"/>
      <c r="BD109" s="68"/>
      <c r="BE109" s="68"/>
      <c r="BF109" s="68"/>
      <c r="BG109" s="68"/>
      <c r="BH109" s="68"/>
      <c r="BI109" s="68"/>
      <c r="BJ109" s="68"/>
      <c r="BK109" s="68"/>
      <c r="BL109" s="68"/>
      <c r="BM109" s="68"/>
      <c r="BN109" s="68"/>
    </row>
    <row r="110" spans="1:66" ht="17">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c r="BF110" s="68"/>
      <c r="BG110" s="68"/>
      <c r="BH110" s="68"/>
      <c r="BI110" s="68"/>
      <c r="BJ110" s="68"/>
      <c r="BK110" s="68"/>
      <c r="BL110" s="68"/>
      <c r="BM110" s="68"/>
      <c r="BN110" s="68"/>
    </row>
    <row r="111" spans="1:66" ht="17">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68"/>
      <c r="BG111" s="68"/>
      <c r="BH111" s="68"/>
      <c r="BI111" s="68"/>
      <c r="BJ111" s="68"/>
      <c r="BK111" s="68"/>
      <c r="BL111" s="68"/>
      <c r="BM111" s="68"/>
      <c r="BN111" s="68"/>
    </row>
    <row r="112" spans="1:66" ht="17">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8"/>
      <c r="BA112" s="68"/>
      <c r="BB112" s="68"/>
      <c r="BC112" s="68"/>
      <c r="BD112" s="68"/>
      <c r="BE112" s="68"/>
      <c r="BF112" s="68"/>
      <c r="BG112" s="68"/>
      <c r="BH112" s="68"/>
      <c r="BI112" s="68"/>
      <c r="BJ112" s="68"/>
      <c r="BK112" s="68"/>
      <c r="BL112" s="68"/>
      <c r="BM112" s="68"/>
      <c r="BN112" s="68"/>
    </row>
    <row r="113" spans="1:66" ht="17">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68"/>
      <c r="BA113" s="68"/>
      <c r="BB113" s="68"/>
      <c r="BC113" s="68"/>
      <c r="BD113" s="68"/>
      <c r="BE113" s="68"/>
      <c r="BF113" s="68"/>
      <c r="BG113" s="68"/>
      <c r="BH113" s="68"/>
      <c r="BI113" s="68"/>
      <c r="BJ113" s="68"/>
      <c r="BK113" s="68"/>
      <c r="BL113" s="68"/>
      <c r="BM113" s="68"/>
      <c r="BN113" s="68"/>
    </row>
    <row r="114" spans="1:66" ht="17">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8"/>
      <c r="BA114" s="68"/>
      <c r="BB114" s="68"/>
      <c r="BC114" s="68"/>
      <c r="BD114" s="68"/>
      <c r="BE114" s="68"/>
      <c r="BF114" s="68"/>
      <c r="BG114" s="68"/>
      <c r="BH114" s="68"/>
      <c r="BI114" s="68"/>
      <c r="BJ114" s="68"/>
      <c r="BK114" s="68"/>
      <c r="BL114" s="68"/>
      <c r="BM114" s="68"/>
      <c r="BN114" s="68"/>
    </row>
    <row r="115" spans="1:66" ht="17">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s="68"/>
      <c r="AL115" s="68"/>
      <c r="AM115" s="68"/>
      <c r="AN115" s="68"/>
      <c r="AO115" s="68"/>
      <c r="AP115" s="68"/>
      <c r="AQ115" s="68"/>
      <c r="AR115" s="68"/>
      <c r="AS115" s="68"/>
      <c r="AT115" s="68"/>
      <c r="AU115" s="68"/>
      <c r="AV115" s="68"/>
      <c r="AW115" s="68"/>
      <c r="AX115" s="68"/>
      <c r="AY115" s="68"/>
      <c r="AZ115" s="68"/>
      <c r="BA115" s="68"/>
      <c r="BB115" s="68"/>
      <c r="BC115" s="68"/>
      <c r="BD115" s="68"/>
      <c r="BE115" s="68"/>
      <c r="BF115" s="68"/>
      <c r="BG115" s="68"/>
      <c r="BH115" s="68"/>
      <c r="BI115" s="68"/>
      <c r="BJ115" s="68"/>
      <c r="BK115" s="68"/>
      <c r="BL115" s="68"/>
      <c r="BM115" s="68"/>
      <c r="BN115" s="68"/>
    </row>
    <row r="116" spans="1:66" ht="17">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c r="BF116" s="68"/>
      <c r="BG116" s="68"/>
      <c r="BH116" s="68"/>
      <c r="BI116" s="68"/>
      <c r="BJ116" s="68"/>
      <c r="BK116" s="68"/>
      <c r="BL116" s="68"/>
      <c r="BM116" s="68"/>
      <c r="BN116" s="68"/>
    </row>
    <row r="117" spans="1:66" ht="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c r="BF117" s="68"/>
      <c r="BG117" s="68"/>
      <c r="BH117" s="68"/>
      <c r="BI117" s="68"/>
      <c r="BJ117" s="68"/>
      <c r="BK117" s="68"/>
      <c r="BL117" s="68"/>
      <c r="BM117" s="68"/>
      <c r="BN117" s="68"/>
    </row>
    <row r="118" spans="1:66" ht="17">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c r="BA118" s="68"/>
      <c r="BB118" s="68"/>
      <c r="BC118" s="68"/>
      <c r="BD118" s="68"/>
      <c r="BE118" s="68"/>
      <c r="BF118" s="68"/>
      <c r="BG118" s="68"/>
      <c r="BH118" s="68"/>
      <c r="BI118" s="68"/>
      <c r="BJ118" s="68"/>
      <c r="BK118" s="68"/>
      <c r="BL118" s="68"/>
      <c r="BM118" s="68"/>
      <c r="BN118" s="68"/>
    </row>
    <row r="119" spans="1:66" ht="17">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c r="BF119" s="68"/>
      <c r="BG119" s="68"/>
      <c r="BH119" s="68"/>
      <c r="BI119" s="68"/>
      <c r="BJ119" s="68"/>
      <c r="BK119" s="68"/>
      <c r="BL119" s="68"/>
      <c r="BM119" s="68"/>
      <c r="BN119" s="68"/>
    </row>
    <row r="120" spans="1:66" ht="17">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row>
    <row r="121" spans="1:66" ht="17">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c r="BF121" s="68"/>
      <c r="BG121" s="68"/>
      <c r="BH121" s="68"/>
      <c r="BI121" s="68"/>
      <c r="BJ121" s="68"/>
      <c r="BK121" s="68"/>
      <c r="BL121" s="68"/>
      <c r="BM121" s="68"/>
      <c r="BN121" s="68"/>
    </row>
    <row r="122" spans="1:66" ht="17">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68"/>
      <c r="AG122" s="68"/>
      <c r="AH122" s="68"/>
      <c r="AI122" s="68"/>
      <c r="AJ122" s="68"/>
      <c r="AK122" s="68"/>
      <c r="AL122" s="68"/>
      <c r="AM122" s="68"/>
      <c r="AN122" s="68"/>
      <c r="AO122" s="68"/>
      <c r="AP122" s="68"/>
      <c r="AQ122" s="68"/>
      <c r="AR122" s="68"/>
      <c r="AS122" s="68"/>
      <c r="AT122" s="68"/>
      <c r="AU122" s="68"/>
      <c r="AV122" s="68"/>
      <c r="AW122" s="68"/>
      <c r="AX122" s="68"/>
      <c r="AY122" s="68"/>
      <c r="AZ122" s="68"/>
      <c r="BA122" s="68"/>
      <c r="BB122" s="68"/>
      <c r="BC122" s="68"/>
      <c r="BD122" s="68"/>
      <c r="BE122" s="68"/>
      <c r="BF122" s="68"/>
      <c r="BG122" s="68"/>
      <c r="BH122" s="68"/>
      <c r="BI122" s="68"/>
      <c r="BJ122" s="68"/>
      <c r="BK122" s="68"/>
      <c r="BL122" s="68"/>
      <c r="BM122" s="68"/>
      <c r="BN122" s="68"/>
    </row>
    <row r="123" spans="1:66" ht="17">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c r="AH123" s="68"/>
      <c r="AI123" s="68"/>
      <c r="AJ123" s="68"/>
      <c r="AK123" s="68"/>
      <c r="AL123" s="68"/>
      <c r="AM123" s="68"/>
      <c r="AN123" s="68"/>
      <c r="AO123" s="68"/>
      <c r="AP123" s="68"/>
      <c r="AQ123" s="68"/>
      <c r="AR123" s="68"/>
      <c r="AS123" s="68"/>
      <c r="AT123" s="68"/>
      <c r="AU123" s="68"/>
      <c r="AV123" s="68"/>
      <c r="AW123" s="68"/>
      <c r="AX123" s="68"/>
      <c r="AY123" s="68"/>
      <c r="AZ123" s="68"/>
      <c r="BA123" s="68"/>
      <c r="BB123" s="68"/>
      <c r="BC123" s="68"/>
      <c r="BD123" s="68"/>
      <c r="BE123" s="68"/>
      <c r="BF123" s="68"/>
      <c r="BG123" s="68"/>
      <c r="BH123" s="68"/>
      <c r="BI123" s="68"/>
      <c r="BJ123" s="68"/>
      <c r="BK123" s="68"/>
      <c r="BL123" s="68"/>
      <c r="BM123" s="68"/>
      <c r="BN123" s="68"/>
    </row>
    <row r="124" spans="1:66" ht="17">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c r="AG124" s="68"/>
      <c r="AH124" s="68"/>
      <c r="AI124" s="68"/>
      <c r="AJ124" s="68"/>
      <c r="AK124" s="68"/>
      <c r="AL124" s="68"/>
      <c r="AM124" s="68"/>
      <c r="AN124" s="68"/>
      <c r="AO124" s="68"/>
      <c r="AP124" s="68"/>
      <c r="AQ124" s="68"/>
      <c r="AR124" s="68"/>
      <c r="AS124" s="68"/>
      <c r="AT124" s="68"/>
      <c r="AU124" s="68"/>
      <c r="AV124" s="68"/>
      <c r="AW124" s="68"/>
      <c r="AX124" s="68"/>
      <c r="AY124" s="68"/>
      <c r="AZ124" s="68"/>
      <c r="BA124" s="68"/>
      <c r="BB124" s="68"/>
      <c r="BC124" s="68"/>
      <c r="BD124" s="68"/>
      <c r="BE124" s="68"/>
      <c r="BF124" s="68"/>
      <c r="BG124" s="68"/>
      <c r="BH124" s="68"/>
      <c r="BI124" s="68"/>
      <c r="BJ124" s="68"/>
      <c r="BK124" s="68"/>
      <c r="BL124" s="68"/>
      <c r="BM124" s="68"/>
      <c r="BN124" s="68"/>
    </row>
    <row r="125" spans="1:66" ht="17">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c r="BA125" s="68"/>
      <c r="BB125" s="68"/>
      <c r="BC125" s="68"/>
      <c r="BD125" s="68"/>
      <c r="BE125" s="68"/>
      <c r="BF125" s="68"/>
      <c r="BG125" s="68"/>
      <c r="BH125" s="68"/>
      <c r="BI125" s="68"/>
      <c r="BJ125" s="68"/>
      <c r="BK125" s="68"/>
      <c r="BL125" s="68"/>
      <c r="BM125" s="68"/>
      <c r="BN125" s="68"/>
    </row>
    <row r="126" spans="1:66" ht="17">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c r="BA126" s="68"/>
      <c r="BB126" s="68"/>
      <c r="BC126" s="68"/>
      <c r="BD126" s="68"/>
      <c r="BE126" s="68"/>
      <c r="BF126" s="68"/>
      <c r="BG126" s="68"/>
      <c r="BH126" s="68"/>
      <c r="BI126" s="68"/>
      <c r="BJ126" s="68"/>
      <c r="BK126" s="68"/>
      <c r="BL126" s="68"/>
      <c r="BM126" s="68"/>
      <c r="BN126" s="68"/>
    </row>
    <row r="127" spans="1:66" ht="1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c r="BF127" s="68"/>
      <c r="BG127" s="68"/>
      <c r="BH127" s="68"/>
      <c r="BI127" s="68"/>
      <c r="BJ127" s="68"/>
      <c r="BK127" s="68"/>
      <c r="BL127" s="68"/>
      <c r="BM127" s="68"/>
      <c r="BN127" s="68"/>
    </row>
    <row r="128" spans="1:66" ht="17">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8"/>
      <c r="AI128" s="68"/>
      <c r="AJ128" s="68"/>
      <c r="AK128" s="68"/>
      <c r="AL128" s="68"/>
      <c r="AM128" s="68"/>
      <c r="AN128" s="68"/>
      <c r="AO128" s="68"/>
      <c r="AP128" s="68"/>
      <c r="AQ128" s="68"/>
      <c r="AR128" s="68"/>
      <c r="AS128" s="68"/>
      <c r="AT128" s="68"/>
      <c r="AU128" s="68"/>
      <c r="AV128" s="68"/>
      <c r="AW128" s="68"/>
      <c r="AX128" s="68"/>
      <c r="AY128" s="68"/>
      <c r="AZ128" s="68"/>
      <c r="BA128" s="68"/>
      <c r="BB128" s="68"/>
      <c r="BC128" s="68"/>
      <c r="BD128" s="68"/>
      <c r="BE128" s="68"/>
      <c r="BF128" s="68"/>
      <c r="BG128" s="68"/>
      <c r="BH128" s="68"/>
      <c r="BI128" s="68"/>
      <c r="BJ128" s="68"/>
      <c r="BK128" s="68"/>
      <c r="BL128" s="68"/>
      <c r="BM128" s="68"/>
      <c r="BN128" s="68"/>
    </row>
    <row r="129" spans="1:66" ht="17">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c r="AG129" s="68"/>
      <c r="AH129" s="68"/>
      <c r="AI129" s="68"/>
      <c r="AJ129" s="68"/>
      <c r="AK129" s="68"/>
      <c r="AL129" s="68"/>
      <c r="AM129" s="68"/>
      <c r="AN129" s="68"/>
      <c r="AO129" s="68"/>
      <c r="AP129" s="68"/>
      <c r="AQ129" s="68"/>
      <c r="AR129" s="68"/>
      <c r="AS129" s="68"/>
      <c r="AT129" s="68"/>
      <c r="AU129" s="68"/>
      <c r="AV129" s="68"/>
      <c r="AW129" s="68"/>
      <c r="AX129" s="68"/>
      <c r="AY129" s="68"/>
      <c r="AZ129" s="68"/>
      <c r="BA129" s="68"/>
      <c r="BB129" s="68"/>
      <c r="BC129" s="68"/>
      <c r="BD129" s="68"/>
      <c r="BE129" s="68"/>
      <c r="BF129" s="68"/>
      <c r="BG129" s="68"/>
      <c r="BH129" s="68"/>
      <c r="BI129" s="68"/>
      <c r="BJ129" s="68"/>
      <c r="BK129" s="68"/>
      <c r="BL129" s="68"/>
      <c r="BM129" s="68"/>
      <c r="BN129" s="68"/>
    </row>
    <row r="130" spans="1:66" ht="17">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c r="AG130" s="68"/>
      <c r="AH130" s="68"/>
      <c r="AI130" s="68"/>
      <c r="AJ130" s="68"/>
      <c r="AK130" s="68"/>
      <c r="AL130" s="68"/>
      <c r="AM130" s="68"/>
      <c r="AN130" s="68"/>
      <c r="AO130" s="68"/>
      <c r="AP130" s="68"/>
      <c r="AQ130" s="68"/>
      <c r="AR130" s="68"/>
      <c r="AS130" s="68"/>
      <c r="AT130" s="68"/>
      <c r="AU130" s="68"/>
      <c r="AV130" s="68"/>
      <c r="AW130" s="68"/>
      <c r="AX130" s="68"/>
      <c r="AY130" s="68"/>
      <c r="AZ130" s="68"/>
      <c r="BA130" s="68"/>
      <c r="BB130" s="68"/>
      <c r="BC130" s="68"/>
      <c r="BD130" s="68"/>
      <c r="BE130" s="68"/>
      <c r="BF130" s="68"/>
      <c r="BG130" s="68"/>
      <c r="BH130" s="68"/>
      <c r="BI130" s="68"/>
      <c r="BJ130" s="68"/>
      <c r="BK130" s="68"/>
      <c r="BL130" s="68"/>
      <c r="BM130" s="68"/>
      <c r="BN130" s="68"/>
    </row>
    <row r="131" spans="1:66" ht="17">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c r="AG131" s="68"/>
      <c r="AH131" s="68"/>
      <c r="AI131" s="68"/>
      <c r="AJ131" s="68"/>
      <c r="AK131" s="68"/>
      <c r="AL131" s="68"/>
      <c r="AM131" s="68"/>
      <c r="AN131" s="68"/>
      <c r="AO131" s="68"/>
      <c r="AP131" s="68"/>
      <c r="AQ131" s="68"/>
      <c r="AR131" s="68"/>
      <c r="AS131" s="68"/>
      <c r="AT131" s="68"/>
      <c r="AU131" s="68"/>
      <c r="AV131" s="68"/>
      <c r="AW131" s="68"/>
      <c r="AX131" s="68"/>
      <c r="AY131" s="68"/>
      <c r="AZ131" s="68"/>
      <c r="BA131" s="68"/>
      <c r="BB131" s="68"/>
      <c r="BC131" s="68"/>
      <c r="BD131" s="68"/>
      <c r="BE131" s="68"/>
      <c r="BF131" s="68"/>
      <c r="BG131" s="68"/>
      <c r="BH131" s="68"/>
      <c r="BI131" s="68"/>
      <c r="BJ131" s="68"/>
      <c r="BK131" s="68"/>
      <c r="BL131" s="68"/>
      <c r="BM131" s="68"/>
      <c r="BN131" s="68"/>
    </row>
    <row r="132" spans="1:66" ht="17">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c r="BF132" s="68"/>
      <c r="BG132" s="68"/>
      <c r="BH132" s="68"/>
      <c r="BI132" s="68"/>
      <c r="BJ132" s="68"/>
      <c r="BK132" s="68"/>
      <c r="BL132" s="68"/>
      <c r="BM132" s="68"/>
      <c r="BN132" s="68"/>
    </row>
    <row r="133" spans="1:66" ht="17">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c r="BA133" s="68"/>
      <c r="BB133" s="68"/>
      <c r="BC133" s="68"/>
      <c r="BD133" s="68"/>
      <c r="BE133" s="68"/>
      <c r="BF133" s="68"/>
      <c r="BG133" s="68"/>
      <c r="BH133" s="68"/>
      <c r="BI133" s="68"/>
      <c r="BJ133" s="68"/>
      <c r="BK133" s="68"/>
      <c r="BL133" s="68"/>
      <c r="BM133" s="68"/>
      <c r="BN133" s="68"/>
    </row>
    <row r="134" spans="1:66" ht="17">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68"/>
      <c r="AG134" s="68"/>
      <c r="AH134" s="68"/>
      <c r="AI134" s="68"/>
      <c r="AJ134" s="68"/>
      <c r="AK134" s="68"/>
      <c r="AL134" s="68"/>
      <c r="AM134" s="68"/>
      <c r="AN134" s="68"/>
      <c r="AO134" s="68"/>
      <c r="AP134" s="68"/>
      <c r="AQ134" s="68"/>
      <c r="AR134" s="68"/>
      <c r="AS134" s="68"/>
      <c r="AT134" s="68"/>
      <c r="AU134" s="68"/>
      <c r="AV134" s="68"/>
      <c r="AW134" s="68"/>
      <c r="AX134" s="68"/>
      <c r="AY134" s="68"/>
      <c r="AZ134" s="68"/>
      <c r="BA134" s="68"/>
      <c r="BB134" s="68"/>
      <c r="BC134" s="68"/>
      <c r="BD134" s="68"/>
      <c r="BE134" s="68"/>
      <c r="BF134" s="68"/>
      <c r="BG134" s="68"/>
      <c r="BH134" s="68"/>
      <c r="BI134" s="68"/>
      <c r="BJ134" s="68"/>
      <c r="BK134" s="68"/>
      <c r="BL134" s="68"/>
      <c r="BM134" s="68"/>
      <c r="BN134" s="68"/>
    </row>
    <row r="135" spans="1:66" ht="17">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c r="BA135" s="68"/>
      <c r="BB135" s="68"/>
      <c r="BC135" s="68"/>
      <c r="BD135" s="68"/>
      <c r="BE135" s="68"/>
      <c r="BF135" s="68"/>
      <c r="BG135" s="68"/>
      <c r="BH135" s="68"/>
      <c r="BI135" s="68"/>
      <c r="BJ135" s="68"/>
      <c r="BK135" s="68"/>
      <c r="BL135" s="68"/>
      <c r="BM135" s="68"/>
      <c r="BN135" s="68"/>
    </row>
    <row r="136" spans="1:66" ht="17">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c r="BA136" s="68"/>
      <c r="BB136" s="68"/>
      <c r="BC136" s="68"/>
      <c r="BD136" s="68"/>
      <c r="BE136" s="68"/>
      <c r="BF136" s="68"/>
      <c r="BG136" s="68"/>
      <c r="BH136" s="68"/>
      <c r="BI136" s="68"/>
      <c r="BJ136" s="68"/>
      <c r="BK136" s="68"/>
      <c r="BL136" s="68"/>
      <c r="BM136" s="68"/>
      <c r="BN136" s="68"/>
    </row>
    <row r="137" spans="1:66" ht="1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c r="AG137" s="68"/>
      <c r="AH137" s="68"/>
      <c r="AI137" s="68"/>
      <c r="AJ137" s="68"/>
      <c r="AK137" s="68"/>
      <c r="AL137" s="68"/>
      <c r="AM137" s="68"/>
      <c r="AN137" s="68"/>
      <c r="AO137" s="68"/>
      <c r="AP137" s="68"/>
      <c r="AQ137" s="68"/>
      <c r="AR137" s="68"/>
      <c r="AS137" s="68"/>
      <c r="AT137" s="68"/>
      <c r="AU137" s="68"/>
      <c r="AV137" s="68"/>
      <c r="AW137" s="68"/>
      <c r="AX137" s="68"/>
      <c r="AY137" s="68"/>
      <c r="AZ137" s="68"/>
      <c r="BA137" s="68"/>
      <c r="BB137" s="68"/>
      <c r="BC137" s="68"/>
      <c r="BD137" s="68"/>
      <c r="BE137" s="68"/>
      <c r="BF137" s="68"/>
      <c r="BG137" s="68"/>
      <c r="BH137" s="68"/>
      <c r="BI137" s="68"/>
      <c r="BJ137" s="68"/>
      <c r="BK137" s="68"/>
      <c r="BL137" s="68"/>
      <c r="BM137" s="68"/>
      <c r="BN137" s="68"/>
    </row>
    <row r="138" spans="1:66" ht="17">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c r="AG138" s="68"/>
      <c r="AH138" s="68"/>
      <c r="AI138" s="68"/>
      <c r="AJ138" s="68"/>
      <c r="AK138" s="68"/>
      <c r="AL138" s="68"/>
      <c r="AM138" s="68"/>
      <c r="AN138" s="68"/>
      <c r="AO138" s="68"/>
      <c r="AP138" s="68"/>
      <c r="AQ138" s="68"/>
      <c r="AR138" s="68"/>
      <c r="AS138" s="68"/>
      <c r="AT138" s="68"/>
      <c r="AU138" s="68"/>
      <c r="AV138" s="68"/>
      <c r="AW138" s="68"/>
      <c r="AX138" s="68"/>
      <c r="AY138" s="68"/>
      <c r="AZ138" s="68"/>
      <c r="BA138" s="68"/>
      <c r="BB138" s="68"/>
      <c r="BC138" s="68"/>
      <c r="BD138" s="68"/>
      <c r="BE138" s="68"/>
      <c r="BF138" s="68"/>
      <c r="BG138" s="68"/>
      <c r="BH138" s="68"/>
      <c r="BI138" s="68"/>
      <c r="BJ138" s="68"/>
      <c r="BK138" s="68"/>
      <c r="BL138" s="68"/>
      <c r="BM138" s="68"/>
      <c r="BN138" s="68"/>
    </row>
    <row r="139" spans="1:66" ht="17">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c r="AG139" s="68"/>
      <c r="AH139" s="68"/>
      <c r="AI139" s="68"/>
      <c r="AJ139" s="68"/>
      <c r="AK139" s="68"/>
      <c r="AL139" s="68"/>
      <c r="AM139" s="68"/>
      <c r="AN139" s="68"/>
      <c r="AO139" s="68"/>
      <c r="AP139" s="68"/>
      <c r="AQ139" s="68"/>
      <c r="AR139" s="68"/>
      <c r="AS139" s="68"/>
      <c r="AT139" s="68"/>
      <c r="AU139" s="68"/>
      <c r="AV139" s="68"/>
      <c r="AW139" s="68"/>
      <c r="AX139" s="68"/>
      <c r="AY139" s="68"/>
      <c r="AZ139" s="68"/>
      <c r="BA139" s="68"/>
      <c r="BB139" s="68"/>
      <c r="BC139" s="68"/>
      <c r="BD139" s="68"/>
      <c r="BE139" s="68"/>
      <c r="BF139" s="68"/>
      <c r="BG139" s="68"/>
      <c r="BH139" s="68"/>
      <c r="BI139" s="68"/>
      <c r="BJ139" s="68"/>
      <c r="BK139" s="68"/>
      <c r="BL139" s="68"/>
      <c r="BM139" s="68"/>
      <c r="BN139" s="68"/>
    </row>
    <row r="140" spans="1:66" ht="17">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68"/>
      <c r="BF140" s="68"/>
      <c r="BG140" s="68"/>
      <c r="BH140" s="68"/>
      <c r="BI140" s="68"/>
      <c r="BJ140" s="68"/>
      <c r="BK140" s="68"/>
      <c r="BL140" s="68"/>
      <c r="BM140" s="68"/>
      <c r="BN140" s="68"/>
    </row>
    <row r="141" spans="1:66" ht="17">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c r="AG141" s="68"/>
      <c r="AH141" s="68"/>
      <c r="AI141" s="68"/>
      <c r="AJ141" s="68"/>
      <c r="AK141" s="68"/>
      <c r="AL141" s="68"/>
      <c r="AM141" s="68"/>
      <c r="AN141" s="68"/>
      <c r="AO141" s="68"/>
      <c r="AP141" s="68"/>
      <c r="AQ141" s="68"/>
      <c r="AR141" s="68"/>
      <c r="AS141" s="68"/>
      <c r="AT141" s="68"/>
      <c r="AU141" s="68"/>
      <c r="AV141" s="68"/>
      <c r="AW141" s="68"/>
      <c r="AX141" s="68"/>
      <c r="AY141" s="68"/>
      <c r="AZ141" s="68"/>
      <c r="BA141" s="68"/>
      <c r="BB141" s="68"/>
      <c r="BC141" s="68"/>
      <c r="BD141" s="68"/>
      <c r="BE141" s="68"/>
      <c r="BF141" s="68"/>
      <c r="BG141" s="68"/>
      <c r="BH141" s="68"/>
      <c r="BI141" s="68"/>
      <c r="BJ141" s="68"/>
      <c r="BK141" s="68"/>
      <c r="BL141" s="68"/>
      <c r="BM141" s="68"/>
      <c r="BN141" s="68"/>
    </row>
    <row r="142" spans="1:66" ht="17">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c r="BF142" s="68"/>
      <c r="BG142" s="68"/>
      <c r="BH142" s="68"/>
      <c r="BI142" s="68"/>
      <c r="BJ142" s="68"/>
      <c r="BK142" s="68"/>
      <c r="BL142" s="68"/>
      <c r="BM142" s="68"/>
      <c r="BN142" s="68"/>
    </row>
    <row r="143" spans="1:66" ht="17">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c r="AG143" s="68"/>
      <c r="AH143" s="68"/>
      <c r="AI143" s="68"/>
      <c r="AJ143" s="68"/>
      <c r="AK143" s="68"/>
      <c r="AL143" s="68"/>
      <c r="AM143" s="68"/>
      <c r="AN143" s="68"/>
      <c r="AO143" s="68"/>
      <c r="AP143" s="68"/>
      <c r="AQ143" s="68"/>
      <c r="AR143" s="68"/>
      <c r="AS143" s="68"/>
      <c r="AT143" s="68"/>
      <c r="AU143" s="68"/>
      <c r="AV143" s="68"/>
      <c r="AW143" s="68"/>
      <c r="AX143" s="68"/>
      <c r="AY143" s="68"/>
      <c r="AZ143" s="68"/>
      <c r="BA143" s="68"/>
      <c r="BB143" s="68"/>
      <c r="BC143" s="68"/>
      <c r="BD143" s="68"/>
      <c r="BE143" s="68"/>
      <c r="BF143" s="68"/>
      <c r="BG143" s="68"/>
      <c r="BH143" s="68"/>
      <c r="BI143" s="68"/>
      <c r="BJ143" s="68"/>
      <c r="BK143" s="68"/>
      <c r="BL143" s="68"/>
      <c r="BM143" s="68"/>
      <c r="BN143" s="68"/>
    </row>
    <row r="144" spans="1:66" ht="17">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c r="AG144" s="68"/>
      <c r="AH144" s="68"/>
      <c r="AI144" s="68"/>
      <c r="AJ144" s="68"/>
      <c r="AK144" s="68"/>
      <c r="AL144" s="68"/>
      <c r="AM144" s="68"/>
      <c r="AN144" s="68"/>
      <c r="AO144" s="68"/>
      <c r="AP144" s="68"/>
      <c r="AQ144" s="68"/>
      <c r="AR144" s="68"/>
      <c r="AS144" s="68"/>
      <c r="AT144" s="68"/>
      <c r="AU144" s="68"/>
      <c r="AV144" s="68"/>
      <c r="AW144" s="68"/>
      <c r="AX144" s="68"/>
      <c r="AY144" s="68"/>
      <c r="AZ144" s="68"/>
      <c r="BA144" s="68"/>
      <c r="BB144" s="68"/>
      <c r="BC144" s="68"/>
      <c r="BD144" s="68"/>
      <c r="BE144" s="68"/>
      <c r="BF144" s="68"/>
      <c r="BG144" s="68"/>
      <c r="BH144" s="68"/>
      <c r="BI144" s="68"/>
      <c r="BJ144" s="68"/>
      <c r="BK144" s="68"/>
      <c r="BL144" s="68"/>
      <c r="BM144" s="68"/>
      <c r="BN144" s="68"/>
    </row>
    <row r="145" spans="1:66" ht="17">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N145" s="68"/>
    </row>
    <row r="146" spans="1:66" ht="17">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c r="BA146" s="68"/>
      <c r="BB146" s="68"/>
      <c r="BC146" s="68"/>
      <c r="BD146" s="68"/>
      <c r="BE146" s="68"/>
      <c r="BF146" s="68"/>
      <c r="BG146" s="68"/>
      <c r="BH146" s="68"/>
      <c r="BI146" s="68"/>
      <c r="BJ146" s="68"/>
      <c r="BK146" s="68"/>
      <c r="BL146" s="68"/>
      <c r="BM146" s="68"/>
      <c r="BN146" s="68"/>
    </row>
    <row r="147" spans="1:66" ht="1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68"/>
      <c r="AG147" s="68"/>
      <c r="AH147" s="68"/>
      <c r="AI147" s="68"/>
      <c r="AJ147" s="68"/>
      <c r="AK147" s="68"/>
      <c r="AL147" s="68"/>
      <c r="AM147" s="68"/>
      <c r="AN147" s="68"/>
      <c r="AO147" s="68"/>
      <c r="AP147" s="68"/>
      <c r="AQ147" s="68"/>
      <c r="AR147" s="68"/>
      <c r="AS147" s="68"/>
      <c r="AT147" s="68"/>
      <c r="AU147" s="68"/>
      <c r="AV147" s="68"/>
      <c r="AW147" s="68"/>
      <c r="AX147" s="68"/>
      <c r="AY147" s="68"/>
      <c r="AZ147" s="68"/>
      <c r="BA147" s="68"/>
      <c r="BB147" s="68"/>
      <c r="BC147" s="68"/>
      <c r="BD147" s="68"/>
      <c r="BE147" s="68"/>
      <c r="BF147" s="68"/>
      <c r="BG147" s="68"/>
      <c r="BH147" s="68"/>
      <c r="BI147" s="68"/>
      <c r="BJ147" s="68"/>
      <c r="BK147" s="68"/>
      <c r="BL147" s="68"/>
      <c r="BM147" s="68"/>
      <c r="BN147" s="68"/>
    </row>
    <row r="148" spans="1:66" ht="17">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c r="AG148" s="68"/>
      <c r="AH148" s="68"/>
      <c r="AI148" s="68"/>
      <c r="AJ148" s="68"/>
      <c r="AK148" s="68"/>
      <c r="AL148" s="68"/>
      <c r="AM148" s="68"/>
      <c r="AN148" s="68"/>
      <c r="AO148" s="68"/>
      <c r="AP148" s="68"/>
      <c r="AQ148" s="68"/>
      <c r="AR148" s="68"/>
      <c r="AS148" s="68"/>
      <c r="AT148" s="68"/>
      <c r="AU148" s="68"/>
      <c r="AV148" s="68"/>
      <c r="AW148" s="68"/>
      <c r="AX148" s="68"/>
      <c r="AY148" s="68"/>
      <c r="AZ148" s="68"/>
      <c r="BA148" s="68"/>
      <c r="BB148" s="68"/>
      <c r="BC148" s="68"/>
      <c r="BD148" s="68"/>
      <c r="BE148" s="68"/>
      <c r="BF148" s="68"/>
      <c r="BG148" s="68"/>
      <c r="BH148" s="68"/>
      <c r="BI148" s="68"/>
      <c r="BJ148" s="68"/>
      <c r="BK148" s="68"/>
      <c r="BL148" s="68"/>
      <c r="BM148" s="68"/>
      <c r="BN148" s="68"/>
    </row>
    <row r="149" spans="1:66" ht="17">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68"/>
      <c r="AG149" s="68"/>
      <c r="AH149" s="68"/>
      <c r="AI149" s="68"/>
      <c r="AJ149" s="68"/>
      <c r="AK149" s="68"/>
      <c r="AL149" s="68"/>
      <c r="AM149" s="68"/>
      <c r="AN149" s="68"/>
      <c r="AO149" s="68"/>
      <c r="AP149" s="68"/>
      <c r="AQ149" s="68"/>
      <c r="AR149" s="68"/>
      <c r="AS149" s="68"/>
      <c r="AT149" s="68"/>
      <c r="AU149" s="68"/>
      <c r="AV149" s="68"/>
      <c r="AW149" s="68"/>
      <c r="AX149" s="68"/>
      <c r="AY149" s="68"/>
      <c r="AZ149" s="68"/>
      <c r="BA149" s="68"/>
      <c r="BB149" s="68"/>
      <c r="BC149" s="68"/>
      <c r="BD149" s="68"/>
      <c r="BE149" s="68"/>
      <c r="BF149" s="68"/>
      <c r="BG149" s="68"/>
      <c r="BH149" s="68"/>
      <c r="BI149" s="68"/>
      <c r="BJ149" s="68"/>
      <c r="BK149" s="68"/>
      <c r="BL149" s="68"/>
      <c r="BM149" s="68"/>
      <c r="BN149" s="68"/>
    </row>
    <row r="150" spans="1:66" ht="17">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68"/>
      <c r="BA150" s="68"/>
      <c r="BB150" s="68"/>
      <c r="BC150" s="68"/>
      <c r="BD150" s="68"/>
      <c r="BE150" s="68"/>
      <c r="BF150" s="68"/>
      <c r="BG150" s="68"/>
      <c r="BH150" s="68"/>
      <c r="BI150" s="68"/>
      <c r="BJ150" s="68"/>
      <c r="BK150" s="68"/>
      <c r="BL150" s="68"/>
      <c r="BM150" s="68"/>
      <c r="BN150" s="68"/>
    </row>
    <row r="151" spans="1:66" ht="17">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c r="BA151" s="68"/>
      <c r="BB151" s="68"/>
      <c r="BC151" s="68"/>
      <c r="BD151" s="68"/>
      <c r="BE151" s="68"/>
      <c r="BF151" s="68"/>
      <c r="BG151" s="68"/>
      <c r="BH151" s="68"/>
      <c r="BI151" s="68"/>
      <c r="BJ151" s="68"/>
      <c r="BK151" s="68"/>
      <c r="BL151" s="68"/>
      <c r="BM151" s="68"/>
      <c r="BN151" s="68"/>
    </row>
    <row r="152" spans="1:66" ht="17">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c r="BF152" s="68"/>
      <c r="BG152" s="68"/>
      <c r="BH152" s="68"/>
      <c r="BI152" s="68"/>
      <c r="BJ152" s="68"/>
      <c r="BK152" s="68"/>
      <c r="BL152" s="68"/>
      <c r="BM152" s="68"/>
      <c r="BN152" s="68"/>
    </row>
    <row r="153" spans="1:66" ht="17">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c r="BA153" s="68"/>
      <c r="BB153" s="68"/>
      <c r="BC153" s="68"/>
      <c r="BD153" s="68"/>
      <c r="BE153" s="68"/>
      <c r="BF153" s="68"/>
      <c r="BG153" s="68"/>
      <c r="BH153" s="68"/>
      <c r="BI153" s="68"/>
      <c r="BJ153" s="68"/>
      <c r="BK153" s="68"/>
      <c r="BL153" s="68"/>
      <c r="BM153" s="68"/>
      <c r="BN153" s="68"/>
    </row>
    <row r="154" spans="1:66" ht="17">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c r="BF154" s="68"/>
      <c r="BG154" s="68"/>
      <c r="BH154" s="68"/>
      <c r="BI154" s="68"/>
      <c r="BJ154" s="68"/>
      <c r="BK154" s="68"/>
      <c r="BL154" s="68"/>
      <c r="BM154" s="68"/>
      <c r="BN154" s="68"/>
    </row>
    <row r="155" spans="1:66" ht="17">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N155" s="68"/>
    </row>
    <row r="156" spans="1:66" ht="17">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c r="BA156" s="68"/>
      <c r="BB156" s="68"/>
      <c r="BC156" s="68"/>
      <c r="BD156" s="68"/>
      <c r="BE156" s="68"/>
      <c r="BF156" s="68"/>
      <c r="BG156" s="68"/>
      <c r="BH156" s="68"/>
      <c r="BI156" s="68"/>
      <c r="BJ156" s="68"/>
      <c r="BK156" s="68"/>
      <c r="BL156" s="68"/>
      <c r="BM156" s="68"/>
      <c r="BN156" s="68"/>
    </row>
    <row r="157" spans="1:66" ht="1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c r="AG157" s="68"/>
      <c r="AH157" s="68"/>
      <c r="AI157" s="68"/>
      <c r="AJ157" s="68"/>
      <c r="AK157" s="68"/>
      <c r="AL157" s="68"/>
      <c r="AM157" s="68"/>
      <c r="AN157" s="68"/>
      <c r="AO157" s="68"/>
      <c r="AP157" s="68"/>
      <c r="AQ157" s="68"/>
      <c r="AR157" s="68"/>
      <c r="AS157" s="68"/>
      <c r="AT157" s="68"/>
      <c r="AU157" s="68"/>
      <c r="AV157" s="68"/>
      <c r="AW157" s="68"/>
      <c r="AX157" s="68"/>
      <c r="AY157" s="68"/>
      <c r="AZ157" s="68"/>
      <c r="BA157" s="68"/>
      <c r="BB157" s="68"/>
      <c r="BC157" s="68"/>
      <c r="BD157" s="68"/>
      <c r="BE157" s="68"/>
      <c r="BF157" s="68"/>
      <c r="BG157" s="68"/>
      <c r="BH157" s="68"/>
      <c r="BI157" s="68"/>
      <c r="BJ157" s="68"/>
      <c r="BK157" s="68"/>
      <c r="BL157" s="68"/>
      <c r="BM157" s="68"/>
      <c r="BN157" s="68"/>
    </row>
    <row r="158" spans="1:66" ht="17">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N158" s="68"/>
    </row>
    <row r="159" spans="1:66" ht="17">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N159" s="68"/>
    </row>
    <row r="160" spans="1:66" ht="17">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N160" s="68"/>
    </row>
    <row r="161" spans="1:66" ht="17">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c r="BF161" s="68"/>
      <c r="BG161" s="68"/>
      <c r="BH161" s="68"/>
      <c r="BI161" s="68"/>
      <c r="BJ161" s="68"/>
      <c r="BK161" s="68"/>
      <c r="BL161" s="68"/>
      <c r="BM161" s="68"/>
      <c r="BN161" s="68"/>
    </row>
    <row r="162" spans="1:66" ht="17">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c r="AH162" s="68"/>
      <c r="AI162" s="68"/>
      <c r="AJ162" s="68"/>
      <c r="AK162" s="68"/>
      <c r="AL162" s="68"/>
      <c r="AM162" s="68"/>
      <c r="AN162" s="68"/>
      <c r="AO162" s="68"/>
      <c r="AP162" s="68"/>
      <c r="AQ162" s="68"/>
      <c r="AR162" s="68"/>
      <c r="AS162" s="68"/>
      <c r="AT162" s="68"/>
      <c r="AU162" s="68"/>
      <c r="AV162" s="68"/>
      <c r="AW162" s="68"/>
      <c r="AX162" s="68"/>
      <c r="AY162" s="68"/>
      <c r="AZ162" s="68"/>
      <c r="BA162" s="68"/>
      <c r="BB162" s="68"/>
      <c r="BC162" s="68"/>
      <c r="BD162" s="68"/>
      <c r="BE162" s="68"/>
      <c r="BF162" s="68"/>
      <c r="BG162" s="68"/>
      <c r="BH162" s="68"/>
      <c r="BI162" s="68"/>
      <c r="BJ162" s="68"/>
      <c r="BK162" s="68"/>
      <c r="BL162" s="68"/>
      <c r="BM162" s="68"/>
      <c r="BN162" s="68"/>
    </row>
    <row r="163" spans="1:66" ht="17">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c r="BA163" s="68"/>
      <c r="BB163" s="68"/>
      <c r="BC163" s="68"/>
      <c r="BD163" s="68"/>
      <c r="BE163" s="68"/>
      <c r="BF163" s="68"/>
      <c r="BG163" s="68"/>
      <c r="BH163" s="68"/>
      <c r="BI163" s="68"/>
      <c r="BJ163" s="68"/>
      <c r="BK163" s="68"/>
      <c r="BL163" s="68"/>
      <c r="BM163" s="68"/>
      <c r="BN163" s="68"/>
    </row>
    <row r="164" spans="1:66" ht="17">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c r="BF164" s="68"/>
      <c r="BG164" s="68"/>
      <c r="BH164" s="68"/>
      <c r="BI164" s="68"/>
      <c r="BJ164" s="68"/>
      <c r="BK164" s="68"/>
      <c r="BL164" s="68"/>
      <c r="BM164" s="68"/>
      <c r="BN164" s="68"/>
    </row>
    <row r="165" spans="1:66" ht="17">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c r="AG165" s="68"/>
      <c r="AH165" s="68"/>
      <c r="AI165" s="68"/>
      <c r="AJ165" s="68"/>
      <c r="AK165" s="68"/>
      <c r="AL165" s="68"/>
      <c r="AM165" s="68"/>
      <c r="AN165" s="68"/>
      <c r="AO165" s="68"/>
      <c r="AP165" s="68"/>
      <c r="AQ165" s="68"/>
      <c r="AR165" s="68"/>
      <c r="AS165" s="68"/>
      <c r="AT165" s="68"/>
      <c r="AU165" s="68"/>
      <c r="AV165" s="68"/>
      <c r="AW165" s="68"/>
      <c r="AX165" s="68"/>
      <c r="AY165" s="68"/>
      <c r="AZ165" s="68"/>
      <c r="BA165" s="68"/>
      <c r="BB165" s="68"/>
      <c r="BC165" s="68"/>
      <c r="BD165" s="68"/>
      <c r="BE165" s="68"/>
      <c r="BF165" s="68"/>
      <c r="BG165" s="68"/>
      <c r="BH165" s="68"/>
      <c r="BI165" s="68"/>
      <c r="BJ165" s="68"/>
      <c r="BK165" s="68"/>
      <c r="BL165" s="68"/>
      <c r="BM165" s="68"/>
      <c r="BN165" s="68"/>
    </row>
    <row r="166" spans="1:66" ht="17">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c r="AG166" s="68"/>
      <c r="AH166" s="68"/>
      <c r="AI166" s="68"/>
      <c r="AJ166" s="68"/>
      <c r="AK166" s="68"/>
      <c r="AL166" s="68"/>
      <c r="AM166" s="68"/>
      <c r="AN166" s="68"/>
      <c r="AO166" s="68"/>
      <c r="AP166" s="68"/>
      <c r="AQ166" s="68"/>
      <c r="AR166" s="68"/>
      <c r="AS166" s="68"/>
      <c r="AT166" s="68"/>
      <c r="AU166" s="68"/>
      <c r="AV166" s="68"/>
      <c r="AW166" s="68"/>
      <c r="AX166" s="68"/>
      <c r="AY166" s="68"/>
      <c r="AZ166" s="68"/>
      <c r="BA166" s="68"/>
      <c r="BB166" s="68"/>
      <c r="BC166" s="68"/>
      <c r="BD166" s="68"/>
      <c r="BE166" s="68"/>
      <c r="BF166" s="68"/>
      <c r="BG166" s="68"/>
      <c r="BH166" s="68"/>
      <c r="BI166" s="68"/>
      <c r="BJ166" s="68"/>
      <c r="BK166" s="68"/>
      <c r="BL166" s="68"/>
      <c r="BM166" s="68"/>
      <c r="BN166" s="68"/>
    </row>
    <row r="167" spans="1:66" ht="1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8"/>
      <c r="BA167" s="68"/>
      <c r="BB167" s="68"/>
      <c r="BC167" s="68"/>
      <c r="BD167" s="68"/>
      <c r="BE167" s="68"/>
      <c r="BF167" s="68"/>
      <c r="BG167" s="68"/>
      <c r="BH167" s="68"/>
      <c r="BI167" s="68"/>
      <c r="BJ167" s="68"/>
      <c r="BK167" s="68"/>
      <c r="BL167" s="68"/>
      <c r="BM167" s="68"/>
      <c r="BN167" s="68"/>
    </row>
    <row r="168" spans="1:66" ht="17">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row>
    <row r="169" spans="1:66" ht="17">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row>
    <row r="170" spans="1:66" ht="17">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N170" s="68"/>
    </row>
    <row r="171" spans="1:66" ht="17">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N171" s="68"/>
    </row>
    <row r="172" spans="1:66" ht="17">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c r="BF172" s="68"/>
      <c r="BG172" s="68"/>
      <c r="BH172" s="68"/>
      <c r="BI172" s="68"/>
      <c r="BJ172" s="68"/>
      <c r="BK172" s="68"/>
      <c r="BL172" s="68"/>
      <c r="BM172" s="68"/>
      <c r="BN172" s="68"/>
    </row>
    <row r="173" spans="1:66" ht="17">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c r="BF173" s="68"/>
      <c r="BG173" s="68"/>
      <c r="BH173" s="68"/>
      <c r="BI173" s="68"/>
      <c r="BJ173" s="68"/>
      <c r="BK173" s="68"/>
      <c r="BL173" s="68"/>
      <c r="BM173" s="68"/>
      <c r="BN173" s="68"/>
    </row>
    <row r="174" spans="1:66" ht="17">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c r="AG174" s="68"/>
      <c r="AH174" s="68"/>
      <c r="AI174" s="68"/>
      <c r="AJ174" s="68"/>
      <c r="AK174" s="68"/>
      <c r="AL174" s="68"/>
      <c r="AM174" s="68"/>
      <c r="AN174" s="68"/>
      <c r="AO174" s="68"/>
      <c r="AP174" s="68"/>
      <c r="AQ174" s="68"/>
      <c r="AR174" s="68"/>
      <c r="AS174" s="68"/>
      <c r="AT174" s="68"/>
      <c r="AU174" s="68"/>
      <c r="AV174" s="68"/>
      <c r="AW174" s="68"/>
      <c r="AX174" s="68"/>
      <c r="AY174" s="68"/>
      <c r="AZ174" s="68"/>
      <c r="BA174" s="68"/>
      <c r="BB174" s="68"/>
      <c r="BC174" s="68"/>
      <c r="BD174" s="68"/>
      <c r="BE174" s="68"/>
      <c r="BF174" s="68"/>
      <c r="BG174" s="68"/>
      <c r="BH174" s="68"/>
      <c r="BI174" s="68"/>
      <c r="BJ174" s="68"/>
      <c r="BK174" s="68"/>
      <c r="BL174" s="68"/>
      <c r="BM174" s="68"/>
      <c r="BN174" s="68"/>
    </row>
    <row r="175" spans="1:66" ht="17">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N175" s="68"/>
    </row>
    <row r="176" spans="1:66" ht="17">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N176" s="68"/>
    </row>
    <row r="177" spans="1:66" ht="1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c r="AG177" s="68"/>
      <c r="AH177" s="68"/>
      <c r="AI177" s="68"/>
      <c r="AJ177" s="68"/>
      <c r="AK177" s="68"/>
      <c r="AL177" s="68"/>
      <c r="AM177" s="68"/>
      <c r="AN177" s="68"/>
      <c r="AO177" s="68"/>
      <c r="AP177" s="68"/>
      <c r="AQ177" s="68"/>
      <c r="AR177" s="68"/>
      <c r="AS177" s="68"/>
      <c r="AT177" s="68"/>
      <c r="AU177" s="68"/>
      <c r="AV177" s="68"/>
      <c r="AW177" s="68"/>
      <c r="AX177" s="68"/>
      <c r="AY177" s="68"/>
      <c r="AZ177" s="68"/>
      <c r="BA177" s="68"/>
      <c r="BB177" s="68"/>
      <c r="BC177" s="68"/>
      <c r="BD177" s="68"/>
      <c r="BE177" s="68"/>
      <c r="BF177" s="68"/>
      <c r="BG177" s="68"/>
      <c r="BH177" s="68"/>
      <c r="BI177" s="68"/>
      <c r="BJ177" s="68"/>
      <c r="BK177" s="68"/>
      <c r="BL177" s="68"/>
      <c r="BM177" s="68"/>
      <c r="BN177" s="68"/>
    </row>
    <row r="178" spans="1:66" ht="17">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c r="AG178" s="68"/>
      <c r="AH178" s="68"/>
      <c r="AI178" s="68"/>
      <c r="AJ178" s="68"/>
      <c r="AK178" s="68"/>
      <c r="AL178" s="68"/>
      <c r="AM178" s="68"/>
      <c r="AN178" s="68"/>
      <c r="AO178" s="68"/>
      <c r="AP178" s="68"/>
      <c r="AQ178" s="68"/>
      <c r="AR178" s="68"/>
      <c r="AS178" s="68"/>
      <c r="AT178" s="68"/>
      <c r="AU178" s="68"/>
      <c r="AV178" s="68"/>
      <c r="AW178" s="68"/>
      <c r="AX178" s="68"/>
      <c r="AY178" s="68"/>
      <c r="AZ178" s="68"/>
      <c r="BA178" s="68"/>
      <c r="BB178" s="68"/>
      <c r="BC178" s="68"/>
      <c r="BD178" s="68"/>
      <c r="BE178" s="68"/>
      <c r="BF178" s="68"/>
      <c r="BG178" s="68"/>
      <c r="BH178" s="68"/>
      <c r="BI178" s="68"/>
      <c r="BJ178" s="68"/>
      <c r="BK178" s="68"/>
      <c r="BL178" s="68"/>
      <c r="BM178" s="68"/>
      <c r="BN178" s="68"/>
    </row>
    <row r="179" spans="1:66" ht="17">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c r="BF179" s="68"/>
      <c r="BG179" s="68"/>
      <c r="BH179" s="68"/>
      <c r="BI179" s="68"/>
      <c r="BJ179" s="68"/>
      <c r="BK179" s="68"/>
      <c r="BL179" s="68"/>
      <c r="BM179" s="68"/>
      <c r="BN179" s="68"/>
    </row>
    <row r="180" spans="1:66" ht="17">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N180" s="68"/>
    </row>
    <row r="181" spans="1:66" ht="17">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c r="BF181" s="68"/>
      <c r="BG181" s="68"/>
      <c r="BH181" s="68"/>
      <c r="BI181" s="68"/>
      <c r="BJ181" s="68"/>
      <c r="BK181" s="68"/>
      <c r="BL181" s="68"/>
      <c r="BM181" s="68"/>
      <c r="BN181" s="68"/>
    </row>
    <row r="182" spans="1:66" ht="17">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c r="BF182" s="68"/>
      <c r="BG182" s="68"/>
      <c r="BH182" s="68"/>
      <c r="BI182" s="68"/>
      <c r="BJ182" s="68"/>
      <c r="BK182" s="68"/>
      <c r="BL182" s="68"/>
      <c r="BM182" s="68"/>
      <c r="BN182" s="68"/>
    </row>
    <row r="183" spans="1:66" ht="17">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c r="AG183" s="68"/>
      <c r="AH183" s="68"/>
      <c r="AI183" s="68"/>
      <c r="AJ183" s="68"/>
      <c r="AK183" s="68"/>
      <c r="AL183" s="68"/>
      <c r="AM183" s="68"/>
      <c r="AN183" s="68"/>
      <c r="AO183" s="68"/>
      <c r="AP183" s="68"/>
      <c r="AQ183" s="68"/>
      <c r="AR183" s="68"/>
      <c r="AS183" s="68"/>
      <c r="AT183" s="68"/>
      <c r="AU183" s="68"/>
      <c r="AV183" s="68"/>
      <c r="AW183" s="68"/>
      <c r="AX183" s="68"/>
      <c r="AY183" s="68"/>
      <c r="AZ183" s="68"/>
      <c r="BA183" s="68"/>
      <c r="BB183" s="68"/>
      <c r="BC183" s="68"/>
      <c r="BD183" s="68"/>
      <c r="BE183" s="68"/>
      <c r="BF183" s="68"/>
      <c r="BG183" s="68"/>
      <c r="BH183" s="68"/>
      <c r="BI183" s="68"/>
      <c r="BJ183" s="68"/>
      <c r="BK183" s="68"/>
      <c r="BL183" s="68"/>
      <c r="BM183" s="68"/>
      <c r="BN183" s="68"/>
    </row>
    <row r="184" spans="1:66" ht="17">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c r="BA184" s="68"/>
      <c r="BB184" s="68"/>
      <c r="BC184" s="68"/>
      <c r="BD184" s="68"/>
      <c r="BE184" s="68"/>
      <c r="BF184" s="68"/>
      <c r="BG184" s="68"/>
      <c r="BH184" s="68"/>
      <c r="BI184" s="68"/>
      <c r="BJ184" s="68"/>
      <c r="BK184" s="68"/>
      <c r="BL184" s="68"/>
      <c r="BM184" s="68"/>
      <c r="BN184" s="68"/>
    </row>
    <row r="185" spans="1:66" ht="17">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68"/>
      <c r="BK185" s="68"/>
      <c r="BL185" s="68"/>
      <c r="BM185" s="68"/>
      <c r="BN185" s="68"/>
    </row>
    <row r="186" spans="1:66" ht="17">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c r="BF186" s="68"/>
      <c r="BG186" s="68"/>
      <c r="BH186" s="68"/>
      <c r="BI186" s="68"/>
      <c r="BJ186" s="68"/>
      <c r="BK186" s="68"/>
      <c r="BL186" s="68"/>
      <c r="BM186" s="68"/>
      <c r="BN186" s="68"/>
    </row>
    <row r="187" spans="1:66" ht="1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N187" s="68"/>
    </row>
    <row r="188" spans="1:66" ht="17">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N188" s="68"/>
    </row>
    <row r="189" spans="1:66" ht="17">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c r="AJ189" s="68"/>
      <c r="AK189" s="68"/>
      <c r="AL189" s="68"/>
      <c r="AM189" s="68"/>
      <c r="AN189" s="68"/>
      <c r="AO189" s="68"/>
      <c r="AP189" s="68"/>
      <c r="AQ189" s="68"/>
      <c r="AR189" s="68"/>
      <c r="AS189" s="68"/>
      <c r="AT189" s="68"/>
      <c r="AU189" s="68"/>
      <c r="AV189" s="68"/>
      <c r="AW189" s="68"/>
      <c r="AX189" s="68"/>
      <c r="AY189" s="68"/>
      <c r="AZ189" s="68"/>
      <c r="BA189" s="68"/>
      <c r="BB189" s="68"/>
      <c r="BC189" s="68"/>
      <c r="BD189" s="68"/>
      <c r="BE189" s="68"/>
      <c r="BF189" s="68"/>
      <c r="BG189" s="68"/>
      <c r="BH189" s="68"/>
      <c r="BI189" s="68"/>
      <c r="BJ189" s="68"/>
      <c r="BK189" s="68"/>
      <c r="BL189" s="68"/>
      <c r="BM189" s="68"/>
      <c r="BN189" s="68"/>
    </row>
    <row r="190" spans="1:66" ht="17">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68"/>
      <c r="AG190" s="68"/>
      <c r="AH190" s="68"/>
      <c r="AI190" s="68"/>
      <c r="AJ190" s="68"/>
      <c r="AK190" s="68"/>
      <c r="AL190" s="68"/>
      <c r="AM190" s="68"/>
      <c r="AN190" s="68"/>
      <c r="AO190" s="68"/>
      <c r="AP190" s="68"/>
      <c r="AQ190" s="68"/>
      <c r="AR190" s="68"/>
      <c r="AS190" s="68"/>
      <c r="AT190" s="68"/>
      <c r="AU190" s="68"/>
      <c r="AV190" s="68"/>
      <c r="AW190" s="68"/>
      <c r="AX190" s="68"/>
      <c r="AY190" s="68"/>
      <c r="AZ190" s="68"/>
      <c r="BA190" s="68"/>
      <c r="BB190" s="68"/>
      <c r="BC190" s="68"/>
      <c r="BD190" s="68"/>
      <c r="BE190" s="68"/>
      <c r="BF190" s="68"/>
      <c r="BG190" s="68"/>
      <c r="BH190" s="68"/>
      <c r="BI190" s="68"/>
      <c r="BJ190" s="68"/>
      <c r="BK190" s="68"/>
      <c r="BL190" s="68"/>
      <c r="BM190" s="68"/>
      <c r="BN190" s="68"/>
    </row>
    <row r="191" spans="1:66" ht="17">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N191" s="68"/>
    </row>
    <row r="192" spans="1:66" ht="17">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c r="BA192" s="68"/>
      <c r="BB192" s="68"/>
      <c r="BC192" s="68"/>
      <c r="BD192" s="68"/>
      <c r="BE192" s="68"/>
      <c r="BF192" s="68"/>
      <c r="BG192" s="68"/>
      <c r="BH192" s="68"/>
      <c r="BI192" s="68"/>
      <c r="BJ192" s="68"/>
      <c r="BK192" s="68"/>
      <c r="BL192" s="68"/>
      <c r="BM192" s="68"/>
      <c r="BN192" s="68"/>
    </row>
    <row r="193" spans="1:66" ht="17">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N193" s="68"/>
    </row>
    <row r="194" spans="1:66" ht="17">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row>
    <row r="195" spans="1:66" ht="17">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c r="AG195" s="68"/>
      <c r="AH195" s="68"/>
      <c r="AI195" s="68"/>
      <c r="AJ195" s="68"/>
      <c r="AK195" s="68"/>
      <c r="AL195" s="68"/>
      <c r="AM195" s="68"/>
      <c r="AN195" s="68"/>
      <c r="AO195" s="68"/>
      <c r="AP195" s="68"/>
      <c r="AQ195" s="68"/>
      <c r="AR195" s="68"/>
      <c r="AS195" s="68"/>
      <c r="AT195" s="68"/>
      <c r="AU195" s="68"/>
      <c r="AV195" s="68"/>
      <c r="AW195" s="68"/>
      <c r="AX195" s="68"/>
      <c r="AY195" s="68"/>
      <c r="AZ195" s="68"/>
      <c r="BA195" s="68"/>
      <c r="BB195" s="68"/>
      <c r="BC195" s="68"/>
      <c r="BD195" s="68"/>
      <c r="BE195" s="68"/>
      <c r="BF195" s="68"/>
      <c r="BG195" s="68"/>
      <c r="BH195" s="68"/>
      <c r="BI195" s="68"/>
      <c r="BJ195" s="68"/>
      <c r="BK195" s="68"/>
      <c r="BL195" s="68"/>
      <c r="BM195" s="68"/>
      <c r="BN195" s="68"/>
    </row>
    <row r="196" spans="1:66" ht="17">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c r="AG196" s="68"/>
      <c r="AH196" s="68"/>
      <c r="AI196" s="68"/>
      <c r="AJ196" s="68"/>
      <c r="AK196" s="68"/>
      <c r="AL196" s="68"/>
      <c r="AM196" s="68"/>
      <c r="AN196" s="68"/>
      <c r="AO196" s="68"/>
      <c r="AP196" s="68"/>
      <c r="AQ196" s="68"/>
      <c r="AR196" s="68"/>
      <c r="AS196" s="68"/>
      <c r="AT196" s="68"/>
      <c r="AU196" s="68"/>
      <c r="AV196" s="68"/>
      <c r="AW196" s="68"/>
      <c r="AX196" s="68"/>
      <c r="AY196" s="68"/>
      <c r="AZ196" s="68"/>
      <c r="BA196" s="68"/>
      <c r="BB196" s="68"/>
      <c r="BC196" s="68"/>
      <c r="BD196" s="68"/>
      <c r="BE196" s="68"/>
      <c r="BF196" s="68"/>
      <c r="BG196" s="68"/>
      <c r="BH196" s="68"/>
      <c r="BI196" s="68"/>
      <c r="BJ196" s="68"/>
      <c r="BK196" s="68"/>
      <c r="BL196" s="68"/>
      <c r="BM196" s="68"/>
      <c r="BN196" s="68"/>
    </row>
    <row r="197" spans="1:66" ht="1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68"/>
      <c r="BK197" s="68"/>
      <c r="BL197" s="68"/>
      <c r="BM197" s="68"/>
      <c r="BN197" s="68"/>
    </row>
    <row r="198" spans="1:66" ht="17">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68"/>
      <c r="BK198" s="68"/>
      <c r="BL198" s="68"/>
      <c r="BM198" s="68"/>
      <c r="BN198" s="68"/>
    </row>
    <row r="199" spans="1:66" ht="17">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68"/>
      <c r="BK199" s="68"/>
      <c r="BL199" s="68"/>
      <c r="BM199" s="68"/>
      <c r="BN199" s="68"/>
    </row>
    <row r="200" spans="1:66" ht="17">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68"/>
      <c r="BK200" s="68"/>
      <c r="BL200" s="68"/>
      <c r="BM200" s="68"/>
      <c r="BN200" s="68"/>
    </row>
    <row r="201" spans="1:66" ht="17">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c r="AG201" s="68"/>
      <c r="AH201" s="68"/>
      <c r="AI201" s="68"/>
      <c r="AJ201" s="68"/>
      <c r="AK201" s="68"/>
      <c r="AL201" s="68"/>
      <c r="AM201" s="68"/>
      <c r="AN201" s="68"/>
      <c r="AO201" s="68"/>
      <c r="AP201" s="68"/>
      <c r="AQ201" s="68"/>
      <c r="AR201" s="68"/>
      <c r="AS201" s="68"/>
      <c r="AT201" s="68"/>
      <c r="AU201" s="68"/>
      <c r="AV201" s="68"/>
      <c r="AW201" s="68"/>
      <c r="AX201" s="68"/>
      <c r="AY201" s="68"/>
      <c r="AZ201" s="68"/>
      <c r="BA201" s="68"/>
      <c r="BB201" s="68"/>
      <c r="BC201" s="68"/>
      <c r="BD201" s="68"/>
      <c r="BE201" s="68"/>
      <c r="BF201" s="68"/>
      <c r="BG201" s="68"/>
      <c r="BH201" s="68"/>
      <c r="BI201" s="68"/>
      <c r="BJ201" s="68"/>
      <c r="BK201" s="68"/>
      <c r="BL201" s="68"/>
      <c r="BM201" s="68"/>
      <c r="BN201" s="68"/>
    </row>
    <row r="202" spans="1:66" ht="17">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N202" s="68"/>
    </row>
    <row r="203" spans="1:66" ht="17">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68"/>
      <c r="AG203" s="68"/>
      <c r="AH203" s="68"/>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c r="BF203" s="68"/>
      <c r="BG203" s="68"/>
      <c r="BH203" s="68"/>
      <c r="BI203" s="68"/>
      <c r="BJ203" s="68"/>
      <c r="BK203" s="68"/>
      <c r="BL203" s="68"/>
      <c r="BM203" s="68"/>
      <c r="BN203" s="68"/>
    </row>
    <row r="204" spans="1:66" ht="17">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c r="AG204" s="68"/>
      <c r="AH204" s="68"/>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c r="BF204" s="68"/>
      <c r="BG204" s="68"/>
      <c r="BH204" s="68"/>
      <c r="BI204" s="68"/>
      <c r="BJ204" s="68"/>
      <c r="BK204" s="68"/>
      <c r="BL204" s="68"/>
      <c r="BM204" s="68"/>
      <c r="BN204" s="68"/>
    </row>
    <row r="205" spans="1:66" ht="17">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68"/>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c r="BJ205" s="68"/>
      <c r="BK205" s="68"/>
      <c r="BL205" s="68"/>
      <c r="BM205" s="68"/>
      <c r="BN205" s="68"/>
    </row>
    <row r="206" spans="1:66" ht="17">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68"/>
      <c r="AG206" s="68"/>
      <c r="AH206" s="68"/>
      <c r="AI206" s="68"/>
      <c r="AJ206" s="68"/>
      <c r="AK206" s="68"/>
      <c r="AL206" s="68"/>
      <c r="AM206" s="68"/>
      <c r="AN206" s="68"/>
      <c r="AO206" s="68"/>
      <c r="AP206" s="68"/>
      <c r="AQ206" s="68"/>
      <c r="AR206" s="68"/>
      <c r="AS206" s="68"/>
      <c r="AT206" s="68"/>
      <c r="AU206" s="68"/>
      <c r="AV206" s="68"/>
      <c r="AW206" s="68"/>
      <c r="AX206" s="68"/>
      <c r="AY206" s="68"/>
      <c r="AZ206" s="68"/>
      <c r="BA206" s="68"/>
      <c r="BB206" s="68"/>
      <c r="BC206" s="68"/>
      <c r="BD206" s="68"/>
      <c r="BE206" s="68"/>
      <c r="BF206" s="68"/>
      <c r="BG206" s="68"/>
      <c r="BH206" s="68"/>
      <c r="BI206" s="68"/>
      <c r="BJ206" s="68"/>
      <c r="BK206" s="68"/>
      <c r="BL206" s="68"/>
      <c r="BM206" s="68"/>
      <c r="BN206" s="68"/>
    </row>
    <row r="207" spans="1:66" ht="1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68"/>
      <c r="AG207" s="68"/>
      <c r="AH207" s="68"/>
      <c r="AI207" s="68"/>
      <c r="AJ207" s="68"/>
      <c r="AK207" s="68"/>
      <c r="AL207" s="68"/>
      <c r="AM207" s="68"/>
      <c r="AN207" s="68"/>
      <c r="AO207" s="68"/>
      <c r="AP207" s="68"/>
      <c r="AQ207" s="68"/>
      <c r="AR207" s="68"/>
      <c r="AS207" s="68"/>
      <c r="AT207" s="68"/>
      <c r="AU207" s="68"/>
      <c r="AV207" s="68"/>
      <c r="AW207" s="68"/>
      <c r="AX207" s="68"/>
      <c r="AY207" s="68"/>
      <c r="AZ207" s="68"/>
      <c r="BA207" s="68"/>
      <c r="BB207" s="68"/>
      <c r="BC207" s="68"/>
      <c r="BD207" s="68"/>
      <c r="BE207" s="68"/>
      <c r="BF207" s="68"/>
      <c r="BG207" s="68"/>
      <c r="BH207" s="68"/>
      <c r="BI207" s="68"/>
      <c r="BJ207" s="68"/>
      <c r="BK207" s="68"/>
      <c r="BL207" s="68"/>
      <c r="BM207" s="68"/>
      <c r="BN207" s="68"/>
    </row>
    <row r="208" spans="1:66" ht="17">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c r="AG208" s="68"/>
      <c r="AH208" s="68"/>
      <c r="AI208" s="68"/>
      <c r="AJ208" s="68"/>
      <c r="AK208" s="68"/>
      <c r="AL208" s="68"/>
      <c r="AM208" s="68"/>
      <c r="AN208" s="68"/>
      <c r="AO208" s="68"/>
      <c r="AP208" s="68"/>
      <c r="AQ208" s="68"/>
      <c r="AR208" s="68"/>
      <c r="AS208" s="68"/>
      <c r="AT208" s="68"/>
      <c r="AU208" s="68"/>
      <c r="AV208" s="68"/>
      <c r="AW208" s="68"/>
      <c r="AX208" s="68"/>
      <c r="AY208" s="68"/>
      <c r="AZ208" s="68"/>
      <c r="BA208" s="68"/>
      <c r="BB208" s="68"/>
      <c r="BC208" s="68"/>
      <c r="BD208" s="68"/>
      <c r="BE208" s="68"/>
      <c r="BF208" s="68"/>
      <c r="BG208" s="68"/>
      <c r="BH208" s="68"/>
      <c r="BI208" s="68"/>
      <c r="BJ208" s="68"/>
      <c r="BK208" s="68"/>
      <c r="BL208" s="68"/>
      <c r="BM208" s="68"/>
      <c r="BN208" s="68"/>
    </row>
    <row r="209" spans="1:66" ht="17">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68"/>
      <c r="AG209" s="68"/>
      <c r="AH209" s="68"/>
      <c r="AI209" s="68"/>
      <c r="AJ209" s="68"/>
      <c r="AK209" s="68"/>
      <c r="AL209" s="68"/>
      <c r="AM209" s="68"/>
      <c r="AN209" s="68"/>
      <c r="AO209" s="68"/>
      <c r="AP209" s="68"/>
      <c r="AQ209" s="68"/>
      <c r="AR209" s="68"/>
      <c r="AS209" s="68"/>
      <c r="AT209" s="68"/>
      <c r="AU209" s="68"/>
      <c r="AV209" s="68"/>
      <c r="AW209" s="68"/>
      <c r="AX209" s="68"/>
      <c r="AY209" s="68"/>
      <c r="AZ209" s="68"/>
      <c r="BA209" s="68"/>
      <c r="BB209" s="68"/>
      <c r="BC209" s="68"/>
      <c r="BD209" s="68"/>
      <c r="BE209" s="68"/>
      <c r="BF209" s="68"/>
      <c r="BG209" s="68"/>
      <c r="BH209" s="68"/>
      <c r="BI209" s="68"/>
      <c r="BJ209" s="68"/>
      <c r="BK209" s="68"/>
      <c r="BL209" s="68"/>
      <c r="BM209" s="68"/>
      <c r="BN209" s="68"/>
    </row>
    <row r="210" spans="1:66" ht="17">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68"/>
      <c r="AG210" s="68"/>
      <c r="AH210" s="68"/>
      <c r="AI210" s="68"/>
      <c r="AJ210" s="68"/>
      <c r="AK210" s="68"/>
      <c r="AL210" s="68"/>
      <c r="AM210" s="68"/>
      <c r="AN210" s="68"/>
      <c r="AO210" s="68"/>
      <c r="AP210" s="68"/>
      <c r="AQ210" s="68"/>
      <c r="AR210" s="68"/>
      <c r="AS210" s="68"/>
      <c r="AT210" s="68"/>
      <c r="AU210" s="68"/>
      <c r="AV210" s="68"/>
      <c r="AW210" s="68"/>
      <c r="AX210" s="68"/>
      <c r="AY210" s="68"/>
      <c r="AZ210" s="68"/>
      <c r="BA210" s="68"/>
      <c r="BB210" s="68"/>
      <c r="BC210" s="68"/>
      <c r="BD210" s="68"/>
      <c r="BE210" s="68"/>
      <c r="BF210" s="68"/>
      <c r="BG210" s="68"/>
      <c r="BH210" s="68"/>
      <c r="BI210" s="68"/>
      <c r="BJ210" s="68"/>
      <c r="BK210" s="68"/>
      <c r="BL210" s="68"/>
      <c r="BM210" s="68"/>
      <c r="BN210" s="68"/>
    </row>
    <row r="211" spans="1:66" ht="17">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68"/>
      <c r="AG211" s="68"/>
      <c r="AH211" s="68"/>
      <c r="AI211" s="68"/>
      <c r="AJ211" s="68"/>
      <c r="AK211" s="68"/>
      <c r="AL211" s="68"/>
      <c r="AM211" s="68"/>
      <c r="AN211" s="68"/>
      <c r="AO211" s="68"/>
      <c r="AP211" s="68"/>
      <c r="AQ211" s="68"/>
      <c r="AR211" s="68"/>
      <c r="AS211" s="68"/>
      <c r="AT211" s="68"/>
      <c r="AU211" s="68"/>
      <c r="AV211" s="68"/>
      <c r="AW211" s="68"/>
      <c r="AX211" s="68"/>
      <c r="AY211" s="68"/>
      <c r="AZ211" s="68"/>
      <c r="BA211" s="68"/>
      <c r="BB211" s="68"/>
      <c r="BC211" s="68"/>
      <c r="BD211" s="68"/>
      <c r="BE211" s="68"/>
      <c r="BF211" s="68"/>
      <c r="BG211" s="68"/>
      <c r="BH211" s="68"/>
      <c r="BI211" s="68"/>
      <c r="BJ211" s="68"/>
      <c r="BK211" s="68"/>
      <c r="BL211" s="68"/>
      <c r="BM211" s="68"/>
      <c r="BN211" s="68"/>
    </row>
    <row r="212" spans="1:66" ht="17">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c r="AH212" s="68"/>
      <c r="AI212" s="68"/>
      <c r="AJ212" s="68"/>
      <c r="AK212" s="68"/>
      <c r="AL212" s="68"/>
      <c r="AM212" s="68"/>
      <c r="AN212" s="68"/>
      <c r="AO212" s="68"/>
      <c r="AP212" s="68"/>
      <c r="AQ212" s="68"/>
      <c r="AR212" s="68"/>
      <c r="AS212" s="68"/>
      <c r="AT212" s="68"/>
      <c r="AU212" s="68"/>
      <c r="AV212" s="68"/>
      <c r="AW212" s="68"/>
      <c r="AX212" s="68"/>
      <c r="AY212" s="68"/>
      <c r="AZ212" s="68"/>
      <c r="BA212" s="68"/>
      <c r="BB212" s="68"/>
      <c r="BC212" s="68"/>
      <c r="BD212" s="68"/>
      <c r="BE212" s="68"/>
      <c r="BF212" s="68"/>
      <c r="BG212" s="68"/>
      <c r="BH212" s="68"/>
      <c r="BI212" s="68"/>
      <c r="BJ212" s="68"/>
      <c r="BK212" s="68"/>
      <c r="BL212" s="68"/>
      <c r="BM212" s="68"/>
      <c r="BN212" s="68"/>
    </row>
    <row r="213" spans="1:66" ht="17">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68"/>
      <c r="AG213" s="68"/>
      <c r="AH213" s="68"/>
      <c r="AI213" s="68"/>
      <c r="AJ213" s="68"/>
      <c r="AK213" s="68"/>
      <c r="AL213" s="68"/>
      <c r="AM213" s="68"/>
      <c r="AN213" s="68"/>
      <c r="AO213" s="68"/>
      <c r="AP213" s="68"/>
      <c r="AQ213" s="68"/>
      <c r="AR213" s="68"/>
      <c r="AS213" s="68"/>
      <c r="AT213" s="68"/>
      <c r="AU213" s="68"/>
      <c r="AV213" s="68"/>
      <c r="AW213" s="68"/>
      <c r="AX213" s="68"/>
      <c r="AY213" s="68"/>
      <c r="AZ213" s="68"/>
      <c r="BA213" s="68"/>
      <c r="BB213" s="68"/>
      <c r="BC213" s="68"/>
      <c r="BD213" s="68"/>
      <c r="BE213" s="68"/>
      <c r="BF213" s="68"/>
      <c r="BG213" s="68"/>
      <c r="BH213" s="68"/>
      <c r="BI213" s="68"/>
      <c r="BJ213" s="68"/>
      <c r="BK213" s="68"/>
      <c r="BL213" s="68"/>
      <c r="BM213" s="68"/>
      <c r="BN213" s="68"/>
    </row>
    <row r="214" spans="1:66" ht="17">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c r="AG214" s="68"/>
      <c r="AH214" s="68"/>
      <c r="AI214" s="68"/>
      <c r="AJ214" s="68"/>
      <c r="AK214" s="68"/>
      <c r="AL214" s="68"/>
      <c r="AM214" s="68"/>
      <c r="AN214" s="68"/>
      <c r="AO214" s="68"/>
      <c r="AP214" s="68"/>
      <c r="AQ214" s="68"/>
      <c r="AR214" s="68"/>
      <c r="AS214" s="68"/>
      <c r="AT214" s="68"/>
      <c r="AU214" s="68"/>
      <c r="AV214" s="68"/>
      <c r="AW214" s="68"/>
      <c r="AX214" s="68"/>
      <c r="AY214" s="68"/>
      <c r="AZ214" s="68"/>
      <c r="BA214" s="68"/>
      <c r="BB214" s="68"/>
      <c r="BC214" s="68"/>
      <c r="BD214" s="68"/>
      <c r="BE214" s="68"/>
      <c r="BF214" s="68"/>
      <c r="BG214" s="68"/>
      <c r="BH214" s="68"/>
      <c r="BI214" s="68"/>
      <c r="BJ214" s="68"/>
      <c r="BK214" s="68"/>
      <c r="BL214" s="68"/>
      <c r="BM214" s="68"/>
      <c r="BN214" s="68"/>
    </row>
    <row r="215" spans="1:66" ht="17">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c r="AG215" s="68"/>
      <c r="AH215" s="68"/>
      <c r="AI215" s="68"/>
      <c r="AJ215" s="68"/>
      <c r="AK215" s="68"/>
      <c r="AL215" s="68"/>
      <c r="AM215" s="68"/>
      <c r="AN215" s="68"/>
      <c r="AO215" s="68"/>
      <c r="AP215" s="68"/>
      <c r="AQ215" s="68"/>
      <c r="AR215" s="68"/>
      <c r="AS215" s="68"/>
      <c r="AT215" s="68"/>
      <c r="AU215" s="68"/>
      <c r="AV215" s="68"/>
      <c r="AW215" s="68"/>
      <c r="AX215" s="68"/>
      <c r="AY215" s="68"/>
      <c r="AZ215" s="68"/>
      <c r="BA215" s="68"/>
      <c r="BB215" s="68"/>
      <c r="BC215" s="68"/>
      <c r="BD215" s="68"/>
      <c r="BE215" s="68"/>
      <c r="BF215" s="68"/>
      <c r="BG215" s="68"/>
      <c r="BH215" s="68"/>
      <c r="BI215" s="68"/>
      <c r="BJ215" s="68"/>
      <c r="BK215" s="68"/>
      <c r="BL215" s="68"/>
      <c r="BM215" s="68"/>
      <c r="BN215" s="68"/>
    </row>
    <row r="216" spans="1:66" ht="17">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c r="AG216" s="68"/>
      <c r="AH216" s="68"/>
      <c r="AI216" s="68"/>
      <c r="AJ216" s="68"/>
      <c r="AK216" s="68"/>
      <c r="AL216" s="68"/>
      <c r="AM216" s="68"/>
      <c r="AN216" s="68"/>
      <c r="AO216" s="68"/>
      <c r="AP216" s="68"/>
      <c r="AQ216" s="68"/>
      <c r="AR216" s="68"/>
      <c r="AS216" s="68"/>
      <c r="AT216" s="68"/>
      <c r="AU216" s="68"/>
      <c r="AV216" s="68"/>
      <c r="AW216" s="68"/>
      <c r="AX216" s="68"/>
      <c r="AY216" s="68"/>
      <c r="AZ216" s="68"/>
      <c r="BA216" s="68"/>
      <c r="BB216" s="68"/>
      <c r="BC216" s="68"/>
      <c r="BD216" s="68"/>
      <c r="BE216" s="68"/>
      <c r="BF216" s="68"/>
      <c r="BG216" s="68"/>
      <c r="BH216" s="68"/>
      <c r="BI216" s="68"/>
      <c r="BJ216" s="68"/>
      <c r="BK216" s="68"/>
      <c r="BL216" s="68"/>
      <c r="BM216" s="68"/>
      <c r="BN216" s="68"/>
    </row>
    <row r="217" spans="1:66" ht="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c r="AG217" s="68"/>
      <c r="AH217" s="68"/>
      <c r="AI217" s="68"/>
      <c r="AJ217" s="68"/>
      <c r="AK217" s="68"/>
      <c r="AL217" s="68"/>
      <c r="AM217" s="68"/>
      <c r="AN217" s="68"/>
      <c r="AO217" s="68"/>
      <c r="AP217" s="68"/>
      <c r="AQ217" s="68"/>
      <c r="AR217" s="68"/>
      <c r="AS217" s="68"/>
      <c r="AT217" s="68"/>
      <c r="AU217" s="68"/>
      <c r="AV217" s="68"/>
      <c r="AW217" s="68"/>
      <c r="AX217" s="68"/>
      <c r="AY217" s="68"/>
      <c r="AZ217" s="68"/>
      <c r="BA217" s="68"/>
      <c r="BB217" s="68"/>
      <c r="BC217" s="68"/>
      <c r="BD217" s="68"/>
      <c r="BE217" s="68"/>
      <c r="BF217" s="68"/>
      <c r="BG217" s="68"/>
      <c r="BH217" s="68"/>
      <c r="BI217" s="68"/>
      <c r="BJ217" s="68"/>
      <c r="BK217" s="68"/>
      <c r="BL217" s="68"/>
      <c r="BM217" s="68"/>
      <c r="BN217" s="68"/>
    </row>
    <row r="218" spans="1:66" ht="17">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68"/>
      <c r="AG218" s="68"/>
      <c r="AH218" s="68"/>
      <c r="AI218" s="68"/>
      <c r="AJ218" s="68"/>
      <c r="AK218" s="68"/>
      <c r="AL218" s="68"/>
      <c r="AM218" s="68"/>
      <c r="AN218" s="68"/>
      <c r="AO218" s="68"/>
      <c r="AP218" s="68"/>
      <c r="AQ218" s="68"/>
      <c r="AR218" s="68"/>
      <c r="AS218" s="68"/>
      <c r="AT218" s="68"/>
      <c r="AU218" s="68"/>
      <c r="AV218" s="68"/>
      <c r="AW218" s="68"/>
      <c r="AX218" s="68"/>
      <c r="AY218" s="68"/>
      <c r="AZ218" s="68"/>
      <c r="BA218" s="68"/>
      <c r="BB218" s="68"/>
      <c r="BC218" s="68"/>
      <c r="BD218" s="68"/>
      <c r="BE218" s="68"/>
      <c r="BF218" s="68"/>
      <c r="BG218" s="68"/>
      <c r="BH218" s="68"/>
      <c r="BI218" s="68"/>
      <c r="BJ218" s="68"/>
      <c r="BK218" s="68"/>
      <c r="BL218" s="68"/>
      <c r="BM218" s="68"/>
      <c r="BN218" s="68"/>
    </row>
    <row r="219" spans="1:66" ht="17">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68"/>
      <c r="AG219" s="68"/>
      <c r="AH219" s="68"/>
      <c r="AI219" s="68"/>
      <c r="AJ219" s="68"/>
      <c r="AK219" s="68"/>
      <c r="AL219" s="68"/>
      <c r="AM219" s="68"/>
      <c r="AN219" s="68"/>
      <c r="AO219" s="68"/>
      <c r="AP219" s="68"/>
      <c r="AQ219" s="68"/>
      <c r="AR219" s="68"/>
      <c r="AS219" s="68"/>
      <c r="AT219" s="68"/>
      <c r="AU219" s="68"/>
      <c r="AV219" s="68"/>
      <c r="AW219" s="68"/>
      <c r="AX219" s="68"/>
      <c r="AY219" s="68"/>
      <c r="AZ219" s="68"/>
      <c r="BA219" s="68"/>
      <c r="BB219" s="68"/>
      <c r="BC219" s="68"/>
      <c r="BD219" s="68"/>
      <c r="BE219" s="68"/>
      <c r="BF219" s="68"/>
      <c r="BG219" s="68"/>
      <c r="BH219" s="68"/>
      <c r="BI219" s="68"/>
      <c r="BJ219" s="68"/>
      <c r="BK219" s="68"/>
      <c r="BL219" s="68"/>
      <c r="BM219" s="68"/>
      <c r="BN219" s="68"/>
    </row>
    <row r="220" spans="1:66" ht="17">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c r="AH220" s="68"/>
      <c r="AI220" s="68"/>
      <c r="AJ220" s="68"/>
      <c r="AK220" s="68"/>
      <c r="AL220" s="68"/>
      <c r="AM220" s="68"/>
      <c r="AN220" s="68"/>
      <c r="AO220" s="68"/>
      <c r="AP220" s="68"/>
      <c r="AQ220" s="68"/>
      <c r="AR220" s="68"/>
      <c r="AS220" s="68"/>
      <c r="AT220" s="68"/>
      <c r="AU220" s="68"/>
      <c r="AV220" s="68"/>
      <c r="AW220" s="68"/>
      <c r="AX220" s="68"/>
      <c r="AY220" s="68"/>
      <c r="AZ220" s="68"/>
      <c r="BA220" s="68"/>
      <c r="BB220" s="68"/>
      <c r="BC220" s="68"/>
      <c r="BD220" s="68"/>
      <c r="BE220" s="68"/>
      <c r="BF220" s="68"/>
      <c r="BG220" s="68"/>
      <c r="BH220" s="68"/>
      <c r="BI220" s="68"/>
      <c r="BJ220" s="68"/>
      <c r="BK220" s="68"/>
      <c r="BL220" s="68"/>
      <c r="BM220" s="68"/>
      <c r="BN220" s="68"/>
    </row>
    <row r="221" spans="1:66" ht="17">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c r="AH221" s="68"/>
      <c r="AI221" s="68"/>
      <c r="AJ221" s="68"/>
      <c r="AK221" s="68"/>
      <c r="AL221" s="68"/>
      <c r="AM221" s="68"/>
      <c r="AN221" s="68"/>
      <c r="AO221" s="68"/>
      <c r="AP221" s="68"/>
      <c r="AQ221" s="68"/>
      <c r="AR221" s="68"/>
      <c r="AS221" s="68"/>
      <c r="AT221" s="68"/>
      <c r="AU221" s="68"/>
      <c r="AV221" s="68"/>
      <c r="AW221" s="68"/>
      <c r="AX221" s="68"/>
      <c r="AY221" s="68"/>
      <c r="AZ221" s="68"/>
      <c r="BA221" s="68"/>
      <c r="BB221" s="68"/>
      <c r="BC221" s="68"/>
      <c r="BD221" s="68"/>
      <c r="BE221" s="68"/>
      <c r="BF221" s="68"/>
      <c r="BG221" s="68"/>
      <c r="BH221" s="68"/>
      <c r="BI221" s="68"/>
      <c r="BJ221" s="68"/>
      <c r="BK221" s="68"/>
      <c r="BL221" s="68"/>
      <c r="BM221" s="68"/>
      <c r="BN221" s="68"/>
    </row>
    <row r="222" spans="1:66" ht="17">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s="68"/>
      <c r="AL222" s="68"/>
      <c r="AM222" s="68"/>
      <c r="AN222" s="68"/>
      <c r="AO222" s="68"/>
      <c r="AP222" s="68"/>
      <c r="AQ222" s="68"/>
      <c r="AR222" s="68"/>
      <c r="AS222" s="68"/>
      <c r="AT222" s="68"/>
      <c r="AU222" s="68"/>
      <c r="AV222" s="68"/>
      <c r="AW222" s="68"/>
      <c r="AX222" s="68"/>
      <c r="AY222" s="68"/>
      <c r="AZ222" s="68"/>
      <c r="BA222" s="68"/>
      <c r="BB222" s="68"/>
      <c r="BC222" s="68"/>
      <c r="BD222" s="68"/>
      <c r="BE222" s="68"/>
      <c r="BF222" s="68"/>
      <c r="BG222" s="68"/>
      <c r="BH222" s="68"/>
      <c r="BI222" s="68"/>
      <c r="BJ222" s="68"/>
      <c r="BK222" s="68"/>
      <c r="BL222" s="68"/>
      <c r="BM222" s="68"/>
      <c r="BN222" s="68"/>
    </row>
    <row r="223" spans="1:66" ht="17">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c r="AH223" s="68"/>
      <c r="AI223" s="68"/>
      <c r="AJ223" s="68"/>
      <c r="AK223" s="68"/>
      <c r="AL223" s="68"/>
      <c r="AM223" s="68"/>
      <c r="AN223" s="68"/>
      <c r="AO223" s="68"/>
      <c r="AP223" s="68"/>
      <c r="AQ223" s="68"/>
      <c r="AR223" s="68"/>
      <c r="AS223" s="68"/>
      <c r="AT223" s="68"/>
      <c r="AU223" s="68"/>
      <c r="AV223" s="68"/>
      <c r="AW223" s="68"/>
      <c r="AX223" s="68"/>
      <c r="AY223" s="68"/>
      <c r="AZ223" s="68"/>
      <c r="BA223" s="68"/>
      <c r="BB223" s="68"/>
      <c r="BC223" s="68"/>
      <c r="BD223" s="68"/>
      <c r="BE223" s="68"/>
      <c r="BF223" s="68"/>
      <c r="BG223" s="68"/>
      <c r="BH223" s="68"/>
      <c r="BI223" s="68"/>
      <c r="BJ223" s="68"/>
      <c r="BK223" s="68"/>
      <c r="BL223" s="68"/>
      <c r="BM223" s="68"/>
      <c r="BN223" s="68"/>
    </row>
    <row r="224" spans="1:66" ht="17">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c r="AJ224" s="68"/>
      <c r="AK224" s="68"/>
      <c r="AL224" s="68"/>
      <c r="AM224" s="68"/>
      <c r="AN224" s="68"/>
      <c r="AO224" s="68"/>
      <c r="AP224" s="68"/>
      <c r="AQ224" s="68"/>
      <c r="AR224" s="68"/>
      <c r="AS224" s="68"/>
      <c r="AT224" s="68"/>
      <c r="AU224" s="68"/>
      <c r="AV224" s="68"/>
      <c r="AW224" s="68"/>
      <c r="AX224" s="68"/>
      <c r="AY224" s="68"/>
      <c r="AZ224" s="68"/>
      <c r="BA224" s="68"/>
      <c r="BB224" s="68"/>
      <c r="BC224" s="68"/>
      <c r="BD224" s="68"/>
      <c r="BE224" s="68"/>
      <c r="BF224" s="68"/>
      <c r="BG224" s="68"/>
      <c r="BH224" s="68"/>
      <c r="BI224" s="68"/>
      <c r="BJ224" s="68"/>
      <c r="BK224" s="68"/>
      <c r="BL224" s="68"/>
      <c r="BM224" s="68"/>
      <c r="BN224" s="68"/>
    </row>
    <row r="225" spans="1:66" ht="17">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c r="AJ225" s="68"/>
      <c r="AK225" s="68"/>
      <c r="AL225" s="68"/>
      <c r="AM225" s="68"/>
      <c r="AN225" s="68"/>
      <c r="AO225" s="68"/>
      <c r="AP225" s="68"/>
      <c r="AQ225" s="68"/>
      <c r="AR225" s="68"/>
      <c r="AS225" s="68"/>
      <c r="AT225" s="68"/>
      <c r="AU225" s="68"/>
      <c r="AV225" s="68"/>
      <c r="AW225" s="68"/>
      <c r="AX225" s="68"/>
      <c r="AY225" s="68"/>
      <c r="AZ225" s="68"/>
      <c r="BA225" s="68"/>
      <c r="BB225" s="68"/>
      <c r="BC225" s="68"/>
      <c r="BD225" s="68"/>
      <c r="BE225" s="68"/>
      <c r="BF225" s="68"/>
      <c r="BG225" s="68"/>
      <c r="BH225" s="68"/>
      <c r="BI225" s="68"/>
      <c r="BJ225" s="68"/>
      <c r="BK225" s="68"/>
      <c r="BL225" s="68"/>
      <c r="BM225" s="68"/>
      <c r="BN225" s="68"/>
    </row>
    <row r="226" spans="1:66" ht="17">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c r="AJ226" s="68"/>
      <c r="AK226" s="68"/>
      <c r="AL226" s="68"/>
      <c r="AM226" s="68"/>
      <c r="AN226" s="68"/>
      <c r="AO226" s="68"/>
      <c r="AP226" s="68"/>
      <c r="AQ226" s="68"/>
      <c r="AR226" s="68"/>
      <c r="AS226" s="68"/>
      <c r="AT226" s="68"/>
      <c r="AU226" s="68"/>
      <c r="AV226" s="68"/>
      <c r="AW226" s="68"/>
      <c r="AX226" s="68"/>
      <c r="AY226" s="68"/>
      <c r="AZ226" s="68"/>
      <c r="BA226" s="68"/>
      <c r="BB226" s="68"/>
      <c r="BC226" s="68"/>
      <c r="BD226" s="68"/>
      <c r="BE226" s="68"/>
      <c r="BF226" s="68"/>
      <c r="BG226" s="68"/>
      <c r="BH226" s="68"/>
      <c r="BI226" s="68"/>
      <c r="BJ226" s="68"/>
      <c r="BK226" s="68"/>
      <c r="BL226" s="68"/>
      <c r="BM226" s="68"/>
      <c r="BN226" s="68"/>
    </row>
    <row r="227" spans="1:66" ht="1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c r="AH227" s="68"/>
      <c r="AI227" s="68"/>
      <c r="AJ227" s="68"/>
      <c r="AK227" s="68"/>
      <c r="AL227" s="68"/>
      <c r="AM227" s="68"/>
      <c r="AN227" s="68"/>
      <c r="AO227" s="68"/>
      <c r="AP227" s="68"/>
      <c r="AQ227" s="68"/>
      <c r="AR227" s="68"/>
      <c r="AS227" s="68"/>
      <c r="AT227" s="68"/>
      <c r="AU227" s="68"/>
      <c r="AV227" s="68"/>
      <c r="AW227" s="68"/>
      <c r="AX227" s="68"/>
      <c r="AY227" s="68"/>
      <c r="AZ227" s="68"/>
      <c r="BA227" s="68"/>
      <c r="BB227" s="68"/>
      <c r="BC227" s="68"/>
      <c r="BD227" s="68"/>
      <c r="BE227" s="68"/>
      <c r="BF227" s="68"/>
      <c r="BG227" s="68"/>
      <c r="BH227" s="68"/>
      <c r="BI227" s="68"/>
      <c r="BJ227" s="68"/>
      <c r="BK227" s="68"/>
      <c r="BL227" s="68"/>
      <c r="BM227" s="68"/>
      <c r="BN227" s="68"/>
    </row>
    <row r="228" spans="1:66" ht="17">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c r="AH228" s="68"/>
      <c r="AI228" s="68"/>
      <c r="AJ228" s="68"/>
      <c r="AK228" s="68"/>
      <c r="AL228" s="68"/>
      <c r="AM228" s="68"/>
      <c r="AN228" s="68"/>
      <c r="AO228" s="68"/>
      <c r="AP228" s="68"/>
      <c r="AQ228" s="68"/>
      <c r="AR228" s="68"/>
      <c r="AS228" s="68"/>
      <c r="AT228" s="68"/>
      <c r="AU228" s="68"/>
      <c r="AV228" s="68"/>
      <c r="AW228" s="68"/>
      <c r="AX228" s="68"/>
      <c r="AY228" s="68"/>
      <c r="AZ228" s="68"/>
      <c r="BA228" s="68"/>
      <c r="BB228" s="68"/>
      <c r="BC228" s="68"/>
      <c r="BD228" s="68"/>
      <c r="BE228" s="68"/>
      <c r="BF228" s="68"/>
      <c r="BG228" s="68"/>
      <c r="BH228" s="68"/>
      <c r="BI228" s="68"/>
      <c r="BJ228" s="68"/>
      <c r="BK228" s="68"/>
      <c r="BL228" s="68"/>
      <c r="BM228" s="68"/>
      <c r="BN228" s="68"/>
    </row>
    <row r="229" spans="1:66" ht="17">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c r="AH229" s="68"/>
      <c r="AI229" s="68"/>
      <c r="AJ229" s="68"/>
      <c r="AK229" s="68"/>
      <c r="AL229" s="68"/>
      <c r="AM229" s="68"/>
      <c r="AN229" s="68"/>
      <c r="AO229" s="68"/>
      <c r="AP229" s="68"/>
      <c r="AQ229" s="68"/>
      <c r="AR229" s="68"/>
      <c r="AS229" s="68"/>
      <c r="AT229" s="68"/>
      <c r="AU229" s="68"/>
      <c r="AV229" s="68"/>
      <c r="AW229" s="68"/>
      <c r="AX229" s="68"/>
      <c r="AY229" s="68"/>
      <c r="AZ229" s="68"/>
      <c r="BA229" s="68"/>
      <c r="BB229" s="68"/>
      <c r="BC229" s="68"/>
      <c r="BD229" s="68"/>
      <c r="BE229" s="68"/>
      <c r="BF229" s="68"/>
      <c r="BG229" s="68"/>
      <c r="BH229" s="68"/>
      <c r="BI229" s="68"/>
      <c r="BJ229" s="68"/>
      <c r="BK229" s="68"/>
      <c r="BL229" s="68"/>
      <c r="BM229" s="68"/>
      <c r="BN229" s="68"/>
    </row>
    <row r="230" spans="1:66" ht="17">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c r="AJ230" s="68"/>
      <c r="AK230" s="68"/>
      <c r="AL230" s="68"/>
      <c r="AM230" s="68"/>
      <c r="AN230" s="68"/>
      <c r="AO230" s="68"/>
      <c r="AP230" s="68"/>
      <c r="AQ230" s="68"/>
      <c r="AR230" s="68"/>
      <c r="AS230" s="68"/>
      <c r="AT230" s="68"/>
      <c r="AU230" s="68"/>
      <c r="AV230" s="68"/>
      <c r="AW230" s="68"/>
      <c r="AX230" s="68"/>
      <c r="AY230" s="68"/>
      <c r="AZ230" s="68"/>
      <c r="BA230" s="68"/>
      <c r="BB230" s="68"/>
      <c r="BC230" s="68"/>
      <c r="BD230" s="68"/>
      <c r="BE230" s="68"/>
      <c r="BF230" s="68"/>
      <c r="BG230" s="68"/>
      <c r="BH230" s="68"/>
      <c r="BI230" s="68"/>
      <c r="BJ230" s="68"/>
      <c r="BK230" s="68"/>
      <c r="BL230" s="68"/>
      <c r="BM230" s="68"/>
      <c r="BN230" s="68"/>
    </row>
    <row r="231" spans="1:66" ht="17">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c r="AJ231" s="68"/>
      <c r="AK231" s="68"/>
      <c r="AL231" s="68"/>
      <c r="AM231" s="68"/>
      <c r="AN231" s="68"/>
      <c r="AO231" s="68"/>
      <c r="AP231" s="68"/>
      <c r="AQ231" s="68"/>
      <c r="AR231" s="68"/>
      <c r="AS231" s="68"/>
      <c r="AT231" s="68"/>
      <c r="AU231" s="68"/>
      <c r="AV231" s="68"/>
      <c r="AW231" s="68"/>
      <c r="AX231" s="68"/>
      <c r="AY231" s="68"/>
      <c r="AZ231" s="68"/>
      <c r="BA231" s="68"/>
      <c r="BB231" s="68"/>
      <c r="BC231" s="68"/>
      <c r="BD231" s="68"/>
      <c r="BE231" s="68"/>
      <c r="BF231" s="68"/>
      <c r="BG231" s="68"/>
      <c r="BH231" s="68"/>
      <c r="BI231" s="68"/>
      <c r="BJ231" s="68"/>
      <c r="BK231" s="68"/>
      <c r="BL231" s="68"/>
      <c r="BM231" s="68"/>
      <c r="BN231" s="68"/>
    </row>
    <row r="232" spans="1:66" ht="17">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c r="AH232" s="68"/>
      <c r="AI232" s="68"/>
      <c r="AJ232" s="68"/>
      <c r="AK232" s="68"/>
      <c r="AL232" s="68"/>
      <c r="AM232" s="68"/>
      <c r="AN232" s="68"/>
      <c r="AO232" s="68"/>
      <c r="AP232" s="68"/>
      <c r="AQ232" s="68"/>
      <c r="AR232" s="68"/>
      <c r="AS232" s="68"/>
      <c r="AT232" s="68"/>
      <c r="AU232" s="68"/>
      <c r="AV232" s="68"/>
      <c r="AW232" s="68"/>
      <c r="AX232" s="68"/>
      <c r="AY232" s="68"/>
      <c r="AZ232" s="68"/>
      <c r="BA232" s="68"/>
      <c r="BB232" s="68"/>
      <c r="BC232" s="68"/>
      <c r="BD232" s="68"/>
      <c r="BE232" s="68"/>
      <c r="BF232" s="68"/>
      <c r="BG232" s="68"/>
      <c r="BH232" s="68"/>
      <c r="BI232" s="68"/>
      <c r="BJ232" s="68"/>
      <c r="BK232" s="68"/>
      <c r="BL232" s="68"/>
      <c r="BM232" s="68"/>
      <c r="BN232" s="68"/>
    </row>
    <row r="233" spans="1:66" ht="17">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68"/>
      <c r="AG233" s="68"/>
      <c r="AH233" s="68"/>
      <c r="AI233" s="68"/>
      <c r="AJ233" s="68"/>
      <c r="AK233" s="68"/>
      <c r="AL233" s="68"/>
      <c r="AM233" s="68"/>
      <c r="AN233" s="68"/>
      <c r="AO233" s="68"/>
      <c r="AP233" s="68"/>
      <c r="AQ233" s="68"/>
      <c r="AR233" s="68"/>
      <c r="AS233" s="68"/>
      <c r="AT233" s="68"/>
      <c r="AU233" s="68"/>
      <c r="AV233" s="68"/>
      <c r="AW233" s="68"/>
      <c r="AX233" s="68"/>
      <c r="AY233" s="68"/>
      <c r="AZ233" s="68"/>
      <c r="BA233" s="68"/>
      <c r="BB233" s="68"/>
      <c r="BC233" s="68"/>
      <c r="BD233" s="68"/>
      <c r="BE233" s="68"/>
      <c r="BF233" s="68"/>
      <c r="BG233" s="68"/>
      <c r="BH233" s="68"/>
      <c r="BI233" s="68"/>
      <c r="BJ233" s="68"/>
      <c r="BK233" s="68"/>
      <c r="BL233" s="68"/>
      <c r="BM233" s="68"/>
      <c r="BN233" s="68"/>
    </row>
    <row r="234" spans="1:66" ht="17">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68"/>
      <c r="AG234" s="68"/>
      <c r="AH234" s="68"/>
      <c r="AI234" s="68"/>
      <c r="AJ234" s="68"/>
      <c r="AK234" s="68"/>
      <c r="AL234" s="68"/>
      <c r="AM234" s="68"/>
      <c r="AN234" s="68"/>
      <c r="AO234" s="68"/>
      <c r="AP234" s="68"/>
      <c r="AQ234" s="68"/>
      <c r="AR234" s="68"/>
      <c r="AS234" s="68"/>
      <c r="AT234" s="68"/>
      <c r="AU234" s="68"/>
      <c r="AV234" s="68"/>
      <c r="AW234" s="68"/>
      <c r="AX234" s="68"/>
      <c r="AY234" s="68"/>
      <c r="AZ234" s="68"/>
      <c r="BA234" s="68"/>
      <c r="BB234" s="68"/>
      <c r="BC234" s="68"/>
      <c r="BD234" s="68"/>
      <c r="BE234" s="68"/>
      <c r="BF234" s="68"/>
      <c r="BG234" s="68"/>
      <c r="BH234" s="68"/>
      <c r="BI234" s="68"/>
      <c r="BJ234" s="68"/>
      <c r="BK234" s="68"/>
      <c r="BL234" s="68"/>
      <c r="BM234" s="68"/>
      <c r="BN234" s="68"/>
    </row>
    <row r="235" spans="1:66" ht="17">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68"/>
      <c r="AG235" s="68"/>
      <c r="AH235" s="68"/>
      <c r="AI235" s="68"/>
      <c r="AJ235" s="68"/>
      <c r="AK235" s="68"/>
      <c r="AL235" s="68"/>
      <c r="AM235" s="68"/>
      <c r="AN235" s="68"/>
      <c r="AO235" s="68"/>
      <c r="AP235" s="68"/>
      <c r="AQ235" s="68"/>
      <c r="AR235" s="68"/>
      <c r="AS235" s="68"/>
      <c r="AT235" s="68"/>
      <c r="AU235" s="68"/>
      <c r="AV235" s="68"/>
      <c r="AW235" s="68"/>
      <c r="AX235" s="68"/>
      <c r="AY235" s="68"/>
      <c r="AZ235" s="68"/>
      <c r="BA235" s="68"/>
      <c r="BB235" s="68"/>
      <c r="BC235" s="68"/>
      <c r="BD235" s="68"/>
      <c r="BE235" s="68"/>
      <c r="BF235" s="68"/>
      <c r="BG235" s="68"/>
      <c r="BH235" s="68"/>
      <c r="BI235" s="68"/>
      <c r="BJ235" s="68"/>
      <c r="BK235" s="68"/>
      <c r="BL235" s="68"/>
      <c r="BM235" s="68"/>
      <c r="BN235" s="68"/>
    </row>
    <row r="236" spans="1:66" ht="17">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c r="AH236" s="68"/>
      <c r="AI236" s="68"/>
      <c r="AJ236" s="68"/>
      <c r="AK236" s="68"/>
      <c r="AL236" s="68"/>
      <c r="AM236" s="68"/>
      <c r="AN236" s="68"/>
      <c r="AO236" s="68"/>
      <c r="AP236" s="68"/>
      <c r="AQ236" s="68"/>
      <c r="AR236" s="68"/>
      <c r="AS236" s="68"/>
      <c r="AT236" s="68"/>
      <c r="AU236" s="68"/>
      <c r="AV236" s="68"/>
      <c r="AW236" s="68"/>
      <c r="AX236" s="68"/>
      <c r="AY236" s="68"/>
      <c r="AZ236" s="68"/>
      <c r="BA236" s="68"/>
      <c r="BB236" s="68"/>
      <c r="BC236" s="68"/>
      <c r="BD236" s="68"/>
      <c r="BE236" s="68"/>
      <c r="BF236" s="68"/>
      <c r="BG236" s="68"/>
      <c r="BH236" s="68"/>
      <c r="BI236" s="68"/>
      <c r="BJ236" s="68"/>
      <c r="BK236" s="68"/>
      <c r="BL236" s="68"/>
      <c r="BM236" s="68"/>
      <c r="BN236" s="68"/>
    </row>
    <row r="237" spans="1:66" ht="1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c r="AG237" s="68"/>
      <c r="AH237" s="68"/>
      <c r="AI237" s="68"/>
      <c r="AJ237" s="68"/>
      <c r="AK237" s="68"/>
      <c r="AL237" s="68"/>
      <c r="AM237" s="68"/>
      <c r="AN237" s="68"/>
      <c r="AO237" s="68"/>
      <c r="AP237" s="68"/>
      <c r="AQ237" s="68"/>
      <c r="AR237" s="68"/>
      <c r="AS237" s="68"/>
      <c r="AT237" s="68"/>
      <c r="AU237" s="68"/>
      <c r="AV237" s="68"/>
      <c r="AW237" s="68"/>
      <c r="AX237" s="68"/>
      <c r="AY237" s="68"/>
      <c r="AZ237" s="68"/>
      <c r="BA237" s="68"/>
      <c r="BB237" s="68"/>
      <c r="BC237" s="68"/>
      <c r="BD237" s="68"/>
      <c r="BE237" s="68"/>
      <c r="BF237" s="68"/>
      <c r="BG237" s="68"/>
      <c r="BH237" s="68"/>
      <c r="BI237" s="68"/>
      <c r="BJ237" s="68"/>
      <c r="BK237" s="68"/>
      <c r="BL237" s="68"/>
      <c r="BM237" s="68"/>
      <c r="BN237" s="68"/>
    </row>
    <row r="238" spans="1:66" ht="17">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c r="AH238" s="68"/>
      <c r="AI238" s="68"/>
      <c r="AJ238" s="68"/>
      <c r="AK238" s="68"/>
      <c r="AL238" s="68"/>
      <c r="AM238" s="68"/>
      <c r="AN238" s="68"/>
      <c r="AO238" s="68"/>
      <c r="AP238" s="68"/>
      <c r="AQ238" s="68"/>
      <c r="AR238" s="68"/>
      <c r="AS238" s="68"/>
      <c r="AT238" s="68"/>
      <c r="AU238" s="68"/>
      <c r="AV238" s="68"/>
      <c r="AW238" s="68"/>
      <c r="AX238" s="68"/>
      <c r="AY238" s="68"/>
      <c r="AZ238" s="68"/>
      <c r="BA238" s="68"/>
      <c r="BB238" s="68"/>
      <c r="BC238" s="68"/>
      <c r="BD238" s="68"/>
      <c r="BE238" s="68"/>
      <c r="BF238" s="68"/>
      <c r="BG238" s="68"/>
      <c r="BH238" s="68"/>
      <c r="BI238" s="68"/>
      <c r="BJ238" s="68"/>
      <c r="BK238" s="68"/>
      <c r="BL238" s="68"/>
      <c r="BM238" s="68"/>
      <c r="BN238" s="68"/>
    </row>
    <row r="239" spans="1:66" ht="17">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c r="AH239" s="68"/>
      <c r="AI239" s="68"/>
      <c r="AJ239" s="68"/>
      <c r="AK239" s="68"/>
      <c r="AL239" s="68"/>
      <c r="AM239" s="68"/>
      <c r="AN239" s="68"/>
      <c r="AO239" s="68"/>
      <c r="AP239" s="68"/>
      <c r="AQ239" s="68"/>
      <c r="AR239" s="68"/>
      <c r="AS239" s="68"/>
      <c r="AT239" s="68"/>
      <c r="AU239" s="68"/>
      <c r="AV239" s="68"/>
      <c r="AW239" s="68"/>
      <c r="AX239" s="68"/>
      <c r="AY239" s="68"/>
      <c r="AZ239" s="68"/>
      <c r="BA239" s="68"/>
      <c r="BB239" s="68"/>
      <c r="BC239" s="68"/>
      <c r="BD239" s="68"/>
      <c r="BE239" s="68"/>
      <c r="BF239" s="68"/>
      <c r="BG239" s="68"/>
      <c r="BH239" s="68"/>
      <c r="BI239" s="68"/>
      <c r="BJ239" s="68"/>
      <c r="BK239" s="68"/>
      <c r="BL239" s="68"/>
      <c r="BM239" s="68"/>
      <c r="BN239" s="68"/>
    </row>
    <row r="240" spans="1:66" ht="17">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c r="AH240" s="68"/>
      <c r="AI240" s="68"/>
      <c r="AJ240" s="68"/>
      <c r="AK240" s="68"/>
      <c r="AL240" s="68"/>
      <c r="AM240" s="68"/>
      <c r="AN240" s="68"/>
      <c r="AO240" s="68"/>
      <c r="AP240" s="68"/>
      <c r="AQ240" s="68"/>
      <c r="AR240" s="68"/>
      <c r="AS240" s="68"/>
      <c r="AT240" s="68"/>
      <c r="AU240" s="68"/>
      <c r="AV240" s="68"/>
      <c r="AW240" s="68"/>
      <c r="AX240" s="68"/>
      <c r="AY240" s="68"/>
      <c r="AZ240" s="68"/>
      <c r="BA240" s="68"/>
      <c r="BB240" s="68"/>
      <c r="BC240" s="68"/>
      <c r="BD240" s="68"/>
      <c r="BE240" s="68"/>
      <c r="BF240" s="68"/>
      <c r="BG240" s="68"/>
      <c r="BH240" s="68"/>
      <c r="BI240" s="68"/>
      <c r="BJ240" s="68"/>
      <c r="BK240" s="68"/>
      <c r="BL240" s="68"/>
      <c r="BM240" s="68"/>
      <c r="BN240" s="68"/>
    </row>
    <row r="241" spans="1:66" ht="17">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c r="AH241" s="68"/>
      <c r="AI241" s="68"/>
      <c r="AJ241" s="68"/>
      <c r="AK241" s="68"/>
      <c r="AL241" s="68"/>
      <c r="AM241" s="68"/>
      <c r="AN241" s="68"/>
      <c r="AO241" s="68"/>
      <c r="AP241" s="68"/>
      <c r="AQ241" s="68"/>
      <c r="AR241" s="68"/>
      <c r="AS241" s="68"/>
      <c r="AT241" s="68"/>
      <c r="AU241" s="68"/>
      <c r="AV241" s="68"/>
      <c r="AW241" s="68"/>
      <c r="AX241" s="68"/>
      <c r="AY241" s="68"/>
      <c r="AZ241" s="68"/>
      <c r="BA241" s="68"/>
      <c r="BB241" s="68"/>
      <c r="BC241" s="68"/>
      <c r="BD241" s="68"/>
      <c r="BE241" s="68"/>
      <c r="BF241" s="68"/>
      <c r="BG241" s="68"/>
      <c r="BH241" s="68"/>
      <c r="BI241" s="68"/>
      <c r="BJ241" s="68"/>
      <c r="BK241" s="68"/>
      <c r="BL241" s="68"/>
      <c r="BM241" s="68"/>
      <c r="BN241" s="68"/>
    </row>
    <row r="242" spans="1:66" ht="17">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c r="AG242" s="68"/>
      <c r="AH242" s="68"/>
      <c r="AI242" s="68"/>
      <c r="AJ242" s="68"/>
      <c r="AK242" s="68"/>
      <c r="AL242" s="68"/>
      <c r="AM242" s="68"/>
      <c r="AN242" s="68"/>
      <c r="AO242" s="68"/>
      <c r="AP242" s="68"/>
      <c r="AQ242" s="68"/>
      <c r="AR242" s="68"/>
      <c r="AS242" s="68"/>
      <c r="AT242" s="68"/>
      <c r="AU242" s="68"/>
      <c r="AV242" s="68"/>
      <c r="AW242" s="68"/>
      <c r="AX242" s="68"/>
      <c r="AY242" s="68"/>
      <c r="AZ242" s="68"/>
      <c r="BA242" s="68"/>
      <c r="BB242" s="68"/>
      <c r="BC242" s="68"/>
      <c r="BD242" s="68"/>
      <c r="BE242" s="68"/>
      <c r="BF242" s="68"/>
      <c r="BG242" s="68"/>
      <c r="BH242" s="68"/>
      <c r="BI242" s="68"/>
      <c r="BJ242" s="68"/>
      <c r="BK242" s="68"/>
      <c r="BL242" s="68"/>
      <c r="BM242" s="68"/>
      <c r="BN242" s="68"/>
    </row>
    <row r="243" spans="1:66" ht="17">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c r="AH243" s="68"/>
      <c r="AI243" s="68"/>
      <c r="AJ243" s="68"/>
      <c r="AK243" s="68"/>
      <c r="AL243" s="68"/>
      <c r="AM243" s="68"/>
      <c r="AN243" s="68"/>
      <c r="AO243" s="68"/>
      <c r="AP243" s="68"/>
      <c r="AQ243" s="68"/>
      <c r="AR243" s="68"/>
      <c r="AS243" s="68"/>
      <c r="AT243" s="68"/>
      <c r="AU243" s="68"/>
      <c r="AV243" s="68"/>
      <c r="AW243" s="68"/>
      <c r="AX243" s="68"/>
      <c r="AY243" s="68"/>
      <c r="AZ243" s="68"/>
      <c r="BA243" s="68"/>
      <c r="BB243" s="68"/>
      <c r="BC243" s="68"/>
      <c r="BD243" s="68"/>
      <c r="BE243" s="68"/>
      <c r="BF243" s="68"/>
      <c r="BG243" s="68"/>
      <c r="BH243" s="68"/>
      <c r="BI243" s="68"/>
      <c r="BJ243" s="68"/>
      <c r="BK243" s="68"/>
      <c r="BL243" s="68"/>
      <c r="BM243" s="68"/>
      <c r="BN243" s="68"/>
    </row>
    <row r="244" spans="1:66" ht="17">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c r="AH244" s="68"/>
      <c r="AI244" s="68"/>
      <c r="AJ244" s="68"/>
      <c r="AK244" s="68"/>
      <c r="AL244" s="68"/>
      <c r="AM244" s="68"/>
      <c r="AN244" s="68"/>
      <c r="AO244" s="68"/>
      <c r="AP244" s="68"/>
      <c r="AQ244" s="68"/>
      <c r="AR244" s="68"/>
      <c r="AS244" s="68"/>
      <c r="AT244" s="68"/>
      <c r="AU244" s="68"/>
      <c r="AV244" s="68"/>
      <c r="AW244" s="68"/>
      <c r="AX244" s="68"/>
      <c r="AY244" s="68"/>
      <c r="AZ244" s="68"/>
      <c r="BA244" s="68"/>
      <c r="BB244" s="68"/>
      <c r="BC244" s="68"/>
      <c r="BD244" s="68"/>
      <c r="BE244" s="68"/>
      <c r="BF244" s="68"/>
      <c r="BG244" s="68"/>
      <c r="BH244" s="68"/>
      <c r="BI244" s="68"/>
      <c r="BJ244" s="68"/>
      <c r="BK244" s="68"/>
      <c r="BL244" s="68"/>
      <c r="BM244" s="68"/>
      <c r="BN244" s="68"/>
    </row>
    <row r="245" spans="1:66" ht="17">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c r="AJ245" s="68"/>
      <c r="AK245" s="68"/>
      <c r="AL245" s="68"/>
      <c r="AM245" s="68"/>
      <c r="AN245" s="68"/>
      <c r="AO245" s="68"/>
      <c r="AP245" s="68"/>
      <c r="AQ245" s="68"/>
      <c r="AR245" s="68"/>
      <c r="AS245" s="68"/>
      <c r="AT245" s="68"/>
      <c r="AU245" s="68"/>
      <c r="AV245" s="68"/>
      <c r="AW245" s="68"/>
      <c r="AX245" s="68"/>
      <c r="AY245" s="68"/>
      <c r="AZ245" s="68"/>
      <c r="BA245" s="68"/>
      <c r="BB245" s="68"/>
      <c r="BC245" s="68"/>
      <c r="BD245" s="68"/>
      <c r="BE245" s="68"/>
      <c r="BF245" s="68"/>
      <c r="BG245" s="68"/>
      <c r="BH245" s="68"/>
      <c r="BI245" s="68"/>
      <c r="BJ245" s="68"/>
      <c r="BK245" s="68"/>
      <c r="BL245" s="68"/>
      <c r="BM245" s="68"/>
      <c r="BN245" s="68"/>
    </row>
    <row r="246" spans="1:66" ht="17">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c r="AJ246" s="68"/>
      <c r="AK246" s="68"/>
      <c r="AL246" s="68"/>
      <c r="AM246" s="68"/>
      <c r="AN246" s="68"/>
      <c r="AO246" s="68"/>
      <c r="AP246" s="68"/>
      <c r="AQ246" s="68"/>
      <c r="AR246" s="68"/>
      <c r="AS246" s="68"/>
      <c r="AT246" s="68"/>
      <c r="AU246" s="68"/>
      <c r="AV246" s="68"/>
      <c r="AW246" s="68"/>
      <c r="AX246" s="68"/>
      <c r="AY246" s="68"/>
      <c r="AZ246" s="68"/>
      <c r="BA246" s="68"/>
      <c r="BB246" s="68"/>
      <c r="BC246" s="68"/>
      <c r="BD246" s="68"/>
      <c r="BE246" s="68"/>
      <c r="BF246" s="68"/>
      <c r="BG246" s="68"/>
      <c r="BH246" s="68"/>
      <c r="BI246" s="68"/>
      <c r="BJ246" s="68"/>
      <c r="BK246" s="68"/>
      <c r="BL246" s="68"/>
      <c r="BM246" s="68"/>
      <c r="BN246" s="68"/>
    </row>
    <row r="247" spans="1:66" ht="1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c r="AJ247" s="68"/>
      <c r="AK247" s="68"/>
      <c r="AL247" s="68"/>
      <c r="AM247" s="68"/>
      <c r="AN247" s="68"/>
      <c r="AO247" s="68"/>
      <c r="AP247" s="68"/>
      <c r="AQ247" s="68"/>
      <c r="AR247" s="68"/>
      <c r="AS247" s="68"/>
      <c r="AT247" s="68"/>
      <c r="AU247" s="68"/>
      <c r="AV247" s="68"/>
      <c r="AW247" s="68"/>
      <c r="AX247" s="68"/>
      <c r="AY247" s="68"/>
      <c r="AZ247" s="68"/>
      <c r="BA247" s="68"/>
      <c r="BB247" s="68"/>
      <c r="BC247" s="68"/>
      <c r="BD247" s="68"/>
      <c r="BE247" s="68"/>
      <c r="BF247" s="68"/>
      <c r="BG247" s="68"/>
      <c r="BH247" s="68"/>
      <c r="BI247" s="68"/>
      <c r="BJ247" s="68"/>
      <c r="BK247" s="68"/>
      <c r="BL247" s="68"/>
      <c r="BM247" s="68"/>
      <c r="BN247" s="68"/>
    </row>
    <row r="248" spans="1:66" ht="17">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c r="AH248" s="68"/>
      <c r="AI248" s="68"/>
      <c r="AJ248" s="68"/>
      <c r="AK248" s="68"/>
      <c r="AL248" s="68"/>
      <c r="AM248" s="68"/>
      <c r="AN248" s="68"/>
      <c r="AO248" s="68"/>
      <c r="AP248" s="68"/>
      <c r="AQ248" s="68"/>
      <c r="AR248" s="68"/>
      <c r="AS248" s="68"/>
      <c r="AT248" s="68"/>
      <c r="AU248" s="68"/>
      <c r="AV248" s="68"/>
      <c r="AW248" s="68"/>
      <c r="AX248" s="68"/>
      <c r="AY248" s="68"/>
      <c r="AZ248" s="68"/>
      <c r="BA248" s="68"/>
      <c r="BB248" s="68"/>
      <c r="BC248" s="68"/>
      <c r="BD248" s="68"/>
      <c r="BE248" s="68"/>
      <c r="BF248" s="68"/>
      <c r="BG248" s="68"/>
      <c r="BH248" s="68"/>
      <c r="BI248" s="68"/>
      <c r="BJ248" s="68"/>
      <c r="BK248" s="68"/>
      <c r="BL248" s="68"/>
      <c r="BM248" s="68"/>
      <c r="BN248" s="68"/>
    </row>
    <row r="249" spans="1:66" ht="17">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c r="AJ249" s="68"/>
      <c r="AK249" s="68"/>
      <c r="AL249" s="68"/>
      <c r="AM249" s="68"/>
      <c r="AN249" s="68"/>
      <c r="AO249" s="68"/>
      <c r="AP249" s="68"/>
      <c r="AQ249" s="68"/>
      <c r="AR249" s="68"/>
      <c r="AS249" s="68"/>
      <c r="AT249" s="68"/>
      <c r="AU249" s="68"/>
      <c r="AV249" s="68"/>
      <c r="AW249" s="68"/>
      <c r="AX249" s="68"/>
      <c r="AY249" s="68"/>
      <c r="AZ249" s="68"/>
      <c r="BA249" s="68"/>
      <c r="BB249" s="68"/>
      <c r="BC249" s="68"/>
      <c r="BD249" s="68"/>
      <c r="BE249" s="68"/>
      <c r="BF249" s="68"/>
      <c r="BG249" s="68"/>
      <c r="BH249" s="68"/>
      <c r="BI249" s="68"/>
      <c r="BJ249" s="68"/>
      <c r="BK249" s="68"/>
      <c r="BL249" s="68"/>
      <c r="BM249" s="68"/>
      <c r="BN249" s="68"/>
    </row>
    <row r="250" spans="1:66" ht="17">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c r="AG250" s="68"/>
      <c r="AH250" s="68"/>
      <c r="AI250" s="68"/>
      <c r="AJ250" s="68"/>
      <c r="AK250" s="68"/>
      <c r="AL250" s="68"/>
      <c r="AM250" s="68"/>
      <c r="AN250" s="68"/>
      <c r="AO250" s="68"/>
      <c r="AP250" s="68"/>
      <c r="AQ250" s="68"/>
      <c r="AR250" s="68"/>
      <c r="AS250" s="68"/>
      <c r="AT250" s="68"/>
      <c r="AU250" s="68"/>
      <c r="AV250" s="68"/>
      <c r="AW250" s="68"/>
      <c r="AX250" s="68"/>
      <c r="AY250" s="68"/>
      <c r="AZ250" s="68"/>
      <c r="BA250" s="68"/>
      <c r="BB250" s="68"/>
      <c r="BC250" s="68"/>
      <c r="BD250" s="68"/>
      <c r="BE250" s="68"/>
      <c r="BF250" s="68"/>
      <c r="BG250" s="68"/>
      <c r="BH250" s="68"/>
      <c r="BI250" s="68"/>
      <c r="BJ250" s="68"/>
      <c r="BK250" s="68"/>
      <c r="BL250" s="68"/>
      <c r="BM250" s="68"/>
      <c r="BN250" s="68"/>
    </row>
    <row r="251" spans="1:66" ht="17">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68"/>
      <c r="AG251" s="68"/>
      <c r="AH251" s="68"/>
      <c r="AI251" s="68"/>
      <c r="AJ251" s="68"/>
      <c r="AK251" s="68"/>
      <c r="AL251" s="68"/>
      <c r="AM251" s="68"/>
      <c r="AN251" s="68"/>
      <c r="AO251" s="68"/>
      <c r="AP251" s="68"/>
      <c r="AQ251" s="68"/>
      <c r="AR251" s="68"/>
      <c r="AS251" s="68"/>
      <c r="AT251" s="68"/>
      <c r="AU251" s="68"/>
      <c r="AV251" s="68"/>
      <c r="AW251" s="68"/>
      <c r="AX251" s="68"/>
      <c r="AY251" s="68"/>
      <c r="AZ251" s="68"/>
      <c r="BA251" s="68"/>
      <c r="BB251" s="68"/>
      <c r="BC251" s="68"/>
      <c r="BD251" s="68"/>
      <c r="BE251" s="68"/>
      <c r="BF251" s="68"/>
      <c r="BG251" s="68"/>
      <c r="BH251" s="68"/>
      <c r="BI251" s="68"/>
      <c r="BJ251" s="68"/>
      <c r="BK251" s="68"/>
      <c r="BL251" s="68"/>
      <c r="BM251" s="68"/>
      <c r="BN251" s="68"/>
    </row>
    <row r="252" spans="1:66" ht="17">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68"/>
      <c r="AG252" s="68"/>
      <c r="AH252" s="68"/>
      <c r="AI252" s="68"/>
      <c r="AJ252" s="68"/>
      <c r="AK252" s="68"/>
      <c r="AL252" s="68"/>
      <c r="AM252" s="68"/>
      <c r="AN252" s="68"/>
      <c r="AO252" s="68"/>
      <c r="AP252" s="68"/>
      <c r="AQ252" s="68"/>
      <c r="AR252" s="68"/>
      <c r="AS252" s="68"/>
      <c r="AT252" s="68"/>
      <c r="AU252" s="68"/>
      <c r="AV252" s="68"/>
      <c r="AW252" s="68"/>
      <c r="AX252" s="68"/>
      <c r="AY252" s="68"/>
      <c r="AZ252" s="68"/>
      <c r="BA252" s="68"/>
      <c r="BB252" s="68"/>
      <c r="BC252" s="68"/>
      <c r="BD252" s="68"/>
      <c r="BE252" s="68"/>
      <c r="BF252" s="68"/>
      <c r="BG252" s="68"/>
      <c r="BH252" s="68"/>
      <c r="BI252" s="68"/>
      <c r="BJ252" s="68"/>
      <c r="BK252" s="68"/>
      <c r="BL252" s="68"/>
      <c r="BM252" s="68"/>
      <c r="BN252" s="68"/>
    </row>
    <row r="253" spans="1:66" ht="17">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68"/>
      <c r="AG253" s="68"/>
      <c r="AH253" s="68"/>
      <c r="AI253" s="68"/>
      <c r="AJ253" s="68"/>
      <c r="AK253" s="68"/>
      <c r="AL253" s="68"/>
      <c r="AM253" s="68"/>
      <c r="AN253" s="68"/>
      <c r="AO253" s="68"/>
      <c r="AP253" s="68"/>
      <c r="AQ253" s="68"/>
      <c r="AR253" s="68"/>
      <c r="AS253" s="68"/>
      <c r="AT253" s="68"/>
      <c r="AU253" s="68"/>
      <c r="AV253" s="68"/>
      <c r="AW253" s="68"/>
      <c r="AX253" s="68"/>
      <c r="AY253" s="68"/>
      <c r="AZ253" s="68"/>
      <c r="BA253" s="68"/>
      <c r="BB253" s="68"/>
      <c r="BC253" s="68"/>
      <c r="BD253" s="68"/>
      <c r="BE253" s="68"/>
      <c r="BF253" s="68"/>
      <c r="BG253" s="68"/>
      <c r="BH253" s="68"/>
      <c r="BI253" s="68"/>
      <c r="BJ253" s="68"/>
      <c r="BK253" s="68"/>
      <c r="BL253" s="68"/>
      <c r="BM253" s="68"/>
      <c r="BN253" s="68"/>
    </row>
    <row r="254" spans="1:66" ht="17">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c r="AG254" s="68"/>
      <c r="AH254" s="68"/>
      <c r="AI254" s="68"/>
      <c r="AJ254" s="68"/>
      <c r="AK254" s="68"/>
      <c r="AL254" s="68"/>
      <c r="AM254" s="68"/>
      <c r="AN254" s="68"/>
      <c r="AO254" s="68"/>
      <c r="AP254" s="68"/>
      <c r="AQ254" s="68"/>
      <c r="AR254" s="68"/>
      <c r="AS254" s="68"/>
      <c r="AT254" s="68"/>
      <c r="AU254" s="68"/>
      <c r="AV254" s="68"/>
      <c r="AW254" s="68"/>
      <c r="AX254" s="68"/>
      <c r="AY254" s="68"/>
      <c r="AZ254" s="68"/>
      <c r="BA254" s="68"/>
      <c r="BB254" s="68"/>
      <c r="BC254" s="68"/>
      <c r="BD254" s="68"/>
      <c r="BE254" s="68"/>
      <c r="BF254" s="68"/>
      <c r="BG254" s="68"/>
      <c r="BH254" s="68"/>
      <c r="BI254" s="68"/>
      <c r="BJ254" s="68"/>
      <c r="BK254" s="68"/>
      <c r="BL254" s="68"/>
      <c r="BM254" s="68"/>
      <c r="BN254" s="68"/>
    </row>
    <row r="255" spans="1:66" ht="17">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68"/>
      <c r="AG255" s="68"/>
      <c r="AH255" s="68"/>
      <c r="AI255" s="68"/>
      <c r="AJ255" s="68"/>
      <c r="AK255" s="68"/>
      <c r="AL255" s="68"/>
      <c r="AM255" s="68"/>
      <c r="AN255" s="68"/>
      <c r="AO255" s="68"/>
      <c r="AP255" s="68"/>
      <c r="AQ255" s="68"/>
      <c r="AR255" s="68"/>
      <c r="AS255" s="68"/>
      <c r="AT255" s="68"/>
      <c r="AU255" s="68"/>
      <c r="AV255" s="68"/>
      <c r="AW255" s="68"/>
      <c r="AX255" s="68"/>
      <c r="AY255" s="68"/>
      <c r="AZ255" s="68"/>
      <c r="BA255" s="68"/>
      <c r="BB255" s="68"/>
      <c r="BC255" s="68"/>
      <c r="BD255" s="68"/>
      <c r="BE255" s="68"/>
      <c r="BF255" s="68"/>
      <c r="BG255" s="68"/>
      <c r="BH255" s="68"/>
      <c r="BI255" s="68"/>
      <c r="BJ255" s="68"/>
      <c r="BK255" s="68"/>
      <c r="BL255" s="68"/>
      <c r="BM255" s="68"/>
      <c r="BN255" s="68"/>
    </row>
    <row r="256" spans="1:66" ht="17">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c r="AG256" s="68"/>
      <c r="AH256" s="68"/>
      <c r="AI256" s="68"/>
      <c r="AJ256" s="68"/>
      <c r="AK256" s="68"/>
      <c r="AL256" s="68"/>
      <c r="AM256" s="68"/>
      <c r="AN256" s="68"/>
      <c r="AO256" s="68"/>
      <c r="AP256" s="68"/>
      <c r="AQ256" s="68"/>
      <c r="AR256" s="68"/>
      <c r="AS256" s="68"/>
      <c r="AT256" s="68"/>
      <c r="AU256" s="68"/>
      <c r="AV256" s="68"/>
      <c r="AW256" s="68"/>
      <c r="AX256" s="68"/>
      <c r="AY256" s="68"/>
      <c r="AZ256" s="68"/>
      <c r="BA256" s="68"/>
      <c r="BB256" s="68"/>
      <c r="BC256" s="68"/>
      <c r="BD256" s="68"/>
      <c r="BE256" s="68"/>
      <c r="BF256" s="68"/>
      <c r="BG256" s="68"/>
      <c r="BH256" s="68"/>
      <c r="BI256" s="68"/>
      <c r="BJ256" s="68"/>
      <c r="BK256" s="68"/>
      <c r="BL256" s="68"/>
      <c r="BM256" s="68"/>
      <c r="BN256" s="68"/>
    </row>
    <row r="257" spans="1:66" ht="1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c r="AG257" s="68"/>
      <c r="AH257" s="68"/>
      <c r="AI257" s="68"/>
      <c r="AJ257" s="68"/>
      <c r="AK257" s="68"/>
      <c r="AL257" s="68"/>
      <c r="AM257" s="68"/>
      <c r="AN257" s="68"/>
      <c r="AO257" s="68"/>
      <c r="AP257" s="68"/>
      <c r="AQ257" s="68"/>
      <c r="AR257" s="68"/>
      <c r="AS257" s="68"/>
      <c r="AT257" s="68"/>
      <c r="AU257" s="68"/>
      <c r="AV257" s="68"/>
      <c r="AW257" s="68"/>
      <c r="AX257" s="68"/>
      <c r="AY257" s="68"/>
      <c r="AZ257" s="68"/>
      <c r="BA257" s="68"/>
      <c r="BB257" s="68"/>
      <c r="BC257" s="68"/>
      <c r="BD257" s="68"/>
      <c r="BE257" s="68"/>
      <c r="BF257" s="68"/>
      <c r="BG257" s="68"/>
      <c r="BH257" s="68"/>
      <c r="BI257" s="68"/>
      <c r="BJ257" s="68"/>
      <c r="BK257" s="68"/>
      <c r="BL257" s="68"/>
      <c r="BM257" s="68"/>
      <c r="BN257" s="68"/>
    </row>
    <row r="258" spans="1:66" ht="17">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c r="AG258" s="68"/>
      <c r="AH258" s="68"/>
      <c r="AI258" s="68"/>
      <c r="AJ258" s="68"/>
      <c r="AK258" s="68"/>
      <c r="AL258" s="68"/>
      <c r="AM258" s="68"/>
      <c r="AN258" s="68"/>
      <c r="AO258" s="68"/>
      <c r="AP258" s="68"/>
      <c r="AQ258" s="68"/>
      <c r="AR258" s="68"/>
      <c r="AS258" s="68"/>
      <c r="AT258" s="68"/>
      <c r="AU258" s="68"/>
      <c r="AV258" s="68"/>
      <c r="AW258" s="68"/>
      <c r="AX258" s="68"/>
      <c r="AY258" s="68"/>
      <c r="AZ258" s="68"/>
      <c r="BA258" s="68"/>
      <c r="BB258" s="68"/>
      <c r="BC258" s="68"/>
      <c r="BD258" s="68"/>
      <c r="BE258" s="68"/>
      <c r="BF258" s="68"/>
      <c r="BG258" s="68"/>
      <c r="BH258" s="68"/>
      <c r="BI258" s="68"/>
      <c r="BJ258" s="68"/>
      <c r="BK258" s="68"/>
      <c r="BL258" s="68"/>
      <c r="BM258" s="68"/>
      <c r="BN258" s="68"/>
    </row>
    <row r="259" spans="1:66" ht="17">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c r="AG259" s="68"/>
      <c r="AH259" s="68"/>
      <c r="AI259" s="68"/>
      <c r="AJ259" s="68"/>
      <c r="AK259" s="68"/>
      <c r="AL259" s="68"/>
      <c r="AM259" s="68"/>
      <c r="AN259" s="68"/>
      <c r="AO259" s="68"/>
      <c r="AP259" s="68"/>
      <c r="AQ259" s="68"/>
      <c r="AR259" s="68"/>
      <c r="AS259" s="68"/>
      <c r="AT259" s="68"/>
      <c r="AU259" s="68"/>
      <c r="AV259" s="68"/>
      <c r="AW259" s="68"/>
      <c r="AX259" s="68"/>
      <c r="AY259" s="68"/>
      <c r="AZ259" s="68"/>
      <c r="BA259" s="68"/>
      <c r="BB259" s="68"/>
      <c r="BC259" s="68"/>
      <c r="BD259" s="68"/>
      <c r="BE259" s="68"/>
      <c r="BF259" s="68"/>
      <c r="BG259" s="68"/>
      <c r="BH259" s="68"/>
      <c r="BI259" s="68"/>
      <c r="BJ259" s="68"/>
      <c r="BK259" s="68"/>
      <c r="BL259" s="68"/>
      <c r="BM259" s="68"/>
      <c r="BN259" s="68"/>
    </row>
    <row r="260" spans="1:66" ht="17">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c r="AG260" s="68"/>
      <c r="AH260" s="68"/>
      <c r="AI260" s="68"/>
      <c r="AJ260" s="68"/>
      <c r="AK260" s="68"/>
      <c r="AL260" s="68"/>
      <c r="AM260" s="68"/>
      <c r="AN260" s="68"/>
      <c r="AO260" s="68"/>
      <c r="AP260" s="68"/>
      <c r="AQ260" s="68"/>
      <c r="AR260" s="68"/>
      <c r="AS260" s="68"/>
      <c r="AT260" s="68"/>
      <c r="AU260" s="68"/>
      <c r="AV260" s="68"/>
      <c r="AW260" s="68"/>
      <c r="AX260" s="68"/>
      <c r="AY260" s="68"/>
      <c r="AZ260" s="68"/>
      <c r="BA260" s="68"/>
      <c r="BB260" s="68"/>
      <c r="BC260" s="68"/>
      <c r="BD260" s="68"/>
      <c r="BE260" s="68"/>
      <c r="BF260" s="68"/>
      <c r="BG260" s="68"/>
      <c r="BH260" s="68"/>
      <c r="BI260" s="68"/>
      <c r="BJ260" s="68"/>
      <c r="BK260" s="68"/>
      <c r="BL260" s="68"/>
      <c r="BM260" s="68"/>
      <c r="BN260" s="68"/>
    </row>
    <row r="261" spans="1:66" ht="17">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68"/>
      <c r="AG261" s="68"/>
      <c r="AH261" s="68"/>
      <c r="AI261" s="68"/>
      <c r="AJ261" s="68"/>
      <c r="AK261" s="68"/>
      <c r="AL261" s="68"/>
      <c r="AM261" s="68"/>
      <c r="AN261" s="68"/>
      <c r="AO261" s="68"/>
      <c r="AP261" s="68"/>
      <c r="AQ261" s="68"/>
      <c r="AR261" s="68"/>
      <c r="AS261" s="68"/>
      <c r="AT261" s="68"/>
      <c r="AU261" s="68"/>
      <c r="AV261" s="68"/>
      <c r="AW261" s="68"/>
      <c r="AX261" s="68"/>
      <c r="AY261" s="68"/>
      <c r="AZ261" s="68"/>
      <c r="BA261" s="68"/>
      <c r="BB261" s="68"/>
      <c r="BC261" s="68"/>
      <c r="BD261" s="68"/>
      <c r="BE261" s="68"/>
      <c r="BF261" s="68"/>
      <c r="BG261" s="68"/>
      <c r="BH261" s="68"/>
      <c r="BI261" s="68"/>
      <c r="BJ261" s="68"/>
      <c r="BK261" s="68"/>
      <c r="BL261" s="68"/>
      <c r="BM261" s="68"/>
      <c r="BN261" s="68"/>
    </row>
    <row r="262" spans="1:66" ht="17">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c r="AG262" s="68"/>
      <c r="AH262" s="68"/>
      <c r="AI262" s="68"/>
      <c r="AJ262" s="68"/>
      <c r="AK262" s="68"/>
      <c r="AL262" s="68"/>
      <c r="AM262" s="68"/>
      <c r="AN262" s="68"/>
      <c r="AO262" s="68"/>
      <c r="AP262" s="68"/>
      <c r="AQ262" s="68"/>
      <c r="AR262" s="68"/>
      <c r="AS262" s="68"/>
      <c r="AT262" s="68"/>
      <c r="AU262" s="68"/>
      <c r="AV262" s="68"/>
      <c r="AW262" s="68"/>
      <c r="AX262" s="68"/>
      <c r="AY262" s="68"/>
      <c r="AZ262" s="68"/>
      <c r="BA262" s="68"/>
      <c r="BB262" s="68"/>
      <c r="BC262" s="68"/>
      <c r="BD262" s="68"/>
      <c r="BE262" s="68"/>
      <c r="BF262" s="68"/>
      <c r="BG262" s="68"/>
      <c r="BH262" s="68"/>
      <c r="BI262" s="68"/>
      <c r="BJ262" s="68"/>
      <c r="BK262" s="68"/>
      <c r="BL262" s="68"/>
      <c r="BM262" s="68"/>
      <c r="BN262" s="68"/>
    </row>
    <row r="263" spans="1:66" ht="17">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68"/>
      <c r="AG263" s="68"/>
      <c r="AH263" s="68"/>
      <c r="AI263" s="68"/>
      <c r="AJ263" s="68"/>
      <c r="AK263" s="68"/>
      <c r="AL263" s="68"/>
      <c r="AM263" s="68"/>
      <c r="AN263" s="68"/>
      <c r="AO263" s="68"/>
      <c r="AP263" s="68"/>
      <c r="AQ263" s="68"/>
      <c r="AR263" s="68"/>
      <c r="AS263" s="68"/>
      <c r="AT263" s="68"/>
      <c r="AU263" s="68"/>
      <c r="AV263" s="68"/>
      <c r="AW263" s="68"/>
      <c r="AX263" s="68"/>
      <c r="AY263" s="68"/>
      <c r="AZ263" s="68"/>
      <c r="BA263" s="68"/>
      <c r="BB263" s="68"/>
      <c r="BC263" s="68"/>
      <c r="BD263" s="68"/>
      <c r="BE263" s="68"/>
      <c r="BF263" s="68"/>
      <c r="BG263" s="68"/>
      <c r="BH263" s="68"/>
      <c r="BI263" s="68"/>
      <c r="BJ263" s="68"/>
      <c r="BK263" s="68"/>
      <c r="BL263" s="68"/>
      <c r="BM263" s="68"/>
      <c r="BN263" s="68"/>
    </row>
    <row r="264" spans="1:66" ht="17">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c r="AG264" s="68"/>
      <c r="AH264" s="68"/>
      <c r="AI264" s="68"/>
      <c r="AJ264" s="68"/>
      <c r="AK264" s="68"/>
      <c r="AL264" s="68"/>
      <c r="AM264" s="68"/>
      <c r="AN264" s="68"/>
      <c r="AO264" s="68"/>
      <c r="AP264" s="68"/>
      <c r="AQ264" s="68"/>
      <c r="AR264" s="68"/>
      <c r="AS264" s="68"/>
      <c r="AT264" s="68"/>
      <c r="AU264" s="68"/>
      <c r="AV264" s="68"/>
      <c r="AW264" s="68"/>
      <c r="AX264" s="68"/>
      <c r="AY264" s="68"/>
      <c r="AZ264" s="68"/>
      <c r="BA264" s="68"/>
      <c r="BB264" s="68"/>
      <c r="BC264" s="68"/>
      <c r="BD264" s="68"/>
      <c r="BE264" s="68"/>
      <c r="BF264" s="68"/>
      <c r="BG264" s="68"/>
      <c r="BH264" s="68"/>
      <c r="BI264" s="68"/>
      <c r="BJ264" s="68"/>
      <c r="BK264" s="68"/>
      <c r="BL264" s="68"/>
      <c r="BM264" s="68"/>
      <c r="BN264" s="68"/>
    </row>
    <row r="265" spans="1:66" ht="17">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68"/>
      <c r="AG265" s="68"/>
      <c r="AH265" s="68"/>
      <c r="AI265" s="68"/>
      <c r="AJ265" s="68"/>
      <c r="AK265" s="68"/>
      <c r="AL265" s="68"/>
      <c r="AM265" s="68"/>
      <c r="AN265" s="68"/>
      <c r="AO265" s="68"/>
      <c r="AP265" s="68"/>
      <c r="AQ265" s="68"/>
      <c r="AR265" s="68"/>
      <c r="AS265" s="68"/>
      <c r="AT265" s="68"/>
      <c r="AU265" s="68"/>
      <c r="AV265" s="68"/>
      <c r="AW265" s="68"/>
      <c r="AX265" s="68"/>
      <c r="AY265" s="68"/>
      <c r="AZ265" s="68"/>
      <c r="BA265" s="68"/>
      <c r="BB265" s="68"/>
      <c r="BC265" s="68"/>
      <c r="BD265" s="68"/>
      <c r="BE265" s="68"/>
      <c r="BF265" s="68"/>
      <c r="BG265" s="68"/>
      <c r="BH265" s="68"/>
      <c r="BI265" s="68"/>
      <c r="BJ265" s="68"/>
      <c r="BK265" s="68"/>
      <c r="BL265" s="68"/>
      <c r="BM265" s="68"/>
      <c r="BN265" s="68"/>
    </row>
    <row r="266" spans="1:66" ht="17">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c r="AJ266" s="68"/>
      <c r="AK266" s="68"/>
      <c r="AL266" s="68"/>
      <c r="AM266" s="68"/>
      <c r="AN266" s="68"/>
      <c r="AO266" s="68"/>
      <c r="AP266" s="68"/>
      <c r="AQ266" s="68"/>
      <c r="AR266" s="68"/>
      <c r="AS266" s="68"/>
      <c r="AT266" s="68"/>
      <c r="AU266" s="68"/>
      <c r="AV266" s="68"/>
      <c r="AW266" s="68"/>
      <c r="AX266" s="68"/>
      <c r="AY266" s="68"/>
      <c r="AZ266" s="68"/>
      <c r="BA266" s="68"/>
      <c r="BB266" s="68"/>
      <c r="BC266" s="68"/>
      <c r="BD266" s="68"/>
      <c r="BE266" s="68"/>
      <c r="BF266" s="68"/>
      <c r="BG266" s="68"/>
      <c r="BH266" s="68"/>
      <c r="BI266" s="68"/>
      <c r="BJ266" s="68"/>
      <c r="BK266" s="68"/>
      <c r="BL266" s="68"/>
      <c r="BM266" s="68"/>
      <c r="BN266" s="68"/>
    </row>
    <row r="267" spans="1:66" ht="1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68"/>
      <c r="AI267" s="68"/>
      <c r="AJ267" s="68"/>
      <c r="AK267" s="68"/>
      <c r="AL267" s="68"/>
      <c r="AM267" s="68"/>
      <c r="AN267" s="68"/>
      <c r="AO267" s="68"/>
      <c r="AP267" s="68"/>
      <c r="AQ267" s="68"/>
      <c r="AR267" s="68"/>
      <c r="AS267" s="68"/>
      <c r="AT267" s="68"/>
      <c r="AU267" s="68"/>
      <c r="AV267" s="68"/>
      <c r="AW267" s="68"/>
      <c r="AX267" s="68"/>
      <c r="AY267" s="68"/>
      <c r="AZ267" s="68"/>
      <c r="BA267" s="68"/>
      <c r="BB267" s="68"/>
      <c r="BC267" s="68"/>
      <c r="BD267" s="68"/>
      <c r="BE267" s="68"/>
      <c r="BF267" s="68"/>
      <c r="BG267" s="68"/>
      <c r="BH267" s="68"/>
      <c r="BI267" s="68"/>
      <c r="BJ267" s="68"/>
      <c r="BK267" s="68"/>
      <c r="BL267" s="68"/>
      <c r="BM267" s="68"/>
      <c r="BN267" s="68"/>
    </row>
    <row r="268" spans="1:66" ht="17">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c r="AH268" s="68"/>
      <c r="AI268" s="68"/>
      <c r="AJ268" s="68"/>
      <c r="AK268" s="68"/>
      <c r="AL268" s="68"/>
      <c r="AM268" s="68"/>
      <c r="AN268" s="68"/>
      <c r="AO268" s="68"/>
      <c r="AP268" s="68"/>
      <c r="AQ268" s="68"/>
      <c r="AR268" s="68"/>
      <c r="AS268" s="68"/>
      <c r="AT268" s="68"/>
      <c r="AU268" s="68"/>
      <c r="AV268" s="68"/>
      <c r="AW268" s="68"/>
      <c r="AX268" s="68"/>
      <c r="AY268" s="68"/>
      <c r="AZ268" s="68"/>
      <c r="BA268" s="68"/>
      <c r="BB268" s="68"/>
      <c r="BC268" s="68"/>
      <c r="BD268" s="68"/>
      <c r="BE268" s="68"/>
      <c r="BF268" s="68"/>
      <c r="BG268" s="68"/>
      <c r="BH268" s="68"/>
      <c r="BI268" s="68"/>
      <c r="BJ268" s="68"/>
      <c r="BK268" s="68"/>
      <c r="BL268" s="68"/>
      <c r="BM268" s="68"/>
      <c r="BN268" s="68"/>
    </row>
    <row r="269" spans="1:66" ht="17">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c r="AJ269" s="68"/>
      <c r="AK269" s="68"/>
      <c r="AL269" s="68"/>
      <c r="AM269" s="68"/>
      <c r="AN269" s="68"/>
      <c r="AO269" s="68"/>
      <c r="AP269" s="68"/>
      <c r="AQ269" s="68"/>
      <c r="AR269" s="68"/>
      <c r="AS269" s="68"/>
      <c r="AT269" s="68"/>
      <c r="AU269" s="68"/>
      <c r="AV269" s="68"/>
      <c r="AW269" s="68"/>
      <c r="AX269" s="68"/>
      <c r="AY269" s="68"/>
      <c r="AZ269" s="68"/>
      <c r="BA269" s="68"/>
      <c r="BB269" s="68"/>
      <c r="BC269" s="68"/>
      <c r="BD269" s="68"/>
      <c r="BE269" s="68"/>
      <c r="BF269" s="68"/>
      <c r="BG269" s="68"/>
      <c r="BH269" s="68"/>
      <c r="BI269" s="68"/>
      <c r="BJ269" s="68"/>
      <c r="BK269" s="68"/>
      <c r="BL269" s="68"/>
      <c r="BM269" s="68"/>
      <c r="BN269" s="68"/>
    </row>
    <row r="270" spans="1:66" ht="17">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68"/>
      <c r="AK270" s="68"/>
      <c r="AL270" s="68"/>
      <c r="AM270" s="68"/>
      <c r="AN270" s="68"/>
      <c r="AO270" s="68"/>
      <c r="AP270" s="68"/>
      <c r="AQ270" s="68"/>
      <c r="AR270" s="68"/>
      <c r="AS270" s="68"/>
      <c r="AT270" s="68"/>
      <c r="AU270" s="68"/>
      <c r="AV270" s="68"/>
      <c r="AW270" s="68"/>
      <c r="AX270" s="68"/>
      <c r="AY270" s="68"/>
      <c r="AZ270" s="68"/>
      <c r="BA270" s="68"/>
      <c r="BB270" s="68"/>
      <c r="BC270" s="68"/>
      <c r="BD270" s="68"/>
      <c r="BE270" s="68"/>
      <c r="BF270" s="68"/>
      <c r="BG270" s="68"/>
      <c r="BH270" s="68"/>
      <c r="BI270" s="68"/>
      <c r="BJ270" s="68"/>
      <c r="BK270" s="68"/>
      <c r="BL270" s="68"/>
      <c r="BM270" s="68"/>
      <c r="BN270" s="68"/>
    </row>
    <row r="271" spans="1:66" ht="17">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c r="AJ271" s="68"/>
      <c r="AK271" s="68"/>
      <c r="AL271" s="68"/>
      <c r="AM271" s="68"/>
      <c r="AN271" s="68"/>
      <c r="AO271" s="68"/>
      <c r="AP271" s="68"/>
      <c r="AQ271" s="68"/>
      <c r="AR271" s="68"/>
      <c r="AS271" s="68"/>
      <c r="AT271" s="68"/>
      <c r="AU271" s="68"/>
      <c r="AV271" s="68"/>
      <c r="AW271" s="68"/>
      <c r="AX271" s="68"/>
      <c r="AY271" s="68"/>
      <c r="AZ271" s="68"/>
      <c r="BA271" s="68"/>
      <c r="BB271" s="68"/>
      <c r="BC271" s="68"/>
      <c r="BD271" s="68"/>
      <c r="BE271" s="68"/>
      <c r="BF271" s="68"/>
      <c r="BG271" s="68"/>
      <c r="BH271" s="68"/>
      <c r="BI271" s="68"/>
      <c r="BJ271" s="68"/>
      <c r="BK271" s="68"/>
      <c r="BL271" s="68"/>
      <c r="BM271" s="68"/>
      <c r="BN271" s="68"/>
    </row>
    <row r="272" spans="1:66" ht="17">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c r="AH272" s="68"/>
      <c r="AI272" s="68"/>
      <c r="AJ272" s="68"/>
      <c r="AK272" s="68"/>
      <c r="AL272" s="68"/>
      <c r="AM272" s="68"/>
      <c r="AN272" s="68"/>
      <c r="AO272" s="68"/>
      <c r="AP272" s="68"/>
      <c r="AQ272" s="68"/>
      <c r="AR272" s="68"/>
      <c r="AS272" s="68"/>
      <c r="AT272" s="68"/>
      <c r="AU272" s="68"/>
      <c r="AV272" s="68"/>
      <c r="AW272" s="68"/>
      <c r="AX272" s="68"/>
      <c r="AY272" s="68"/>
      <c r="AZ272" s="68"/>
      <c r="BA272" s="68"/>
      <c r="BB272" s="68"/>
      <c r="BC272" s="68"/>
      <c r="BD272" s="68"/>
      <c r="BE272" s="68"/>
      <c r="BF272" s="68"/>
      <c r="BG272" s="68"/>
      <c r="BH272" s="68"/>
      <c r="BI272" s="68"/>
      <c r="BJ272" s="68"/>
      <c r="BK272" s="68"/>
      <c r="BL272" s="68"/>
      <c r="BM272" s="68"/>
      <c r="BN272" s="68"/>
    </row>
    <row r="273" spans="1:66" ht="17">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c r="AJ273" s="68"/>
      <c r="AK273" s="68"/>
      <c r="AL273" s="68"/>
      <c r="AM273" s="68"/>
      <c r="AN273" s="68"/>
      <c r="AO273" s="68"/>
      <c r="AP273" s="68"/>
      <c r="AQ273" s="68"/>
      <c r="AR273" s="68"/>
      <c r="AS273" s="68"/>
      <c r="AT273" s="68"/>
      <c r="AU273" s="68"/>
      <c r="AV273" s="68"/>
      <c r="AW273" s="68"/>
      <c r="AX273" s="68"/>
      <c r="AY273" s="68"/>
      <c r="AZ273" s="68"/>
      <c r="BA273" s="68"/>
      <c r="BB273" s="68"/>
      <c r="BC273" s="68"/>
      <c r="BD273" s="68"/>
      <c r="BE273" s="68"/>
      <c r="BF273" s="68"/>
      <c r="BG273" s="68"/>
      <c r="BH273" s="68"/>
      <c r="BI273" s="68"/>
      <c r="BJ273" s="68"/>
      <c r="BK273" s="68"/>
      <c r="BL273" s="68"/>
      <c r="BM273" s="68"/>
      <c r="BN273" s="68"/>
    </row>
    <row r="274" spans="1:66" ht="17">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s="68"/>
      <c r="AL274" s="68"/>
      <c r="AM274" s="68"/>
      <c r="AN274" s="68"/>
      <c r="AO274" s="68"/>
      <c r="AP274" s="68"/>
      <c r="AQ274" s="68"/>
      <c r="AR274" s="68"/>
      <c r="AS274" s="68"/>
      <c r="AT274" s="68"/>
      <c r="AU274" s="68"/>
      <c r="AV274" s="68"/>
      <c r="AW274" s="68"/>
      <c r="AX274" s="68"/>
      <c r="AY274" s="68"/>
      <c r="AZ274" s="68"/>
      <c r="BA274" s="68"/>
      <c r="BB274" s="68"/>
      <c r="BC274" s="68"/>
      <c r="BD274" s="68"/>
      <c r="BE274" s="68"/>
      <c r="BF274" s="68"/>
      <c r="BG274" s="68"/>
      <c r="BH274" s="68"/>
      <c r="BI274" s="68"/>
      <c r="BJ274" s="68"/>
      <c r="BK274" s="68"/>
      <c r="BL274" s="68"/>
      <c r="BM274" s="68"/>
      <c r="BN274" s="68"/>
    </row>
    <row r="275" spans="1:66" ht="17">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s="68"/>
      <c r="AL275" s="68"/>
      <c r="AM275" s="68"/>
      <c r="AN275" s="68"/>
      <c r="AO275" s="68"/>
      <c r="AP275" s="68"/>
      <c r="AQ275" s="68"/>
      <c r="AR275" s="68"/>
      <c r="AS275" s="68"/>
      <c r="AT275" s="68"/>
      <c r="AU275" s="68"/>
      <c r="AV275" s="68"/>
      <c r="AW275" s="68"/>
      <c r="AX275" s="68"/>
      <c r="AY275" s="68"/>
      <c r="AZ275" s="68"/>
      <c r="BA275" s="68"/>
      <c r="BB275" s="68"/>
      <c r="BC275" s="68"/>
      <c r="BD275" s="68"/>
      <c r="BE275" s="68"/>
      <c r="BF275" s="68"/>
      <c r="BG275" s="68"/>
      <c r="BH275" s="68"/>
      <c r="BI275" s="68"/>
      <c r="BJ275" s="68"/>
      <c r="BK275" s="68"/>
      <c r="BL275" s="68"/>
      <c r="BM275" s="68"/>
      <c r="BN275" s="68"/>
    </row>
    <row r="276" spans="1:66" ht="17">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s="68"/>
      <c r="AL276" s="68"/>
      <c r="AM276" s="68"/>
      <c r="AN276" s="68"/>
      <c r="AO276" s="68"/>
      <c r="AP276" s="68"/>
      <c r="AQ276" s="68"/>
      <c r="AR276" s="68"/>
      <c r="AS276" s="68"/>
      <c r="AT276" s="68"/>
      <c r="AU276" s="68"/>
      <c r="AV276" s="68"/>
      <c r="AW276" s="68"/>
      <c r="AX276" s="68"/>
      <c r="AY276" s="68"/>
      <c r="AZ276" s="68"/>
      <c r="BA276" s="68"/>
      <c r="BB276" s="68"/>
      <c r="BC276" s="68"/>
      <c r="BD276" s="68"/>
      <c r="BE276" s="68"/>
      <c r="BF276" s="68"/>
      <c r="BG276" s="68"/>
      <c r="BH276" s="68"/>
      <c r="BI276" s="68"/>
      <c r="BJ276" s="68"/>
      <c r="BK276" s="68"/>
      <c r="BL276" s="68"/>
      <c r="BM276" s="68"/>
      <c r="BN276" s="68"/>
    </row>
    <row r="277" spans="1:66" ht="1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68"/>
      <c r="AK277" s="68"/>
      <c r="AL277" s="68"/>
      <c r="AM277" s="68"/>
      <c r="AN277" s="68"/>
      <c r="AO277" s="68"/>
      <c r="AP277" s="68"/>
      <c r="AQ277" s="68"/>
      <c r="AR277" s="68"/>
      <c r="AS277" s="68"/>
      <c r="AT277" s="68"/>
      <c r="AU277" s="68"/>
      <c r="AV277" s="68"/>
      <c r="AW277" s="68"/>
      <c r="AX277" s="68"/>
      <c r="AY277" s="68"/>
      <c r="AZ277" s="68"/>
      <c r="BA277" s="68"/>
      <c r="BB277" s="68"/>
      <c r="BC277" s="68"/>
      <c r="BD277" s="68"/>
      <c r="BE277" s="68"/>
      <c r="BF277" s="68"/>
      <c r="BG277" s="68"/>
      <c r="BH277" s="68"/>
      <c r="BI277" s="68"/>
      <c r="BJ277" s="68"/>
      <c r="BK277" s="68"/>
      <c r="BL277" s="68"/>
      <c r="BM277" s="68"/>
      <c r="BN277" s="68"/>
    </row>
    <row r="278" spans="1:66" ht="17">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68"/>
      <c r="AK278" s="68"/>
      <c r="AL278" s="68"/>
      <c r="AM278" s="68"/>
      <c r="AN278" s="68"/>
      <c r="AO278" s="68"/>
      <c r="AP278" s="68"/>
      <c r="AQ278" s="68"/>
      <c r="AR278" s="68"/>
      <c r="AS278" s="68"/>
      <c r="AT278" s="68"/>
      <c r="AU278" s="68"/>
      <c r="AV278" s="68"/>
      <c r="AW278" s="68"/>
      <c r="AX278" s="68"/>
      <c r="AY278" s="68"/>
      <c r="AZ278" s="68"/>
      <c r="BA278" s="68"/>
      <c r="BB278" s="68"/>
      <c r="BC278" s="68"/>
      <c r="BD278" s="68"/>
      <c r="BE278" s="68"/>
      <c r="BF278" s="68"/>
      <c r="BG278" s="68"/>
      <c r="BH278" s="68"/>
      <c r="BI278" s="68"/>
      <c r="BJ278" s="68"/>
      <c r="BK278" s="68"/>
      <c r="BL278" s="68"/>
      <c r="BM278" s="68"/>
      <c r="BN278" s="68"/>
    </row>
    <row r="279" spans="1:66" ht="17">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c r="AH279" s="68"/>
      <c r="AI279" s="68"/>
      <c r="AJ279" s="68"/>
      <c r="AK279" s="68"/>
      <c r="AL279" s="68"/>
      <c r="AM279" s="68"/>
      <c r="AN279" s="68"/>
      <c r="AO279" s="68"/>
      <c r="AP279" s="68"/>
      <c r="AQ279" s="68"/>
      <c r="AR279" s="68"/>
      <c r="AS279" s="68"/>
      <c r="AT279" s="68"/>
      <c r="AU279" s="68"/>
      <c r="AV279" s="68"/>
      <c r="AW279" s="68"/>
      <c r="AX279" s="68"/>
      <c r="AY279" s="68"/>
      <c r="AZ279" s="68"/>
      <c r="BA279" s="68"/>
      <c r="BB279" s="68"/>
      <c r="BC279" s="68"/>
      <c r="BD279" s="68"/>
      <c r="BE279" s="68"/>
      <c r="BF279" s="68"/>
      <c r="BG279" s="68"/>
      <c r="BH279" s="68"/>
      <c r="BI279" s="68"/>
      <c r="BJ279" s="68"/>
      <c r="BK279" s="68"/>
      <c r="BL279" s="68"/>
      <c r="BM279" s="68"/>
      <c r="BN279" s="68"/>
    </row>
    <row r="280" spans="1:66" ht="17">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68"/>
      <c r="AG280" s="68"/>
      <c r="AH280" s="68"/>
      <c r="AI280" s="68"/>
      <c r="AJ280" s="68"/>
      <c r="AK280" s="68"/>
      <c r="AL280" s="68"/>
      <c r="AM280" s="68"/>
      <c r="AN280" s="68"/>
      <c r="AO280" s="68"/>
      <c r="AP280" s="68"/>
      <c r="AQ280" s="68"/>
      <c r="AR280" s="68"/>
      <c r="AS280" s="68"/>
      <c r="AT280" s="68"/>
      <c r="AU280" s="68"/>
      <c r="AV280" s="68"/>
      <c r="AW280" s="68"/>
      <c r="AX280" s="68"/>
      <c r="AY280" s="68"/>
      <c r="AZ280" s="68"/>
      <c r="BA280" s="68"/>
      <c r="BB280" s="68"/>
      <c r="BC280" s="68"/>
      <c r="BD280" s="68"/>
      <c r="BE280" s="68"/>
      <c r="BF280" s="68"/>
      <c r="BG280" s="68"/>
      <c r="BH280" s="68"/>
      <c r="BI280" s="68"/>
      <c r="BJ280" s="68"/>
      <c r="BK280" s="68"/>
      <c r="BL280" s="68"/>
      <c r="BM280" s="68"/>
      <c r="BN280" s="68"/>
    </row>
    <row r="281" spans="1:66" ht="17">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c r="AG281" s="68"/>
      <c r="AH281" s="68"/>
      <c r="AI281" s="68"/>
      <c r="AJ281" s="68"/>
      <c r="AK281" s="68"/>
      <c r="AL281" s="68"/>
      <c r="AM281" s="68"/>
      <c r="AN281" s="68"/>
      <c r="AO281" s="68"/>
      <c r="AP281" s="68"/>
      <c r="AQ281" s="68"/>
      <c r="AR281" s="68"/>
      <c r="AS281" s="68"/>
      <c r="AT281" s="68"/>
      <c r="AU281" s="68"/>
      <c r="AV281" s="68"/>
      <c r="AW281" s="68"/>
      <c r="AX281" s="68"/>
      <c r="AY281" s="68"/>
      <c r="AZ281" s="68"/>
      <c r="BA281" s="68"/>
      <c r="BB281" s="68"/>
      <c r="BC281" s="68"/>
      <c r="BD281" s="68"/>
      <c r="BE281" s="68"/>
      <c r="BF281" s="68"/>
      <c r="BG281" s="68"/>
      <c r="BH281" s="68"/>
      <c r="BI281" s="68"/>
      <c r="BJ281" s="68"/>
      <c r="BK281" s="68"/>
      <c r="BL281" s="68"/>
      <c r="BM281" s="68"/>
      <c r="BN281" s="68"/>
    </row>
    <row r="282" spans="1:66" ht="17">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c r="AG282" s="68"/>
      <c r="AH282" s="68"/>
      <c r="AI282" s="68"/>
      <c r="AJ282" s="68"/>
      <c r="AK282" s="68"/>
      <c r="AL282" s="68"/>
      <c r="AM282" s="68"/>
      <c r="AN282" s="68"/>
      <c r="AO282" s="68"/>
      <c r="AP282" s="68"/>
      <c r="AQ282" s="68"/>
      <c r="AR282" s="68"/>
      <c r="AS282" s="68"/>
      <c r="AT282" s="68"/>
      <c r="AU282" s="68"/>
      <c r="AV282" s="68"/>
      <c r="AW282" s="68"/>
      <c r="AX282" s="68"/>
      <c r="AY282" s="68"/>
      <c r="AZ282" s="68"/>
      <c r="BA282" s="68"/>
      <c r="BB282" s="68"/>
      <c r="BC282" s="68"/>
      <c r="BD282" s="68"/>
      <c r="BE282" s="68"/>
      <c r="BF282" s="68"/>
      <c r="BG282" s="68"/>
      <c r="BH282" s="68"/>
      <c r="BI282" s="68"/>
      <c r="BJ282" s="68"/>
      <c r="BK282" s="68"/>
      <c r="BL282" s="68"/>
      <c r="BM282" s="68"/>
      <c r="BN282" s="68"/>
    </row>
    <row r="283" spans="1:66" ht="17">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8"/>
      <c r="AJ283" s="68"/>
      <c r="AK283" s="68"/>
      <c r="AL283" s="68"/>
      <c r="AM283" s="68"/>
      <c r="AN283" s="68"/>
      <c r="AO283" s="68"/>
      <c r="AP283" s="68"/>
      <c r="AQ283" s="68"/>
      <c r="AR283" s="68"/>
      <c r="AS283" s="68"/>
      <c r="AT283" s="68"/>
      <c r="AU283" s="68"/>
      <c r="AV283" s="68"/>
      <c r="AW283" s="68"/>
      <c r="AX283" s="68"/>
      <c r="AY283" s="68"/>
      <c r="AZ283" s="68"/>
      <c r="BA283" s="68"/>
      <c r="BB283" s="68"/>
      <c r="BC283" s="68"/>
      <c r="BD283" s="68"/>
      <c r="BE283" s="68"/>
      <c r="BF283" s="68"/>
      <c r="BG283" s="68"/>
      <c r="BH283" s="68"/>
      <c r="BI283" s="68"/>
      <c r="BJ283" s="68"/>
      <c r="BK283" s="68"/>
      <c r="BL283" s="68"/>
      <c r="BM283" s="68"/>
      <c r="BN283" s="68"/>
    </row>
    <row r="284" spans="1:66" ht="17">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c r="AH284" s="68"/>
      <c r="AI284" s="68"/>
      <c r="AJ284" s="68"/>
      <c r="AK284" s="68"/>
      <c r="AL284" s="68"/>
      <c r="AM284" s="68"/>
      <c r="AN284" s="68"/>
      <c r="AO284" s="68"/>
      <c r="AP284" s="68"/>
      <c r="AQ284" s="68"/>
      <c r="AR284" s="68"/>
      <c r="AS284" s="68"/>
      <c r="AT284" s="68"/>
      <c r="AU284" s="68"/>
      <c r="AV284" s="68"/>
      <c r="AW284" s="68"/>
      <c r="AX284" s="68"/>
      <c r="AY284" s="68"/>
      <c r="AZ284" s="68"/>
      <c r="BA284" s="68"/>
      <c r="BB284" s="68"/>
      <c r="BC284" s="68"/>
      <c r="BD284" s="68"/>
      <c r="BE284" s="68"/>
      <c r="BF284" s="68"/>
      <c r="BG284" s="68"/>
      <c r="BH284" s="68"/>
      <c r="BI284" s="68"/>
      <c r="BJ284" s="68"/>
      <c r="BK284" s="68"/>
      <c r="BL284" s="68"/>
      <c r="BM284" s="68"/>
      <c r="BN284" s="68"/>
    </row>
    <row r="285" spans="1:66" ht="17">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c r="AG285" s="68"/>
      <c r="AH285" s="68"/>
      <c r="AI285" s="68"/>
      <c r="AJ285" s="68"/>
      <c r="AK285" s="68"/>
      <c r="AL285" s="68"/>
      <c r="AM285" s="68"/>
      <c r="AN285" s="68"/>
      <c r="AO285" s="68"/>
      <c r="AP285" s="68"/>
      <c r="AQ285" s="68"/>
      <c r="AR285" s="68"/>
      <c r="AS285" s="68"/>
      <c r="AT285" s="68"/>
      <c r="AU285" s="68"/>
      <c r="AV285" s="68"/>
      <c r="AW285" s="68"/>
      <c r="AX285" s="68"/>
      <c r="AY285" s="68"/>
      <c r="AZ285" s="68"/>
      <c r="BA285" s="68"/>
      <c r="BB285" s="68"/>
      <c r="BC285" s="68"/>
      <c r="BD285" s="68"/>
      <c r="BE285" s="68"/>
      <c r="BF285" s="68"/>
      <c r="BG285" s="68"/>
      <c r="BH285" s="68"/>
      <c r="BI285" s="68"/>
      <c r="BJ285" s="68"/>
      <c r="BK285" s="68"/>
      <c r="BL285" s="68"/>
      <c r="BM285" s="68"/>
      <c r="BN285" s="68"/>
    </row>
    <row r="286" spans="1:66" ht="17">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c r="AG286" s="68"/>
      <c r="AH286" s="68"/>
      <c r="AI286" s="68"/>
      <c r="AJ286" s="68"/>
      <c r="AK286" s="68"/>
      <c r="AL286" s="68"/>
      <c r="AM286" s="68"/>
      <c r="AN286" s="68"/>
      <c r="AO286" s="68"/>
      <c r="AP286" s="68"/>
      <c r="AQ286" s="68"/>
      <c r="AR286" s="68"/>
      <c r="AS286" s="68"/>
      <c r="AT286" s="68"/>
      <c r="AU286" s="68"/>
      <c r="AV286" s="68"/>
      <c r="AW286" s="68"/>
      <c r="AX286" s="68"/>
      <c r="AY286" s="68"/>
      <c r="AZ286" s="68"/>
      <c r="BA286" s="68"/>
      <c r="BB286" s="68"/>
      <c r="BC286" s="68"/>
      <c r="BD286" s="68"/>
      <c r="BE286" s="68"/>
      <c r="BF286" s="68"/>
      <c r="BG286" s="68"/>
      <c r="BH286" s="68"/>
      <c r="BI286" s="68"/>
      <c r="BJ286" s="68"/>
      <c r="BK286" s="68"/>
      <c r="BL286" s="68"/>
      <c r="BM286" s="68"/>
      <c r="BN286" s="68"/>
    </row>
    <row r="287" spans="1:66" ht="1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c r="AH287" s="68"/>
      <c r="AI287" s="68"/>
      <c r="AJ287" s="68"/>
      <c r="AK287" s="68"/>
      <c r="AL287" s="68"/>
      <c r="AM287" s="68"/>
      <c r="AN287" s="68"/>
      <c r="AO287" s="68"/>
      <c r="AP287" s="68"/>
      <c r="AQ287" s="68"/>
      <c r="AR287" s="68"/>
      <c r="AS287" s="68"/>
      <c r="AT287" s="68"/>
      <c r="AU287" s="68"/>
      <c r="AV287" s="68"/>
      <c r="AW287" s="68"/>
      <c r="AX287" s="68"/>
      <c r="AY287" s="68"/>
      <c r="AZ287" s="68"/>
      <c r="BA287" s="68"/>
      <c r="BB287" s="68"/>
      <c r="BC287" s="68"/>
      <c r="BD287" s="68"/>
      <c r="BE287" s="68"/>
      <c r="BF287" s="68"/>
      <c r="BG287" s="68"/>
      <c r="BH287" s="68"/>
      <c r="BI287" s="68"/>
      <c r="BJ287" s="68"/>
      <c r="BK287" s="68"/>
      <c r="BL287" s="68"/>
      <c r="BM287" s="68"/>
      <c r="BN287" s="68"/>
    </row>
    <row r="288" spans="1:66" ht="17">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c r="AG288" s="68"/>
      <c r="AH288" s="68"/>
      <c r="AI288" s="68"/>
      <c r="AJ288" s="68"/>
      <c r="AK288" s="68"/>
      <c r="AL288" s="68"/>
      <c r="AM288" s="68"/>
      <c r="AN288" s="68"/>
      <c r="AO288" s="68"/>
      <c r="AP288" s="68"/>
      <c r="AQ288" s="68"/>
      <c r="AR288" s="68"/>
      <c r="AS288" s="68"/>
      <c r="AT288" s="68"/>
      <c r="AU288" s="68"/>
      <c r="AV288" s="68"/>
      <c r="AW288" s="68"/>
      <c r="AX288" s="68"/>
      <c r="AY288" s="68"/>
      <c r="AZ288" s="68"/>
      <c r="BA288" s="68"/>
      <c r="BB288" s="68"/>
      <c r="BC288" s="68"/>
      <c r="BD288" s="68"/>
      <c r="BE288" s="68"/>
      <c r="BF288" s="68"/>
      <c r="BG288" s="68"/>
      <c r="BH288" s="68"/>
      <c r="BI288" s="68"/>
      <c r="BJ288" s="68"/>
      <c r="BK288" s="68"/>
      <c r="BL288" s="68"/>
      <c r="BM288" s="68"/>
      <c r="BN288" s="68"/>
    </row>
    <row r="289" spans="1:66" ht="17">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c r="AG289" s="68"/>
      <c r="AH289" s="68"/>
      <c r="AI289" s="68"/>
      <c r="AJ289" s="68"/>
      <c r="AK289" s="68"/>
      <c r="AL289" s="68"/>
      <c r="AM289" s="68"/>
      <c r="AN289" s="68"/>
      <c r="AO289" s="68"/>
      <c r="AP289" s="68"/>
      <c r="AQ289" s="68"/>
      <c r="AR289" s="68"/>
      <c r="AS289" s="68"/>
      <c r="AT289" s="68"/>
      <c r="AU289" s="68"/>
      <c r="AV289" s="68"/>
      <c r="AW289" s="68"/>
      <c r="AX289" s="68"/>
      <c r="AY289" s="68"/>
      <c r="AZ289" s="68"/>
      <c r="BA289" s="68"/>
      <c r="BB289" s="68"/>
      <c r="BC289" s="68"/>
      <c r="BD289" s="68"/>
      <c r="BE289" s="68"/>
      <c r="BF289" s="68"/>
      <c r="BG289" s="68"/>
      <c r="BH289" s="68"/>
      <c r="BI289" s="68"/>
      <c r="BJ289" s="68"/>
      <c r="BK289" s="68"/>
      <c r="BL289" s="68"/>
      <c r="BM289" s="68"/>
      <c r="BN289" s="68"/>
    </row>
    <row r="290" spans="1:66" ht="17">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c r="AG290" s="68"/>
      <c r="AH290" s="68"/>
      <c r="AI290" s="68"/>
      <c r="AJ290" s="68"/>
      <c r="AK290" s="68"/>
      <c r="AL290" s="68"/>
      <c r="AM290" s="68"/>
      <c r="AN290" s="68"/>
      <c r="AO290" s="68"/>
      <c r="AP290" s="68"/>
      <c r="AQ290" s="68"/>
      <c r="AR290" s="68"/>
      <c r="AS290" s="68"/>
      <c r="AT290" s="68"/>
      <c r="AU290" s="68"/>
      <c r="AV290" s="68"/>
      <c r="AW290" s="68"/>
      <c r="AX290" s="68"/>
      <c r="AY290" s="68"/>
      <c r="AZ290" s="68"/>
      <c r="BA290" s="68"/>
      <c r="BB290" s="68"/>
      <c r="BC290" s="68"/>
      <c r="BD290" s="68"/>
      <c r="BE290" s="68"/>
      <c r="BF290" s="68"/>
      <c r="BG290" s="68"/>
      <c r="BH290" s="68"/>
      <c r="BI290" s="68"/>
      <c r="BJ290" s="68"/>
      <c r="BK290" s="68"/>
      <c r="BL290" s="68"/>
      <c r="BM290" s="68"/>
      <c r="BN290" s="68"/>
    </row>
    <row r="291" spans="1:66" ht="17">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c r="AH291" s="68"/>
      <c r="AI291" s="68"/>
      <c r="AJ291" s="68"/>
      <c r="AK291" s="68"/>
      <c r="AL291" s="68"/>
      <c r="AM291" s="68"/>
      <c r="AN291" s="68"/>
      <c r="AO291" s="68"/>
      <c r="AP291" s="68"/>
      <c r="AQ291" s="68"/>
      <c r="AR291" s="68"/>
      <c r="AS291" s="68"/>
      <c r="AT291" s="68"/>
      <c r="AU291" s="68"/>
      <c r="AV291" s="68"/>
      <c r="AW291" s="68"/>
      <c r="AX291" s="68"/>
      <c r="AY291" s="68"/>
      <c r="AZ291" s="68"/>
      <c r="BA291" s="68"/>
      <c r="BB291" s="68"/>
      <c r="BC291" s="68"/>
      <c r="BD291" s="68"/>
      <c r="BE291" s="68"/>
      <c r="BF291" s="68"/>
      <c r="BG291" s="68"/>
      <c r="BH291" s="68"/>
      <c r="BI291" s="68"/>
      <c r="BJ291" s="68"/>
      <c r="BK291" s="68"/>
      <c r="BL291" s="68"/>
      <c r="BM291" s="68"/>
      <c r="BN291" s="68"/>
    </row>
    <row r="292" spans="1:66" ht="17">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c r="AG292" s="68"/>
      <c r="AH292" s="68"/>
      <c r="AI292" s="68"/>
      <c r="AJ292" s="68"/>
      <c r="AK292" s="68"/>
      <c r="AL292" s="68"/>
      <c r="AM292" s="68"/>
      <c r="AN292" s="68"/>
      <c r="AO292" s="68"/>
      <c r="AP292" s="68"/>
      <c r="AQ292" s="68"/>
      <c r="AR292" s="68"/>
      <c r="AS292" s="68"/>
      <c r="AT292" s="68"/>
      <c r="AU292" s="68"/>
      <c r="AV292" s="68"/>
      <c r="AW292" s="68"/>
      <c r="AX292" s="68"/>
      <c r="AY292" s="68"/>
      <c r="AZ292" s="68"/>
      <c r="BA292" s="68"/>
      <c r="BB292" s="68"/>
      <c r="BC292" s="68"/>
      <c r="BD292" s="68"/>
      <c r="BE292" s="68"/>
      <c r="BF292" s="68"/>
      <c r="BG292" s="68"/>
      <c r="BH292" s="68"/>
      <c r="BI292" s="68"/>
      <c r="BJ292" s="68"/>
      <c r="BK292" s="68"/>
      <c r="BL292" s="68"/>
      <c r="BM292" s="68"/>
      <c r="BN292" s="68"/>
    </row>
    <row r="293" spans="1:66" ht="17">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68"/>
      <c r="AG293" s="68"/>
      <c r="AH293" s="68"/>
      <c r="AI293" s="68"/>
      <c r="AJ293" s="68"/>
      <c r="AK293" s="68"/>
      <c r="AL293" s="68"/>
      <c r="AM293" s="68"/>
      <c r="AN293" s="68"/>
      <c r="AO293" s="68"/>
      <c r="AP293" s="68"/>
      <c r="AQ293" s="68"/>
      <c r="AR293" s="68"/>
      <c r="AS293" s="68"/>
      <c r="AT293" s="68"/>
      <c r="AU293" s="68"/>
      <c r="AV293" s="68"/>
      <c r="AW293" s="68"/>
      <c r="AX293" s="68"/>
      <c r="AY293" s="68"/>
      <c r="AZ293" s="68"/>
      <c r="BA293" s="68"/>
      <c r="BB293" s="68"/>
      <c r="BC293" s="68"/>
      <c r="BD293" s="68"/>
      <c r="BE293" s="68"/>
      <c r="BF293" s="68"/>
      <c r="BG293" s="68"/>
      <c r="BH293" s="68"/>
      <c r="BI293" s="68"/>
      <c r="BJ293" s="68"/>
      <c r="BK293" s="68"/>
      <c r="BL293" s="68"/>
      <c r="BM293" s="68"/>
      <c r="BN293" s="68"/>
    </row>
    <row r="294" spans="1:66" ht="17">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c r="AG294" s="68"/>
      <c r="AH294" s="68"/>
      <c r="AI294" s="68"/>
      <c r="AJ294" s="68"/>
      <c r="AK294" s="68"/>
      <c r="AL294" s="68"/>
      <c r="AM294" s="68"/>
      <c r="AN294" s="68"/>
      <c r="AO294" s="68"/>
      <c r="AP294" s="68"/>
      <c r="AQ294" s="68"/>
      <c r="AR294" s="68"/>
      <c r="AS294" s="68"/>
      <c r="AT294" s="68"/>
      <c r="AU294" s="68"/>
      <c r="AV294" s="68"/>
      <c r="AW294" s="68"/>
      <c r="AX294" s="68"/>
      <c r="AY294" s="68"/>
      <c r="AZ294" s="68"/>
      <c r="BA294" s="68"/>
      <c r="BB294" s="68"/>
      <c r="BC294" s="68"/>
      <c r="BD294" s="68"/>
      <c r="BE294" s="68"/>
      <c r="BF294" s="68"/>
      <c r="BG294" s="68"/>
      <c r="BH294" s="68"/>
      <c r="BI294" s="68"/>
      <c r="BJ294" s="68"/>
      <c r="BK294" s="68"/>
      <c r="BL294" s="68"/>
      <c r="BM294" s="68"/>
      <c r="BN294" s="68"/>
    </row>
    <row r="295" spans="1:66" ht="17">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68"/>
      <c r="AG295" s="68"/>
      <c r="AH295" s="68"/>
      <c r="AI295" s="68"/>
      <c r="AJ295" s="68"/>
      <c r="AK295" s="68"/>
      <c r="AL295" s="68"/>
      <c r="AM295" s="68"/>
      <c r="AN295" s="68"/>
      <c r="AO295" s="68"/>
      <c r="AP295" s="68"/>
      <c r="AQ295" s="68"/>
      <c r="AR295" s="68"/>
      <c r="AS295" s="68"/>
      <c r="AT295" s="68"/>
      <c r="AU295" s="68"/>
      <c r="AV295" s="68"/>
      <c r="AW295" s="68"/>
      <c r="AX295" s="68"/>
      <c r="AY295" s="68"/>
      <c r="AZ295" s="68"/>
      <c r="BA295" s="68"/>
      <c r="BB295" s="68"/>
      <c r="BC295" s="68"/>
      <c r="BD295" s="68"/>
      <c r="BE295" s="68"/>
      <c r="BF295" s="68"/>
      <c r="BG295" s="68"/>
      <c r="BH295" s="68"/>
      <c r="BI295" s="68"/>
      <c r="BJ295" s="68"/>
      <c r="BK295" s="68"/>
      <c r="BL295" s="68"/>
      <c r="BM295" s="68"/>
      <c r="BN295" s="68"/>
    </row>
    <row r="296" spans="1:66" ht="17">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c r="AG296" s="68"/>
      <c r="AH296" s="68"/>
      <c r="AI296" s="68"/>
      <c r="AJ296" s="68"/>
      <c r="AK296" s="68"/>
      <c r="AL296" s="68"/>
      <c r="AM296" s="68"/>
      <c r="AN296" s="68"/>
      <c r="AO296" s="68"/>
      <c r="AP296" s="68"/>
      <c r="AQ296" s="68"/>
      <c r="AR296" s="68"/>
      <c r="AS296" s="68"/>
      <c r="AT296" s="68"/>
      <c r="AU296" s="68"/>
      <c r="AV296" s="68"/>
      <c r="AW296" s="68"/>
      <c r="AX296" s="68"/>
      <c r="AY296" s="68"/>
      <c r="AZ296" s="68"/>
      <c r="BA296" s="68"/>
      <c r="BB296" s="68"/>
      <c r="BC296" s="68"/>
      <c r="BD296" s="68"/>
      <c r="BE296" s="68"/>
      <c r="BF296" s="68"/>
      <c r="BG296" s="68"/>
      <c r="BH296" s="68"/>
      <c r="BI296" s="68"/>
      <c r="BJ296" s="68"/>
      <c r="BK296" s="68"/>
      <c r="BL296" s="68"/>
      <c r="BM296" s="68"/>
      <c r="BN296" s="68"/>
    </row>
    <row r="297" spans="1:66" ht="1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c r="AH297" s="68"/>
      <c r="AI297" s="68"/>
      <c r="AJ297" s="68"/>
      <c r="AK297" s="68"/>
      <c r="AL297" s="68"/>
      <c r="AM297" s="68"/>
      <c r="AN297" s="68"/>
      <c r="AO297" s="68"/>
      <c r="AP297" s="68"/>
      <c r="AQ297" s="68"/>
      <c r="AR297" s="68"/>
      <c r="AS297" s="68"/>
      <c r="AT297" s="68"/>
      <c r="AU297" s="68"/>
      <c r="AV297" s="68"/>
      <c r="AW297" s="68"/>
      <c r="AX297" s="68"/>
      <c r="AY297" s="68"/>
      <c r="AZ297" s="68"/>
      <c r="BA297" s="68"/>
      <c r="BB297" s="68"/>
      <c r="BC297" s="68"/>
      <c r="BD297" s="68"/>
      <c r="BE297" s="68"/>
      <c r="BF297" s="68"/>
      <c r="BG297" s="68"/>
      <c r="BH297" s="68"/>
      <c r="BI297" s="68"/>
      <c r="BJ297" s="68"/>
      <c r="BK297" s="68"/>
      <c r="BL297" s="68"/>
      <c r="BM297" s="68"/>
      <c r="BN297" s="68"/>
    </row>
    <row r="298" spans="1:66" ht="17">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68"/>
      <c r="AG298" s="68"/>
      <c r="AH298" s="68"/>
      <c r="AI298" s="68"/>
      <c r="AJ298" s="68"/>
      <c r="AK298" s="68"/>
      <c r="AL298" s="68"/>
      <c r="AM298" s="68"/>
      <c r="AN298" s="68"/>
      <c r="AO298" s="68"/>
      <c r="AP298" s="68"/>
      <c r="AQ298" s="68"/>
      <c r="AR298" s="68"/>
      <c r="AS298" s="68"/>
      <c r="AT298" s="68"/>
      <c r="AU298" s="68"/>
      <c r="AV298" s="68"/>
      <c r="AW298" s="68"/>
      <c r="AX298" s="68"/>
      <c r="AY298" s="68"/>
      <c r="AZ298" s="68"/>
      <c r="BA298" s="68"/>
      <c r="BB298" s="68"/>
      <c r="BC298" s="68"/>
      <c r="BD298" s="68"/>
      <c r="BE298" s="68"/>
      <c r="BF298" s="68"/>
      <c r="BG298" s="68"/>
      <c r="BH298" s="68"/>
      <c r="BI298" s="68"/>
      <c r="BJ298" s="68"/>
      <c r="BK298" s="68"/>
      <c r="BL298" s="68"/>
      <c r="BM298" s="68"/>
      <c r="BN298" s="68"/>
    </row>
    <row r="299" spans="1:66" ht="17">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c r="AG299" s="68"/>
      <c r="AH299" s="68"/>
      <c r="AI299" s="68"/>
      <c r="AJ299" s="68"/>
      <c r="AK299" s="68"/>
      <c r="AL299" s="68"/>
      <c r="AM299" s="68"/>
      <c r="AN299" s="68"/>
      <c r="AO299" s="68"/>
      <c r="AP299" s="68"/>
      <c r="AQ299" s="68"/>
      <c r="AR299" s="68"/>
      <c r="AS299" s="68"/>
      <c r="AT299" s="68"/>
      <c r="AU299" s="68"/>
      <c r="AV299" s="68"/>
      <c r="AW299" s="68"/>
      <c r="AX299" s="68"/>
      <c r="AY299" s="68"/>
      <c r="AZ299" s="68"/>
      <c r="BA299" s="68"/>
      <c r="BB299" s="68"/>
      <c r="BC299" s="68"/>
      <c r="BD299" s="68"/>
      <c r="BE299" s="68"/>
      <c r="BF299" s="68"/>
      <c r="BG299" s="68"/>
      <c r="BH299" s="68"/>
      <c r="BI299" s="68"/>
      <c r="BJ299" s="68"/>
      <c r="BK299" s="68"/>
      <c r="BL299" s="68"/>
      <c r="BM299" s="68"/>
      <c r="BN299" s="68"/>
    </row>
    <row r="300" spans="1:66" ht="17">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68"/>
      <c r="AG300" s="68"/>
      <c r="AH300" s="68"/>
      <c r="AI300" s="68"/>
      <c r="AJ300" s="68"/>
      <c r="AK300" s="68"/>
      <c r="AL300" s="68"/>
      <c r="AM300" s="68"/>
      <c r="AN300" s="68"/>
      <c r="AO300" s="68"/>
      <c r="AP300" s="68"/>
      <c r="AQ300" s="68"/>
      <c r="AR300" s="68"/>
      <c r="AS300" s="68"/>
      <c r="AT300" s="68"/>
      <c r="AU300" s="68"/>
      <c r="AV300" s="68"/>
      <c r="AW300" s="68"/>
      <c r="AX300" s="68"/>
      <c r="AY300" s="68"/>
      <c r="AZ300" s="68"/>
      <c r="BA300" s="68"/>
      <c r="BB300" s="68"/>
      <c r="BC300" s="68"/>
      <c r="BD300" s="68"/>
      <c r="BE300" s="68"/>
      <c r="BF300" s="68"/>
      <c r="BG300" s="68"/>
      <c r="BH300" s="68"/>
      <c r="BI300" s="68"/>
      <c r="BJ300" s="68"/>
      <c r="BK300" s="68"/>
      <c r="BL300" s="68"/>
      <c r="BM300" s="68"/>
      <c r="BN300" s="68"/>
    </row>
    <row r="301" spans="1:66" ht="17">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68"/>
      <c r="AG301" s="68"/>
      <c r="AH301" s="68"/>
      <c r="AI301" s="68"/>
      <c r="AJ301" s="68"/>
      <c r="AK301" s="68"/>
      <c r="AL301" s="68"/>
      <c r="AM301" s="68"/>
      <c r="AN301" s="68"/>
      <c r="AO301" s="68"/>
      <c r="AP301" s="68"/>
      <c r="AQ301" s="68"/>
      <c r="AR301" s="68"/>
      <c r="AS301" s="68"/>
      <c r="AT301" s="68"/>
      <c r="AU301" s="68"/>
      <c r="AV301" s="68"/>
      <c r="AW301" s="68"/>
      <c r="AX301" s="68"/>
      <c r="AY301" s="68"/>
      <c r="AZ301" s="68"/>
      <c r="BA301" s="68"/>
      <c r="BB301" s="68"/>
      <c r="BC301" s="68"/>
      <c r="BD301" s="68"/>
      <c r="BE301" s="68"/>
      <c r="BF301" s="68"/>
      <c r="BG301" s="68"/>
      <c r="BH301" s="68"/>
      <c r="BI301" s="68"/>
      <c r="BJ301" s="68"/>
      <c r="BK301" s="68"/>
      <c r="BL301" s="68"/>
      <c r="BM301" s="68"/>
      <c r="BN301" s="68"/>
    </row>
    <row r="302" spans="1:66" ht="17">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c r="AG302" s="68"/>
      <c r="AH302" s="68"/>
      <c r="AI302" s="68"/>
      <c r="AJ302" s="68"/>
      <c r="AK302" s="68"/>
      <c r="AL302" s="68"/>
      <c r="AM302" s="68"/>
      <c r="AN302" s="68"/>
      <c r="AO302" s="68"/>
      <c r="AP302" s="68"/>
      <c r="AQ302" s="68"/>
      <c r="AR302" s="68"/>
      <c r="AS302" s="68"/>
      <c r="AT302" s="68"/>
      <c r="AU302" s="68"/>
      <c r="AV302" s="68"/>
      <c r="AW302" s="68"/>
      <c r="AX302" s="68"/>
      <c r="AY302" s="68"/>
      <c r="AZ302" s="68"/>
      <c r="BA302" s="68"/>
      <c r="BB302" s="68"/>
      <c r="BC302" s="68"/>
      <c r="BD302" s="68"/>
      <c r="BE302" s="68"/>
      <c r="BF302" s="68"/>
      <c r="BG302" s="68"/>
      <c r="BH302" s="68"/>
      <c r="BI302" s="68"/>
      <c r="BJ302" s="68"/>
      <c r="BK302" s="68"/>
      <c r="BL302" s="68"/>
      <c r="BM302" s="68"/>
      <c r="BN302" s="68"/>
    </row>
    <row r="303" spans="1:66" ht="17">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c r="AG303" s="68"/>
      <c r="AH303" s="68"/>
      <c r="AI303" s="68"/>
      <c r="AJ303" s="68"/>
      <c r="AK303" s="68"/>
      <c r="AL303" s="68"/>
      <c r="AM303" s="68"/>
      <c r="AN303" s="68"/>
      <c r="AO303" s="68"/>
      <c r="AP303" s="68"/>
      <c r="AQ303" s="68"/>
      <c r="AR303" s="68"/>
      <c r="AS303" s="68"/>
      <c r="AT303" s="68"/>
      <c r="AU303" s="68"/>
      <c r="AV303" s="68"/>
      <c r="AW303" s="68"/>
      <c r="AX303" s="68"/>
      <c r="AY303" s="68"/>
      <c r="AZ303" s="68"/>
      <c r="BA303" s="68"/>
      <c r="BB303" s="68"/>
      <c r="BC303" s="68"/>
      <c r="BD303" s="68"/>
      <c r="BE303" s="68"/>
      <c r="BF303" s="68"/>
      <c r="BG303" s="68"/>
      <c r="BH303" s="68"/>
      <c r="BI303" s="68"/>
      <c r="BJ303" s="68"/>
      <c r="BK303" s="68"/>
      <c r="BL303" s="68"/>
      <c r="BM303" s="68"/>
      <c r="BN303" s="68"/>
    </row>
    <row r="304" spans="1:66" ht="17">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68"/>
      <c r="AG304" s="68"/>
      <c r="AH304" s="68"/>
      <c r="AI304" s="68"/>
      <c r="AJ304" s="68"/>
      <c r="AK304" s="68"/>
      <c r="AL304" s="68"/>
      <c r="AM304" s="68"/>
      <c r="AN304" s="68"/>
      <c r="AO304" s="68"/>
      <c r="AP304" s="68"/>
      <c r="AQ304" s="68"/>
      <c r="AR304" s="68"/>
      <c r="AS304" s="68"/>
      <c r="AT304" s="68"/>
      <c r="AU304" s="68"/>
      <c r="AV304" s="68"/>
      <c r="AW304" s="68"/>
      <c r="AX304" s="68"/>
      <c r="AY304" s="68"/>
      <c r="AZ304" s="68"/>
      <c r="BA304" s="68"/>
      <c r="BB304" s="68"/>
      <c r="BC304" s="68"/>
      <c r="BD304" s="68"/>
      <c r="BE304" s="68"/>
      <c r="BF304" s="68"/>
      <c r="BG304" s="68"/>
      <c r="BH304" s="68"/>
      <c r="BI304" s="68"/>
      <c r="BJ304" s="68"/>
      <c r="BK304" s="68"/>
      <c r="BL304" s="68"/>
      <c r="BM304" s="68"/>
      <c r="BN304" s="68"/>
    </row>
    <row r="305" spans="1:66" ht="17">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68"/>
      <c r="AG305" s="68"/>
      <c r="AH305" s="68"/>
      <c r="AI305" s="68"/>
      <c r="AJ305" s="68"/>
      <c r="AK305" s="68"/>
      <c r="AL305" s="68"/>
      <c r="AM305" s="68"/>
      <c r="AN305" s="68"/>
      <c r="AO305" s="68"/>
      <c r="AP305" s="68"/>
      <c r="AQ305" s="68"/>
      <c r="AR305" s="68"/>
      <c r="AS305" s="68"/>
      <c r="AT305" s="68"/>
      <c r="AU305" s="68"/>
      <c r="AV305" s="68"/>
      <c r="AW305" s="68"/>
      <c r="AX305" s="68"/>
      <c r="AY305" s="68"/>
      <c r="AZ305" s="68"/>
      <c r="BA305" s="68"/>
      <c r="BB305" s="68"/>
      <c r="BC305" s="68"/>
      <c r="BD305" s="68"/>
      <c r="BE305" s="68"/>
      <c r="BF305" s="68"/>
      <c r="BG305" s="68"/>
      <c r="BH305" s="68"/>
      <c r="BI305" s="68"/>
      <c r="BJ305" s="68"/>
      <c r="BK305" s="68"/>
      <c r="BL305" s="68"/>
      <c r="BM305" s="68"/>
      <c r="BN305" s="68"/>
    </row>
    <row r="306" spans="1:66" ht="17">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c r="AG306" s="68"/>
      <c r="AH306" s="68"/>
      <c r="AI306" s="68"/>
      <c r="AJ306" s="68"/>
      <c r="AK306" s="68"/>
      <c r="AL306" s="68"/>
      <c r="AM306" s="68"/>
      <c r="AN306" s="68"/>
      <c r="AO306" s="68"/>
      <c r="AP306" s="68"/>
      <c r="AQ306" s="68"/>
      <c r="AR306" s="68"/>
      <c r="AS306" s="68"/>
      <c r="AT306" s="68"/>
      <c r="AU306" s="68"/>
      <c r="AV306" s="68"/>
      <c r="AW306" s="68"/>
      <c r="AX306" s="68"/>
      <c r="AY306" s="68"/>
      <c r="AZ306" s="68"/>
      <c r="BA306" s="68"/>
      <c r="BB306" s="68"/>
      <c r="BC306" s="68"/>
      <c r="BD306" s="68"/>
      <c r="BE306" s="68"/>
      <c r="BF306" s="68"/>
      <c r="BG306" s="68"/>
      <c r="BH306" s="68"/>
      <c r="BI306" s="68"/>
      <c r="BJ306" s="68"/>
      <c r="BK306" s="68"/>
      <c r="BL306" s="68"/>
      <c r="BM306" s="68"/>
      <c r="BN306" s="68"/>
    </row>
    <row r="307" spans="1:66" ht="1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68"/>
      <c r="AG307" s="68"/>
      <c r="AH307" s="68"/>
      <c r="AI307" s="68"/>
      <c r="AJ307" s="68"/>
      <c r="AK307" s="68"/>
      <c r="AL307" s="68"/>
      <c r="AM307" s="68"/>
      <c r="AN307" s="68"/>
      <c r="AO307" s="68"/>
      <c r="AP307" s="68"/>
      <c r="AQ307" s="68"/>
      <c r="AR307" s="68"/>
      <c r="AS307" s="68"/>
      <c r="AT307" s="68"/>
      <c r="AU307" s="68"/>
      <c r="AV307" s="68"/>
      <c r="AW307" s="68"/>
      <c r="AX307" s="68"/>
      <c r="AY307" s="68"/>
      <c r="AZ307" s="68"/>
      <c r="BA307" s="68"/>
      <c r="BB307" s="68"/>
      <c r="BC307" s="68"/>
      <c r="BD307" s="68"/>
      <c r="BE307" s="68"/>
      <c r="BF307" s="68"/>
      <c r="BG307" s="68"/>
      <c r="BH307" s="68"/>
      <c r="BI307" s="68"/>
      <c r="BJ307" s="68"/>
      <c r="BK307" s="68"/>
      <c r="BL307" s="68"/>
      <c r="BM307" s="68"/>
      <c r="BN307" s="68"/>
    </row>
    <row r="308" spans="1:66" ht="17">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68"/>
      <c r="AG308" s="68"/>
      <c r="AH308" s="68"/>
      <c r="AI308" s="68"/>
      <c r="AJ308" s="68"/>
      <c r="AK308" s="68"/>
      <c r="AL308" s="68"/>
      <c r="AM308" s="68"/>
      <c r="AN308" s="68"/>
      <c r="AO308" s="68"/>
      <c r="AP308" s="68"/>
      <c r="AQ308" s="68"/>
      <c r="AR308" s="68"/>
      <c r="AS308" s="68"/>
      <c r="AT308" s="68"/>
      <c r="AU308" s="68"/>
      <c r="AV308" s="68"/>
      <c r="AW308" s="68"/>
      <c r="AX308" s="68"/>
      <c r="AY308" s="68"/>
      <c r="AZ308" s="68"/>
      <c r="BA308" s="68"/>
      <c r="BB308" s="68"/>
      <c r="BC308" s="68"/>
      <c r="BD308" s="68"/>
      <c r="BE308" s="68"/>
      <c r="BF308" s="68"/>
      <c r="BG308" s="68"/>
      <c r="BH308" s="68"/>
      <c r="BI308" s="68"/>
      <c r="BJ308" s="68"/>
      <c r="BK308" s="68"/>
      <c r="BL308" s="68"/>
      <c r="BM308" s="68"/>
      <c r="BN308" s="68"/>
    </row>
    <row r="309" spans="1:66" ht="17">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68"/>
      <c r="AG309" s="68"/>
      <c r="AH309" s="68"/>
      <c r="AI309" s="68"/>
      <c r="AJ309" s="68"/>
      <c r="AK309" s="68"/>
      <c r="AL309" s="68"/>
      <c r="AM309" s="68"/>
      <c r="AN309" s="68"/>
      <c r="AO309" s="68"/>
      <c r="AP309" s="68"/>
      <c r="AQ309" s="68"/>
      <c r="AR309" s="68"/>
      <c r="AS309" s="68"/>
      <c r="AT309" s="68"/>
      <c r="AU309" s="68"/>
      <c r="AV309" s="68"/>
      <c r="AW309" s="68"/>
      <c r="AX309" s="68"/>
      <c r="AY309" s="68"/>
      <c r="AZ309" s="68"/>
      <c r="BA309" s="68"/>
      <c r="BB309" s="68"/>
      <c r="BC309" s="68"/>
      <c r="BD309" s="68"/>
      <c r="BE309" s="68"/>
      <c r="BF309" s="68"/>
      <c r="BG309" s="68"/>
      <c r="BH309" s="68"/>
      <c r="BI309" s="68"/>
      <c r="BJ309" s="68"/>
      <c r="BK309" s="68"/>
      <c r="BL309" s="68"/>
      <c r="BM309" s="68"/>
      <c r="BN309" s="68"/>
    </row>
    <row r="310" spans="1:66" ht="17">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68"/>
      <c r="AG310" s="68"/>
      <c r="AH310" s="68"/>
      <c r="AI310" s="68"/>
      <c r="AJ310" s="68"/>
      <c r="AK310" s="68"/>
      <c r="AL310" s="68"/>
      <c r="AM310" s="68"/>
      <c r="AN310" s="68"/>
      <c r="AO310" s="68"/>
      <c r="AP310" s="68"/>
      <c r="AQ310" s="68"/>
      <c r="AR310" s="68"/>
      <c r="AS310" s="68"/>
      <c r="AT310" s="68"/>
      <c r="AU310" s="68"/>
      <c r="AV310" s="68"/>
      <c r="AW310" s="68"/>
      <c r="AX310" s="68"/>
      <c r="AY310" s="68"/>
      <c r="AZ310" s="68"/>
      <c r="BA310" s="68"/>
      <c r="BB310" s="68"/>
      <c r="BC310" s="68"/>
      <c r="BD310" s="68"/>
      <c r="BE310" s="68"/>
      <c r="BF310" s="68"/>
      <c r="BG310" s="68"/>
      <c r="BH310" s="68"/>
      <c r="BI310" s="68"/>
      <c r="BJ310" s="68"/>
      <c r="BK310" s="68"/>
      <c r="BL310" s="68"/>
      <c r="BM310" s="68"/>
      <c r="BN310" s="68"/>
    </row>
    <row r="311" spans="1:66" ht="17">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c r="AG311" s="68"/>
      <c r="AH311" s="68"/>
      <c r="AI311" s="68"/>
      <c r="AJ311" s="68"/>
      <c r="AK311" s="68"/>
      <c r="AL311" s="68"/>
      <c r="AM311" s="68"/>
      <c r="AN311" s="68"/>
      <c r="AO311" s="68"/>
      <c r="AP311" s="68"/>
      <c r="AQ311" s="68"/>
      <c r="AR311" s="68"/>
      <c r="AS311" s="68"/>
      <c r="AT311" s="68"/>
      <c r="AU311" s="68"/>
      <c r="AV311" s="68"/>
      <c r="AW311" s="68"/>
      <c r="AX311" s="68"/>
      <c r="AY311" s="68"/>
      <c r="AZ311" s="68"/>
      <c r="BA311" s="68"/>
      <c r="BB311" s="68"/>
      <c r="BC311" s="68"/>
      <c r="BD311" s="68"/>
      <c r="BE311" s="68"/>
      <c r="BF311" s="68"/>
      <c r="BG311" s="68"/>
      <c r="BH311" s="68"/>
      <c r="BI311" s="68"/>
      <c r="BJ311" s="68"/>
      <c r="BK311" s="68"/>
      <c r="BL311" s="68"/>
      <c r="BM311" s="68"/>
      <c r="BN311" s="68"/>
    </row>
    <row r="312" spans="1:66" ht="17">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68"/>
      <c r="AG312" s="68"/>
      <c r="AH312" s="68"/>
      <c r="AI312" s="68"/>
      <c r="AJ312" s="68"/>
      <c r="AK312" s="68"/>
      <c r="AL312" s="68"/>
      <c r="AM312" s="68"/>
      <c r="AN312" s="68"/>
      <c r="AO312" s="68"/>
      <c r="AP312" s="68"/>
      <c r="AQ312" s="68"/>
      <c r="AR312" s="68"/>
      <c r="AS312" s="68"/>
      <c r="AT312" s="68"/>
      <c r="AU312" s="68"/>
      <c r="AV312" s="68"/>
      <c r="AW312" s="68"/>
      <c r="AX312" s="68"/>
      <c r="AY312" s="68"/>
      <c r="AZ312" s="68"/>
      <c r="BA312" s="68"/>
      <c r="BB312" s="68"/>
      <c r="BC312" s="68"/>
      <c r="BD312" s="68"/>
      <c r="BE312" s="68"/>
      <c r="BF312" s="68"/>
      <c r="BG312" s="68"/>
      <c r="BH312" s="68"/>
      <c r="BI312" s="68"/>
      <c r="BJ312" s="68"/>
      <c r="BK312" s="68"/>
      <c r="BL312" s="68"/>
      <c r="BM312" s="68"/>
      <c r="BN312" s="68"/>
    </row>
    <row r="313" spans="1:66" ht="17">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68"/>
      <c r="AG313" s="68"/>
      <c r="AH313" s="68"/>
      <c r="AI313" s="68"/>
      <c r="AJ313" s="68"/>
      <c r="AK313" s="68"/>
      <c r="AL313" s="68"/>
      <c r="AM313" s="68"/>
      <c r="AN313" s="68"/>
      <c r="AO313" s="68"/>
      <c r="AP313" s="68"/>
      <c r="AQ313" s="68"/>
      <c r="AR313" s="68"/>
      <c r="AS313" s="68"/>
      <c r="AT313" s="68"/>
      <c r="AU313" s="68"/>
      <c r="AV313" s="68"/>
      <c r="AW313" s="68"/>
      <c r="AX313" s="68"/>
      <c r="AY313" s="68"/>
      <c r="AZ313" s="68"/>
      <c r="BA313" s="68"/>
      <c r="BB313" s="68"/>
      <c r="BC313" s="68"/>
      <c r="BD313" s="68"/>
      <c r="BE313" s="68"/>
      <c r="BF313" s="68"/>
      <c r="BG313" s="68"/>
      <c r="BH313" s="68"/>
      <c r="BI313" s="68"/>
      <c r="BJ313" s="68"/>
      <c r="BK313" s="68"/>
      <c r="BL313" s="68"/>
      <c r="BM313" s="68"/>
      <c r="BN313" s="68"/>
    </row>
    <row r="314" spans="1:66" ht="17">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68"/>
      <c r="AG314" s="68"/>
      <c r="AH314" s="68"/>
      <c r="AI314" s="68"/>
      <c r="AJ314" s="68"/>
      <c r="AK314" s="68"/>
      <c r="AL314" s="68"/>
      <c r="AM314" s="68"/>
      <c r="AN314" s="68"/>
      <c r="AO314" s="68"/>
      <c r="AP314" s="68"/>
      <c r="AQ314" s="68"/>
      <c r="AR314" s="68"/>
      <c r="AS314" s="68"/>
      <c r="AT314" s="68"/>
      <c r="AU314" s="68"/>
      <c r="AV314" s="68"/>
      <c r="AW314" s="68"/>
      <c r="AX314" s="68"/>
      <c r="AY314" s="68"/>
      <c r="AZ314" s="68"/>
      <c r="BA314" s="68"/>
      <c r="BB314" s="68"/>
      <c r="BC314" s="68"/>
      <c r="BD314" s="68"/>
      <c r="BE314" s="68"/>
      <c r="BF314" s="68"/>
      <c r="BG314" s="68"/>
      <c r="BH314" s="68"/>
      <c r="BI314" s="68"/>
      <c r="BJ314" s="68"/>
      <c r="BK314" s="68"/>
      <c r="BL314" s="68"/>
      <c r="BM314" s="68"/>
      <c r="BN314" s="68"/>
    </row>
    <row r="315" spans="1:66" ht="17">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c r="AG315" s="68"/>
      <c r="AH315" s="68"/>
      <c r="AI315" s="68"/>
      <c r="AJ315" s="68"/>
      <c r="AK315" s="68"/>
      <c r="AL315" s="68"/>
      <c r="AM315" s="68"/>
      <c r="AN315" s="68"/>
      <c r="AO315" s="68"/>
      <c r="AP315" s="68"/>
      <c r="AQ315" s="68"/>
      <c r="AR315" s="68"/>
      <c r="AS315" s="68"/>
      <c r="AT315" s="68"/>
      <c r="AU315" s="68"/>
      <c r="AV315" s="68"/>
      <c r="AW315" s="68"/>
      <c r="AX315" s="68"/>
      <c r="AY315" s="68"/>
      <c r="AZ315" s="68"/>
      <c r="BA315" s="68"/>
      <c r="BB315" s="68"/>
      <c r="BC315" s="68"/>
      <c r="BD315" s="68"/>
      <c r="BE315" s="68"/>
      <c r="BF315" s="68"/>
      <c r="BG315" s="68"/>
      <c r="BH315" s="68"/>
      <c r="BI315" s="68"/>
      <c r="BJ315" s="68"/>
      <c r="BK315" s="68"/>
      <c r="BL315" s="68"/>
      <c r="BM315" s="68"/>
      <c r="BN315" s="68"/>
    </row>
    <row r="316" spans="1:66" ht="17">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68"/>
      <c r="AG316" s="68"/>
      <c r="AH316" s="68"/>
      <c r="AI316" s="68"/>
      <c r="AJ316" s="68"/>
      <c r="AK316" s="68"/>
      <c r="AL316" s="68"/>
      <c r="AM316" s="68"/>
      <c r="AN316" s="68"/>
      <c r="AO316" s="68"/>
      <c r="AP316" s="68"/>
      <c r="AQ316" s="68"/>
      <c r="AR316" s="68"/>
      <c r="AS316" s="68"/>
      <c r="AT316" s="68"/>
      <c r="AU316" s="68"/>
      <c r="AV316" s="68"/>
      <c r="AW316" s="68"/>
      <c r="AX316" s="68"/>
      <c r="AY316" s="68"/>
      <c r="AZ316" s="68"/>
      <c r="BA316" s="68"/>
      <c r="BB316" s="68"/>
      <c r="BC316" s="68"/>
      <c r="BD316" s="68"/>
      <c r="BE316" s="68"/>
      <c r="BF316" s="68"/>
      <c r="BG316" s="68"/>
      <c r="BH316" s="68"/>
      <c r="BI316" s="68"/>
      <c r="BJ316" s="68"/>
      <c r="BK316" s="68"/>
      <c r="BL316" s="68"/>
      <c r="BM316" s="68"/>
      <c r="BN316" s="68"/>
    </row>
    <row r="317" spans="1:66" ht="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c r="AH317" s="68"/>
      <c r="AI317" s="68"/>
      <c r="AJ317" s="68"/>
      <c r="AK317" s="68"/>
      <c r="AL317" s="68"/>
      <c r="AM317" s="68"/>
      <c r="AN317" s="68"/>
      <c r="AO317" s="68"/>
      <c r="AP317" s="68"/>
      <c r="AQ317" s="68"/>
      <c r="AR317" s="68"/>
      <c r="AS317" s="68"/>
      <c r="AT317" s="68"/>
      <c r="AU317" s="68"/>
      <c r="AV317" s="68"/>
      <c r="AW317" s="68"/>
      <c r="AX317" s="68"/>
      <c r="AY317" s="68"/>
      <c r="AZ317" s="68"/>
      <c r="BA317" s="68"/>
      <c r="BB317" s="68"/>
      <c r="BC317" s="68"/>
      <c r="BD317" s="68"/>
      <c r="BE317" s="68"/>
      <c r="BF317" s="68"/>
      <c r="BG317" s="68"/>
      <c r="BH317" s="68"/>
      <c r="BI317" s="68"/>
      <c r="BJ317" s="68"/>
      <c r="BK317" s="68"/>
      <c r="BL317" s="68"/>
      <c r="BM317" s="68"/>
      <c r="BN317" s="68"/>
    </row>
    <row r="318" spans="1:66" ht="17">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c r="AH318" s="68"/>
      <c r="AI318" s="68"/>
      <c r="AJ318" s="68"/>
      <c r="AK318" s="68"/>
      <c r="AL318" s="68"/>
      <c r="AM318" s="68"/>
      <c r="AN318" s="68"/>
      <c r="AO318" s="68"/>
      <c r="AP318" s="68"/>
      <c r="AQ318" s="68"/>
      <c r="AR318" s="68"/>
      <c r="AS318" s="68"/>
      <c r="AT318" s="68"/>
      <c r="AU318" s="68"/>
      <c r="AV318" s="68"/>
      <c r="AW318" s="68"/>
      <c r="AX318" s="68"/>
      <c r="AY318" s="68"/>
      <c r="AZ318" s="68"/>
      <c r="BA318" s="68"/>
      <c r="BB318" s="68"/>
      <c r="BC318" s="68"/>
      <c r="BD318" s="68"/>
      <c r="BE318" s="68"/>
      <c r="BF318" s="68"/>
      <c r="BG318" s="68"/>
      <c r="BH318" s="68"/>
      <c r="BI318" s="68"/>
      <c r="BJ318" s="68"/>
      <c r="BK318" s="68"/>
      <c r="BL318" s="68"/>
      <c r="BM318" s="68"/>
      <c r="BN318" s="68"/>
    </row>
    <row r="319" spans="1:66" ht="17">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68"/>
      <c r="AG319" s="68"/>
      <c r="AH319" s="68"/>
      <c r="AI319" s="68"/>
      <c r="AJ319" s="68"/>
      <c r="AK319" s="68"/>
      <c r="AL319" s="68"/>
      <c r="AM319" s="68"/>
      <c r="AN319" s="68"/>
      <c r="AO319" s="68"/>
      <c r="AP319" s="68"/>
      <c r="AQ319" s="68"/>
      <c r="AR319" s="68"/>
      <c r="AS319" s="68"/>
      <c r="AT319" s="68"/>
      <c r="AU319" s="68"/>
      <c r="AV319" s="68"/>
      <c r="AW319" s="68"/>
      <c r="AX319" s="68"/>
      <c r="AY319" s="68"/>
      <c r="AZ319" s="68"/>
      <c r="BA319" s="68"/>
      <c r="BB319" s="68"/>
      <c r="BC319" s="68"/>
      <c r="BD319" s="68"/>
      <c r="BE319" s="68"/>
      <c r="BF319" s="68"/>
      <c r="BG319" s="68"/>
      <c r="BH319" s="68"/>
      <c r="BI319" s="68"/>
      <c r="BJ319" s="68"/>
      <c r="BK319" s="68"/>
      <c r="BL319" s="68"/>
      <c r="BM319" s="68"/>
      <c r="BN319" s="68"/>
    </row>
    <row r="320" spans="1:66" ht="17">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68"/>
      <c r="AK320" s="68"/>
      <c r="AL320" s="68"/>
      <c r="AM320" s="68"/>
      <c r="AN320" s="68"/>
      <c r="AO320" s="68"/>
      <c r="AP320" s="68"/>
      <c r="AQ320" s="68"/>
      <c r="AR320" s="68"/>
      <c r="AS320" s="68"/>
      <c r="AT320" s="68"/>
      <c r="AU320" s="68"/>
      <c r="AV320" s="68"/>
      <c r="AW320" s="68"/>
      <c r="AX320" s="68"/>
      <c r="AY320" s="68"/>
      <c r="AZ320" s="68"/>
      <c r="BA320" s="68"/>
      <c r="BB320" s="68"/>
      <c r="BC320" s="68"/>
      <c r="BD320" s="68"/>
      <c r="BE320" s="68"/>
      <c r="BF320" s="68"/>
      <c r="BG320" s="68"/>
      <c r="BH320" s="68"/>
      <c r="BI320" s="68"/>
      <c r="BJ320" s="68"/>
      <c r="BK320" s="68"/>
      <c r="BL320" s="68"/>
      <c r="BM320" s="68"/>
      <c r="BN320" s="68"/>
    </row>
    <row r="321" spans="1:66" ht="17">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c r="AH321" s="68"/>
      <c r="AI321" s="68"/>
      <c r="AJ321" s="68"/>
      <c r="AK321" s="68"/>
      <c r="AL321" s="68"/>
      <c r="AM321" s="68"/>
      <c r="AN321" s="68"/>
      <c r="AO321" s="68"/>
      <c r="AP321" s="68"/>
      <c r="AQ321" s="68"/>
      <c r="AR321" s="68"/>
      <c r="AS321" s="68"/>
      <c r="AT321" s="68"/>
      <c r="AU321" s="68"/>
      <c r="AV321" s="68"/>
      <c r="AW321" s="68"/>
      <c r="AX321" s="68"/>
      <c r="AY321" s="68"/>
      <c r="AZ321" s="68"/>
      <c r="BA321" s="68"/>
      <c r="BB321" s="68"/>
      <c r="BC321" s="68"/>
      <c r="BD321" s="68"/>
      <c r="BE321" s="68"/>
      <c r="BF321" s="68"/>
      <c r="BG321" s="68"/>
      <c r="BH321" s="68"/>
      <c r="BI321" s="68"/>
      <c r="BJ321" s="68"/>
      <c r="BK321" s="68"/>
      <c r="BL321" s="68"/>
      <c r="BM321" s="68"/>
      <c r="BN321" s="68"/>
    </row>
    <row r="322" spans="1:66" ht="17">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c r="AG322" s="68"/>
      <c r="AH322" s="68"/>
      <c r="AI322" s="68"/>
      <c r="AJ322" s="68"/>
      <c r="AK322" s="68"/>
      <c r="AL322" s="68"/>
      <c r="AM322" s="68"/>
      <c r="AN322" s="68"/>
      <c r="AO322" s="68"/>
      <c r="AP322" s="68"/>
      <c r="AQ322" s="68"/>
      <c r="AR322" s="68"/>
      <c r="AS322" s="68"/>
      <c r="AT322" s="68"/>
      <c r="AU322" s="68"/>
      <c r="AV322" s="68"/>
      <c r="AW322" s="68"/>
      <c r="AX322" s="68"/>
      <c r="AY322" s="68"/>
      <c r="AZ322" s="68"/>
      <c r="BA322" s="68"/>
      <c r="BB322" s="68"/>
      <c r="BC322" s="68"/>
      <c r="BD322" s="68"/>
      <c r="BE322" s="68"/>
      <c r="BF322" s="68"/>
      <c r="BG322" s="68"/>
      <c r="BH322" s="68"/>
      <c r="BI322" s="68"/>
      <c r="BJ322" s="68"/>
      <c r="BK322" s="68"/>
      <c r="BL322" s="68"/>
      <c r="BM322" s="68"/>
      <c r="BN322" s="68"/>
    </row>
    <row r="323" spans="1:66" ht="17">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c r="AJ323" s="68"/>
      <c r="AK323" s="68"/>
      <c r="AL323" s="68"/>
      <c r="AM323" s="68"/>
      <c r="AN323" s="68"/>
      <c r="AO323" s="68"/>
      <c r="AP323" s="68"/>
      <c r="AQ323" s="68"/>
      <c r="AR323" s="68"/>
      <c r="AS323" s="68"/>
      <c r="AT323" s="68"/>
      <c r="AU323" s="68"/>
      <c r="AV323" s="68"/>
      <c r="AW323" s="68"/>
      <c r="AX323" s="68"/>
      <c r="AY323" s="68"/>
      <c r="AZ323" s="68"/>
      <c r="BA323" s="68"/>
      <c r="BB323" s="68"/>
      <c r="BC323" s="68"/>
      <c r="BD323" s="68"/>
      <c r="BE323" s="68"/>
      <c r="BF323" s="68"/>
      <c r="BG323" s="68"/>
      <c r="BH323" s="68"/>
      <c r="BI323" s="68"/>
      <c r="BJ323" s="68"/>
      <c r="BK323" s="68"/>
      <c r="BL323" s="68"/>
      <c r="BM323" s="68"/>
      <c r="BN323" s="68"/>
    </row>
    <row r="324" spans="1:66" ht="17">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c r="AH324" s="68"/>
      <c r="AI324" s="68"/>
      <c r="AJ324" s="68"/>
      <c r="AK324" s="68"/>
      <c r="AL324" s="68"/>
      <c r="AM324" s="68"/>
      <c r="AN324" s="68"/>
      <c r="AO324" s="68"/>
      <c r="AP324" s="68"/>
      <c r="AQ324" s="68"/>
      <c r="AR324" s="68"/>
      <c r="AS324" s="68"/>
      <c r="AT324" s="68"/>
      <c r="AU324" s="68"/>
      <c r="AV324" s="68"/>
      <c r="AW324" s="68"/>
      <c r="AX324" s="68"/>
      <c r="AY324" s="68"/>
      <c r="AZ324" s="68"/>
      <c r="BA324" s="68"/>
      <c r="BB324" s="68"/>
      <c r="BC324" s="68"/>
      <c r="BD324" s="68"/>
      <c r="BE324" s="68"/>
      <c r="BF324" s="68"/>
      <c r="BG324" s="68"/>
      <c r="BH324" s="68"/>
      <c r="BI324" s="68"/>
      <c r="BJ324" s="68"/>
      <c r="BK324" s="68"/>
      <c r="BL324" s="68"/>
      <c r="BM324" s="68"/>
      <c r="BN324" s="68"/>
    </row>
    <row r="325" spans="1:66" ht="17">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68"/>
      <c r="AG325" s="68"/>
      <c r="AH325" s="68"/>
      <c r="AI325" s="68"/>
      <c r="AJ325" s="68"/>
      <c r="AK325" s="68"/>
      <c r="AL325" s="68"/>
      <c r="AM325" s="68"/>
      <c r="AN325" s="68"/>
      <c r="AO325" s="68"/>
      <c r="AP325" s="68"/>
      <c r="AQ325" s="68"/>
      <c r="AR325" s="68"/>
      <c r="AS325" s="68"/>
      <c r="AT325" s="68"/>
      <c r="AU325" s="68"/>
      <c r="AV325" s="68"/>
      <c r="AW325" s="68"/>
      <c r="AX325" s="68"/>
      <c r="AY325" s="68"/>
      <c r="AZ325" s="68"/>
      <c r="BA325" s="68"/>
      <c r="BB325" s="68"/>
      <c r="BC325" s="68"/>
      <c r="BD325" s="68"/>
      <c r="BE325" s="68"/>
      <c r="BF325" s="68"/>
      <c r="BG325" s="68"/>
      <c r="BH325" s="68"/>
      <c r="BI325" s="68"/>
      <c r="BJ325" s="68"/>
      <c r="BK325" s="68"/>
      <c r="BL325" s="68"/>
      <c r="BM325" s="68"/>
      <c r="BN325" s="68"/>
    </row>
    <row r="326" spans="1:66" ht="17">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c r="AH326" s="68"/>
      <c r="AI326" s="68"/>
      <c r="AJ326" s="68"/>
      <c r="AK326" s="68"/>
      <c r="AL326" s="68"/>
      <c r="AM326" s="68"/>
      <c r="AN326" s="68"/>
      <c r="AO326" s="68"/>
      <c r="AP326" s="68"/>
      <c r="AQ326" s="68"/>
      <c r="AR326" s="68"/>
      <c r="AS326" s="68"/>
      <c r="AT326" s="68"/>
      <c r="AU326" s="68"/>
      <c r="AV326" s="68"/>
      <c r="AW326" s="68"/>
      <c r="AX326" s="68"/>
      <c r="AY326" s="68"/>
      <c r="AZ326" s="68"/>
      <c r="BA326" s="68"/>
      <c r="BB326" s="68"/>
      <c r="BC326" s="68"/>
      <c r="BD326" s="68"/>
      <c r="BE326" s="68"/>
      <c r="BF326" s="68"/>
      <c r="BG326" s="68"/>
      <c r="BH326" s="68"/>
      <c r="BI326" s="68"/>
      <c r="BJ326" s="68"/>
      <c r="BK326" s="68"/>
      <c r="BL326" s="68"/>
      <c r="BM326" s="68"/>
      <c r="BN326" s="68"/>
    </row>
    <row r="327" spans="1:66" ht="1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c r="AH327" s="68"/>
      <c r="AI327" s="68"/>
      <c r="AJ327" s="68"/>
      <c r="AK327" s="68"/>
      <c r="AL327" s="68"/>
      <c r="AM327" s="68"/>
      <c r="AN327" s="68"/>
      <c r="AO327" s="68"/>
      <c r="AP327" s="68"/>
      <c r="AQ327" s="68"/>
      <c r="AR327" s="68"/>
      <c r="AS327" s="68"/>
      <c r="AT327" s="68"/>
      <c r="AU327" s="68"/>
      <c r="AV327" s="68"/>
      <c r="AW327" s="68"/>
      <c r="AX327" s="68"/>
      <c r="AY327" s="68"/>
      <c r="AZ327" s="68"/>
      <c r="BA327" s="68"/>
      <c r="BB327" s="68"/>
      <c r="BC327" s="68"/>
      <c r="BD327" s="68"/>
      <c r="BE327" s="68"/>
      <c r="BF327" s="68"/>
      <c r="BG327" s="68"/>
      <c r="BH327" s="68"/>
      <c r="BI327" s="68"/>
      <c r="BJ327" s="68"/>
      <c r="BK327" s="68"/>
      <c r="BL327" s="68"/>
      <c r="BM327" s="68"/>
      <c r="BN327" s="68"/>
    </row>
    <row r="328" spans="1:66" ht="17">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68"/>
      <c r="AM328" s="68"/>
      <c r="AN328" s="68"/>
      <c r="AO328" s="68"/>
      <c r="AP328" s="68"/>
      <c r="AQ328" s="68"/>
      <c r="AR328" s="68"/>
      <c r="AS328" s="68"/>
      <c r="AT328" s="68"/>
      <c r="AU328" s="68"/>
      <c r="AV328" s="68"/>
      <c r="AW328" s="68"/>
      <c r="AX328" s="68"/>
      <c r="AY328" s="68"/>
      <c r="AZ328" s="68"/>
      <c r="BA328" s="68"/>
      <c r="BB328" s="68"/>
      <c r="BC328" s="68"/>
      <c r="BD328" s="68"/>
      <c r="BE328" s="68"/>
      <c r="BF328" s="68"/>
      <c r="BG328" s="68"/>
      <c r="BH328" s="68"/>
      <c r="BI328" s="68"/>
      <c r="BJ328" s="68"/>
      <c r="BK328" s="68"/>
      <c r="BL328" s="68"/>
      <c r="BM328" s="68"/>
      <c r="BN328" s="68"/>
    </row>
    <row r="329" spans="1:66" ht="17">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68"/>
      <c r="AK329" s="68"/>
      <c r="AL329" s="68"/>
      <c r="AM329" s="68"/>
      <c r="AN329" s="68"/>
      <c r="AO329" s="68"/>
      <c r="AP329" s="68"/>
      <c r="AQ329" s="68"/>
      <c r="AR329" s="68"/>
      <c r="AS329" s="68"/>
      <c r="AT329" s="68"/>
      <c r="AU329" s="68"/>
      <c r="AV329" s="68"/>
      <c r="AW329" s="68"/>
      <c r="AX329" s="68"/>
      <c r="AY329" s="68"/>
      <c r="AZ329" s="68"/>
      <c r="BA329" s="68"/>
      <c r="BB329" s="68"/>
      <c r="BC329" s="68"/>
      <c r="BD329" s="68"/>
      <c r="BE329" s="68"/>
      <c r="BF329" s="68"/>
      <c r="BG329" s="68"/>
      <c r="BH329" s="68"/>
      <c r="BI329" s="68"/>
      <c r="BJ329" s="68"/>
      <c r="BK329" s="68"/>
      <c r="BL329" s="68"/>
      <c r="BM329" s="68"/>
      <c r="BN329" s="68"/>
    </row>
    <row r="330" spans="1:66" ht="17">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c r="AJ330" s="68"/>
      <c r="AK330" s="68"/>
      <c r="AL330" s="68"/>
      <c r="AM330" s="68"/>
      <c r="AN330" s="68"/>
      <c r="AO330" s="68"/>
      <c r="AP330" s="68"/>
      <c r="AQ330" s="68"/>
      <c r="AR330" s="68"/>
      <c r="AS330" s="68"/>
      <c r="AT330" s="68"/>
      <c r="AU330" s="68"/>
      <c r="AV330" s="68"/>
      <c r="AW330" s="68"/>
      <c r="AX330" s="68"/>
      <c r="AY330" s="68"/>
      <c r="AZ330" s="68"/>
      <c r="BA330" s="68"/>
      <c r="BB330" s="68"/>
      <c r="BC330" s="68"/>
      <c r="BD330" s="68"/>
      <c r="BE330" s="68"/>
      <c r="BF330" s="68"/>
      <c r="BG330" s="68"/>
      <c r="BH330" s="68"/>
      <c r="BI330" s="68"/>
      <c r="BJ330" s="68"/>
      <c r="BK330" s="68"/>
      <c r="BL330" s="68"/>
      <c r="BM330" s="68"/>
      <c r="BN330" s="68"/>
    </row>
    <row r="331" spans="1:66" ht="17">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c r="AH331" s="68"/>
      <c r="AI331" s="68"/>
      <c r="AJ331" s="68"/>
      <c r="AK331" s="68"/>
      <c r="AL331" s="68"/>
      <c r="AM331" s="68"/>
      <c r="AN331" s="68"/>
      <c r="AO331" s="68"/>
      <c r="AP331" s="68"/>
      <c r="AQ331" s="68"/>
      <c r="AR331" s="68"/>
      <c r="AS331" s="68"/>
      <c r="AT331" s="68"/>
      <c r="AU331" s="68"/>
      <c r="AV331" s="68"/>
      <c r="AW331" s="68"/>
      <c r="AX331" s="68"/>
      <c r="AY331" s="68"/>
      <c r="AZ331" s="68"/>
      <c r="BA331" s="68"/>
      <c r="BB331" s="68"/>
      <c r="BC331" s="68"/>
      <c r="BD331" s="68"/>
      <c r="BE331" s="68"/>
      <c r="BF331" s="68"/>
      <c r="BG331" s="68"/>
      <c r="BH331" s="68"/>
      <c r="BI331" s="68"/>
      <c r="BJ331" s="68"/>
      <c r="BK331" s="68"/>
      <c r="BL331" s="68"/>
      <c r="BM331" s="68"/>
      <c r="BN331" s="68"/>
    </row>
    <row r="332" spans="1:66" ht="17">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c r="AH332" s="68"/>
      <c r="AI332" s="68"/>
      <c r="AJ332" s="68"/>
      <c r="AK332" s="68"/>
      <c r="AL332" s="68"/>
      <c r="AM332" s="68"/>
      <c r="AN332" s="68"/>
      <c r="AO332" s="68"/>
      <c r="AP332" s="68"/>
      <c r="AQ332" s="68"/>
      <c r="AR332" s="68"/>
      <c r="AS332" s="68"/>
      <c r="AT332" s="68"/>
      <c r="AU332" s="68"/>
      <c r="AV332" s="68"/>
      <c r="AW332" s="68"/>
      <c r="AX332" s="68"/>
      <c r="AY332" s="68"/>
      <c r="AZ332" s="68"/>
      <c r="BA332" s="68"/>
      <c r="BB332" s="68"/>
      <c r="BC332" s="68"/>
      <c r="BD332" s="68"/>
      <c r="BE332" s="68"/>
      <c r="BF332" s="68"/>
      <c r="BG332" s="68"/>
      <c r="BH332" s="68"/>
      <c r="BI332" s="68"/>
      <c r="BJ332" s="68"/>
      <c r="BK332" s="68"/>
      <c r="BL332" s="68"/>
      <c r="BM332" s="68"/>
      <c r="BN332" s="68"/>
    </row>
    <row r="333" spans="1:66" ht="17">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8"/>
      <c r="AJ333" s="68"/>
      <c r="AK333" s="68"/>
      <c r="AL333" s="68"/>
      <c r="AM333" s="68"/>
      <c r="AN333" s="68"/>
      <c r="AO333" s="68"/>
      <c r="AP333" s="68"/>
      <c r="AQ333" s="68"/>
      <c r="AR333" s="68"/>
      <c r="AS333" s="68"/>
      <c r="AT333" s="68"/>
      <c r="AU333" s="68"/>
      <c r="AV333" s="68"/>
      <c r="AW333" s="68"/>
      <c r="AX333" s="68"/>
      <c r="AY333" s="68"/>
      <c r="AZ333" s="68"/>
      <c r="BA333" s="68"/>
      <c r="BB333" s="68"/>
      <c r="BC333" s="68"/>
      <c r="BD333" s="68"/>
      <c r="BE333" s="68"/>
      <c r="BF333" s="68"/>
      <c r="BG333" s="68"/>
      <c r="BH333" s="68"/>
      <c r="BI333" s="68"/>
      <c r="BJ333" s="68"/>
      <c r="BK333" s="68"/>
      <c r="BL333" s="68"/>
      <c r="BM333" s="68"/>
      <c r="BN333" s="68"/>
    </row>
    <row r="334" spans="1:66" ht="17">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c r="AG334" s="68"/>
      <c r="AH334" s="68"/>
      <c r="AI334" s="68"/>
      <c r="AJ334" s="68"/>
      <c r="AK334" s="68"/>
      <c r="AL334" s="68"/>
      <c r="AM334" s="68"/>
      <c r="AN334" s="68"/>
      <c r="AO334" s="68"/>
      <c r="AP334" s="68"/>
      <c r="AQ334" s="68"/>
      <c r="AR334" s="68"/>
      <c r="AS334" s="68"/>
      <c r="AT334" s="68"/>
      <c r="AU334" s="68"/>
      <c r="AV334" s="68"/>
      <c r="AW334" s="68"/>
      <c r="AX334" s="68"/>
      <c r="AY334" s="68"/>
      <c r="AZ334" s="68"/>
      <c r="BA334" s="68"/>
      <c r="BB334" s="68"/>
      <c r="BC334" s="68"/>
      <c r="BD334" s="68"/>
      <c r="BE334" s="68"/>
      <c r="BF334" s="68"/>
      <c r="BG334" s="68"/>
      <c r="BH334" s="68"/>
      <c r="BI334" s="68"/>
      <c r="BJ334" s="68"/>
      <c r="BK334" s="68"/>
      <c r="BL334" s="68"/>
      <c r="BM334" s="68"/>
      <c r="BN334" s="68"/>
    </row>
    <row r="335" spans="1:66" ht="17">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8"/>
      <c r="AJ335" s="68"/>
      <c r="AK335" s="68"/>
      <c r="AL335" s="68"/>
      <c r="AM335" s="68"/>
      <c r="AN335" s="68"/>
      <c r="AO335" s="68"/>
      <c r="AP335" s="68"/>
      <c r="AQ335" s="68"/>
      <c r="AR335" s="68"/>
      <c r="AS335" s="68"/>
      <c r="AT335" s="68"/>
      <c r="AU335" s="68"/>
      <c r="AV335" s="68"/>
      <c r="AW335" s="68"/>
      <c r="AX335" s="68"/>
      <c r="AY335" s="68"/>
      <c r="AZ335" s="68"/>
      <c r="BA335" s="68"/>
      <c r="BB335" s="68"/>
      <c r="BC335" s="68"/>
      <c r="BD335" s="68"/>
      <c r="BE335" s="68"/>
      <c r="BF335" s="68"/>
      <c r="BG335" s="68"/>
      <c r="BH335" s="68"/>
      <c r="BI335" s="68"/>
      <c r="BJ335" s="68"/>
      <c r="BK335" s="68"/>
      <c r="BL335" s="68"/>
      <c r="BM335" s="68"/>
      <c r="BN335" s="68"/>
    </row>
    <row r="336" spans="1:66" ht="17">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c r="AG336" s="68"/>
      <c r="AH336" s="68"/>
      <c r="AI336" s="68"/>
      <c r="AJ336" s="68"/>
      <c r="AK336" s="68"/>
      <c r="AL336" s="68"/>
      <c r="AM336" s="68"/>
      <c r="AN336" s="68"/>
      <c r="AO336" s="68"/>
      <c r="AP336" s="68"/>
      <c r="AQ336" s="68"/>
      <c r="AR336" s="68"/>
      <c r="AS336" s="68"/>
      <c r="AT336" s="68"/>
      <c r="AU336" s="68"/>
      <c r="AV336" s="68"/>
      <c r="AW336" s="68"/>
      <c r="AX336" s="68"/>
      <c r="AY336" s="68"/>
      <c r="AZ336" s="68"/>
      <c r="BA336" s="68"/>
      <c r="BB336" s="68"/>
      <c r="BC336" s="68"/>
      <c r="BD336" s="68"/>
      <c r="BE336" s="68"/>
      <c r="BF336" s="68"/>
      <c r="BG336" s="68"/>
      <c r="BH336" s="68"/>
      <c r="BI336" s="68"/>
      <c r="BJ336" s="68"/>
      <c r="BK336" s="68"/>
      <c r="BL336" s="68"/>
      <c r="BM336" s="68"/>
      <c r="BN336" s="68"/>
    </row>
    <row r="337" spans="1:66" ht="1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c r="AJ337" s="68"/>
      <c r="AK337" s="68"/>
      <c r="AL337" s="68"/>
      <c r="AM337" s="68"/>
      <c r="AN337" s="68"/>
      <c r="AO337" s="68"/>
      <c r="AP337" s="68"/>
      <c r="AQ337" s="68"/>
      <c r="AR337" s="68"/>
      <c r="AS337" s="68"/>
      <c r="AT337" s="68"/>
      <c r="AU337" s="68"/>
      <c r="AV337" s="68"/>
      <c r="AW337" s="68"/>
      <c r="AX337" s="68"/>
      <c r="AY337" s="68"/>
      <c r="AZ337" s="68"/>
      <c r="BA337" s="68"/>
      <c r="BB337" s="68"/>
      <c r="BC337" s="68"/>
      <c r="BD337" s="68"/>
      <c r="BE337" s="68"/>
      <c r="BF337" s="68"/>
      <c r="BG337" s="68"/>
      <c r="BH337" s="68"/>
      <c r="BI337" s="68"/>
      <c r="BJ337" s="68"/>
      <c r="BK337" s="68"/>
      <c r="BL337" s="68"/>
      <c r="BM337" s="68"/>
      <c r="BN337" s="68"/>
    </row>
    <row r="338" spans="1:66" ht="17">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c r="AG338" s="68"/>
      <c r="AH338" s="68"/>
      <c r="AI338" s="68"/>
      <c r="AJ338" s="68"/>
      <c r="AK338" s="68"/>
      <c r="AL338" s="68"/>
      <c r="AM338" s="68"/>
      <c r="AN338" s="68"/>
      <c r="AO338" s="68"/>
      <c r="AP338" s="68"/>
      <c r="AQ338" s="68"/>
      <c r="AR338" s="68"/>
      <c r="AS338" s="68"/>
      <c r="AT338" s="68"/>
      <c r="AU338" s="68"/>
      <c r="AV338" s="68"/>
      <c r="AW338" s="68"/>
      <c r="AX338" s="68"/>
      <c r="AY338" s="68"/>
      <c r="AZ338" s="68"/>
      <c r="BA338" s="68"/>
      <c r="BB338" s="68"/>
      <c r="BC338" s="68"/>
      <c r="BD338" s="68"/>
      <c r="BE338" s="68"/>
      <c r="BF338" s="68"/>
      <c r="BG338" s="68"/>
      <c r="BH338" s="68"/>
      <c r="BI338" s="68"/>
      <c r="BJ338" s="68"/>
      <c r="BK338" s="68"/>
      <c r="BL338" s="68"/>
      <c r="BM338" s="68"/>
      <c r="BN338" s="68"/>
    </row>
    <row r="339" spans="1:66" ht="17">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8"/>
      <c r="AJ339" s="68"/>
      <c r="AK339" s="68"/>
      <c r="AL339" s="68"/>
      <c r="AM339" s="68"/>
      <c r="AN339" s="68"/>
      <c r="AO339" s="68"/>
      <c r="AP339" s="68"/>
      <c r="AQ339" s="68"/>
      <c r="AR339" s="68"/>
      <c r="AS339" s="68"/>
      <c r="AT339" s="68"/>
      <c r="AU339" s="68"/>
      <c r="AV339" s="68"/>
      <c r="AW339" s="68"/>
      <c r="AX339" s="68"/>
      <c r="AY339" s="68"/>
      <c r="AZ339" s="68"/>
      <c r="BA339" s="68"/>
      <c r="BB339" s="68"/>
      <c r="BC339" s="68"/>
      <c r="BD339" s="68"/>
      <c r="BE339" s="68"/>
      <c r="BF339" s="68"/>
      <c r="BG339" s="68"/>
      <c r="BH339" s="68"/>
      <c r="BI339" s="68"/>
      <c r="BJ339" s="68"/>
      <c r="BK339" s="68"/>
      <c r="BL339" s="68"/>
      <c r="BM339" s="68"/>
      <c r="BN339" s="68"/>
    </row>
    <row r="340" spans="1:66" ht="17">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c r="AG340" s="68"/>
      <c r="AH340" s="68"/>
      <c r="AI340" s="68"/>
      <c r="AJ340" s="68"/>
      <c r="AK340" s="68"/>
      <c r="AL340" s="68"/>
      <c r="AM340" s="68"/>
      <c r="AN340" s="68"/>
      <c r="AO340" s="68"/>
      <c r="AP340" s="68"/>
      <c r="AQ340" s="68"/>
      <c r="AR340" s="68"/>
      <c r="AS340" s="68"/>
      <c r="AT340" s="68"/>
      <c r="AU340" s="68"/>
      <c r="AV340" s="68"/>
      <c r="AW340" s="68"/>
      <c r="AX340" s="68"/>
      <c r="AY340" s="68"/>
      <c r="AZ340" s="68"/>
      <c r="BA340" s="68"/>
      <c r="BB340" s="68"/>
      <c r="BC340" s="68"/>
      <c r="BD340" s="68"/>
      <c r="BE340" s="68"/>
      <c r="BF340" s="68"/>
      <c r="BG340" s="68"/>
      <c r="BH340" s="68"/>
      <c r="BI340" s="68"/>
      <c r="BJ340" s="68"/>
      <c r="BK340" s="68"/>
      <c r="BL340" s="68"/>
      <c r="BM340" s="68"/>
      <c r="BN340" s="68"/>
    </row>
    <row r="341" spans="1:66" ht="17">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8"/>
      <c r="AJ341" s="68"/>
      <c r="AK341" s="68"/>
      <c r="AL341" s="68"/>
      <c r="AM341" s="68"/>
      <c r="AN341" s="68"/>
      <c r="AO341" s="68"/>
      <c r="AP341" s="68"/>
      <c r="AQ341" s="68"/>
      <c r="AR341" s="68"/>
      <c r="AS341" s="68"/>
      <c r="AT341" s="68"/>
      <c r="AU341" s="68"/>
      <c r="AV341" s="68"/>
      <c r="AW341" s="68"/>
      <c r="AX341" s="68"/>
      <c r="AY341" s="68"/>
      <c r="AZ341" s="68"/>
      <c r="BA341" s="68"/>
      <c r="BB341" s="68"/>
      <c r="BC341" s="68"/>
      <c r="BD341" s="68"/>
      <c r="BE341" s="68"/>
      <c r="BF341" s="68"/>
      <c r="BG341" s="68"/>
      <c r="BH341" s="68"/>
      <c r="BI341" s="68"/>
      <c r="BJ341" s="68"/>
      <c r="BK341" s="68"/>
      <c r="BL341" s="68"/>
      <c r="BM341" s="68"/>
      <c r="BN341" s="68"/>
    </row>
    <row r="342" spans="1:66" ht="17">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c r="AG342" s="68"/>
      <c r="AH342" s="68"/>
      <c r="AI342" s="68"/>
      <c r="AJ342" s="68"/>
      <c r="AK342" s="68"/>
      <c r="AL342" s="68"/>
      <c r="AM342" s="68"/>
      <c r="AN342" s="68"/>
      <c r="AO342" s="68"/>
      <c r="AP342" s="68"/>
      <c r="AQ342" s="68"/>
      <c r="AR342" s="68"/>
      <c r="AS342" s="68"/>
      <c r="AT342" s="68"/>
      <c r="AU342" s="68"/>
      <c r="AV342" s="68"/>
      <c r="AW342" s="68"/>
      <c r="AX342" s="68"/>
      <c r="AY342" s="68"/>
      <c r="AZ342" s="68"/>
      <c r="BA342" s="68"/>
      <c r="BB342" s="68"/>
      <c r="BC342" s="68"/>
      <c r="BD342" s="68"/>
      <c r="BE342" s="68"/>
      <c r="BF342" s="68"/>
      <c r="BG342" s="68"/>
      <c r="BH342" s="68"/>
      <c r="BI342" s="68"/>
      <c r="BJ342" s="68"/>
      <c r="BK342" s="68"/>
      <c r="BL342" s="68"/>
      <c r="BM342" s="68"/>
      <c r="BN342" s="68"/>
    </row>
    <row r="343" spans="1:66" ht="17">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c r="AG343" s="68"/>
      <c r="AH343" s="68"/>
      <c r="AI343" s="68"/>
      <c r="AJ343" s="68"/>
      <c r="AK343" s="68"/>
      <c r="AL343" s="68"/>
      <c r="AM343" s="68"/>
      <c r="AN343" s="68"/>
      <c r="AO343" s="68"/>
      <c r="AP343" s="68"/>
      <c r="AQ343" s="68"/>
      <c r="AR343" s="68"/>
      <c r="AS343" s="68"/>
      <c r="AT343" s="68"/>
      <c r="AU343" s="68"/>
      <c r="AV343" s="68"/>
      <c r="AW343" s="68"/>
      <c r="AX343" s="68"/>
      <c r="AY343" s="68"/>
      <c r="AZ343" s="68"/>
      <c r="BA343" s="68"/>
      <c r="BB343" s="68"/>
      <c r="BC343" s="68"/>
      <c r="BD343" s="68"/>
      <c r="BE343" s="68"/>
      <c r="BF343" s="68"/>
      <c r="BG343" s="68"/>
      <c r="BH343" s="68"/>
      <c r="BI343" s="68"/>
      <c r="BJ343" s="68"/>
      <c r="BK343" s="68"/>
      <c r="BL343" s="68"/>
      <c r="BM343" s="68"/>
      <c r="BN343" s="68"/>
    </row>
    <row r="344" spans="1:66" ht="17">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68"/>
      <c r="AG344" s="68"/>
      <c r="AH344" s="68"/>
      <c r="AI344" s="68"/>
      <c r="AJ344" s="68"/>
      <c r="AK344" s="68"/>
      <c r="AL344" s="68"/>
      <c r="AM344" s="68"/>
      <c r="AN344" s="68"/>
      <c r="AO344" s="68"/>
      <c r="AP344" s="68"/>
      <c r="AQ344" s="68"/>
      <c r="AR344" s="68"/>
      <c r="AS344" s="68"/>
      <c r="AT344" s="68"/>
      <c r="AU344" s="68"/>
      <c r="AV344" s="68"/>
      <c r="AW344" s="68"/>
      <c r="AX344" s="68"/>
      <c r="AY344" s="68"/>
      <c r="AZ344" s="68"/>
      <c r="BA344" s="68"/>
      <c r="BB344" s="68"/>
      <c r="BC344" s="68"/>
      <c r="BD344" s="68"/>
      <c r="BE344" s="68"/>
      <c r="BF344" s="68"/>
      <c r="BG344" s="68"/>
      <c r="BH344" s="68"/>
      <c r="BI344" s="68"/>
      <c r="BJ344" s="68"/>
      <c r="BK344" s="68"/>
      <c r="BL344" s="68"/>
      <c r="BM344" s="68"/>
      <c r="BN344" s="68"/>
    </row>
    <row r="345" spans="1:66" ht="17">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68"/>
      <c r="AG345" s="68"/>
      <c r="AH345" s="68"/>
      <c r="AI345" s="68"/>
      <c r="AJ345" s="68"/>
      <c r="AK345" s="68"/>
      <c r="AL345" s="68"/>
      <c r="AM345" s="68"/>
      <c r="AN345" s="68"/>
      <c r="AO345" s="68"/>
      <c r="AP345" s="68"/>
      <c r="AQ345" s="68"/>
      <c r="AR345" s="68"/>
      <c r="AS345" s="68"/>
      <c r="AT345" s="68"/>
      <c r="AU345" s="68"/>
      <c r="AV345" s="68"/>
      <c r="AW345" s="68"/>
      <c r="AX345" s="68"/>
      <c r="AY345" s="68"/>
      <c r="AZ345" s="68"/>
      <c r="BA345" s="68"/>
      <c r="BB345" s="68"/>
      <c r="BC345" s="68"/>
      <c r="BD345" s="68"/>
      <c r="BE345" s="68"/>
      <c r="BF345" s="68"/>
      <c r="BG345" s="68"/>
      <c r="BH345" s="68"/>
      <c r="BI345" s="68"/>
      <c r="BJ345" s="68"/>
      <c r="BK345" s="68"/>
      <c r="BL345" s="68"/>
      <c r="BM345" s="68"/>
      <c r="BN345" s="68"/>
    </row>
    <row r="346" spans="1:66" ht="17">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68"/>
      <c r="AG346" s="68"/>
      <c r="AH346" s="68"/>
      <c r="AI346" s="68"/>
      <c r="AJ346" s="68"/>
      <c r="AK346" s="68"/>
      <c r="AL346" s="68"/>
      <c r="AM346" s="68"/>
      <c r="AN346" s="68"/>
      <c r="AO346" s="68"/>
      <c r="AP346" s="68"/>
      <c r="AQ346" s="68"/>
      <c r="AR346" s="68"/>
      <c r="AS346" s="68"/>
      <c r="AT346" s="68"/>
      <c r="AU346" s="68"/>
      <c r="AV346" s="68"/>
      <c r="AW346" s="68"/>
      <c r="AX346" s="68"/>
      <c r="AY346" s="68"/>
      <c r="AZ346" s="68"/>
      <c r="BA346" s="68"/>
      <c r="BB346" s="68"/>
      <c r="BC346" s="68"/>
      <c r="BD346" s="68"/>
      <c r="BE346" s="68"/>
      <c r="BF346" s="68"/>
      <c r="BG346" s="68"/>
      <c r="BH346" s="68"/>
      <c r="BI346" s="68"/>
      <c r="BJ346" s="68"/>
      <c r="BK346" s="68"/>
      <c r="BL346" s="68"/>
      <c r="BM346" s="68"/>
      <c r="BN346" s="68"/>
    </row>
    <row r="347" spans="1:66" ht="1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68"/>
      <c r="AG347" s="68"/>
      <c r="AH347" s="68"/>
      <c r="AI347" s="68"/>
      <c r="AJ347" s="68"/>
      <c r="AK347" s="68"/>
      <c r="AL347" s="68"/>
      <c r="AM347" s="68"/>
      <c r="AN347" s="68"/>
      <c r="AO347" s="68"/>
      <c r="AP347" s="68"/>
      <c r="AQ347" s="68"/>
      <c r="AR347" s="68"/>
      <c r="AS347" s="68"/>
      <c r="AT347" s="68"/>
      <c r="AU347" s="68"/>
      <c r="AV347" s="68"/>
      <c r="AW347" s="68"/>
      <c r="AX347" s="68"/>
      <c r="AY347" s="68"/>
      <c r="AZ347" s="68"/>
      <c r="BA347" s="68"/>
      <c r="BB347" s="68"/>
      <c r="BC347" s="68"/>
      <c r="BD347" s="68"/>
      <c r="BE347" s="68"/>
      <c r="BF347" s="68"/>
      <c r="BG347" s="68"/>
      <c r="BH347" s="68"/>
      <c r="BI347" s="68"/>
      <c r="BJ347" s="68"/>
      <c r="BK347" s="68"/>
      <c r="BL347" s="68"/>
      <c r="BM347" s="68"/>
      <c r="BN347" s="68"/>
    </row>
    <row r="348" spans="1:66" ht="17">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68"/>
      <c r="AG348" s="68"/>
      <c r="AH348" s="68"/>
      <c r="AI348" s="68"/>
      <c r="AJ348" s="68"/>
      <c r="AK348" s="68"/>
      <c r="AL348" s="68"/>
      <c r="AM348" s="68"/>
      <c r="AN348" s="68"/>
      <c r="AO348" s="68"/>
      <c r="AP348" s="68"/>
      <c r="AQ348" s="68"/>
      <c r="AR348" s="68"/>
      <c r="AS348" s="68"/>
      <c r="AT348" s="68"/>
      <c r="AU348" s="68"/>
      <c r="AV348" s="68"/>
      <c r="AW348" s="68"/>
      <c r="AX348" s="68"/>
      <c r="AY348" s="68"/>
      <c r="AZ348" s="68"/>
      <c r="BA348" s="68"/>
      <c r="BB348" s="68"/>
      <c r="BC348" s="68"/>
      <c r="BD348" s="68"/>
      <c r="BE348" s="68"/>
      <c r="BF348" s="68"/>
      <c r="BG348" s="68"/>
      <c r="BH348" s="68"/>
      <c r="BI348" s="68"/>
      <c r="BJ348" s="68"/>
      <c r="BK348" s="68"/>
      <c r="BL348" s="68"/>
      <c r="BM348" s="68"/>
      <c r="BN348" s="68"/>
    </row>
    <row r="349" spans="1:66" ht="17">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68"/>
      <c r="AG349" s="68"/>
      <c r="AH349" s="68"/>
      <c r="AI349" s="68"/>
      <c r="AJ349" s="68"/>
      <c r="AK349" s="68"/>
      <c r="AL349" s="68"/>
      <c r="AM349" s="68"/>
      <c r="AN349" s="68"/>
      <c r="AO349" s="68"/>
      <c r="AP349" s="68"/>
      <c r="AQ349" s="68"/>
      <c r="AR349" s="68"/>
      <c r="AS349" s="68"/>
      <c r="AT349" s="68"/>
      <c r="AU349" s="68"/>
      <c r="AV349" s="68"/>
      <c r="AW349" s="68"/>
      <c r="AX349" s="68"/>
      <c r="AY349" s="68"/>
      <c r="AZ349" s="68"/>
      <c r="BA349" s="68"/>
      <c r="BB349" s="68"/>
      <c r="BC349" s="68"/>
      <c r="BD349" s="68"/>
      <c r="BE349" s="68"/>
      <c r="BF349" s="68"/>
      <c r="BG349" s="68"/>
      <c r="BH349" s="68"/>
      <c r="BI349" s="68"/>
      <c r="BJ349" s="68"/>
      <c r="BK349" s="68"/>
      <c r="BL349" s="68"/>
      <c r="BM349" s="68"/>
      <c r="BN349" s="68"/>
    </row>
    <row r="350" spans="1:66" ht="17">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68"/>
      <c r="AG350" s="68"/>
      <c r="AH350" s="68"/>
      <c r="AI350" s="68"/>
      <c r="AJ350" s="68"/>
      <c r="AK350" s="68"/>
      <c r="AL350" s="68"/>
      <c r="AM350" s="68"/>
      <c r="AN350" s="68"/>
      <c r="AO350" s="68"/>
      <c r="AP350" s="68"/>
      <c r="AQ350" s="68"/>
      <c r="AR350" s="68"/>
      <c r="AS350" s="68"/>
      <c r="AT350" s="68"/>
      <c r="AU350" s="68"/>
      <c r="AV350" s="68"/>
      <c r="AW350" s="68"/>
      <c r="AX350" s="68"/>
      <c r="AY350" s="68"/>
      <c r="AZ350" s="68"/>
      <c r="BA350" s="68"/>
      <c r="BB350" s="68"/>
      <c r="BC350" s="68"/>
      <c r="BD350" s="68"/>
      <c r="BE350" s="68"/>
      <c r="BF350" s="68"/>
      <c r="BG350" s="68"/>
      <c r="BH350" s="68"/>
      <c r="BI350" s="68"/>
      <c r="BJ350" s="68"/>
      <c r="BK350" s="68"/>
      <c r="BL350" s="68"/>
      <c r="BM350" s="68"/>
      <c r="BN350" s="68"/>
    </row>
    <row r="351" spans="1:66" ht="17">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68"/>
      <c r="AG351" s="68"/>
      <c r="AH351" s="68"/>
      <c r="AI351" s="68"/>
      <c r="AJ351" s="68"/>
      <c r="AK351" s="68"/>
      <c r="AL351" s="68"/>
      <c r="AM351" s="68"/>
      <c r="AN351" s="68"/>
      <c r="AO351" s="68"/>
      <c r="AP351" s="68"/>
      <c r="AQ351" s="68"/>
      <c r="AR351" s="68"/>
      <c r="AS351" s="68"/>
      <c r="AT351" s="68"/>
      <c r="AU351" s="68"/>
      <c r="AV351" s="68"/>
      <c r="AW351" s="68"/>
      <c r="AX351" s="68"/>
      <c r="AY351" s="68"/>
      <c r="AZ351" s="68"/>
      <c r="BA351" s="68"/>
      <c r="BB351" s="68"/>
      <c r="BC351" s="68"/>
      <c r="BD351" s="68"/>
      <c r="BE351" s="68"/>
      <c r="BF351" s="68"/>
      <c r="BG351" s="68"/>
      <c r="BH351" s="68"/>
      <c r="BI351" s="68"/>
      <c r="BJ351" s="68"/>
      <c r="BK351" s="68"/>
      <c r="BL351" s="68"/>
      <c r="BM351" s="68"/>
      <c r="BN351" s="68"/>
    </row>
    <row r="352" spans="1:66" ht="17">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68"/>
      <c r="AG352" s="68"/>
      <c r="AH352" s="68"/>
      <c r="AI352" s="68"/>
      <c r="AJ352" s="68"/>
      <c r="AK352" s="68"/>
      <c r="AL352" s="68"/>
      <c r="AM352" s="68"/>
      <c r="AN352" s="68"/>
      <c r="AO352" s="68"/>
      <c r="AP352" s="68"/>
      <c r="AQ352" s="68"/>
      <c r="AR352" s="68"/>
      <c r="AS352" s="68"/>
      <c r="AT352" s="68"/>
      <c r="AU352" s="68"/>
      <c r="AV352" s="68"/>
      <c r="AW352" s="68"/>
      <c r="AX352" s="68"/>
      <c r="AY352" s="68"/>
      <c r="AZ352" s="68"/>
      <c r="BA352" s="68"/>
      <c r="BB352" s="68"/>
      <c r="BC352" s="68"/>
      <c r="BD352" s="68"/>
      <c r="BE352" s="68"/>
      <c r="BF352" s="68"/>
      <c r="BG352" s="68"/>
      <c r="BH352" s="68"/>
      <c r="BI352" s="68"/>
      <c r="BJ352" s="68"/>
      <c r="BK352" s="68"/>
      <c r="BL352" s="68"/>
      <c r="BM352" s="68"/>
      <c r="BN352" s="68"/>
    </row>
    <row r="353" spans="1:66" ht="17">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68"/>
      <c r="AG353" s="68"/>
      <c r="AH353" s="68"/>
      <c r="AI353" s="68"/>
      <c r="AJ353" s="68"/>
      <c r="AK353" s="68"/>
      <c r="AL353" s="68"/>
      <c r="AM353" s="68"/>
      <c r="AN353" s="68"/>
      <c r="AO353" s="68"/>
      <c r="AP353" s="68"/>
      <c r="AQ353" s="68"/>
      <c r="AR353" s="68"/>
      <c r="AS353" s="68"/>
      <c r="AT353" s="68"/>
      <c r="AU353" s="68"/>
      <c r="AV353" s="68"/>
      <c r="AW353" s="68"/>
      <c r="AX353" s="68"/>
      <c r="AY353" s="68"/>
      <c r="AZ353" s="68"/>
      <c r="BA353" s="68"/>
      <c r="BB353" s="68"/>
      <c r="BC353" s="68"/>
      <c r="BD353" s="68"/>
      <c r="BE353" s="68"/>
      <c r="BF353" s="68"/>
      <c r="BG353" s="68"/>
      <c r="BH353" s="68"/>
      <c r="BI353" s="68"/>
      <c r="BJ353" s="68"/>
      <c r="BK353" s="68"/>
      <c r="BL353" s="68"/>
      <c r="BM353" s="68"/>
      <c r="BN353" s="68"/>
    </row>
    <row r="354" spans="1:66" ht="17">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68"/>
      <c r="AG354" s="68"/>
      <c r="AH354" s="68"/>
      <c r="AI354" s="68"/>
      <c r="AJ354" s="68"/>
      <c r="AK354" s="68"/>
      <c r="AL354" s="68"/>
      <c r="AM354" s="68"/>
      <c r="AN354" s="68"/>
      <c r="AO354" s="68"/>
      <c r="AP354" s="68"/>
      <c r="AQ354" s="68"/>
      <c r="AR354" s="68"/>
      <c r="AS354" s="68"/>
      <c r="AT354" s="68"/>
      <c r="AU354" s="68"/>
      <c r="AV354" s="68"/>
      <c r="AW354" s="68"/>
      <c r="AX354" s="68"/>
      <c r="AY354" s="68"/>
      <c r="AZ354" s="68"/>
      <c r="BA354" s="68"/>
      <c r="BB354" s="68"/>
      <c r="BC354" s="68"/>
      <c r="BD354" s="68"/>
      <c r="BE354" s="68"/>
      <c r="BF354" s="68"/>
      <c r="BG354" s="68"/>
      <c r="BH354" s="68"/>
      <c r="BI354" s="68"/>
      <c r="BJ354" s="68"/>
      <c r="BK354" s="68"/>
      <c r="BL354" s="68"/>
      <c r="BM354" s="68"/>
      <c r="BN354" s="68"/>
    </row>
    <row r="355" spans="1:66" ht="17">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68"/>
      <c r="AG355" s="68"/>
      <c r="AH355" s="68"/>
      <c r="AI355" s="68"/>
      <c r="AJ355" s="68"/>
      <c r="AK355" s="68"/>
      <c r="AL355" s="68"/>
      <c r="AM355" s="68"/>
      <c r="AN355" s="68"/>
      <c r="AO355" s="68"/>
      <c r="AP355" s="68"/>
      <c r="AQ355" s="68"/>
      <c r="AR355" s="68"/>
      <c r="AS355" s="68"/>
      <c r="AT355" s="68"/>
      <c r="AU355" s="68"/>
      <c r="AV355" s="68"/>
      <c r="AW355" s="68"/>
      <c r="AX355" s="68"/>
      <c r="AY355" s="68"/>
      <c r="AZ355" s="68"/>
      <c r="BA355" s="68"/>
      <c r="BB355" s="68"/>
      <c r="BC355" s="68"/>
      <c r="BD355" s="68"/>
      <c r="BE355" s="68"/>
      <c r="BF355" s="68"/>
      <c r="BG355" s="68"/>
      <c r="BH355" s="68"/>
      <c r="BI355" s="68"/>
      <c r="BJ355" s="68"/>
      <c r="BK355" s="68"/>
      <c r="BL355" s="68"/>
      <c r="BM355" s="68"/>
      <c r="BN355" s="68"/>
    </row>
    <row r="356" spans="1:66" ht="17">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68"/>
      <c r="AG356" s="68"/>
      <c r="AH356" s="68"/>
      <c r="AI356" s="68"/>
      <c r="AJ356" s="68"/>
      <c r="AK356" s="68"/>
      <c r="AL356" s="68"/>
      <c r="AM356" s="68"/>
      <c r="AN356" s="68"/>
      <c r="AO356" s="68"/>
      <c r="AP356" s="68"/>
      <c r="AQ356" s="68"/>
      <c r="AR356" s="68"/>
      <c r="AS356" s="68"/>
      <c r="AT356" s="68"/>
      <c r="AU356" s="68"/>
      <c r="AV356" s="68"/>
      <c r="AW356" s="68"/>
      <c r="AX356" s="68"/>
      <c r="AY356" s="68"/>
      <c r="AZ356" s="68"/>
      <c r="BA356" s="68"/>
      <c r="BB356" s="68"/>
      <c r="BC356" s="68"/>
      <c r="BD356" s="68"/>
      <c r="BE356" s="68"/>
      <c r="BF356" s="68"/>
      <c r="BG356" s="68"/>
      <c r="BH356" s="68"/>
      <c r="BI356" s="68"/>
      <c r="BJ356" s="68"/>
      <c r="BK356" s="68"/>
      <c r="BL356" s="68"/>
      <c r="BM356" s="68"/>
      <c r="BN356" s="68"/>
    </row>
    <row r="357" spans="1:66" ht="1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68"/>
      <c r="AG357" s="68"/>
      <c r="AH357" s="68"/>
      <c r="AI357" s="68"/>
      <c r="AJ357" s="68"/>
      <c r="AK357" s="68"/>
      <c r="AL357" s="68"/>
      <c r="AM357" s="68"/>
      <c r="AN357" s="68"/>
      <c r="AO357" s="68"/>
      <c r="AP357" s="68"/>
      <c r="AQ357" s="68"/>
      <c r="AR357" s="68"/>
      <c r="AS357" s="68"/>
      <c r="AT357" s="68"/>
      <c r="AU357" s="68"/>
      <c r="AV357" s="68"/>
      <c r="AW357" s="68"/>
      <c r="AX357" s="68"/>
      <c r="AY357" s="68"/>
      <c r="AZ357" s="68"/>
      <c r="BA357" s="68"/>
      <c r="BB357" s="68"/>
      <c r="BC357" s="68"/>
      <c r="BD357" s="68"/>
      <c r="BE357" s="68"/>
      <c r="BF357" s="68"/>
      <c r="BG357" s="68"/>
      <c r="BH357" s="68"/>
      <c r="BI357" s="68"/>
      <c r="BJ357" s="68"/>
      <c r="BK357" s="68"/>
      <c r="BL357" s="68"/>
      <c r="BM357" s="68"/>
      <c r="BN357" s="68"/>
    </row>
    <row r="358" spans="1:66" ht="17">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68"/>
      <c r="AG358" s="68"/>
      <c r="AH358" s="68"/>
      <c r="AI358" s="68"/>
      <c r="AJ358" s="68"/>
      <c r="AK358" s="68"/>
      <c r="AL358" s="68"/>
      <c r="AM358" s="68"/>
      <c r="AN358" s="68"/>
      <c r="AO358" s="68"/>
      <c r="AP358" s="68"/>
      <c r="AQ358" s="68"/>
      <c r="AR358" s="68"/>
      <c r="AS358" s="68"/>
      <c r="AT358" s="68"/>
      <c r="AU358" s="68"/>
      <c r="AV358" s="68"/>
      <c r="AW358" s="68"/>
      <c r="AX358" s="68"/>
      <c r="AY358" s="68"/>
      <c r="AZ358" s="68"/>
      <c r="BA358" s="68"/>
      <c r="BB358" s="68"/>
      <c r="BC358" s="68"/>
      <c r="BD358" s="68"/>
      <c r="BE358" s="68"/>
      <c r="BF358" s="68"/>
      <c r="BG358" s="68"/>
      <c r="BH358" s="68"/>
      <c r="BI358" s="68"/>
      <c r="BJ358" s="68"/>
      <c r="BK358" s="68"/>
      <c r="BL358" s="68"/>
      <c r="BM358" s="68"/>
      <c r="BN358" s="68"/>
    </row>
    <row r="359" spans="1:66" ht="17">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68"/>
      <c r="AG359" s="68"/>
      <c r="AH359" s="68"/>
      <c r="AI359" s="68"/>
      <c r="AJ359" s="68"/>
      <c r="AK359" s="68"/>
      <c r="AL359" s="68"/>
      <c r="AM359" s="68"/>
      <c r="AN359" s="68"/>
      <c r="AO359" s="68"/>
      <c r="AP359" s="68"/>
      <c r="AQ359" s="68"/>
      <c r="AR359" s="68"/>
      <c r="AS359" s="68"/>
      <c r="AT359" s="68"/>
      <c r="AU359" s="68"/>
      <c r="AV359" s="68"/>
      <c r="AW359" s="68"/>
      <c r="AX359" s="68"/>
      <c r="AY359" s="68"/>
      <c r="AZ359" s="68"/>
      <c r="BA359" s="68"/>
      <c r="BB359" s="68"/>
      <c r="BC359" s="68"/>
      <c r="BD359" s="68"/>
      <c r="BE359" s="68"/>
      <c r="BF359" s="68"/>
      <c r="BG359" s="68"/>
      <c r="BH359" s="68"/>
      <c r="BI359" s="68"/>
      <c r="BJ359" s="68"/>
      <c r="BK359" s="68"/>
      <c r="BL359" s="68"/>
      <c r="BM359" s="68"/>
      <c r="BN359" s="68"/>
    </row>
    <row r="360" spans="1:66" ht="17">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68"/>
      <c r="AG360" s="68"/>
      <c r="AH360" s="68"/>
      <c r="AI360" s="68"/>
      <c r="AJ360" s="68"/>
      <c r="AK360" s="68"/>
      <c r="AL360" s="68"/>
      <c r="AM360" s="68"/>
      <c r="AN360" s="68"/>
      <c r="AO360" s="68"/>
      <c r="AP360" s="68"/>
      <c r="AQ360" s="68"/>
      <c r="AR360" s="68"/>
      <c r="AS360" s="68"/>
      <c r="AT360" s="68"/>
      <c r="AU360" s="68"/>
      <c r="AV360" s="68"/>
      <c r="AW360" s="68"/>
      <c r="AX360" s="68"/>
      <c r="AY360" s="68"/>
      <c r="AZ360" s="68"/>
      <c r="BA360" s="68"/>
      <c r="BB360" s="68"/>
      <c r="BC360" s="68"/>
      <c r="BD360" s="68"/>
      <c r="BE360" s="68"/>
      <c r="BF360" s="68"/>
      <c r="BG360" s="68"/>
      <c r="BH360" s="68"/>
      <c r="BI360" s="68"/>
      <c r="BJ360" s="68"/>
      <c r="BK360" s="68"/>
      <c r="BL360" s="68"/>
      <c r="BM360" s="68"/>
      <c r="BN360" s="68"/>
    </row>
    <row r="361" spans="1:66" ht="17">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68"/>
      <c r="AG361" s="68"/>
      <c r="AH361" s="68"/>
      <c r="AI361" s="68"/>
      <c r="AJ361" s="68"/>
      <c r="AK361" s="68"/>
      <c r="AL361" s="68"/>
      <c r="AM361" s="68"/>
      <c r="AN361" s="68"/>
      <c r="AO361" s="68"/>
      <c r="AP361" s="68"/>
      <c r="AQ361" s="68"/>
      <c r="AR361" s="68"/>
      <c r="AS361" s="68"/>
      <c r="AT361" s="68"/>
      <c r="AU361" s="68"/>
      <c r="AV361" s="68"/>
      <c r="AW361" s="68"/>
      <c r="AX361" s="68"/>
      <c r="AY361" s="68"/>
      <c r="AZ361" s="68"/>
      <c r="BA361" s="68"/>
      <c r="BB361" s="68"/>
      <c r="BC361" s="68"/>
      <c r="BD361" s="68"/>
      <c r="BE361" s="68"/>
      <c r="BF361" s="68"/>
      <c r="BG361" s="68"/>
      <c r="BH361" s="68"/>
      <c r="BI361" s="68"/>
      <c r="BJ361" s="68"/>
      <c r="BK361" s="68"/>
      <c r="BL361" s="68"/>
      <c r="BM361" s="68"/>
      <c r="BN361" s="68"/>
    </row>
    <row r="362" spans="1:66" ht="17">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68"/>
      <c r="AG362" s="68"/>
      <c r="AH362" s="68"/>
      <c r="AI362" s="68"/>
      <c r="AJ362" s="68"/>
      <c r="AK362" s="68"/>
      <c r="AL362" s="68"/>
      <c r="AM362" s="68"/>
      <c r="AN362" s="68"/>
      <c r="AO362" s="68"/>
      <c r="AP362" s="68"/>
      <c r="AQ362" s="68"/>
      <c r="AR362" s="68"/>
      <c r="AS362" s="68"/>
      <c r="AT362" s="68"/>
      <c r="AU362" s="68"/>
      <c r="AV362" s="68"/>
      <c r="AW362" s="68"/>
      <c r="AX362" s="68"/>
      <c r="AY362" s="68"/>
      <c r="AZ362" s="68"/>
      <c r="BA362" s="68"/>
      <c r="BB362" s="68"/>
      <c r="BC362" s="68"/>
      <c r="BD362" s="68"/>
      <c r="BE362" s="68"/>
      <c r="BF362" s="68"/>
      <c r="BG362" s="68"/>
      <c r="BH362" s="68"/>
      <c r="BI362" s="68"/>
      <c r="BJ362" s="68"/>
      <c r="BK362" s="68"/>
      <c r="BL362" s="68"/>
      <c r="BM362" s="68"/>
      <c r="BN362" s="68"/>
    </row>
    <row r="363" spans="1:66" ht="17">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68"/>
      <c r="AG363" s="68"/>
      <c r="AH363" s="68"/>
      <c r="AI363" s="68"/>
      <c r="AJ363" s="68"/>
      <c r="AK363" s="68"/>
      <c r="AL363" s="68"/>
      <c r="AM363" s="68"/>
      <c r="AN363" s="68"/>
      <c r="AO363" s="68"/>
      <c r="AP363" s="68"/>
      <c r="AQ363" s="68"/>
      <c r="AR363" s="68"/>
      <c r="AS363" s="68"/>
      <c r="AT363" s="68"/>
      <c r="AU363" s="68"/>
      <c r="AV363" s="68"/>
      <c r="AW363" s="68"/>
      <c r="AX363" s="68"/>
      <c r="AY363" s="68"/>
      <c r="AZ363" s="68"/>
      <c r="BA363" s="68"/>
      <c r="BB363" s="68"/>
      <c r="BC363" s="68"/>
      <c r="BD363" s="68"/>
      <c r="BE363" s="68"/>
      <c r="BF363" s="68"/>
      <c r="BG363" s="68"/>
      <c r="BH363" s="68"/>
      <c r="BI363" s="68"/>
      <c r="BJ363" s="68"/>
      <c r="BK363" s="68"/>
      <c r="BL363" s="68"/>
      <c r="BM363" s="68"/>
      <c r="BN363" s="68"/>
    </row>
    <row r="364" spans="1:66" ht="17">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68"/>
      <c r="AG364" s="68"/>
      <c r="AH364" s="68"/>
      <c r="AI364" s="68"/>
      <c r="AJ364" s="68"/>
      <c r="AK364" s="68"/>
      <c r="AL364" s="68"/>
      <c r="AM364" s="68"/>
      <c r="AN364" s="68"/>
      <c r="AO364" s="68"/>
      <c r="AP364" s="68"/>
      <c r="AQ364" s="68"/>
      <c r="AR364" s="68"/>
      <c r="AS364" s="68"/>
      <c r="AT364" s="68"/>
      <c r="AU364" s="68"/>
      <c r="AV364" s="68"/>
      <c r="AW364" s="68"/>
      <c r="AX364" s="68"/>
      <c r="AY364" s="68"/>
      <c r="AZ364" s="68"/>
      <c r="BA364" s="68"/>
      <c r="BB364" s="68"/>
      <c r="BC364" s="68"/>
      <c r="BD364" s="68"/>
      <c r="BE364" s="68"/>
      <c r="BF364" s="68"/>
      <c r="BG364" s="68"/>
      <c r="BH364" s="68"/>
      <c r="BI364" s="68"/>
      <c r="BJ364" s="68"/>
      <c r="BK364" s="68"/>
      <c r="BL364" s="68"/>
      <c r="BM364" s="68"/>
      <c r="BN364" s="68"/>
    </row>
    <row r="365" spans="1:66" ht="17">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c r="AJ365" s="68"/>
      <c r="AK365" s="68"/>
      <c r="AL365" s="68"/>
      <c r="AM365" s="68"/>
      <c r="AN365" s="68"/>
      <c r="AO365" s="68"/>
      <c r="AP365" s="68"/>
      <c r="AQ365" s="68"/>
      <c r="AR365" s="68"/>
      <c r="AS365" s="68"/>
      <c r="AT365" s="68"/>
      <c r="AU365" s="68"/>
      <c r="AV365" s="68"/>
      <c r="AW365" s="68"/>
      <c r="AX365" s="68"/>
      <c r="AY365" s="68"/>
      <c r="AZ365" s="68"/>
      <c r="BA365" s="68"/>
      <c r="BB365" s="68"/>
      <c r="BC365" s="68"/>
      <c r="BD365" s="68"/>
      <c r="BE365" s="68"/>
      <c r="BF365" s="68"/>
      <c r="BG365" s="68"/>
      <c r="BH365" s="68"/>
      <c r="BI365" s="68"/>
      <c r="BJ365" s="68"/>
      <c r="BK365" s="68"/>
      <c r="BL365" s="68"/>
      <c r="BM365" s="68"/>
      <c r="BN365" s="68"/>
    </row>
    <row r="366" spans="1:66" ht="17">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68"/>
      <c r="AG366" s="68"/>
      <c r="AH366" s="68"/>
      <c r="AI366" s="68"/>
      <c r="AJ366" s="68"/>
      <c r="AK366" s="68"/>
      <c r="AL366" s="68"/>
      <c r="AM366" s="68"/>
      <c r="AN366" s="68"/>
      <c r="AO366" s="68"/>
      <c r="AP366" s="68"/>
      <c r="AQ366" s="68"/>
      <c r="AR366" s="68"/>
      <c r="AS366" s="68"/>
      <c r="AT366" s="68"/>
      <c r="AU366" s="68"/>
      <c r="AV366" s="68"/>
      <c r="AW366" s="68"/>
      <c r="AX366" s="68"/>
      <c r="AY366" s="68"/>
      <c r="AZ366" s="68"/>
      <c r="BA366" s="68"/>
      <c r="BB366" s="68"/>
      <c r="BC366" s="68"/>
      <c r="BD366" s="68"/>
      <c r="BE366" s="68"/>
      <c r="BF366" s="68"/>
      <c r="BG366" s="68"/>
      <c r="BH366" s="68"/>
      <c r="BI366" s="68"/>
      <c r="BJ366" s="68"/>
      <c r="BK366" s="68"/>
      <c r="BL366" s="68"/>
      <c r="BM366" s="68"/>
      <c r="BN366" s="68"/>
    </row>
    <row r="367" spans="1:66" ht="1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68"/>
      <c r="AG367" s="68"/>
      <c r="AH367" s="68"/>
      <c r="AI367" s="68"/>
      <c r="AJ367" s="68"/>
      <c r="AK367" s="68"/>
      <c r="AL367" s="68"/>
      <c r="AM367" s="68"/>
      <c r="AN367" s="68"/>
      <c r="AO367" s="68"/>
      <c r="AP367" s="68"/>
      <c r="AQ367" s="68"/>
      <c r="AR367" s="68"/>
      <c r="AS367" s="68"/>
      <c r="AT367" s="68"/>
      <c r="AU367" s="68"/>
      <c r="AV367" s="68"/>
      <c r="AW367" s="68"/>
      <c r="AX367" s="68"/>
      <c r="AY367" s="68"/>
      <c r="AZ367" s="68"/>
      <c r="BA367" s="68"/>
      <c r="BB367" s="68"/>
      <c r="BC367" s="68"/>
      <c r="BD367" s="68"/>
      <c r="BE367" s="68"/>
      <c r="BF367" s="68"/>
      <c r="BG367" s="68"/>
      <c r="BH367" s="68"/>
      <c r="BI367" s="68"/>
      <c r="BJ367" s="68"/>
      <c r="BK367" s="68"/>
      <c r="BL367" s="68"/>
      <c r="BM367" s="68"/>
      <c r="BN367" s="68"/>
    </row>
    <row r="368" spans="1:66" ht="17">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68"/>
      <c r="AG368" s="68"/>
      <c r="AH368" s="68"/>
      <c r="AI368" s="68"/>
      <c r="AJ368" s="68"/>
      <c r="AK368" s="68"/>
      <c r="AL368" s="68"/>
      <c r="AM368" s="68"/>
      <c r="AN368" s="68"/>
      <c r="AO368" s="68"/>
      <c r="AP368" s="68"/>
      <c r="AQ368" s="68"/>
      <c r="AR368" s="68"/>
      <c r="AS368" s="68"/>
      <c r="AT368" s="68"/>
      <c r="AU368" s="68"/>
      <c r="AV368" s="68"/>
      <c r="AW368" s="68"/>
      <c r="AX368" s="68"/>
      <c r="AY368" s="68"/>
      <c r="AZ368" s="68"/>
      <c r="BA368" s="68"/>
      <c r="BB368" s="68"/>
      <c r="BC368" s="68"/>
      <c r="BD368" s="68"/>
      <c r="BE368" s="68"/>
      <c r="BF368" s="68"/>
      <c r="BG368" s="68"/>
      <c r="BH368" s="68"/>
      <c r="BI368" s="68"/>
      <c r="BJ368" s="68"/>
      <c r="BK368" s="68"/>
      <c r="BL368" s="68"/>
      <c r="BM368" s="68"/>
      <c r="BN368" s="68"/>
    </row>
    <row r="369" spans="1:66" ht="17">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c r="AG369" s="68"/>
      <c r="AH369" s="68"/>
      <c r="AI369" s="68"/>
      <c r="AJ369" s="68"/>
      <c r="AK369" s="68"/>
      <c r="AL369" s="68"/>
      <c r="AM369" s="68"/>
      <c r="AN369" s="68"/>
      <c r="AO369" s="68"/>
      <c r="AP369" s="68"/>
      <c r="AQ369" s="68"/>
      <c r="AR369" s="68"/>
      <c r="AS369" s="68"/>
      <c r="AT369" s="68"/>
      <c r="AU369" s="68"/>
      <c r="AV369" s="68"/>
      <c r="AW369" s="68"/>
      <c r="AX369" s="68"/>
      <c r="AY369" s="68"/>
      <c r="AZ369" s="68"/>
      <c r="BA369" s="68"/>
      <c r="BB369" s="68"/>
      <c r="BC369" s="68"/>
      <c r="BD369" s="68"/>
      <c r="BE369" s="68"/>
      <c r="BF369" s="68"/>
      <c r="BG369" s="68"/>
      <c r="BH369" s="68"/>
      <c r="BI369" s="68"/>
      <c r="BJ369" s="68"/>
      <c r="BK369" s="68"/>
      <c r="BL369" s="68"/>
      <c r="BM369" s="68"/>
      <c r="BN369" s="68"/>
    </row>
    <row r="370" spans="1:66" ht="17">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68"/>
      <c r="AG370" s="68"/>
      <c r="AH370" s="68"/>
      <c r="AI370" s="68"/>
      <c r="AJ370" s="68"/>
      <c r="AK370" s="68"/>
      <c r="AL370" s="68"/>
      <c r="AM370" s="68"/>
      <c r="AN370" s="68"/>
      <c r="AO370" s="68"/>
      <c r="AP370" s="68"/>
      <c r="AQ370" s="68"/>
      <c r="AR370" s="68"/>
      <c r="AS370" s="68"/>
      <c r="AT370" s="68"/>
      <c r="AU370" s="68"/>
      <c r="AV370" s="68"/>
      <c r="AW370" s="68"/>
      <c r="AX370" s="68"/>
      <c r="AY370" s="68"/>
      <c r="AZ370" s="68"/>
      <c r="BA370" s="68"/>
      <c r="BB370" s="68"/>
      <c r="BC370" s="68"/>
      <c r="BD370" s="68"/>
      <c r="BE370" s="68"/>
      <c r="BF370" s="68"/>
      <c r="BG370" s="68"/>
      <c r="BH370" s="68"/>
      <c r="BI370" s="68"/>
      <c r="BJ370" s="68"/>
      <c r="BK370" s="68"/>
      <c r="BL370" s="68"/>
      <c r="BM370" s="68"/>
      <c r="BN370" s="68"/>
    </row>
    <row r="371" spans="1:66" ht="17">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68"/>
      <c r="AG371" s="68"/>
      <c r="AH371" s="68"/>
      <c r="AI371" s="68"/>
      <c r="AJ371" s="68"/>
      <c r="AK371" s="68"/>
      <c r="AL371" s="68"/>
      <c r="AM371" s="68"/>
      <c r="AN371" s="68"/>
      <c r="AO371" s="68"/>
      <c r="AP371" s="68"/>
      <c r="AQ371" s="68"/>
      <c r="AR371" s="68"/>
      <c r="AS371" s="68"/>
      <c r="AT371" s="68"/>
      <c r="AU371" s="68"/>
      <c r="AV371" s="68"/>
      <c r="AW371" s="68"/>
      <c r="AX371" s="68"/>
      <c r="AY371" s="68"/>
      <c r="AZ371" s="68"/>
      <c r="BA371" s="68"/>
      <c r="BB371" s="68"/>
      <c r="BC371" s="68"/>
      <c r="BD371" s="68"/>
      <c r="BE371" s="68"/>
      <c r="BF371" s="68"/>
      <c r="BG371" s="68"/>
      <c r="BH371" s="68"/>
      <c r="BI371" s="68"/>
      <c r="BJ371" s="68"/>
      <c r="BK371" s="68"/>
      <c r="BL371" s="68"/>
      <c r="BM371" s="68"/>
      <c r="BN371" s="68"/>
    </row>
    <row r="372" spans="1:66" ht="17">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68"/>
      <c r="AG372" s="68"/>
      <c r="AH372" s="68"/>
      <c r="AI372" s="68"/>
      <c r="AJ372" s="68"/>
      <c r="AK372" s="68"/>
      <c r="AL372" s="68"/>
      <c r="AM372" s="68"/>
      <c r="AN372" s="68"/>
      <c r="AO372" s="68"/>
      <c r="AP372" s="68"/>
      <c r="AQ372" s="68"/>
      <c r="AR372" s="68"/>
      <c r="AS372" s="68"/>
      <c r="AT372" s="68"/>
      <c r="AU372" s="68"/>
      <c r="AV372" s="68"/>
      <c r="AW372" s="68"/>
      <c r="AX372" s="68"/>
      <c r="AY372" s="68"/>
      <c r="AZ372" s="68"/>
      <c r="BA372" s="68"/>
      <c r="BB372" s="68"/>
      <c r="BC372" s="68"/>
      <c r="BD372" s="68"/>
      <c r="BE372" s="68"/>
      <c r="BF372" s="68"/>
      <c r="BG372" s="68"/>
      <c r="BH372" s="68"/>
      <c r="BI372" s="68"/>
      <c r="BJ372" s="68"/>
      <c r="BK372" s="68"/>
      <c r="BL372" s="68"/>
      <c r="BM372" s="68"/>
      <c r="BN372" s="68"/>
    </row>
    <row r="373" spans="1:66" ht="17">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68"/>
      <c r="AG373" s="68"/>
      <c r="AH373" s="68"/>
      <c r="AI373" s="68"/>
      <c r="AJ373" s="68"/>
      <c r="AK373" s="68"/>
      <c r="AL373" s="68"/>
      <c r="AM373" s="68"/>
      <c r="AN373" s="68"/>
      <c r="AO373" s="68"/>
      <c r="AP373" s="68"/>
      <c r="AQ373" s="68"/>
      <c r="AR373" s="68"/>
      <c r="AS373" s="68"/>
      <c r="AT373" s="68"/>
      <c r="AU373" s="68"/>
      <c r="AV373" s="68"/>
      <c r="AW373" s="68"/>
      <c r="AX373" s="68"/>
      <c r="AY373" s="68"/>
      <c r="AZ373" s="68"/>
      <c r="BA373" s="68"/>
      <c r="BB373" s="68"/>
      <c r="BC373" s="68"/>
      <c r="BD373" s="68"/>
      <c r="BE373" s="68"/>
      <c r="BF373" s="68"/>
      <c r="BG373" s="68"/>
      <c r="BH373" s="68"/>
      <c r="BI373" s="68"/>
      <c r="BJ373" s="68"/>
      <c r="BK373" s="68"/>
      <c r="BL373" s="68"/>
      <c r="BM373" s="68"/>
      <c r="BN373" s="68"/>
    </row>
    <row r="374" spans="1:66" ht="17">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68"/>
      <c r="AG374" s="68"/>
      <c r="AH374" s="68"/>
      <c r="AI374" s="68"/>
      <c r="AJ374" s="68"/>
      <c r="AK374" s="68"/>
      <c r="AL374" s="68"/>
      <c r="AM374" s="68"/>
      <c r="AN374" s="68"/>
      <c r="AO374" s="68"/>
      <c r="AP374" s="68"/>
      <c r="AQ374" s="68"/>
      <c r="AR374" s="68"/>
      <c r="AS374" s="68"/>
      <c r="AT374" s="68"/>
      <c r="AU374" s="68"/>
      <c r="AV374" s="68"/>
      <c r="AW374" s="68"/>
      <c r="AX374" s="68"/>
      <c r="AY374" s="68"/>
      <c r="AZ374" s="68"/>
      <c r="BA374" s="68"/>
      <c r="BB374" s="68"/>
      <c r="BC374" s="68"/>
      <c r="BD374" s="68"/>
      <c r="BE374" s="68"/>
      <c r="BF374" s="68"/>
      <c r="BG374" s="68"/>
      <c r="BH374" s="68"/>
      <c r="BI374" s="68"/>
      <c r="BJ374" s="68"/>
      <c r="BK374" s="68"/>
      <c r="BL374" s="68"/>
      <c r="BM374" s="68"/>
      <c r="BN374" s="68"/>
    </row>
    <row r="375" spans="1:66" ht="17">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68"/>
      <c r="AG375" s="68"/>
      <c r="AH375" s="68"/>
      <c r="AI375" s="68"/>
      <c r="AJ375" s="68"/>
      <c r="AK375" s="68"/>
      <c r="AL375" s="68"/>
      <c r="AM375" s="68"/>
      <c r="AN375" s="68"/>
      <c r="AO375" s="68"/>
      <c r="AP375" s="68"/>
      <c r="AQ375" s="68"/>
      <c r="AR375" s="68"/>
      <c r="AS375" s="68"/>
      <c r="AT375" s="68"/>
      <c r="AU375" s="68"/>
      <c r="AV375" s="68"/>
      <c r="AW375" s="68"/>
      <c r="AX375" s="68"/>
      <c r="AY375" s="68"/>
      <c r="AZ375" s="68"/>
      <c r="BA375" s="68"/>
      <c r="BB375" s="68"/>
      <c r="BC375" s="68"/>
      <c r="BD375" s="68"/>
      <c r="BE375" s="68"/>
      <c r="BF375" s="68"/>
      <c r="BG375" s="68"/>
      <c r="BH375" s="68"/>
      <c r="BI375" s="68"/>
      <c r="BJ375" s="68"/>
      <c r="BK375" s="68"/>
      <c r="BL375" s="68"/>
      <c r="BM375" s="68"/>
      <c r="BN375" s="68"/>
    </row>
    <row r="376" spans="1:66" ht="17">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68"/>
      <c r="AG376" s="68"/>
      <c r="AH376" s="68"/>
      <c r="AI376" s="68"/>
      <c r="AJ376" s="68"/>
      <c r="AK376" s="68"/>
      <c r="AL376" s="68"/>
      <c r="AM376" s="68"/>
      <c r="AN376" s="68"/>
      <c r="AO376" s="68"/>
      <c r="AP376" s="68"/>
      <c r="AQ376" s="68"/>
      <c r="AR376" s="68"/>
      <c r="AS376" s="68"/>
      <c r="AT376" s="68"/>
      <c r="AU376" s="68"/>
      <c r="AV376" s="68"/>
      <c r="AW376" s="68"/>
      <c r="AX376" s="68"/>
      <c r="AY376" s="68"/>
      <c r="AZ376" s="68"/>
      <c r="BA376" s="68"/>
      <c r="BB376" s="68"/>
      <c r="BC376" s="68"/>
      <c r="BD376" s="68"/>
      <c r="BE376" s="68"/>
      <c r="BF376" s="68"/>
      <c r="BG376" s="68"/>
      <c r="BH376" s="68"/>
      <c r="BI376" s="68"/>
      <c r="BJ376" s="68"/>
      <c r="BK376" s="68"/>
      <c r="BL376" s="68"/>
      <c r="BM376" s="68"/>
      <c r="BN376" s="68"/>
    </row>
    <row r="377" spans="1:66" ht="1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68"/>
      <c r="AG377" s="68"/>
      <c r="AH377" s="68"/>
      <c r="AI377" s="68"/>
      <c r="AJ377" s="68"/>
      <c r="AK377" s="68"/>
      <c r="AL377" s="68"/>
      <c r="AM377" s="68"/>
      <c r="AN377" s="68"/>
      <c r="AO377" s="68"/>
      <c r="AP377" s="68"/>
      <c r="AQ377" s="68"/>
      <c r="AR377" s="68"/>
      <c r="AS377" s="68"/>
      <c r="AT377" s="68"/>
      <c r="AU377" s="68"/>
      <c r="AV377" s="68"/>
      <c r="AW377" s="68"/>
      <c r="AX377" s="68"/>
      <c r="AY377" s="68"/>
      <c r="AZ377" s="68"/>
      <c r="BA377" s="68"/>
      <c r="BB377" s="68"/>
      <c r="BC377" s="68"/>
      <c r="BD377" s="68"/>
      <c r="BE377" s="68"/>
      <c r="BF377" s="68"/>
      <c r="BG377" s="68"/>
      <c r="BH377" s="68"/>
      <c r="BI377" s="68"/>
      <c r="BJ377" s="68"/>
      <c r="BK377" s="68"/>
      <c r="BL377" s="68"/>
      <c r="BM377" s="68"/>
      <c r="BN377" s="68"/>
    </row>
    <row r="378" spans="1:66" ht="17">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68"/>
      <c r="AG378" s="68"/>
      <c r="AH378" s="68"/>
      <c r="AI378" s="68"/>
      <c r="AJ378" s="68"/>
      <c r="AK378" s="68"/>
      <c r="AL378" s="68"/>
      <c r="AM378" s="68"/>
      <c r="AN378" s="68"/>
      <c r="AO378" s="68"/>
      <c r="AP378" s="68"/>
      <c r="AQ378" s="68"/>
      <c r="AR378" s="68"/>
      <c r="AS378" s="68"/>
      <c r="AT378" s="68"/>
      <c r="AU378" s="68"/>
      <c r="AV378" s="68"/>
      <c r="AW378" s="68"/>
      <c r="AX378" s="68"/>
      <c r="AY378" s="68"/>
      <c r="AZ378" s="68"/>
      <c r="BA378" s="68"/>
      <c r="BB378" s="68"/>
      <c r="BC378" s="68"/>
      <c r="BD378" s="68"/>
      <c r="BE378" s="68"/>
      <c r="BF378" s="68"/>
      <c r="BG378" s="68"/>
      <c r="BH378" s="68"/>
      <c r="BI378" s="68"/>
      <c r="BJ378" s="68"/>
      <c r="BK378" s="68"/>
      <c r="BL378" s="68"/>
      <c r="BM378" s="68"/>
      <c r="BN378" s="68"/>
    </row>
    <row r="379" spans="1:66" ht="17">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68"/>
      <c r="AG379" s="68"/>
      <c r="AH379" s="68"/>
      <c r="AI379" s="68"/>
      <c r="AJ379" s="68"/>
      <c r="AK379" s="68"/>
      <c r="AL379" s="68"/>
      <c r="AM379" s="68"/>
      <c r="AN379" s="68"/>
      <c r="AO379" s="68"/>
      <c r="AP379" s="68"/>
      <c r="AQ379" s="68"/>
      <c r="AR379" s="68"/>
      <c r="AS379" s="68"/>
      <c r="AT379" s="68"/>
      <c r="AU379" s="68"/>
      <c r="AV379" s="68"/>
      <c r="AW379" s="68"/>
      <c r="AX379" s="68"/>
      <c r="AY379" s="68"/>
      <c r="AZ379" s="68"/>
      <c r="BA379" s="68"/>
      <c r="BB379" s="68"/>
      <c r="BC379" s="68"/>
      <c r="BD379" s="68"/>
      <c r="BE379" s="68"/>
      <c r="BF379" s="68"/>
      <c r="BG379" s="68"/>
      <c r="BH379" s="68"/>
      <c r="BI379" s="68"/>
      <c r="BJ379" s="68"/>
      <c r="BK379" s="68"/>
      <c r="BL379" s="68"/>
      <c r="BM379" s="68"/>
      <c r="BN379" s="68"/>
    </row>
    <row r="380" spans="1:66" ht="17">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68"/>
      <c r="AG380" s="68"/>
      <c r="AH380" s="68"/>
      <c r="AI380" s="68"/>
      <c r="AJ380" s="68"/>
      <c r="AK380" s="68"/>
      <c r="AL380" s="68"/>
      <c r="AM380" s="68"/>
      <c r="AN380" s="68"/>
      <c r="AO380" s="68"/>
      <c r="AP380" s="68"/>
      <c r="AQ380" s="68"/>
      <c r="AR380" s="68"/>
      <c r="AS380" s="68"/>
      <c r="AT380" s="68"/>
      <c r="AU380" s="68"/>
      <c r="AV380" s="68"/>
      <c r="AW380" s="68"/>
      <c r="AX380" s="68"/>
      <c r="AY380" s="68"/>
      <c r="AZ380" s="68"/>
      <c r="BA380" s="68"/>
      <c r="BB380" s="68"/>
      <c r="BC380" s="68"/>
      <c r="BD380" s="68"/>
      <c r="BE380" s="68"/>
      <c r="BF380" s="68"/>
      <c r="BG380" s="68"/>
      <c r="BH380" s="68"/>
      <c r="BI380" s="68"/>
      <c r="BJ380" s="68"/>
      <c r="BK380" s="68"/>
      <c r="BL380" s="68"/>
      <c r="BM380" s="68"/>
      <c r="BN380" s="68"/>
    </row>
    <row r="381" spans="1:66" ht="17">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c r="AG381" s="68"/>
      <c r="AH381" s="68"/>
      <c r="AI381" s="68"/>
      <c r="AJ381" s="68"/>
      <c r="AK381" s="68"/>
      <c r="AL381" s="68"/>
      <c r="AM381" s="68"/>
      <c r="AN381" s="68"/>
      <c r="AO381" s="68"/>
      <c r="AP381" s="68"/>
      <c r="AQ381" s="68"/>
      <c r="AR381" s="68"/>
      <c r="AS381" s="68"/>
      <c r="AT381" s="68"/>
      <c r="AU381" s="68"/>
      <c r="AV381" s="68"/>
      <c r="AW381" s="68"/>
      <c r="AX381" s="68"/>
      <c r="AY381" s="68"/>
      <c r="AZ381" s="68"/>
      <c r="BA381" s="68"/>
      <c r="BB381" s="68"/>
      <c r="BC381" s="68"/>
      <c r="BD381" s="68"/>
      <c r="BE381" s="68"/>
      <c r="BF381" s="68"/>
      <c r="BG381" s="68"/>
      <c r="BH381" s="68"/>
      <c r="BI381" s="68"/>
      <c r="BJ381" s="68"/>
      <c r="BK381" s="68"/>
      <c r="BL381" s="68"/>
      <c r="BM381" s="68"/>
      <c r="BN381" s="68"/>
    </row>
    <row r="382" spans="1:66" ht="17">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c r="AG382" s="68"/>
      <c r="AH382" s="68"/>
      <c r="AI382" s="68"/>
      <c r="AJ382" s="68"/>
      <c r="AK382" s="68"/>
      <c r="AL382" s="68"/>
      <c r="AM382" s="68"/>
      <c r="AN382" s="68"/>
      <c r="AO382" s="68"/>
      <c r="AP382" s="68"/>
      <c r="AQ382" s="68"/>
      <c r="AR382" s="68"/>
      <c r="AS382" s="68"/>
      <c r="AT382" s="68"/>
      <c r="AU382" s="68"/>
      <c r="AV382" s="68"/>
      <c r="AW382" s="68"/>
      <c r="AX382" s="68"/>
      <c r="AY382" s="68"/>
      <c r="AZ382" s="68"/>
      <c r="BA382" s="68"/>
      <c r="BB382" s="68"/>
      <c r="BC382" s="68"/>
      <c r="BD382" s="68"/>
      <c r="BE382" s="68"/>
      <c r="BF382" s="68"/>
      <c r="BG382" s="68"/>
      <c r="BH382" s="68"/>
      <c r="BI382" s="68"/>
      <c r="BJ382" s="68"/>
      <c r="BK382" s="68"/>
      <c r="BL382" s="68"/>
      <c r="BM382" s="68"/>
      <c r="BN382" s="68"/>
    </row>
    <row r="383" spans="1:66" ht="17">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68"/>
      <c r="AG383" s="68"/>
      <c r="AH383" s="68"/>
      <c r="AI383" s="68"/>
      <c r="AJ383" s="68"/>
      <c r="AK383" s="68"/>
      <c r="AL383" s="68"/>
      <c r="AM383" s="68"/>
      <c r="AN383" s="68"/>
      <c r="AO383" s="68"/>
      <c r="AP383" s="68"/>
      <c r="AQ383" s="68"/>
      <c r="AR383" s="68"/>
      <c r="AS383" s="68"/>
      <c r="AT383" s="68"/>
      <c r="AU383" s="68"/>
      <c r="AV383" s="68"/>
      <c r="AW383" s="68"/>
      <c r="AX383" s="68"/>
      <c r="AY383" s="68"/>
      <c r="AZ383" s="68"/>
      <c r="BA383" s="68"/>
      <c r="BB383" s="68"/>
      <c r="BC383" s="68"/>
      <c r="BD383" s="68"/>
      <c r="BE383" s="68"/>
      <c r="BF383" s="68"/>
      <c r="BG383" s="68"/>
      <c r="BH383" s="68"/>
      <c r="BI383" s="68"/>
      <c r="BJ383" s="68"/>
      <c r="BK383" s="68"/>
      <c r="BL383" s="68"/>
      <c r="BM383" s="68"/>
      <c r="BN383" s="68"/>
    </row>
    <row r="384" spans="1:66" ht="17">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c r="AH384" s="68"/>
      <c r="AI384" s="68"/>
      <c r="AJ384" s="68"/>
      <c r="AK384" s="68"/>
      <c r="AL384" s="68"/>
      <c r="AM384" s="68"/>
      <c r="AN384" s="68"/>
      <c r="AO384" s="68"/>
      <c r="AP384" s="68"/>
      <c r="AQ384" s="68"/>
      <c r="AR384" s="68"/>
      <c r="AS384" s="68"/>
      <c r="AT384" s="68"/>
      <c r="AU384" s="68"/>
      <c r="AV384" s="68"/>
      <c r="AW384" s="68"/>
      <c r="AX384" s="68"/>
      <c r="AY384" s="68"/>
      <c r="AZ384" s="68"/>
      <c r="BA384" s="68"/>
      <c r="BB384" s="68"/>
      <c r="BC384" s="68"/>
      <c r="BD384" s="68"/>
      <c r="BE384" s="68"/>
      <c r="BF384" s="68"/>
      <c r="BG384" s="68"/>
      <c r="BH384" s="68"/>
      <c r="BI384" s="68"/>
      <c r="BJ384" s="68"/>
      <c r="BK384" s="68"/>
      <c r="BL384" s="68"/>
      <c r="BM384" s="68"/>
      <c r="BN384" s="68"/>
    </row>
    <row r="385" spans="1:66" ht="17">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68"/>
      <c r="AG385" s="68"/>
      <c r="AH385" s="68"/>
      <c r="AI385" s="68"/>
      <c r="AJ385" s="68"/>
      <c r="AK385" s="68"/>
      <c r="AL385" s="68"/>
      <c r="AM385" s="68"/>
      <c r="AN385" s="68"/>
      <c r="AO385" s="68"/>
      <c r="AP385" s="68"/>
      <c r="AQ385" s="68"/>
      <c r="AR385" s="68"/>
      <c r="AS385" s="68"/>
      <c r="AT385" s="68"/>
      <c r="AU385" s="68"/>
      <c r="AV385" s="68"/>
      <c r="AW385" s="68"/>
      <c r="AX385" s="68"/>
      <c r="AY385" s="68"/>
      <c r="AZ385" s="68"/>
      <c r="BA385" s="68"/>
      <c r="BB385" s="68"/>
      <c r="BC385" s="68"/>
      <c r="BD385" s="68"/>
      <c r="BE385" s="68"/>
      <c r="BF385" s="68"/>
      <c r="BG385" s="68"/>
      <c r="BH385" s="68"/>
      <c r="BI385" s="68"/>
      <c r="BJ385" s="68"/>
      <c r="BK385" s="68"/>
      <c r="BL385" s="68"/>
      <c r="BM385" s="68"/>
      <c r="BN385" s="68"/>
    </row>
    <row r="386" spans="1:66" ht="17">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c r="AG386" s="68"/>
      <c r="AH386" s="68"/>
      <c r="AI386" s="68"/>
      <c r="AJ386" s="68"/>
      <c r="AK386" s="68"/>
      <c r="AL386" s="68"/>
      <c r="AM386" s="68"/>
      <c r="AN386" s="68"/>
      <c r="AO386" s="68"/>
      <c r="AP386" s="68"/>
      <c r="AQ386" s="68"/>
      <c r="AR386" s="68"/>
      <c r="AS386" s="68"/>
      <c r="AT386" s="68"/>
      <c r="AU386" s="68"/>
      <c r="AV386" s="68"/>
      <c r="AW386" s="68"/>
      <c r="AX386" s="68"/>
      <c r="AY386" s="68"/>
      <c r="AZ386" s="68"/>
      <c r="BA386" s="68"/>
      <c r="BB386" s="68"/>
      <c r="BC386" s="68"/>
      <c r="BD386" s="68"/>
      <c r="BE386" s="68"/>
      <c r="BF386" s="68"/>
      <c r="BG386" s="68"/>
      <c r="BH386" s="68"/>
      <c r="BI386" s="68"/>
      <c r="BJ386" s="68"/>
      <c r="BK386" s="68"/>
      <c r="BL386" s="68"/>
      <c r="BM386" s="68"/>
      <c r="BN386" s="68"/>
    </row>
    <row r="387" spans="1:66" ht="1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c r="AG387" s="68"/>
      <c r="AH387" s="68"/>
      <c r="AI387" s="68"/>
      <c r="AJ387" s="68"/>
      <c r="AK387" s="68"/>
      <c r="AL387" s="68"/>
      <c r="AM387" s="68"/>
      <c r="AN387" s="68"/>
      <c r="AO387" s="68"/>
      <c r="AP387" s="68"/>
      <c r="AQ387" s="68"/>
      <c r="AR387" s="68"/>
      <c r="AS387" s="68"/>
      <c r="AT387" s="68"/>
      <c r="AU387" s="68"/>
      <c r="AV387" s="68"/>
      <c r="AW387" s="68"/>
      <c r="AX387" s="68"/>
      <c r="AY387" s="68"/>
      <c r="AZ387" s="68"/>
      <c r="BA387" s="68"/>
      <c r="BB387" s="68"/>
      <c r="BC387" s="68"/>
      <c r="BD387" s="68"/>
      <c r="BE387" s="68"/>
      <c r="BF387" s="68"/>
      <c r="BG387" s="68"/>
      <c r="BH387" s="68"/>
      <c r="BI387" s="68"/>
      <c r="BJ387" s="68"/>
      <c r="BK387" s="68"/>
      <c r="BL387" s="68"/>
      <c r="BM387" s="68"/>
      <c r="BN387" s="68"/>
    </row>
    <row r="388" spans="1:66" ht="17">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c r="AG388" s="68"/>
      <c r="AH388" s="68"/>
      <c r="AI388" s="68"/>
      <c r="AJ388" s="68"/>
      <c r="AK388" s="68"/>
      <c r="AL388" s="68"/>
      <c r="AM388" s="68"/>
      <c r="AN388" s="68"/>
      <c r="AO388" s="68"/>
      <c r="AP388" s="68"/>
      <c r="AQ388" s="68"/>
      <c r="AR388" s="68"/>
      <c r="AS388" s="68"/>
      <c r="AT388" s="68"/>
      <c r="AU388" s="68"/>
      <c r="AV388" s="68"/>
      <c r="AW388" s="68"/>
      <c r="AX388" s="68"/>
      <c r="AY388" s="68"/>
      <c r="AZ388" s="68"/>
      <c r="BA388" s="68"/>
      <c r="BB388" s="68"/>
      <c r="BC388" s="68"/>
      <c r="BD388" s="68"/>
      <c r="BE388" s="68"/>
      <c r="BF388" s="68"/>
      <c r="BG388" s="68"/>
      <c r="BH388" s="68"/>
      <c r="BI388" s="68"/>
      <c r="BJ388" s="68"/>
      <c r="BK388" s="68"/>
      <c r="BL388" s="68"/>
      <c r="BM388" s="68"/>
      <c r="BN388" s="68"/>
    </row>
    <row r="389" spans="1:66" ht="17">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68"/>
      <c r="AH389" s="68"/>
      <c r="AI389" s="68"/>
      <c r="AJ389" s="68"/>
      <c r="AK389" s="68"/>
      <c r="AL389" s="68"/>
      <c r="AM389" s="68"/>
      <c r="AN389" s="68"/>
      <c r="AO389" s="68"/>
      <c r="AP389" s="68"/>
      <c r="AQ389" s="68"/>
      <c r="AR389" s="68"/>
      <c r="AS389" s="68"/>
      <c r="AT389" s="68"/>
      <c r="AU389" s="68"/>
      <c r="AV389" s="68"/>
      <c r="AW389" s="68"/>
      <c r="AX389" s="68"/>
      <c r="AY389" s="68"/>
      <c r="AZ389" s="68"/>
      <c r="BA389" s="68"/>
      <c r="BB389" s="68"/>
      <c r="BC389" s="68"/>
      <c r="BD389" s="68"/>
      <c r="BE389" s="68"/>
      <c r="BF389" s="68"/>
      <c r="BG389" s="68"/>
      <c r="BH389" s="68"/>
      <c r="BI389" s="68"/>
      <c r="BJ389" s="68"/>
      <c r="BK389" s="68"/>
      <c r="BL389" s="68"/>
      <c r="BM389" s="68"/>
      <c r="BN389" s="68"/>
    </row>
    <row r="390" spans="1:66" ht="17">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68"/>
      <c r="AG390" s="68"/>
      <c r="AH390" s="68"/>
      <c r="AI390" s="68"/>
      <c r="AJ390" s="68"/>
      <c r="AK390" s="68"/>
      <c r="AL390" s="68"/>
      <c r="AM390" s="68"/>
      <c r="AN390" s="68"/>
      <c r="AO390" s="68"/>
      <c r="AP390" s="68"/>
      <c r="AQ390" s="68"/>
      <c r="AR390" s="68"/>
      <c r="AS390" s="68"/>
      <c r="AT390" s="68"/>
      <c r="AU390" s="68"/>
      <c r="AV390" s="68"/>
      <c r="AW390" s="68"/>
      <c r="AX390" s="68"/>
      <c r="AY390" s="68"/>
      <c r="AZ390" s="68"/>
      <c r="BA390" s="68"/>
      <c r="BB390" s="68"/>
      <c r="BC390" s="68"/>
      <c r="BD390" s="68"/>
      <c r="BE390" s="68"/>
      <c r="BF390" s="68"/>
      <c r="BG390" s="68"/>
      <c r="BH390" s="68"/>
      <c r="BI390" s="68"/>
      <c r="BJ390" s="68"/>
      <c r="BK390" s="68"/>
      <c r="BL390" s="68"/>
      <c r="BM390" s="68"/>
      <c r="BN390" s="68"/>
    </row>
    <row r="391" spans="1:66" ht="17">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c r="AG391" s="68"/>
      <c r="AH391" s="68"/>
      <c r="AI391" s="68"/>
      <c r="AJ391" s="68"/>
      <c r="AK391" s="68"/>
      <c r="AL391" s="68"/>
      <c r="AM391" s="68"/>
      <c r="AN391" s="68"/>
      <c r="AO391" s="68"/>
      <c r="AP391" s="68"/>
      <c r="AQ391" s="68"/>
      <c r="AR391" s="68"/>
      <c r="AS391" s="68"/>
      <c r="AT391" s="68"/>
      <c r="AU391" s="68"/>
      <c r="AV391" s="68"/>
      <c r="AW391" s="68"/>
      <c r="AX391" s="68"/>
      <c r="AY391" s="68"/>
      <c r="AZ391" s="68"/>
      <c r="BA391" s="68"/>
      <c r="BB391" s="68"/>
      <c r="BC391" s="68"/>
      <c r="BD391" s="68"/>
      <c r="BE391" s="68"/>
      <c r="BF391" s="68"/>
      <c r="BG391" s="68"/>
      <c r="BH391" s="68"/>
      <c r="BI391" s="68"/>
      <c r="BJ391" s="68"/>
      <c r="BK391" s="68"/>
      <c r="BL391" s="68"/>
      <c r="BM391" s="68"/>
      <c r="BN391" s="68"/>
    </row>
    <row r="392" spans="1:66" ht="17">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68"/>
      <c r="AG392" s="68"/>
      <c r="AH392" s="68"/>
      <c r="AI392" s="68"/>
      <c r="AJ392" s="68"/>
      <c r="AK392" s="68"/>
      <c r="AL392" s="68"/>
      <c r="AM392" s="68"/>
      <c r="AN392" s="68"/>
      <c r="AO392" s="68"/>
      <c r="AP392" s="68"/>
      <c r="AQ392" s="68"/>
      <c r="AR392" s="68"/>
      <c r="AS392" s="68"/>
      <c r="AT392" s="68"/>
      <c r="AU392" s="68"/>
      <c r="AV392" s="68"/>
      <c r="AW392" s="68"/>
      <c r="AX392" s="68"/>
      <c r="AY392" s="68"/>
      <c r="AZ392" s="68"/>
      <c r="BA392" s="68"/>
      <c r="BB392" s="68"/>
      <c r="BC392" s="68"/>
      <c r="BD392" s="68"/>
      <c r="BE392" s="68"/>
      <c r="BF392" s="68"/>
      <c r="BG392" s="68"/>
      <c r="BH392" s="68"/>
      <c r="BI392" s="68"/>
      <c r="BJ392" s="68"/>
      <c r="BK392" s="68"/>
      <c r="BL392" s="68"/>
      <c r="BM392" s="68"/>
      <c r="BN392" s="68"/>
    </row>
    <row r="393" spans="1:66" ht="17">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68"/>
      <c r="AG393" s="68"/>
      <c r="AH393" s="68"/>
      <c r="AI393" s="68"/>
      <c r="AJ393" s="68"/>
      <c r="AK393" s="68"/>
      <c r="AL393" s="68"/>
      <c r="AM393" s="68"/>
      <c r="AN393" s="68"/>
      <c r="AO393" s="68"/>
      <c r="AP393" s="68"/>
      <c r="AQ393" s="68"/>
      <c r="AR393" s="68"/>
      <c r="AS393" s="68"/>
      <c r="AT393" s="68"/>
      <c r="AU393" s="68"/>
      <c r="AV393" s="68"/>
      <c r="AW393" s="68"/>
      <c r="AX393" s="68"/>
      <c r="AY393" s="68"/>
      <c r="AZ393" s="68"/>
      <c r="BA393" s="68"/>
      <c r="BB393" s="68"/>
      <c r="BC393" s="68"/>
      <c r="BD393" s="68"/>
      <c r="BE393" s="68"/>
      <c r="BF393" s="68"/>
      <c r="BG393" s="68"/>
      <c r="BH393" s="68"/>
      <c r="BI393" s="68"/>
      <c r="BJ393" s="68"/>
      <c r="BK393" s="68"/>
      <c r="BL393" s="68"/>
      <c r="BM393" s="68"/>
      <c r="BN393" s="68"/>
    </row>
    <row r="394" spans="1:66" ht="17">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68"/>
      <c r="AG394" s="68"/>
      <c r="AH394" s="68"/>
      <c r="AI394" s="68"/>
      <c r="AJ394" s="68"/>
      <c r="AK394" s="68"/>
      <c r="AL394" s="68"/>
      <c r="AM394" s="68"/>
      <c r="AN394" s="68"/>
      <c r="AO394" s="68"/>
      <c r="AP394" s="68"/>
      <c r="AQ394" s="68"/>
      <c r="AR394" s="68"/>
      <c r="AS394" s="68"/>
      <c r="AT394" s="68"/>
      <c r="AU394" s="68"/>
      <c r="AV394" s="68"/>
      <c r="AW394" s="68"/>
      <c r="AX394" s="68"/>
      <c r="AY394" s="68"/>
      <c r="AZ394" s="68"/>
      <c r="BA394" s="68"/>
      <c r="BB394" s="68"/>
      <c r="BC394" s="68"/>
      <c r="BD394" s="68"/>
      <c r="BE394" s="68"/>
      <c r="BF394" s="68"/>
      <c r="BG394" s="68"/>
      <c r="BH394" s="68"/>
      <c r="BI394" s="68"/>
      <c r="BJ394" s="68"/>
      <c r="BK394" s="68"/>
      <c r="BL394" s="68"/>
      <c r="BM394" s="68"/>
      <c r="BN394" s="68"/>
    </row>
    <row r="395" spans="1:66" ht="17">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68"/>
      <c r="AG395" s="68"/>
      <c r="AH395" s="68"/>
      <c r="AI395" s="68"/>
      <c r="AJ395" s="68"/>
      <c r="AK395" s="68"/>
      <c r="AL395" s="68"/>
      <c r="AM395" s="68"/>
      <c r="AN395" s="68"/>
      <c r="AO395" s="68"/>
      <c r="AP395" s="68"/>
      <c r="AQ395" s="68"/>
      <c r="AR395" s="68"/>
      <c r="AS395" s="68"/>
      <c r="AT395" s="68"/>
      <c r="AU395" s="68"/>
      <c r="AV395" s="68"/>
      <c r="AW395" s="68"/>
      <c r="AX395" s="68"/>
      <c r="AY395" s="68"/>
      <c r="AZ395" s="68"/>
      <c r="BA395" s="68"/>
      <c r="BB395" s="68"/>
      <c r="BC395" s="68"/>
      <c r="BD395" s="68"/>
      <c r="BE395" s="68"/>
      <c r="BF395" s="68"/>
      <c r="BG395" s="68"/>
      <c r="BH395" s="68"/>
      <c r="BI395" s="68"/>
      <c r="BJ395" s="68"/>
      <c r="BK395" s="68"/>
      <c r="BL395" s="68"/>
      <c r="BM395" s="68"/>
      <c r="BN395" s="68"/>
    </row>
    <row r="396" spans="1:66" ht="17">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68"/>
      <c r="AG396" s="68"/>
      <c r="AH396" s="68"/>
      <c r="AI396" s="68"/>
      <c r="AJ396" s="68"/>
      <c r="AK396" s="68"/>
      <c r="AL396" s="68"/>
      <c r="AM396" s="68"/>
      <c r="AN396" s="68"/>
      <c r="AO396" s="68"/>
      <c r="AP396" s="68"/>
      <c r="AQ396" s="68"/>
      <c r="AR396" s="68"/>
      <c r="AS396" s="68"/>
      <c r="AT396" s="68"/>
      <c r="AU396" s="68"/>
      <c r="AV396" s="68"/>
      <c r="AW396" s="68"/>
      <c r="AX396" s="68"/>
      <c r="AY396" s="68"/>
      <c r="AZ396" s="68"/>
      <c r="BA396" s="68"/>
      <c r="BB396" s="68"/>
      <c r="BC396" s="68"/>
      <c r="BD396" s="68"/>
      <c r="BE396" s="68"/>
      <c r="BF396" s="68"/>
      <c r="BG396" s="68"/>
      <c r="BH396" s="68"/>
      <c r="BI396" s="68"/>
      <c r="BJ396" s="68"/>
      <c r="BK396" s="68"/>
      <c r="BL396" s="68"/>
      <c r="BM396" s="68"/>
      <c r="BN396" s="68"/>
    </row>
    <row r="397" spans="1:66" ht="1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68"/>
      <c r="AG397" s="68"/>
      <c r="AH397" s="68"/>
      <c r="AI397" s="68"/>
      <c r="AJ397" s="68"/>
      <c r="AK397" s="68"/>
      <c r="AL397" s="68"/>
      <c r="AM397" s="68"/>
      <c r="AN397" s="68"/>
      <c r="AO397" s="68"/>
      <c r="AP397" s="68"/>
      <c r="AQ397" s="68"/>
      <c r="AR397" s="68"/>
      <c r="AS397" s="68"/>
      <c r="AT397" s="68"/>
      <c r="AU397" s="68"/>
      <c r="AV397" s="68"/>
      <c r="AW397" s="68"/>
      <c r="AX397" s="68"/>
      <c r="AY397" s="68"/>
      <c r="AZ397" s="68"/>
      <c r="BA397" s="68"/>
      <c r="BB397" s="68"/>
      <c r="BC397" s="68"/>
      <c r="BD397" s="68"/>
      <c r="BE397" s="68"/>
      <c r="BF397" s="68"/>
      <c r="BG397" s="68"/>
      <c r="BH397" s="68"/>
      <c r="BI397" s="68"/>
      <c r="BJ397" s="68"/>
      <c r="BK397" s="68"/>
      <c r="BL397" s="68"/>
      <c r="BM397" s="68"/>
      <c r="BN397" s="68"/>
    </row>
    <row r="398" spans="1:66" ht="17">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68"/>
      <c r="AG398" s="68"/>
      <c r="AH398" s="68"/>
      <c r="AI398" s="68"/>
      <c r="AJ398" s="68"/>
      <c r="AK398" s="68"/>
      <c r="AL398" s="68"/>
      <c r="AM398" s="68"/>
      <c r="AN398" s="68"/>
      <c r="AO398" s="68"/>
      <c r="AP398" s="68"/>
      <c r="AQ398" s="68"/>
      <c r="AR398" s="68"/>
      <c r="AS398" s="68"/>
      <c r="AT398" s="68"/>
      <c r="AU398" s="68"/>
      <c r="AV398" s="68"/>
      <c r="AW398" s="68"/>
      <c r="AX398" s="68"/>
      <c r="AY398" s="68"/>
      <c r="AZ398" s="68"/>
      <c r="BA398" s="68"/>
      <c r="BB398" s="68"/>
      <c r="BC398" s="68"/>
      <c r="BD398" s="68"/>
      <c r="BE398" s="68"/>
      <c r="BF398" s="68"/>
      <c r="BG398" s="68"/>
      <c r="BH398" s="68"/>
      <c r="BI398" s="68"/>
      <c r="BJ398" s="68"/>
      <c r="BK398" s="68"/>
      <c r="BL398" s="68"/>
      <c r="BM398" s="68"/>
      <c r="BN398" s="68"/>
    </row>
    <row r="399" spans="1:66" ht="17">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68"/>
      <c r="AG399" s="68"/>
      <c r="AH399" s="68"/>
      <c r="AI399" s="68"/>
      <c r="AJ399" s="68"/>
      <c r="AK399" s="68"/>
      <c r="AL399" s="68"/>
      <c r="AM399" s="68"/>
      <c r="AN399" s="68"/>
      <c r="AO399" s="68"/>
      <c r="AP399" s="68"/>
      <c r="AQ399" s="68"/>
      <c r="AR399" s="68"/>
      <c r="AS399" s="68"/>
      <c r="AT399" s="68"/>
      <c r="AU399" s="68"/>
      <c r="AV399" s="68"/>
      <c r="AW399" s="68"/>
      <c r="AX399" s="68"/>
      <c r="AY399" s="68"/>
      <c r="AZ399" s="68"/>
      <c r="BA399" s="68"/>
      <c r="BB399" s="68"/>
      <c r="BC399" s="68"/>
      <c r="BD399" s="68"/>
      <c r="BE399" s="68"/>
      <c r="BF399" s="68"/>
      <c r="BG399" s="68"/>
      <c r="BH399" s="68"/>
      <c r="BI399" s="68"/>
      <c r="BJ399" s="68"/>
      <c r="BK399" s="68"/>
      <c r="BL399" s="68"/>
      <c r="BM399" s="68"/>
      <c r="BN399" s="68"/>
    </row>
    <row r="400" spans="1:66" ht="17">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68"/>
      <c r="AG400" s="68"/>
      <c r="AH400" s="68"/>
      <c r="AI400" s="68"/>
      <c r="AJ400" s="68"/>
      <c r="AK400" s="68"/>
      <c r="AL400" s="68"/>
      <c r="AM400" s="68"/>
      <c r="AN400" s="68"/>
      <c r="AO400" s="68"/>
      <c r="AP400" s="68"/>
      <c r="AQ400" s="68"/>
      <c r="AR400" s="68"/>
      <c r="AS400" s="68"/>
      <c r="AT400" s="68"/>
      <c r="AU400" s="68"/>
      <c r="AV400" s="68"/>
      <c r="AW400" s="68"/>
      <c r="AX400" s="68"/>
      <c r="AY400" s="68"/>
      <c r="AZ400" s="68"/>
      <c r="BA400" s="68"/>
      <c r="BB400" s="68"/>
      <c r="BC400" s="68"/>
      <c r="BD400" s="68"/>
      <c r="BE400" s="68"/>
      <c r="BF400" s="68"/>
      <c r="BG400" s="68"/>
      <c r="BH400" s="68"/>
      <c r="BI400" s="68"/>
      <c r="BJ400" s="68"/>
      <c r="BK400" s="68"/>
      <c r="BL400" s="68"/>
      <c r="BM400" s="68"/>
      <c r="BN400" s="68"/>
    </row>
    <row r="401" spans="1:66" ht="17">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68"/>
      <c r="AG401" s="68"/>
      <c r="AH401" s="68"/>
      <c r="AI401" s="68"/>
      <c r="AJ401" s="68"/>
      <c r="AK401" s="68"/>
      <c r="AL401" s="68"/>
      <c r="AM401" s="68"/>
      <c r="AN401" s="68"/>
      <c r="AO401" s="68"/>
      <c r="AP401" s="68"/>
      <c r="AQ401" s="68"/>
      <c r="AR401" s="68"/>
      <c r="AS401" s="68"/>
      <c r="AT401" s="68"/>
      <c r="AU401" s="68"/>
      <c r="AV401" s="68"/>
      <c r="AW401" s="68"/>
      <c r="AX401" s="68"/>
      <c r="AY401" s="68"/>
      <c r="AZ401" s="68"/>
      <c r="BA401" s="68"/>
      <c r="BB401" s="68"/>
      <c r="BC401" s="68"/>
      <c r="BD401" s="68"/>
      <c r="BE401" s="68"/>
      <c r="BF401" s="68"/>
      <c r="BG401" s="68"/>
      <c r="BH401" s="68"/>
      <c r="BI401" s="68"/>
      <c r="BJ401" s="68"/>
      <c r="BK401" s="68"/>
      <c r="BL401" s="68"/>
      <c r="BM401" s="68"/>
      <c r="BN401" s="68"/>
    </row>
    <row r="402" spans="1:66" ht="17">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68"/>
      <c r="AG402" s="68"/>
      <c r="AH402" s="68"/>
      <c r="AI402" s="68"/>
      <c r="AJ402" s="68"/>
      <c r="AK402" s="68"/>
      <c r="AL402" s="68"/>
      <c r="AM402" s="68"/>
      <c r="AN402" s="68"/>
      <c r="AO402" s="68"/>
      <c r="AP402" s="68"/>
      <c r="AQ402" s="68"/>
      <c r="AR402" s="68"/>
      <c r="AS402" s="68"/>
      <c r="AT402" s="68"/>
      <c r="AU402" s="68"/>
      <c r="AV402" s="68"/>
      <c r="AW402" s="68"/>
      <c r="AX402" s="68"/>
      <c r="AY402" s="68"/>
      <c r="AZ402" s="68"/>
      <c r="BA402" s="68"/>
      <c r="BB402" s="68"/>
      <c r="BC402" s="68"/>
      <c r="BD402" s="68"/>
      <c r="BE402" s="68"/>
      <c r="BF402" s="68"/>
      <c r="BG402" s="68"/>
      <c r="BH402" s="68"/>
      <c r="BI402" s="68"/>
      <c r="BJ402" s="68"/>
      <c r="BK402" s="68"/>
      <c r="BL402" s="68"/>
      <c r="BM402" s="68"/>
      <c r="BN402" s="68"/>
    </row>
    <row r="403" spans="1:66" ht="17">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68"/>
      <c r="AG403" s="68"/>
      <c r="AH403" s="68"/>
      <c r="AI403" s="68"/>
      <c r="AJ403" s="68"/>
      <c r="AK403" s="68"/>
      <c r="AL403" s="68"/>
      <c r="AM403" s="68"/>
      <c r="AN403" s="68"/>
      <c r="AO403" s="68"/>
      <c r="AP403" s="68"/>
      <c r="AQ403" s="68"/>
      <c r="AR403" s="68"/>
      <c r="AS403" s="68"/>
      <c r="AT403" s="68"/>
      <c r="AU403" s="68"/>
      <c r="AV403" s="68"/>
      <c r="AW403" s="68"/>
      <c r="AX403" s="68"/>
      <c r="AY403" s="68"/>
      <c r="AZ403" s="68"/>
      <c r="BA403" s="68"/>
      <c r="BB403" s="68"/>
      <c r="BC403" s="68"/>
      <c r="BD403" s="68"/>
      <c r="BE403" s="68"/>
      <c r="BF403" s="68"/>
      <c r="BG403" s="68"/>
      <c r="BH403" s="68"/>
      <c r="BI403" s="68"/>
      <c r="BJ403" s="68"/>
      <c r="BK403" s="68"/>
      <c r="BL403" s="68"/>
      <c r="BM403" s="68"/>
      <c r="BN403" s="68"/>
    </row>
    <row r="404" spans="1:66" ht="17">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68"/>
      <c r="AG404" s="68"/>
      <c r="AH404" s="68"/>
      <c r="AI404" s="68"/>
      <c r="AJ404" s="68"/>
      <c r="AK404" s="68"/>
      <c r="AL404" s="68"/>
      <c r="AM404" s="68"/>
      <c r="AN404" s="68"/>
      <c r="AO404" s="68"/>
      <c r="AP404" s="68"/>
      <c r="AQ404" s="68"/>
      <c r="AR404" s="68"/>
      <c r="AS404" s="68"/>
      <c r="AT404" s="68"/>
      <c r="AU404" s="68"/>
      <c r="AV404" s="68"/>
      <c r="AW404" s="68"/>
      <c r="AX404" s="68"/>
      <c r="AY404" s="68"/>
      <c r="AZ404" s="68"/>
      <c r="BA404" s="68"/>
      <c r="BB404" s="68"/>
      <c r="BC404" s="68"/>
      <c r="BD404" s="68"/>
      <c r="BE404" s="68"/>
      <c r="BF404" s="68"/>
      <c r="BG404" s="68"/>
      <c r="BH404" s="68"/>
      <c r="BI404" s="68"/>
      <c r="BJ404" s="68"/>
      <c r="BK404" s="68"/>
      <c r="BL404" s="68"/>
      <c r="BM404" s="68"/>
      <c r="BN404" s="68"/>
    </row>
    <row r="405" spans="1:66" ht="17">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68"/>
      <c r="AG405" s="68"/>
      <c r="AH405" s="68"/>
      <c r="AI405" s="68"/>
      <c r="AJ405" s="68"/>
      <c r="AK405" s="68"/>
      <c r="AL405" s="68"/>
      <c r="AM405" s="68"/>
      <c r="AN405" s="68"/>
      <c r="AO405" s="68"/>
      <c r="AP405" s="68"/>
      <c r="AQ405" s="68"/>
      <c r="AR405" s="68"/>
      <c r="AS405" s="68"/>
      <c r="AT405" s="68"/>
      <c r="AU405" s="68"/>
      <c r="AV405" s="68"/>
      <c r="AW405" s="68"/>
      <c r="AX405" s="68"/>
      <c r="AY405" s="68"/>
      <c r="AZ405" s="68"/>
      <c r="BA405" s="68"/>
      <c r="BB405" s="68"/>
      <c r="BC405" s="68"/>
      <c r="BD405" s="68"/>
      <c r="BE405" s="68"/>
      <c r="BF405" s="68"/>
      <c r="BG405" s="68"/>
      <c r="BH405" s="68"/>
      <c r="BI405" s="68"/>
      <c r="BJ405" s="68"/>
      <c r="BK405" s="68"/>
      <c r="BL405" s="68"/>
      <c r="BM405" s="68"/>
      <c r="BN405" s="68"/>
    </row>
    <row r="406" spans="1:66" ht="17">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c r="AG406" s="68"/>
      <c r="AH406" s="68"/>
      <c r="AI406" s="68"/>
      <c r="AJ406" s="68"/>
      <c r="AK406" s="68"/>
      <c r="AL406" s="68"/>
      <c r="AM406" s="68"/>
      <c r="AN406" s="68"/>
      <c r="AO406" s="68"/>
      <c r="AP406" s="68"/>
      <c r="AQ406" s="68"/>
      <c r="AR406" s="68"/>
      <c r="AS406" s="68"/>
      <c r="AT406" s="68"/>
      <c r="AU406" s="68"/>
      <c r="AV406" s="68"/>
      <c r="AW406" s="68"/>
      <c r="AX406" s="68"/>
      <c r="AY406" s="68"/>
      <c r="AZ406" s="68"/>
      <c r="BA406" s="68"/>
      <c r="BB406" s="68"/>
      <c r="BC406" s="68"/>
      <c r="BD406" s="68"/>
      <c r="BE406" s="68"/>
      <c r="BF406" s="68"/>
      <c r="BG406" s="68"/>
      <c r="BH406" s="68"/>
      <c r="BI406" s="68"/>
      <c r="BJ406" s="68"/>
      <c r="BK406" s="68"/>
      <c r="BL406" s="68"/>
      <c r="BM406" s="68"/>
      <c r="BN406" s="68"/>
    </row>
    <row r="407" spans="1:66" ht="1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c r="AG407" s="68"/>
      <c r="AH407" s="68"/>
      <c r="AI407" s="68"/>
      <c r="AJ407" s="68"/>
      <c r="AK407" s="68"/>
      <c r="AL407" s="68"/>
      <c r="AM407" s="68"/>
      <c r="AN407" s="68"/>
      <c r="AO407" s="68"/>
      <c r="AP407" s="68"/>
      <c r="AQ407" s="68"/>
      <c r="AR407" s="68"/>
      <c r="AS407" s="68"/>
      <c r="AT407" s="68"/>
      <c r="AU407" s="68"/>
      <c r="AV407" s="68"/>
      <c r="AW407" s="68"/>
      <c r="AX407" s="68"/>
      <c r="AY407" s="68"/>
      <c r="AZ407" s="68"/>
      <c r="BA407" s="68"/>
      <c r="BB407" s="68"/>
      <c r="BC407" s="68"/>
      <c r="BD407" s="68"/>
      <c r="BE407" s="68"/>
      <c r="BF407" s="68"/>
      <c r="BG407" s="68"/>
      <c r="BH407" s="68"/>
      <c r="BI407" s="68"/>
      <c r="BJ407" s="68"/>
      <c r="BK407" s="68"/>
      <c r="BL407" s="68"/>
      <c r="BM407" s="68"/>
      <c r="BN407" s="68"/>
    </row>
    <row r="408" spans="1:66" ht="17">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c r="AG408" s="68"/>
      <c r="AH408" s="68"/>
      <c r="AI408" s="68"/>
      <c r="AJ408" s="68"/>
      <c r="AK408" s="68"/>
      <c r="AL408" s="68"/>
      <c r="AM408" s="68"/>
      <c r="AN408" s="68"/>
      <c r="AO408" s="68"/>
      <c r="AP408" s="68"/>
      <c r="AQ408" s="68"/>
      <c r="AR408" s="68"/>
      <c r="AS408" s="68"/>
      <c r="AT408" s="68"/>
      <c r="AU408" s="68"/>
      <c r="AV408" s="68"/>
      <c r="AW408" s="68"/>
      <c r="AX408" s="68"/>
      <c r="AY408" s="68"/>
      <c r="AZ408" s="68"/>
      <c r="BA408" s="68"/>
      <c r="BB408" s="68"/>
      <c r="BC408" s="68"/>
      <c r="BD408" s="68"/>
      <c r="BE408" s="68"/>
      <c r="BF408" s="68"/>
      <c r="BG408" s="68"/>
      <c r="BH408" s="68"/>
      <c r="BI408" s="68"/>
      <c r="BJ408" s="68"/>
      <c r="BK408" s="68"/>
      <c r="BL408" s="68"/>
      <c r="BM408" s="68"/>
      <c r="BN408" s="68"/>
    </row>
    <row r="409" spans="1:66" ht="17">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c r="AG409" s="68"/>
      <c r="AH409" s="68"/>
      <c r="AI409" s="68"/>
      <c r="AJ409" s="68"/>
      <c r="AK409" s="68"/>
      <c r="AL409" s="68"/>
      <c r="AM409" s="68"/>
      <c r="AN409" s="68"/>
      <c r="AO409" s="68"/>
      <c r="AP409" s="68"/>
      <c r="AQ409" s="68"/>
      <c r="AR409" s="68"/>
      <c r="AS409" s="68"/>
      <c r="AT409" s="68"/>
      <c r="AU409" s="68"/>
      <c r="AV409" s="68"/>
      <c r="AW409" s="68"/>
      <c r="AX409" s="68"/>
      <c r="AY409" s="68"/>
      <c r="AZ409" s="68"/>
      <c r="BA409" s="68"/>
      <c r="BB409" s="68"/>
      <c r="BC409" s="68"/>
      <c r="BD409" s="68"/>
      <c r="BE409" s="68"/>
      <c r="BF409" s="68"/>
      <c r="BG409" s="68"/>
      <c r="BH409" s="68"/>
      <c r="BI409" s="68"/>
      <c r="BJ409" s="68"/>
      <c r="BK409" s="68"/>
      <c r="BL409" s="68"/>
      <c r="BM409" s="68"/>
      <c r="BN409" s="68"/>
    </row>
    <row r="410" spans="1:66" ht="17">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c r="AG410" s="68"/>
      <c r="AH410" s="68"/>
      <c r="AI410" s="68"/>
      <c r="AJ410" s="68"/>
      <c r="AK410" s="68"/>
      <c r="AL410" s="68"/>
      <c r="AM410" s="68"/>
      <c r="AN410" s="68"/>
      <c r="AO410" s="68"/>
      <c r="AP410" s="68"/>
      <c r="AQ410" s="68"/>
      <c r="AR410" s="68"/>
      <c r="AS410" s="68"/>
      <c r="AT410" s="68"/>
      <c r="AU410" s="68"/>
      <c r="AV410" s="68"/>
      <c r="AW410" s="68"/>
      <c r="AX410" s="68"/>
      <c r="AY410" s="68"/>
      <c r="AZ410" s="68"/>
      <c r="BA410" s="68"/>
      <c r="BB410" s="68"/>
      <c r="BC410" s="68"/>
      <c r="BD410" s="68"/>
      <c r="BE410" s="68"/>
      <c r="BF410" s="68"/>
      <c r="BG410" s="68"/>
      <c r="BH410" s="68"/>
      <c r="BI410" s="68"/>
      <c r="BJ410" s="68"/>
      <c r="BK410" s="68"/>
      <c r="BL410" s="68"/>
      <c r="BM410" s="68"/>
      <c r="BN410" s="68"/>
    </row>
    <row r="411" spans="1:66" ht="17">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c r="AG411" s="68"/>
      <c r="AH411" s="68"/>
      <c r="AI411" s="68"/>
      <c r="AJ411" s="68"/>
      <c r="AK411" s="68"/>
      <c r="AL411" s="68"/>
      <c r="AM411" s="68"/>
      <c r="AN411" s="68"/>
      <c r="AO411" s="68"/>
      <c r="AP411" s="68"/>
      <c r="AQ411" s="68"/>
      <c r="AR411" s="68"/>
      <c r="AS411" s="68"/>
      <c r="AT411" s="68"/>
      <c r="AU411" s="68"/>
      <c r="AV411" s="68"/>
      <c r="AW411" s="68"/>
      <c r="AX411" s="68"/>
      <c r="AY411" s="68"/>
      <c r="AZ411" s="68"/>
      <c r="BA411" s="68"/>
      <c r="BB411" s="68"/>
      <c r="BC411" s="68"/>
      <c r="BD411" s="68"/>
      <c r="BE411" s="68"/>
      <c r="BF411" s="68"/>
      <c r="BG411" s="68"/>
      <c r="BH411" s="68"/>
      <c r="BI411" s="68"/>
      <c r="BJ411" s="68"/>
      <c r="BK411" s="68"/>
      <c r="BL411" s="68"/>
      <c r="BM411" s="68"/>
      <c r="BN411" s="68"/>
    </row>
    <row r="412" spans="1:66" ht="17">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c r="AG412" s="68"/>
      <c r="AH412" s="68"/>
      <c r="AI412" s="68"/>
      <c r="AJ412" s="68"/>
      <c r="AK412" s="68"/>
      <c r="AL412" s="68"/>
      <c r="AM412" s="68"/>
      <c r="AN412" s="68"/>
      <c r="AO412" s="68"/>
      <c r="AP412" s="68"/>
      <c r="AQ412" s="68"/>
      <c r="AR412" s="68"/>
      <c r="AS412" s="68"/>
      <c r="AT412" s="68"/>
      <c r="AU412" s="68"/>
      <c r="AV412" s="68"/>
      <c r="AW412" s="68"/>
      <c r="AX412" s="68"/>
      <c r="AY412" s="68"/>
      <c r="AZ412" s="68"/>
      <c r="BA412" s="68"/>
      <c r="BB412" s="68"/>
      <c r="BC412" s="68"/>
      <c r="BD412" s="68"/>
      <c r="BE412" s="68"/>
      <c r="BF412" s="68"/>
      <c r="BG412" s="68"/>
      <c r="BH412" s="68"/>
      <c r="BI412" s="68"/>
      <c r="BJ412" s="68"/>
      <c r="BK412" s="68"/>
      <c r="BL412" s="68"/>
      <c r="BM412" s="68"/>
      <c r="BN412" s="68"/>
    </row>
    <row r="413" spans="1:66" ht="17">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c r="AG413" s="68"/>
      <c r="AH413" s="68"/>
      <c r="AI413" s="68"/>
      <c r="AJ413" s="68"/>
      <c r="AK413" s="68"/>
      <c r="AL413" s="68"/>
      <c r="AM413" s="68"/>
      <c r="AN413" s="68"/>
      <c r="AO413" s="68"/>
      <c r="AP413" s="68"/>
      <c r="AQ413" s="68"/>
      <c r="AR413" s="68"/>
      <c r="AS413" s="68"/>
      <c r="AT413" s="68"/>
      <c r="AU413" s="68"/>
      <c r="AV413" s="68"/>
      <c r="AW413" s="68"/>
      <c r="AX413" s="68"/>
      <c r="AY413" s="68"/>
      <c r="AZ413" s="68"/>
      <c r="BA413" s="68"/>
      <c r="BB413" s="68"/>
      <c r="BC413" s="68"/>
      <c r="BD413" s="68"/>
      <c r="BE413" s="68"/>
      <c r="BF413" s="68"/>
      <c r="BG413" s="68"/>
      <c r="BH413" s="68"/>
      <c r="BI413" s="68"/>
      <c r="BJ413" s="68"/>
      <c r="BK413" s="68"/>
      <c r="BL413" s="68"/>
      <c r="BM413" s="68"/>
      <c r="BN413" s="68"/>
    </row>
    <row r="414" spans="1:66" ht="17">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c r="AG414" s="68"/>
      <c r="AH414" s="68"/>
      <c r="AI414" s="68"/>
      <c r="AJ414" s="68"/>
      <c r="AK414" s="68"/>
      <c r="AL414" s="68"/>
      <c r="AM414" s="68"/>
      <c r="AN414" s="68"/>
      <c r="AO414" s="68"/>
      <c r="AP414" s="68"/>
      <c r="AQ414" s="68"/>
      <c r="AR414" s="68"/>
      <c r="AS414" s="68"/>
      <c r="AT414" s="68"/>
      <c r="AU414" s="68"/>
      <c r="AV414" s="68"/>
      <c r="AW414" s="68"/>
      <c r="AX414" s="68"/>
      <c r="AY414" s="68"/>
      <c r="AZ414" s="68"/>
      <c r="BA414" s="68"/>
      <c r="BB414" s="68"/>
      <c r="BC414" s="68"/>
      <c r="BD414" s="68"/>
      <c r="BE414" s="68"/>
      <c r="BF414" s="68"/>
      <c r="BG414" s="68"/>
      <c r="BH414" s="68"/>
      <c r="BI414" s="68"/>
      <c r="BJ414" s="68"/>
      <c r="BK414" s="68"/>
      <c r="BL414" s="68"/>
      <c r="BM414" s="68"/>
      <c r="BN414" s="68"/>
    </row>
    <row r="415" spans="1:66" ht="17">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c r="AH415" s="68"/>
      <c r="AI415" s="68"/>
      <c r="AJ415" s="68"/>
      <c r="AK415" s="68"/>
      <c r="AL415" s="68"/>
      <c r="AM415" s="68"/>
      <c r="AN415" s="68"/>
      <c r="AO415" s="68"/>
      <c r="AP415" s="68"/>
      <c r="AQ415" s="68"/>
      <c r="AR415" s="68"/>
      <c r="AS415" s="68"/>
      <c r="AT415" s="68"/>
      <c r="AU415" s="68"/>
      <c r="AV415" s="68"/>
      <c r="AW415" s="68"/>
      <c r="AX415" s="68"/>
      <c r="AY415" s="68"/>
      <c r="AZ415" s="68"/>
      <c r="BA415" s="68"/>
      <c r="BB415" s="68"/>
      <c r="BC415" s="68"/>
      <c r="BD415" s="68"/>
      <c r="BE415" s="68"/>
      <c r="BF415" s="68"/>
      <c r="BG415" s="68"/>
      <c r="BH415" s="68"/>
      <c r="BI415" s="68"/>
      <c r="BJ415" s="68"/>
      <c r="BK415" s="68"/>
      <c r="BL415" s="68"/>
      <c r="BM415" s="68"/>
      <c r="BN415" s="68"/>
    </row>
    <row r="416" spans="1:66" ht="17">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c r="AH416" s="68"/>
      <c r="AI416" s="68"/>
      <c r="AJ416" s="68"/>
      <c r="AK416" s="68"/>
      <c r="AL416" s="68"/>
      <c r="AM416" s="68"/>
      <c r="AN416" s="68"/>
      <c r="AO416" s="68"/>
      <c r="AP416" s="68"/>
      <c r="AQ416" s="68"/>
      <c r="AR416" s="68"/>
      <c r="AS416" s="68"/>
      <c r="AT416" s="68"/>
      <c r="AU416" s="68"/>
      <c r="AV416" s="68"/>
      <c r="AW416" s="68"/>
      <c r="AX416" s="68"/>
      <c r="AY416" s="68"/>
      <c r="AZ416" s="68"/>
      <c r="BA416" s="68"/>
      <c r="BB416" s="68"/>
      <c r="BC416" s="68"/>
      <c r="BD416" s="68"/>
      <c r="BE416" s="68"/>
      <c r="BF416" s="68"/>
      <c r="BG416" s="68"/>
      <c r="BH416" s="68"/>
      <c r="BI416" s="68"/>
      <c r="BJ416" s="68"/>
      <c r="BK416" s="68"/>
      <c r="BL416" s="68"/>
      <c r="BM416" s="68"/>
      <c r="BN416" s="68"/>
    </row>
    <row r="417" spans="1:66" ht="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68"/>
      <c r="AG417" s="68"/>
      <c r="AH417" s="68"/>
      <c r="AI417" s="68"/>
      <c r="AJ417" s="68"/>
      <c r="AK417" s="68"/>
      <c r="AL417" s="68"/>
      <c r="AM417" s="68"/>
      <c r="AN417" s="68"/>
      <c r="AO417" s="68"/>
      <c r="AP417" s="68"/>
      <c r="AQ417" s="68"/>
      <c r="AR417" s="68"/>
      <c r="AS417" s="68"/>
      <c r="AT417" s="68"/>
      <c r="AU417" s="68"/>
      <c r="AV417" s="68"/>
      <c r="AW417" s="68"/>
      <c r="AX417" s="68"/>
      <c r="AY417" s="68"/>
      <c r="AZ417" s="68"/>
      <c r="BA417" s="68"/>
      <c r="BB417" s="68"/>
      <c r="BC417" s="68"/>
      <c r="BD417" s="68"/>
      <c r="BE417" s="68"/>
      <c r="BF417" s="68"/>
      <c r="BG417" s="68"/>
      <c r="BH417" s="68"/>
      <c r="BI417" s="68"/>
      <c r="BJ417" s="68"/>
      <c r="BK417" s="68"/>
      <c r="BL417" s="68"/>
      <c r="BM417" s="68"/>
      <c r="BN417" s="68"/>
    </row>
    <row r="418" spans="1:66" ht="17">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68"/>
      <c r="AG418" s="68"/>
      <c r="AH418" s="68"/>
      <c r="AI418" s="68"/>
      <c r="AJ418" s="68"/>
      <c r="AK418" s="68"/>
      <c r="AL418" s="68"/>
      <c r="AM418" s="68"/>
      <c r="AN418" s="68"/>
      <c r="AO418" s="68"/>
      <c r="AP418" s="68"/>
      <c r="AQ418" s="68"/>
      <c r="AR418" s="68"/>
      <c r="AS418" s="68"/>
      <c r="AT418" s="68"/>
      <c r="AU418" s="68"/>
      <c r="AV418" s="68"/>
      <c r="AW418" s="68"/>
      <c r="AX418" s="68"/>
      <c r="AY418" s="68"/>
      <c r="AZ418" s="68"/>
      <c r="BA418" s="68"/>
      <c r="BB418" s="68"/>
      <c r="BC418" s="68"/>
      <c r="BD418" s="68"/>
      <c r="BE418" s="68"/>
      <c r="BF418" s="68"/>
      <c r="BG418" s="68"/>
      <c r="BH418" s="68"/>
      <c r="BI418" s="68"/>
      <c r="BJ418" s="68"/>
      <c r="BK418" s="68"/>
      <c r="BL418" s="68"/>
      <c r="BM418" s="68"/>
      <c r="BN418" s="68"/>
    </row>
    <row r="419" spans="1:66" ht="17">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68"/>
      <c r="AG419" s="68"/>
      <c r="AH419" s="68"/>
      <c r="AI419" s="68"/>
      <c r="AJ419" s="68"/>
      <c r="AK419" s="68"/>
      <c r="AL419" s="68"/>
      <c r="AM419" s="68"/>
      <c r="AN419" s="68"/>
      <c r="AO419" s="68"/>
      <c r="AP419" s="68"/>
      <c r="AQ419" s="68"/>
      <c r="AR419" s="68"/>
      <c r="AS419" s="68"/>
      <c r="AT419" s="68"/>
      <c r="AU419" s="68"/>
      <c r="AV419" s="68"/>
      <c r="AW419" s="68"/>
      <c r="AX419" s="68"/>
      <c r="AY419" s="68"/>
      <c r="AZ419" s="68"/>
      <c r="BA419" s="68"/>
      <c r="BB419" s="68"/>
      <c r="BC419" s="68"/>
      <c r="BD419" s="68"/>
      <c r="BE419" s="68"/>
      <c r="BF419" s="68"/>
      <c r="BG419" s="68"/>
      <c r="BH419" s="68"/>
      <c r="BI419" s="68"/>
      <c r="BJ419" s="68"/>
      <c r="BK419" s="68"/>
      <c r="BL419" s="68"/>
      <c r="BM419" s="68"/>
      <c r="BN419" s="68"/>
    </row>
    <row r="420" spans="1:66" ht="17">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68"/>
      <c r="AG420" s="68"/>
      <c r="AH420" s="68"/>
      <c r="AI420" s="68"/>
      <c r="AJ420" s="68"/>
      <c r="AK420" s="68"/>
      <c r="AL420" s="68"/>
      <c r="AM420" s="68"/>
      <c r="AN420" s="68"/>
      <c r="AO420" s="68"/>
      <c r="AP420" s="68"/>
      <c r="AQ420" s="68"/>
      <c r="AR420" s="68"/>
      <c r="AS420" s="68"/>
      <c r="AT420" s="68"/>
      <c r="AU420" s="68"/>
      <c r="AV420" s="68"/>
      <c r="AW420" s="68"/>
      <c r="AX420" s="68"/>
      <c r="AY420" s="68"/>
      <c r="AZ420" s="68"/>
      <c r="BA420" s="68"/>
      <c r="BB420" s="68"/>
      <c r="BC420" s="68"/>
      <c r="BD420" s="68"/>
      <c r="BE420" s="68"/>
      <c r="BF420" s="68"/>
      <c r="BG420" s="68"/>
      <c r="BH420" s="68"/>
      <c r="BI420" s="68"/>
      <c r="BJ420" s="68"/>
      <c r="BK420" s="68"/>
      <c r="BL420" s="68"/>
      <c r="BM420" s="68"/>
      <c r="BN420" s="68"/>
    </row>
    <row r="421" spans="1:66" ht="17">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68"/>
      <c r="AG421" s="68"/>
      <c r="AH421" s="68"/>
      <c r="AI421" s="68"/>
      <c r="AJ421" s="68"/>
      <c r="AK421" s="68"/>
      <c r="AL421" s="68"/>
      <c r="AM421" s="68"/>
      <c r="AN421" s="68"/>
      <c r="AO421" s="68"/>
      <c r="AP421" s="68"/>
      <c r="AQ421" s="68"/>
      <c r="AR421" s="68"/>
      <c r="AS421" s="68"/>
      <c r="AT421" s="68"/>
      <c r="AU421" s="68"/>
      <c r="AV421" s="68"/>
      <c r="AW421" s="68"/>
      <c r="AX421" s="68"/>
      <c r="AY421" s="68"/>
      <c r="AZ421" s="68"/>
      <c r="BA421" s="68"/>
      <c r="BB421" s="68"/>
      <c r="BC421" s="68"/>
      <c r="BD421" s="68"/>
      <c r="BE421" s="68"/>
      <c r="BF421" s="68"/>
      <c r="BG421" s="68"/>
      <c r="BH421" s="68"/>
      <c r="BI421" s="68"/>
      <c r="BJ421" s="68"/>
      <c r="BK421" s="68"/>
      <c r="BL421" s="68"/>
      <c r="BM421" s="68"/>
      <c r="BN421" s="68"/>
    </row>
    <row r="422" spans="1:66" ht="17">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68"/>
      <c r="AG422" s="68"/>
      <c r="AH422" s="68"/>
      <c r="AI422" s="68"/>
      <c r="AJ422" s="68"/>
      <c r="AK422" s="68"/>
      <c r="AL422" s="68"/>
      <c r="AM422" s="68"/>
      <c r="AN422" s="68"/>
      <c r="AO422" s="68"/>
      <c r="AP422" s="68"/>
      <c r="AQ422" s="68"/>
      <c r="AR422" s="68"/>
      <c r="AS422" s="68"/>
      <c r="AT422" s="68"/>
      <c r="AU422" s="68"/>
      <c r="AV422" s="68"/>
      <c r="AW422" s="68"/>
      <c r="AX422" s="68"/>
      <c r="AY422" s="68"/>
      <c r="AZ422" s="68"/>
      <c r="BA422" s="68"/>
      <c r="BB422" s="68"/>
      <c r="BC422" s="68"/>
      <c r="BD422" s="68"/>
      <c r="BE422" s="68"/>
      <c r="BF422" s="68"/>
      <c r="BG422" s="68"/>
      <c r="BH422" s="68"/>
      <c r="BI422" s="68"/>
      <c r="BJ422" s="68"/>
      <c r="BK422" s="68"/>
      <c r="BL422" s="68"/>
      <c r="BM422" s="68"/>
      <c r="BN422" s="68"/>
    </row>
    <row r="423" spans="1:66" ht="17">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68"/>
      <c r="AG423" s="68"/>
      <c r="AH423" s="68"/>
      <c r="AI423" s="68"/>
      <c r="AJ423" s="68"/>
      <c r="AK423" s="68"/>
      <c r="AL423" s="68"/>
      <c r="AM423" s="68"/>
      <c r="AN423" s="68"/>
      <c r="AO423" s="68"/>
      <c r="AP423" s="68"/>
      <c r="AQ423" s="68"/>
      <c r="AR423" s="68"/>
      <c r="AS423" s="68"/>
      <c r="AT423" s="68"/>
      <c r="AU423" s="68"/>
      <c r="AV423" s="68"/>
      <c r="AW423" s="68"/>
      <c r="AX423" s="68"/>
      <c r="AY423" s="68"/>
      <c r="AZ423" s="68"/>
      <c r="BA423" s="68"/>
      <c r="BB423" s="68"/>
      <c r="BC423" s="68"/>
      <c r="BD423" s="68"/>
      <c r="BE423" s="68"/>
      <c r="BF423" s="68"/>
      <c r="BG423" s="68"/>
      <c r="BH423" s="68"/>
      <c r="BI423" s="68"/>
      <c r="BJ423" s="68"/>
      <c r="BK423" s="68"/>
      <c r="BL423" s="68"/>
      <c r="BM423" s="68"/>
      <c r="BN423" s="68"/>
    </row>
    <row r="424" spans="1:66" ht="17">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68"/>
      <c r="AG424" s="68"/>
      <c r="AH424" s="68"/>
      <c r="AI424" s="68"/>
      <c r="AJ424" s="68"/>
      <c r="AK424" s="68"/>
      <c r="AL424" s="68"/>
      <c r="AM424" s="68"/>
      <c r="AN424" s="68"/>
      <c r="AO424" s="68"/>
      <c r="AP424" s="68"/>
      <c r="AQ424" s="68"/>
      <c r="AR424" s="68"/>
      <c r="AS424" s="68"/>
      <c r="AT424" s="68"/>
      <c r="AU424" s="68"/>
      <c r="AV424" s="68"/>
      <c r="AW424" s="68"/>
      <c r="AX424" s="68"/>
      <c r="AY424" s="68"/>
      <c r="AZ424" s="68"/>
      <c r="BA424" s="68"/>
      <c r="BB424" s="68"/>
      <c r="BC424" s="68"/>
      <c r="BD424" s="68"/>
      <c r="BE424" s="68"/>
      <c r="BF424" s="68"/>
      <c r="BG424" s="68"/>
      <c r="BH424" s="68"/>
      <c r="BI424" s="68"/>
      <c r="BJ424" s="68"/>
      <c r="BK424" s="68"/>
      <c r="BL424" s="68"/>
      <c r="BM424" s="68"/>
      <c r="BN424" s="68"/>
    </row>
    <row r="425" spans="1:66" ht="17">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68"/>
      <c r="AG425" s="68"/>
      <c r="AH425" s="68"/>
      <c r="AI425" s="68"/>
      <c r="AJ425" s="68"/>
      <c r="AK425" s="68"/>
      <c r="AL425" s="68"/>
      <c r="AM425" s="68"/>
      <c r="AN425" s="68"/>
      <c r="AO425" s="68"/>
      <c r="AP425" s="68"/>
      <c r="AQ425" s="68"/>
      <c r="AR425" s="68"/>
      <c r="AS425" s="68"/>
      <c r="AT425" s="68"/>
      <c r="AU425" s="68"/>
      <c r="AV425" s="68"/>
      <c r="AW425" s="68"/>
      <c r="AX425" s="68"/>
      <c r="AY425" s="68"/>
      <c r="AZ425" s="68"/>
      <c r="BA425" s="68"/>
      <c r="BB425" s="68"/>
      <c r="BC425" s="68"/>
      <c r="BD425" s="68"/>
      <c r="BE425" s="68"/>
      <c r="BF425" s="68"/>
      <c r="BG425" s="68"/>
      <c r="BH425" s="68"/>
      <c r="BI425" s="68"/>
      <c r="BJ425" s="68"/>
      <c r="BK425" s="68"/>
      <c r="BL425" s="68"/>
      <c r="BM425" s="68"/>
      <c r="BN425" s="68"/>
    </row>
    <row r="426" spans="1:66" ht="17">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68"/>
      <c r="AG426" s="68"/>
      <c r="AH426" s="68"/>
      <c r="AI426" s="68"/>
      <c r="AJ426" s="68"/>
      <c r="AK426" s="68"/>
      <c r="AL426" s="68"/>
      <c r="AM426" s="68"/>
      <c r="AN426" s="68"/>
      <c r="AO426" s="68"/>
      <c r="AP426" s="68"/>
      <c r="AQ426" s="68"/>
      <c r="AR426" s="68"/>
      <c r="AS426" s="68"/>
      <c r="AT426" s="68"/>
      <c r="AU426" s="68"/>
      <c r="AV426" s="68"/>
      <c r="AW426" s="68"/>
      <c r="AX426" s="68"/>
      <c r="AY426" s="68"/>
      <c r="AZ426" s="68"/>
      <c r="BA426" s="68"/>
      <c r="BB426" s="68"/>
      <c r="BC426" s="68"/>
      <c r="BD426" s="68"/>
      <c r="BE426" s="68"/>
      <c r="BF426" s="68"/>
      <c r="BG426" s="68"/>
      <c r="BH426" s="68"/>
      <c r="BI426" s="68"/>
      <c r="BJ426" s="68"/>
      <c r="BK426" s="68"/>
      <c r="BL426" s="68"/>
      <c r="BM426" s="68"/>
      <c r="BN426" s="68"/>
    </row>
    <row r="427" spans="1:66" ht="1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68"/>
      <c r="AG427" s="68"/>
      <c r="AH427" s="68"/>
      <c r="AI427" s="68"/>
      <c r="AJ427" s="68"/>
      <c r="AK427" s="68"/>
      <c r="AL427" s="68"/>
      <c r="AM427" s="68"/>
      <c r="AN427" s="68"/>
      <c r="AO427" s="68"/>
      <c r="AP427" s="68"/>
      <c r="AQ427" s="68"/>
      <c r="AR427" s="68"/>
      <c r="AS427" s="68"/>
      <c r="AT427" s="68"/>
      <c r="AU427" s="68"/>
      <c r="AV427" s="68"/>
      <c r="AW427" s="68"/>
      <c r="AX427" s="68"/>
      <c r="AY427" s="68"/>
      <c r="AZ427" s="68"/>
      <c r="BA427" s="68"/>
      <c r="BB427" s="68"/>
      <c r="BC427" s="68"/>
      <c r="BD427" s="68"/>
      <c r="BE427" s="68"/>
      <c r="BF427" s="68"/>
      <c r="BG427" s="68"/>
      <c r="BH427" s="68"/>
      <c r="BI427" s="68"/>
      <c r="BJ427" s="68"/>
      <c r="BK427" s="68"/>
      <c r="BL427" s="68"/>
      <c r="BM427" s="68"/>
      <c r="BN427" s="68"/>
    </row>
    <row r="428" spans="1:66" ht="17">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68"/>
      <c r="AG428" s="68"/>
      <c r="AH428" s="68"/>
      <c r="AI428" s="68"/>
      <c r="AJ428" s="68"/>
      <c r="AK428" s="68"/>
      <c r="AL428" s="68"/>
      <c r="AM428" s="68"/>
      <c r="AN428" s="68"/>
      <c r="AO428" s="68"/>
      <c r="AP428" s="68"/>
      <c r="AQ428" s="68"/>
      <c r="AR428" s="68"/>
      <c r="AS428" s="68"/>
      <c r="AT428" s="68"/>
      <c r="AU428" s="68"/>
      <c r="AV428" s="68"/>
      <c r="AW428" s="68"/>
      <c r="AX428" s="68"/>
      <c r="AY428" s="68"/>
      <c r="AZ428" s="68"/>
      <c r="BA428" s="68"/>
      <c r="BB428" s="68"/>
      <c r="BC428" s="68"/>
      <c r="BD428" s="68"/>
      <c r="BE428" s="68"/>
      <c r="BF428" s="68"/>
      <c r="BG428" s="68"/>
      <c r="BH428" s="68"/>
      <c r="BI428" s="68"/>
      <c r="BJ428" s="68"/>
      <c r="BK428" s="68"/>
      <c r="BL428" s="68"/>
      <c r="BM428" s="68"/>
      <c r="BN428" s="68"/>
    </row>
    <row r="429" spans="1:66" ht="17">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68"/>
      <c r="AG429" s="68"/>
      <c r="AH429" s="68"/>
      <c r="AI429" s="68"/>
      <c r="AJ429" s="68"/>
      <c r="AK429" s="68"/>
      <c r="AL429" s="68"/>
      <c r="AM429" s="68"/>
      <c r="AN429" s="68"/>
      <c r="AO429" s="68"/>
      <c r="AP429" s="68"/>
      <c r="AQ429" s="68"/>
      <c r="AR429" s="68"/>
      <c r="AS429" s="68"/>
      <c r="AT429" s="68"/>
      <c r="AU429" s="68"/>
      <c r="AV429" s="68"/>
      <c r="AW429" s="68"/>
      <c r="AX429" s="68"/>
      <c r="AY429" s="68"/>
      <c r="AZ429" s="68"/>
      <c r="BA429" s="68"/>
      <c r="BB429" s="68"/>
      <c r="BC429" s="68"/>
      <c r="BD429" s="68"/>
      <c r="BE429" s="68"/>
      <c r="BF429" s="68"/>
      <c r="BG429" s="68"/>
      <c r="BH429" s="68"/>
      <c r="BI429" s="68"/>
      <c r="BJ429" s="68"/>
      <c r="BK429" s="68"/>
      <c r="BL429" s="68"/>
      <c r="BM429" s="68"/>
      <c r="BN429" s="68"/>
    </row>
    <row r="430" spans="1:66" ht="17">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68"/>
      <c r="AG430" s="68"/>
      <c r="AH430" s="68"/>
      <c r="AI430" s="68"/>
      <c r="AJ430" s="68"/>
      <c r="AK430" s="68"/>
      <c r="AL430" s="68"/>
      <c r="AM430" s="68"/>
      <c r="AN430" s="68"/>
      <c r="AO430" s="68"/>
      <c r="AP430" s="68"/>
      <c r="AQ430" s="68"/>
      <c r="AR430" s="68"/>
      <c r="AS430" s="68"/>
      <c r="AT430" s="68"/>
      <c r="AU430" s="68"/>
      <c r="AV430" s="68"/>
      <c r="AW430" s="68"/>
      <c r="AX430" s="68"/>
      <c r="AY430" s="68"/>
      <c r="AZ430" s="68"/>
      <c r="BA430" s="68"/>
      <c r="BB430" s="68"/>
      <c r="BC430" s="68"/>
      <c r="BD430" s="68"/>
      <c r="BE430" s="68"/>
      <c r="BF430" s="68"/>
      <c r="BG430" s="68"/>
      <c r="BH430" s="68"/>
      <c r="BI430" s="68"/>
      <c r="BJ430" s="68"/>
      <c r="BK430" s="68"/>
      <c r="BL430" s="68"/>
      <c r="BM430" s="68"/>
      <c r="BN430" s="68"/>
    </row>
    <row r="431" spans="1:66" ht="17">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68"/>
      <c r="AG431" s="68"/>
      <c r="AH431" s="68"/>
      <c r="AI431" s="68"/>
      <c r="AJ431" s="68"/>
      <c r="AK431" s="68"/>
      <c r="AL431" s="68"/>
      <c r="AM431" s="68"/>
      <c r="AN431" s="68"/>
      <c r="AO431" s="68"/>
      <c r="AP431" s="68"/>
      <c r="AQ431" s="68"/>
      <c r="AR431" s="68"/>
      <c r="AS431" s="68"/>
      <c r="AT431" s="68"/>
      <c r="AU431" s="68"/>
      <c r="AV431" s="68"/>
      <c r="AW431" s="68"/>
      <c r="AX431" s="68"/>
      <c r="AY431" s="68"/>
      <c r="AZ431" s="68"/>
      <c r="BA431" s="68"/>
      <c r="BB431" s="68"/>
      <c r="BC431" s="68"/>
      <c r="BD431" s="68"/>
      <c r="BE431" s="68"/>
      <c r="BF431" s="68"/>
      <c r="BG431" s="68"/>
      <c r="BH431" s="68"/>
      <c r="BI431" s="68"/>
      <c r="BJ431" s="68"/>
      <c r="BK431" s="68"/>
      <c r="BL431" s="68"/>
      <c r="BM431" s="68"/>
      <c r="BN431" s="68"/>
    </row>
    <row r="432" spans="1:66" ht="17">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68"/>
      <c r="AG432" s="68"/>
      <c r="AH432" s="68"/>
      <c r="AI432" s="68"/>
      <c r="AJ432" s="68"/>
      <c r="AK432" s="68"/>
      <c r="AL432" s="68"/>
      <c r="AM432" s="68"/>
      <c r="AN432" s="68"/>
      <c r="AO432" s="68"/>
      <c r="AP432" s="68"/>
      <c r="AQ432" s="68"/>
      <c r="AR432" s="68"/>
      <c r="AS432" s="68"/>
      <c r="AT432" s="68"/>
      <c r="AU432" s="68"/>
      <c r="AV432" s="68"/>
      <c r="AW432" s="68"/>
      <c r="AX432" s="68"/>
      <c r="AY432" s="68"/>
      <c r="AZ432" s="68"/>
      <c r="BA432" s="68"/>
      <c r="BB432" s="68"/>
      <c r="BC432" s="68"/>
      <c r="BD432" s="68"/>
      <c r="BE432" s="68"/>
      <c r="BF432" s="68"/>
      <c r="BG432" s="68"/>
      <c r="BH432" s="68"/>
      <c r="BI432" s="68"/>
      <c r="BJ432" s="68"/>
      <c r="BK432" s="68"/>
      <c r="BL432" s="68"/>
      <c r="BM432" s="68"/>
      <c r="BN432" s="68"/>
    </row>
    <row r="433" spans="1:66" ht="17">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68"/>
      <c r="AG433" s="68"/>
      <c r="AH433" s="68"/>
      <c r="AI433" s="68"/>
      <c r="AJ433" s="68"/>
      <c r="AK433" s="68"/>
      <c r="AL433" s="68"/>
      <c r="AM433" s="68"/>
      <c r="AN433" s="68"/>
      <c r="AO433" s="68"/>
      <c r="AP433" s="68"/>
      <c r="AQ433" s="68"/>
      <c r="AR433" s="68"/>
      <c r="AS433" s="68"/>
      <c r="AT433" s="68"/>
      <c r="AU433" s="68"/>
      <c r="AV433" s="68"/>
      <c r="AW433" s="68"/>
      <c r="AX433" s="68"/>
      <c r="AY433" s="68"/>
      <c r="AZ433" s="68"/>
      <c r="BA433" s="68"/>
      <c r="BB433" s="68"/>
      <c r="BC433" s="68"/>
      <c r="BD433" s="68"/>
      <c r="BE433" s="68"/>
      <c r="BF433" s="68"/>
      <c r="BG433" s="68"/>
      <c r="BH433" s="68"/>
      <c r="BI433" s="68"/>
      <c r="BJ433" s="68"/>
      <c r="BK433" s="68"/>
      <c r="BL433" s="68"/>
      <c r="BM433" s="68"/>
      <c r="BN433" s="68"/>
    </row>
    <row r="434" spans="1:66" ht="17">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68"/>
      <c r="AG434" s="68"/>
      <c r="AH434" s="68"/>
      <c r="AI434" s="68"/>
      <c r="AJ434" s="68"/>
      <c r="AK434" s="68"/>
      <c r="AL434" s="68"/>
      <c r="AM434" s="68"/>
      <c r="AN434" s="68"/>
      <c r="AO434" s="68"/>
      <c r="AP434" s="68"/>
      <c r="AQ434" s="68"/>
      <c r="AR434" s="68"/>
      <c r="AS434" s="68"/>
      <c r="AT434" s="68"/>
      <c r="AU434" s="68"/>
      <c r="AV434" s="68"/>
      <c r="AW434" s="68"/>
      <c r="AX434" s="68"/>
      <c r="AY434" s="68"/>
      <c r="AZ434" s="68"/>
      <c r="BA434" s="68"/>
      <c r="BB434" s="68"/>
      <c r="BC434" s="68"/>
      <c r="BD434" s="68"/>
      <c r="BE434" s="68"/>
      <c r="BF434" s="68"/>
      <c r="BG434" s="68"/>
      <c r="BH434" s="68"/>
      <c r="BI434" s="68"/>
      <c r="BJ434" s="68"/>
      <c r="BK434" s="68"/>
      <c r="BL434" s="68"/>
      <c r="BM434" s="68"/>
      <c r="BN434" s="68"/>
    </row>
    <row r="435" spans="1:66" ht="17">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68"/>
      <c r="AG435" s="68"/>
      <c r="AH435" s="68"/>
      <c r="AI435" s="68"/>
      <c r="AJ435" s="68"/>
      <c r="AK435" s="68"/>
      <c r="AL435" s="68"/>
      <c r="AM435" s="68"/>
      <c r="AN435" s="68"/>
      <c r="AO435" s="68"/>
      <c r="AP435" s="68"/>
      <c r="AQ435" s="68"/>
      <c r="AR435" s="68"/>
      <c r="AS435" s="68"/>
      <c r="AT435" s="68"/>
      <c r="AU435" s="68"/>
      <c r="AV435" s="68"/>
      <c r="AW435" s="68"/>
      <c r="AX435" s="68"/>
      <c r="AY435" s="68"/>
      <c r="AZ435" s="68"/>
      <c r="BA435" s="68"/>
      <c r="BB435" s="68"/>
      <c r="BC435" s="68"/>
      <c r="BD435" s="68"/>
      <c r="BE435" s="68"/>
      <c r="BF435" s="68"/>
      <c r="BG435" s="68"/>
      <c r="BH435" s="68"/>
      <c r="BI435" s="68"/>
      <c r="BJ435" s="68"/>
      <c r="BK435" s="68"/>
      <c r="BL435" s="68"/>
      <c r="BM435" s="68"/>
      <c r="BN435" s="68"/>
    </row>
    <row r="436" spans="1:66" ht="17">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68"/>
      <c r="AG436" s="68"/>
      <c r="AH436" s="68"/>
      <c r="AI436" s="68"/>
      <c r="AJ436" s="68"/>
      <c r="AK436" s="68"/>
      <c r="AL436" s="68"/>
      <c r="AM436" s="68"/>
      <c r="AN436" s="68"/>
      <c r="AO436" s="68"/>
      <c r="AP436" s="68"/>
      <c r="AQ436" s="68"/>
      <c r="AR436" s="68"/>
      <c r="AS436" s="68"/>
      <c r="AT436" s="68"/>
      <c r="AU436" s="68"/>
      <c r="AV436" s="68"/>
      <c r="AW436" s="68"/>
      <c r="AX436" s="68"/>
      <c r="AY436" s="68"/>
      <c r="AZ436" s="68"/>
      <c r="BA436" s="68"/>
      <c r="BB436" s="68"/>
      <c r="BC436" s="68"/>
      <c r="BD436" s="68"/>
      <c r="BE436" s="68"/>
      <c r="BF436" s="68"/>
      <c r="BG436" s="68"/>
      <c r="BH436" s="68"/>
      <c r="BI436" s="68"/>
      <c r="BJ436" s="68"/>
      <c r="BK436" s="68"/>
      <c r="BL436" s="68"/>
      <c r="BM436" s="68"/>
      <c r="BN436" s="68"/>
    </row>
    <row r="437" spans="1:66" ht="1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68"/>
      <c r="AG437" s="68"/>
      <c r="AH437" s="68"/>
      <c r="AI437" s="68"/>
      <c r="AJ437" s="68"/>
      <c r="AK437" s="68"/>
      <c r="AL437" s="68"/>
      <c r="AM437" s="68"/>
      <c r="AN437" s="68"/>
      <c r="AO437" s="68"/>
      <c r="AP437" s="68"/>
      <c r="AQ437" s="68"/>
      <c r="AR437" s="68"/>
      <c r="AS437" s="68"/>
      <c r="AT437" s="68"/>
      <c r="AU437" s="68"/>
      <c r="AV437" s="68"/>
      <c r="AW437" s="68"/>
      <c r="AX437" s="68"/>
      <c r="AY437" s="68"/>
      <c r="AZ437" s="68"/>
      <c r="BA437" s="68"/>
      <c r="BB437" s="68"/>
      <c r="BC437" s="68"/>
      <c r="BD437" s="68"/>
      <c r="BE437" s="68"/>
      <c r="BF437" s="68"/>
      <c r="BG437" s="68"/>
      <c r="BH437" s="68"/>
      <c r="BI437" s="68"/>
      <c r="BJ437" s="68"/>
      <c r="BK437" s="68"/>
      <c r="BL437" s="68"/>
      <c r="BM437" s="68"/>
      <c r="BN437" s="68"/>
    </row>
    <row r="438" spans="1:66" ht="17">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68"/>
      <c r="AG438" s="68"/>
      <c r="AH438" s="68"/>
      <c r="AI438" s="68"/>
      <c r="AJ438" s="68"/>
      <c r="AK438" s="68"/>
      <c r="AL438" s="68"/>
      <c r="AM438" s="68"/>
      <c r="AN438" s="68"/>
      <c r="AO438" s="68"/>
      <c r="AP438" s="68"/>
      <c r="AQ438" s="68"/>
      <c r="AR438" s="68"/>
      <c r="AS438" s="68"/>
      <c r="AT438" s="68"/>
      <c r="AU438" s="68"/>
      <c r="AV438" s="68"/>
      <c r="AW438" s="68"/>
      <c r="AX438" s="68"/>
      <c r="AY438" s="68"/>
      <c r="AZ438" s="68"/>
      <c r="BA438" s="68"/>
      <c r="BB438" s="68"/>
      <c r="BC438" s="68"/>
      <c r="BD438" s="68"/>
      <c r="BE438" s="68"/>
      <c r="BF438" s="68"/>
      <c r="BG438" s="68"/>
      <c r="BH438" s="68"/>
      <c r="BI438" s="68"/>
      <c r="BJ438" s="68"/>
      <c r="BK438" s="68"/>
      <c r="BL438" s="68"/>
      <c r="BM438" s="68"/>
      <c r="BN438" s="68"/>
    </row>
    <row r="439" spans="1:66" ht="17">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68"/>
      <c r="AG439" s="68"/>
      <c r="AH439" s="68"/>
      <c r="AI439" s="68"/>
      <c r="AJ439" s="68"/>
      <c r="AK439" s="68"/>
      <c r="AL439" s="68"/>
      <c r="AM439" s="68"/>
      <c r="AN439" s="68"/>
      <c r="AO439" s="68"/>
      <c r="AP439" s="68"/>
      <c r="AQ439" s="68"/>
      <c r="AR439" s="68"/>
      <c r="AS439" s="68"/>
      <c r="AT439" s="68"/>
      <c r="AU439" s="68"/>
      <c r="AV439" s="68"/>
      <c r="AW439" s="68"/>
      <c r="AX439" s="68"/>
      <c r="AY439" s="68"/>
      <c r="AZ439" s="68"/>
      <c r="BA439" s="68"/>
      <c r="BB439" s="68"/>
      <c r="BC439" s="68"/>
      <c r="BD439" s="68"/>
      <c r="BE439" s="68"/>
      <c r="BF439" s="68"/>
      <c r="BG439" s="68"/>
      <c r="BH439" s="68"/>
      <c r="BI439" s="68"/>
      <c r="BJ439" s="68"/>
      <c r="BK439" s="68"/>
      <c r="BL439" s="68"/>
      <c r="BM439" s="68"/>
      <c r="BN439" s="68"/>
    </row>
    <row r="440" spans="1:66" ht="17">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68"/>
      <c r="AG440" s="68"/>
      <c r="AH440" s="68"/>
      <c r="AI440" s="68"/>
      <c r="AJ440" s="68"/>
      <c r="AK440" s="68"/>
      <c r="AL440" s="68"/>
      <c r="AM440" s="68"/>
      <c r="AN440" s="68"/>
      <c r="AO440" s="68"/>
      <c r="AP440" s="68"/>
      <c r="AQ440" s="68"/>
      <c r="AR440" s="68"/>
      <c r="AS440" s="68"/>
      <c r="AT440" s="68"/>
      <c r="AU440" s="68"/>
      <c r="AV440" s="68"/>
      <c r="AW440" s="68"/>
      <c r="AX440" s="68"/>
      <c r="AY440" s="68"/>
      <c r="AZ440" s="68"/>
      <c r="BA440" s="68"/>
      <c r="BB440" s="68"/>
      <c r="BC440" s="68"/>
      <c r="BD440" s="68"/>
      <c r="BE440" s="68"/>
      <c r="BF440" s="68"/>
      <c r="BG440" s="68"/>
      <c r="BH440" s="68"/>
      <c r="BI440" s="68"/>
      <c r="BJ440" s="68"/>
      <c r="BK440" s="68"/>
      <c r="BL440" s="68"/>
      <c r="BM440" s="68"/>
      <c r="BN440" s="68"/>
    </row>
    <row r="441" spans="1:66" ht="17">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68"/>
      <c r="AG441" s="68"/>
      <c r="AH441" s="68"/>
      <c r="AI441" s="68"/>
      <c r="AJ441" s="68"/>
      <c r="AK441" s="68"/>
      <c r="AL441" s="68"/>
      <c r="AM441" s="68"/>
      <c r="AN441" s="68"/>
      <c r="AO441" s="68"/>
      <c r="AP441" s="68"/>
      <c r="AQ441" s="68"/>
      <c r="AR441" s="68"/>
      <c r="AS441" s="68"/>
      <c r="AT441" s="68"/>
      <c r="AU441" s="68"/>
      <c r="AV441" s="68"/>
      <c r="AW441" s="68"/>
      <c r="AX441" s="68"/>
      <c r="AY441" s="68"/>
      <c r="AZ441" s="68"/>
      <c r="BA441" s="68"/>
      <c r="BB441" s="68"/>
      <c r="BC441" s="68"/>
      <c r="BD441" s="68"/>
      <c r="BE441" s="68"/>
      <c r="BF441" s="68"/>
      <c r="BG441" s="68"/>
      <c r="BH441" s="68"/>
      <c r="BI441" s="68"/>
      <c r="BJ441" s="68"/>
      <c r="BK441" s="68"/>
      <c r="BL441" s="68"/>
      <c r="BM441" s="68"/>
      <c r="BN441" s="68"/>
    </row>
    <row r="442" spans="1:66" ht="17">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68"/>
      <c r="AG442" s="68"/>
      <c r="AH442" s="68"/>
      <c r="AI442" s="68"/>
      <c r="AJ442" s="68"/>
      <c r="AK442" s="68"/>
      <c r="AL442" s="68"/>
      <c r="AM442" s="68"/>
      <c r="AN442" s="68"/>
      <c r="AO442" s="68"/>
      <c r="AP442" s="68"/>
      <c r="AQ442" s="68"/>
      <c r="AR442" s="68"/>
      <c r="AS442" s="68"/>
      <c r="AT442" s="68"/>
      <c r="AU442" s="68"/>
      <c r="AV442" s="68"/>
      <c r="AW442" s="68"/>
      <c r="AX442" s="68"/>
      <c r="AY442" s="68"/>
      <c r="AZ442" s="68"/>
      <c r="BA442" s="68"/>
      <c r="BB442" s="68"/>
      <c r="BC442" s="68"/>
      <c r="BD442" s="68"/>
      <c r="BE442" s="68"/>
      <c r="BF442" s="68"/>
      <c r="BG442" s="68"/>
      <c r="BH442" s="68"/>
      <c r="BI442" s="68"/>
      <c r="BJ442" s="68"/>
      <c r="BK442" s="68"/>
      <c r="BL442" s="68"/>
      <c r="BM442" s="68"/>
      <c r="BN442" s="68"/>
    </row>
    <row r="443" spans="1:66" ht="17">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68"/>
      <c r="AG443" s="68"/>
      <c r="AH443" s="68"/>
      <c r="AI443" s="68"/>
      <c r="AJ443" s="68"/>
      <c r="AK443" s="68"/>
      <c r="AL443" s="68"/>
      <c r="AM443" s="68"/>
      <c r="AN443" s="68"/>
      <c r="AO443" s="68"/>
      <c r="AP443" s="68"/>
      <c r="AQ443" s="68"/>
      <c r="AR443" s="68"/>
      <c r="AS443" s="68"/>
      <c r="AT443" s="68"/>
      <c r="AU443" s="68"/>
      <c r="AV443" s="68"/>
      <c r="AW443" s="68"/>
      <c r="AX443" s="68"/>
      <c r="AY443" s="68"/>
      <c r="AZ443" s="68"/>
      <c r="BA443" s="68"/>
      <c r="BB443" s="68"/>
      <c r="BC443" s="68"/>
      <c r="BD443" s="68"/>
      <c r="BE443" s="68"/>
      <c r="BF443" s="68"/>
      <c r="BG443" s="68"/>
      <c r="BH443" s="68"/>
      <c r="BI443" s="68"/>
      <c r="BJ443" s="68"/>
      <c r="BK443" s="68"/>
      <c r="BL443" s="68"/>
      <c r="BM443" s="68"/>
      <c r="BN443" s="68"/>
    </row>
    <row r="444" spans="1:66" ht="17">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68"/>
      <c r="AG444" s="68"/>
      <c r="AH444" s="68"/>
      <c r="AI444" s="68"/>
      <c r="AJ444" s="68"/>
      <c r="AK444" s="68"/>
      <c r="AL444" s="68"/>
      <c r="AM444" s="68"/>
      <c r="AN444" s="68"/>
      <c r="AO444" s="68"/>
      <c r="AP444" s="68"/>
      <c r="AQ444" s="68"/>
      <c r="AR444" s="68"/>
      <c r="AS444" s="68"/>
      <c r="AT444" s="68"/>
      <c r="AU444" s="68"/>
      <c r="AV444" s="68"/>
      <c r="AW444" s="68"/>
      <c r="AX444" s="68"/>
      <c r="AY444" s="68"/>
      <c r="AZ444" s="68"/>
      <c r="BA444" s="68"/>
      <c r="BB444" s="68"/>
      <c r="BC444" s="68"/>
      <c r="BD444" s="68"/>
      <c r="BE444" s="68"/>
      <c r="BF444" s="68"/>
      <c r="BG444" s="68"/>
      <c r="BH444" s="68"/>
      <c r="BI444" s="68"/>
      <c r="BJ444" s="68"/>
      <c r="BK444" s="68"/>
      <c r="BL444" s="68"/>
      <c r="BM444" s="68"/>
      <c r="BN444" s="68"/>
    </row>
    <row r="445" spans="1:66" ht="17">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68"/>
      <c r="AG445" s="68"/>
      <c r="AH445" s="68"/>
      <c r="AI445" s="68"/>
      <c r="AJ445" s="68"/>
      <c r="AK445" s="68"/>
      <c r="AL445" s="68"/>
      <c r="AM445" s="68"/>
      <c r="AN445" s="68"/>
      <c r="AO445" s="68"/>
      <c r="AP445" s="68"/>
      <c r="AQ445" s="68"/>
      <c r="AR445" s="68"/>
      <c r="AS445" s="68"/>
      <c r="AT445" s="68"/>
      <c r="AU445" s="68"/>
      <c r="AV445" s="68"/>
      <c r="AW445" s="68"/>
      <c r="AX445" s="68"/>
      <c r="AY445" s="68"/>
      <c r="AZ445" s="68"/>
      <c r="BA445" s="68"/>
      <c r="BB445" s="68"/>
      <c r="BC445" s="68"/>
      <c r="BD445" s="68"/>
      <c r="BE445" s="68"/>
      <c r="BF445" s="68"/>
      <c r="BG445" s="68"/>
      <c r="BH445" s="68"/>
      <c r="BI445" s="68"/>
      <c r="BJ445" s="68"/>
      <c r="BK445" s="68"/>
      <c r="BL445" s="68"/>
      <c r="BM445" s="68"/>
      <c r="BN445" s="68"/>
    </row>
    <row r="446" spans="1:66" ht="17">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68"/>
      <c r="AG446" s="68"/>
      <c r="AH446" s="68"/>
      <c r="AI446" s="68"/>
      <c r="AJ446" s="68"/>
      <c r="AK446" s="68"/>
      <c r="AL446" s="68"/>
      <c r="AM446" s="68"/>
      <c r="AN446" s="68"/>
      <c r="AO446" s="68"/>
      <c r="AP446" s="68"/>
      <c r="AQ446" s="68"/>
      <c r="AR446" s="68"/>
      <c r="AS446" s="68"/>
      <c r="AT446" s="68"/>
      <c r="AU446" s="68"/>
      <c r="AV446" s="68"/>
      <c r="AW446" s="68"/>
      <c r="AX446" s="68"/>
      <c r="AY446" s="68"/>
      <c r="AZ446" s="68"/>
      <c r="BA446" s="68"/>
      <c r="BB446" s="68"/>
      <c r="BC446" s="68"/>
      <c r="BD446" s="68"/>
      <c r="BE446" s="68"/>
      <c r="BF446" s="68"/>
      <c r="BG446" s="68"/>
      <c r="BH446" s="68"/>
      <c r="BI446" s="68"/>
      <c r="BJ446" s="68"/>
      <c r="BK446" s="68"/>
      <c r="BL446" s="68"/>
      <c r="BM446" s="68"/>
      <c r="BN446" s="68"/>
    </row>
    <row r="447" spans="1:66" ht="1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68"/>
      <c r="AG447" s="68"/>
      <c r="AH447" s="68"/>
      <c r="AI447" s="68"/>
      <c r="AJ447" s="68"/>
      <c r="AK447" s="68"/>
      <c r="AL447" s="68"/>
      <c r="AM447" s="68"/>
      <c r="AN447" s="68"/>
      <c r="AO447" s="68"/>
      <c r="AP447" s="68"/>
      <c r="AQ447" s="68"/>
      <c r="AR447" s="68"/>
      <c r="AS447" s="68"/>
      <c r="AT447" s="68"/>
      <c r="AU447" s="68"/>
      <c r="AV447" s="68"/>
      <c r="AW447" s="68"/>
      <c r="AX447" s="68"/>
      <c r="AY447" s="68"/>
      <c r="AZ447" s="68"/>
      <c r="BA447" s="68"/>
      <c r="BB447" s="68"/>
      <c r="BC447" s="68"/>
      <c r="BD447" s="68"/>
      <c r="BE447" s="68"/>
      <c r="BF447" s="68"/>
      <c r="BG447" s="68"/>
      <c r="BH447" s="68"/>
      <c r="BI447" s="68"/>
      <c r="BJ447" s="68"/>
      <c r="BK447" s="68"/>
      <c r="BL447" s="68"/>
      <c r="BM447" s="68"/>
      <c r="BN447" s="68"/>
    </row>
    <row r="448" spans="1:66" ht="17">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68"/>
      <c r="AG448" s="68"/>
      <c r="AH448" s="68"/>
      <c r="AI448" s="68"/>
      <c r="AJ448" s="68"/>
      <c r="AK448" s="68"/>
      <c r="AL448" s="68"/>
      <c r="AM448" s="68"/>
      <c r="AN448" s="68"/>
      <c r="AO448" s="68"/>
      <c r="AP448" s="68"/>
      <c r="AQ448" s="68"/>
      <c r="AR448" s="68"/>
      <c r="AS448" s="68"/>
      <c r="AT448" s="68"/>
      <c r="AU448" s="68"/>
      <c r="AV448" s="68"/>
      <c r="AW448" s="68"/>
      <c r="AX448" s="68"/>
      <c r="AY448" s="68"/>
      <c r="AZ448" s="68"/>
      <c r="BA448" s="68"/>
      <c r="BB448" s="68"/>
      <c r="BC448" s="68"/>
      <c r="BD448" s="68"/>
      <c r="BE448" s="68"/>
      <c r="BF448" s="68"/>
      <c r="BG448" s="68"/>
      <c r="BH448" s="68"/>
      <c r="BI448" s="68"/>
      <c r="BJ448" s="68"/>
      <c r="BK448" s="68"/>
      <c r="BL448" s="68"/>
      <c r="BM448" s="68"/>
      <c r="BN448" s="68"/>
    </row>
    <row r="449" spans="1:66" ht="17">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68"/>
      <c r="AG449" s="68"/>
      <c r="AH449" s="68"/>
      <c r="AI449" s="68"/>
      <c r="AJ449" s="68"/>
      <c r="AK449" s="68"/>
      <c r="AL449" s="68"/>
      <c r="AM449" s="68"/>
      <c r="AN449" s="68"/>
      <c r="AO449" s="68"/>
      <c r="AP449" s="68"/>
      <c r="AQ449" s="68"/>
      <c r="AR449" s="68"/>
      <c r="AS449" s="68"/>
      <c r="AT449" s="68"/>
      <c r="AU449" s="68"/>
      <c r="AV449" s="68"/>
      <c r="AW449" s="68"/>
      <c r="AX449" s="68"/>
      <c r="AY449" s="68"/>
      <c r="AZ449" s="68"/>
      <c r="BA449" s="68"/>
      <c r="BB449" s="68"/>
      <c r="BC449" s="68"/>
      <c r="BD449" s="68"/>
      <c r="BE449" s="68"/>
      <c r="BF449" s="68"/>
      <c r="BG449" s="68"/>
      <c r="BH449" s="68"/>
      <c r="BI449" s="68"/>
      <c r="BJ449" s="68"/>
      <c r="BK449" s="68"/>
      <c r="BL449" s="68"/>
      <c r="BM449" s="68"/>
      <c r="BN449" s="68"/>
    </row>
    <row r="450" spans="1:66" ht="17">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68"/>
      <c r="AG450" s="68"/>
      <c r="AH450" s="68"/>
      <c r="AI450" s="68"/>
      <c r="AJ450" s="68"/>
      <c r="AK450" s="68"/>
      <c r="AL450" s="68"/>
      <c r="AM450" s="68"/>
      <c r="AN450" s="68"/>
      <c r="AO450" s="68"/>
      <c r="AP450" s="68"/>
      <c r="AQ450" s="68"/>
      <c r="AR450" s="68"/>
      <c r="AS450" s="68"/>
      <c r="AT450" s="68"/>
      <c r="AU450" s="68"/>
      <c r="AV450" s="68"/>
      <c r="AW450" s="68"/>
      <c r="AX450" s="68"/>
      <c r="AY450" s="68"/>
      <c r="AZ450" s="68"/>
      <c r="BA450" s="68"/>
      <c r="BB450" s="68"/>
      <c r="BC450" s="68"/>
      <c r="BD450" s="68"/>
      <c r="BE450" s="68"/>
      <c r="BF450" s="68"/>
      <c r="BG450" s="68"/>
      <c r="BH450" s="68"/>
      <c r="BI450" s="68"/>
      <c r="BJ450" s="68"/>
      <c r="BK450" s="68"/>
      <c r="BL450" s="68"/>
      <c r="BM450" s="68"/>
      <c r="BN450" s="68"/>
    </row>
    <row r="451" spans="1:66" ht="17">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68"/>
      <c r="AG451" s="68"/>
      <c r="AH451" s="68"/>
      <c r="AI451" s="68"/>
      <c r="AJ451" s="68"/>
      <c r="AK451" s="68"/>
      <c r="AL451" s="68"/>
      <c r="AM451" s="68"/>
      <c r="AN451" s="68"/>
      <c r="AO451" s="68"/>
      <c r="AP451" s="68"/>
      <c r="AQ451" s="68"/>
      <c r="AR451" s="68"/>
      <c r="AS451" s="68"/>
      <c r="AT451" s="68"/>
      <c r="AU451" s="68"/>
      <c r="AV451" s="68"/>
      <c r="AW451" s="68"/>
      <c r="AX451" s="68"/>
      <c r="AY451" s="68"/>
      <c r="AZ451" s="68"/>
      <c r="BA451" s="68"/>
      <c r="BB451" s="68"/>
      <c r="BC451" s="68"/>
      <c r="BD451" s="68"/>
      <c r="BE451" s="68"/>
      <c r="BF451" s="68"/>
      <c r="BG451" s="68"/>
      <c r="BH451" s="68"/>
      <c r="BI451" s="68"/>
      <c r="BJ451" s="68"/>
      <c r="BK451" s="68"/>
      <c r="BL451" s="68"/>
      <c r="BM451" s="68"/>
      <c r="BN451" s="68"/>
    </row>
    <row r="452" spans="1:66" ht="17">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68"/>
      <c r="AG452" s="68"/>
      <c r="AH452" s="68"/>
      <c r="AI452" s="68"/>
      <c r="AJ452" s="68"/>
      <c r="AK452" s="68"/>
      <c r="AL452" s="68"/>
      <c r="AM452" s="68"/>
      <c r="AN452" s="68"/>
      <c r="AO452" s="68"/>
      <c r="AP452" s="68"/>
      <c r="AQ452" s="68"/>
      <c r="AR452" s="68"/>
      <c r="AS452" s="68"/>
      <c r="AT452" s="68"/>
      <c r="AU452" s="68"/>
      <c r="AV452" s="68"/>
      <c r="AW452" s="68"/>
      <c r="AX452" s="68"/>
      <c r="AY452" s="68"/>
      <c r="AZ452" s="68"/>
      <c r="BA452" s="68"/>
      <c r="BB452" s="68"/>
      <c r="BC452" s="68"/>
      <c r="BD452" s="68"/>
      <c r="BE452" s="68"/>
      <c r="BF452" s="68"/>
      <c r="BG452" s="68"/>
      <c r="BH452" s="68"/>
      <c r="BI452" s="68"/>
      <c r="BJ452" s="68"/>
      <c r="BK452" s="68"/>
      <c r="BL452" s="68"/>
      <c r="BM452" s="68"/>
      <c r="BN452" s="68"/>
    </row>
    <row r="453" spans="1:66" ht="17">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68"/>
      <c r="AG453" s="68"/>
      <c r="AH453" s="68"/>
      <c r="AI453" s="68"/>
      <c r="AJ453" s="68"/>
      <c r="AK453" s="68"/>
      <c r="AL453" s="68"/>
      <c r="AM453" s="68"/>
      <c r="AN453" s="68"/>
      <c r="AO453" s="68"/>
      <c r="AP453" s="68"/>
      <c r="AQ453" s="68"/>
      <c r="AR453" s="68"/>
      <c r="AS453" s="68"/>
      <c r="AT453" s="68"/>
      <c r="AU453" s="68"/>
      <c r="AV453" s="68"/>
      <c r="AW453" s="68"/>
      <c r="AX453" s="68"/>
      <c r="AY453" s="68"/>
      <c r="AZ453" s="68"/>
      <c r="BA453" s="68"/>
      <c r="BB453" s="68"/>
      <c r="BC453" s="68"/>
      <c r="BD453" s="68"/>
      <c r="BE453" s="68"/>
      <c r="BF453" s="68"/>
      <c r="BG453" s="68"/>
      <c r="BH453" s="68"/>
      <c r="BI453" s="68"/>
      <c r="BJ453" s="68"/>
      <c r="BK453" s="68"/>
      <c r="BL453" s="68"/>
      <c r="BM453" s="68"/>
      <c r="BN453" s="68"/>
    </row>
    <row r="454" spans="1:66" ht="17">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68"/>
      <c r="AG454" s="68"/>
      <c r="AH454" s="68"/>
      <c r="AI454" s="68"/>
      <c r="AJ454" s="68"/>
      <c r="AK454" s="68"/>
      <c r="AL454" s="68"/>
      <c r="AM454" s="68"/>
      <c r="AN454" s="68"/>
      <c r="AO454" s="68"/>
      <c r="AP454" s="68"/>
      <c r="AQ454" s="68"/>
      <c r="AR454" s="68"/>
      <c r="AS454" s="68"/>
      <c r="AT454" s="68"/>
      <c r="AU454" s="68"/>
      <c r="AV454" s="68"/>
      <c r="AW454" s="68"/>
      <c r="AX454" s="68"/>
      <c r="AY454" s="68"/>
      <c r="AZ454" s="68"/>
      <c r="BA454" s="68"/>
      <c r="BB454" s="68"/>
      <c r="BC454" s="68"/>
      <c r="BD454" s="68"/>
      <c r="BE454" s="68"/>
      <c r="BF454" s="68"/>
      <c r="BG454" s="68"/>
      <c r="BH454" s="68"/>
      <c r="BI454" s="68"/>
      <c r="BJ454" s="68"/>
      <c r="BK454" s="68"/>
      <c r="BL454" s="68"/>
      <c r="BM454" s="68"/>
      <c r="BN454" s="68"/>
    </row>
    <row r="455" spans="1:66" ht="17">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68"/>
      <c r="AG455" s="68"/>
      <c r="AH455" s="68"/>
      <c r="AI455" s="68"/>
      <c r="AJ455" s="68"/>
      <c r="AK455" s="68"/>
      <c r="AL455" s="68"/>
      <c r="AM455" s="68"/>
      <c r="AN455" s="68"/>
      <c r="AO455" s="68"/>
      <c r="AP455" s="68"/>
      <c r="AQ455" s="68"/>
      <c r="AR455" s="68"/>
      <c r="AS455" s="68"/>
      <c r="AT455" s="68"/>
      <c r="AU455" s="68"/>
      <c r="AV455" s="68"/>
      <c r="AW455" s="68"/>
      <c r="AX455" s="68"/>
      <c r="AY455" s="68"/>
      <c r="AZ455" s="68"/>
      <c r="BA455" s="68"/>
      <c r="BB455" s="68"/>
      <c r="BC455" s="68"/>
      <c r="BD455" s="68"/>
      <c r="BE455" s="68"/>
      <c r="BF455" s="68"/>
      <c r="BG455" s="68"/>
      <c r="BH455" s="68"/>
      <c r="BI455" s="68"/>
      <c r="BJ455" s="68"/>
      <c r="BK455" s="68"/>
      <c r="BL455" s="68"/>
      <c r="BM455" s="68"/>
      <c r="BN455" s="68"/>
    </row>
    <row r="456" spans="1:66" ht="17">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68"/>
      <c r="AG456" s="68"/>
      <c r="AH456" s="68"/>
      <c r="AI456" s="68"/>
      <c r="AJ456" s="68"/>
      <c r="AK456" s="68"/>
      <c r="AL456" s="68"/>
      <c r="AM456" s="68"/>
      <c r="AN456" s="68"/>
      <c r="AO456" s="68"/>
      <c r="AP456" s="68"/>
      <c r="AQ456" s="68"/>
      <c r="AR456" s="68"/>
      <c r="AS456" s="68"/>
      <c r="AT456" s="68"/>
      <c r="AU456" s="68"/>
      <c r="AV456" s="68"/>
      <c r="AW456" s="68"/>
      <c r="AX456" s="68"/>
      <c r="AY456" s="68"/>
      <c r="AZ456" s="68"/>
      <c r="BA456" s="68"/>
      <c r="BB456" s="68"/>
      <c r="BC456" s="68"/>
      <c r="BD456" s="68"/>
      <c r="BE456" s="68"/>
      <c r="BF456" s="68"/>
      <c r="BG456" s="68"/>
      <c r="BH456" s="68"/>
      <c r="BI456" s="68"/>
      <c r="BJ456" s="68"/>
      <c r="BK456" s="68"/>
      <c r="BL456" s="68"/>
      <c r="BM456" s="68"/>
      <c r="BN456" s="68"/>
    </row>
    <row r="457" spans="1:66" ht="1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68"/>
      <c r="AG457" s="68"/>
      <c r="AH457" s="68"/>
      <c r="AI457" s="68"/>
      <c r="AJ457" s="68"/>
      <c r="AK457" s="68"/>
      <c r="AL457" s="68"/>
      <c r="AM457" s="68"/>
      <c r="AN457" s="68"/>
      <c r="AO457" s="68"/>
      <c r="AP457" s="68"/>
      <c r="AQ457" s="68"/>
      <c r="AR457" s="68"/>
      <c r="AS457" s="68"/>
      <c r="AT457" s="68"/>
      <c r="AU457" s="68"/>
      <c r="AV457" s="68"/>
      <c r="AW457" s="68"/>
      <c r="AX457" s="68"/>
      <c r="AY457" s="68"/>
      <c r="AZ457" s="68"/>
      <c r="BA457" s="68"/>
      <c r="BB457" s="68"/>
      <c r="BC457" s="68"/>
      <c r="BD457" s="68"/>
      <c r="BE457" s="68"/>
      <c r="BF457" s="68"/>
      <c r="BG457" s="68"/>
      <c r="BH457" s="68"/>
      <c r="BI457" s="68"/>
      <c r="BJ457" s="68"/>
      <c r="BK457" s="68"/>
      <c r="BL457" s="68"/>
      <c r="BM457" s="68"/>
      <c r="BN457" s="68"/>
    </row>
    <row r="458" spans="1:66" ht="17">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68"/>
      <c r="AG458" s="68"/>
      <c r="AH458" s="68"/>
      <c r="AI458" s="68"/>
      <c r="AJ458" s="68"/>
      <c r="AK458" s="68"/>
      <c r="AL458" s="68"/>
      <c r="AM458" s="68"/>
      <c r="AN458" s="68"/>
      <c r="AO458" s="68"/>
      <c r="AP458" s="68"/>
      <c r="AQ458" s="68"/>
      <c r="AR458" s="68"/>
      <c r="AS458" s="68"/>
      <c r="AT458" s="68"/>
      <c r="AU458" s="68"/>
      <c r="AV458" s="68"/>
      <c r="AW458" s="68"/>
      <c r="AX458" s="68"/>
      <c r="AY458" s="68"/>
      <c r="AZ458" s="68"/>
      <c r="BA458" s="68"/>
      <c r="BB458" s="68"/>
      <c r="BC458" s="68"/>
      <c r="BD458" s="68"/>
      <c r="BE458" s="68"/>
      <c r="BF458" s="68"/>
      <c r="BG458" s="68"/>
      <c r="BH458" s="68"/>
      <c r="BI458" s="68"/>
      <c r="BJ458" s="68"/>
      <c r="BK458" s="68"/>
      <c r="BL458" s="68"/>
      <c r="BM458" s="68"/>
      <c r="BN458" s="68"/>
    </row>
    <row r="459" spans="1:66" ht="17">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68"/>
      <c r="AG459" s="68"/>
      <c r="AH459" s="68"/>
      <c r="AI459" s="68"/>
      <c r="AJ459" s="68"/>
      <c r="AK459" s="68"/>
      <c r="AL459" s="68"/>
      <c r="AM459" s="68"/>
      <c r="AN459" s="68"/>
      <c r="AO459" s="68"/>
      <c r="AP459" s="68"/>
      <c r="AQ459" s="68"/>
      <c r="AR459" s="68"/>
      <c r="AS459" s="68"/>
      <c r="AT459" s="68"/>
      <c r="AU459" s="68"/>
      <c r="AV459" s="68"/>
      <c r="AW459" s="68"/>
      <c r="AX459" s="68"/>
      <c r="AY459" s="68"/>
      <c r="AZ459" s="68"/>
      <c r="BA459" s="68"/>
      <c r="BB459" s="68"/>
      <c r="BC459" s="68"/>
      <c r="BD459" s="68"/>
      <c r="BE459" s="68"/>
      <c r="BF459" s="68"/>
      <c r="BG459" s="68"/>
      <c r="BH459" s="68"/>
      <c r="BI459" s="68"/>
      <c r="BJ459" s="68"/>
      <c r="BK459" s="68"/>
      <c r="BL459" s="68"/>
      <c r="BM459" s="68"/>
      <c r="BN459" s="68"/>
    </row>
    <row r="460" spans="1:66" ht="17">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68"/>
      <c r="AG460" s="68"/>
      <c r="AH460" s="68"/>
      <c r="AI460" s="68"/>
      <c r="AJ460" s="68"/>
      <c r="AK460" s="68"/>
      <c r="AL460" s="68"/>
      <c r="AM460" s="68"/>
      <c r="AN460" s="68"/>
      <c r="AO460" s="68"/>
      <c r="AP460" s="68"/>
      <c r="AQ460" s="68"/>
      <c r="AR460" s="68"/>
      <c r="AS460" s="68"/>
      <c r="AT460" s="68"/>
      <c r="AU460" s="68"/>
      <c r="AV460" s="68"/>
      <c r="AW460" s="68"/>
      <c r="AX460" s="68"/>
      <c r="AY460" s="68"/>
      <c r="AZ460" s="68"/>
      <c r="BA460" s="68"/>
      <c r="BB460" s="68"/>
      <c r="BC460" s="68"/>
      <c r="BD460" s="68"/>
      <c r="BE460" s="68"/>
      <c r="BF460" s="68"/>
      <c r="BG460" s="68"/>
      <c r="BH460" s="68"/>
      <c r="BI460" s="68"/>
      <c r="BJ460" s="68"/>
      <c r="BK460" s="68"/>
      <c r="BL460" s="68"/>
      <c r="BM460" s="68"/>
      <c r="BN460" s="68"/>
    </row>
    <row r="461" spans="1:66" ht="17">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68"/>
      <c r="AG461" s="68"/>
      <c r="AH461" s="68"/>
      <c r="AI461" s="68"/>
      <c r="AJ461" s="68"/>
      <c r="AK461" s="68"/>
      <c r="AL461" s="68"/>
      <c r="AM461" s="68"/>
      <c r="AN461" s="68"/>
      <c r="AO461" s="68"/>
      <c r="AP461" s="68"/>
      <c r="AQ461" s="68"/>
      <c r="AR461" s="68"/>
      <c r="AS461" s="68"/>
      <c r="AT461" s="68"/>
      <c r="AU461" s="68"/>
      <c r="AV461" s="68"/>
      <c r="AW461" s="68"/>
      <c r="AX461" s="68"/>
      <c r="AY461" s="68"/>
      <c r="AZ461" s="68"/>
      <c r="BA461" s="68"/>
      <c r="BB461" s="68"/>
      <c r="BC461" s="68"/>
      <c r="BD461" s="68"/>
      <c r="BE461" s="68"/>
      <c r="BF461" s="68"/>
      <c r="BG461" s="68"/>
      <c r="BH461" s="68"/>
      <c r="BI461" s="68"/>
      <c r="BJ461" s="68"/>
      <c r="BK461" s="68"/>
      <c r="BL461" s="68"/>
      <c r="BM461" s="68"/>
      <c r="BN461" s="68"/>
    </row>
    <row r="462" spans="1:66" ht="17">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68"/>
      <c r="AG462" s="68"/>
      <c r="AH462" s="68"/>
      <c r="AI462" s="68"/>
      <c r="AJ462" s="68"/>
      <c r="AK462" s="68"/>
      <c r="AL462" s="68"/>
      <c r="AM462" s="68"/>
      <c r="AN462" s="68"/>
      <c r="AO462" s="68"/>
      <c r="AP462" s="68"/>
      <c r="AQ462" s="68"/>
      <c r="AR462" s="68"/>
      <c r="AS462" s="68"/>
      <c r="AT462" s="68"/>
      <c r="AU462" s="68"/>
      <c r="AV462" s="68"/>
      <c r="AW462" s="68"/>
      <c r="AX462" s="68"/>
      <c r="AY462" s="68"/>
      <c r="AZ462" s="68"/>
      <c r="BA462" s="68"/>
      <c r="BB462" s="68"/>
      <c r="BC462" s="68"/>
      <c r="BD462" s="68"/>
      <c r="BE462" s="68"/>
      <c r="BF462" s="68"/>
      <c r="BG462" s="68"/>
      <c r="BH462" s="68"/>
      <c r="BI462" s="68"/>
      <c r="BJ462" s="68"/>
      <c r="BK462" s="68"/>
      <c r="BL462" s="68"/>
      <c r="BM462" s="68"/>
      <c r="BN462" s="68"/>
    </row>
    <row r="463" spans="1:66" ht="17">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68"/>
      <c r="AG463" s="68"/>
      <c r="AH463" s="68"/>
      <c r="AI463" s="68"/>
      <c r="AJ463" s="68"/>
      <c r="AK463" s="68"/>
      <c r="AL463" s="68"/>
      <c r="AM463" s="68"/>
      <c r="AN463" s="68"/>
      <c r="AO463" s="68"/>
      <c r="AP463" s="68"/>
      <c r="AQ463" s="68"/>
      <c r="AR463" s="68"/>
      <c r="AS463" s="68"/>
      <c r="AT463" s="68"/>
      <c r="AU463" s="68"/>
      <c r="AV463" s="68"/>
      <c r="AW463" s="68"/>
      <c r="AX463" s="68"/>
      <c r="AY463" s="68"/>
      <c r="AZ463" s="68"/>
      <c r="BA463" s="68"/>
      <c r="BB463" s="68"/>
      <c r="BC463" s="68"/>
      <c r="BD463" s="68"/>
      <c r="BE463" s="68"/>
      <c r="BF463" s="68"/>
      <c r="BG463" s="68"/>
      <c r="BH463" s="68"/>
      <c r="BI463" s="68"/>
      <c r="BJ463" s="68"/>
      <c r="BK463" s="68"/>
      <c r="BL463" s="68"/>
      <c r="BM463" s="68"/>
      <c r="BN463" s="68"/>
    </row>
    <row r="464" spans="1:66" ht="17">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68"/>
      <c r="AG464" s="68"/>
      <c r="AH464" s="68"/>
      <c r="AI464" s="68"/>
      <c r="AJ464" s="68"/>
      <c r="AK464" s="68"/>
      <c r="AL464" s="68"/>
      <c r="AM464" s="68"/>
      <c r="AN464" s="68"/>
      <c r="AO464" s="68"/>
      <c r="AP464" s="68"/>
      <c r="AQ464" s="68"/>
      <c r="AR464" s="68"/>
      <c r="AS464" s="68"/>
      <c r="AT464" s="68"/>
      <c r="AU464" s="68"/>
      <c r="AV464" s="68"/>
      <c r="AW464" s="68"/>
      <c r="AX464" s="68"/>
      <c r="AY464" s="68"/>
      <c r="AZ464" s="68"/>
      <c r="BA464" s="68"/>
      <c r="BB464" s="68"/>
      <c r="BC464" s="68"/>
      <c r="BD464" s="68"/>
      <c r="BE464" s="68"/>
      <c r="BF464" s="68"/>
      <c r="BG464" s="68"/>
      <c r="BH464" s="68"/>
      <c r="BI464" s="68"/>
      <c r="BJ464" s="68"/>
      <c r="BK464" s="68"/>
      <c r="BL464" s="68"/>
      <c r="BM464" s="68"/>
      <c r="BN464" s="68"/>
    </row>
    <row r="465" spans="1:66" ht="17">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68"/>
      <c r="AG465" s="68"/>
      <c r="AH465" s="68"/>
      <c r="AI465" s="68"/>
      <c r="AJ465" s="68"/>
      <c r="AK465" s="68"/>
      <c r="AL465" s="68"/>
      <c r="AM465" s="68"/>
      <c r="AN465" s="68"/>
      <c r="AO465" s="68"/>
      <c r="AP465" s="68"/>
      <c r="AQ465" s="68"/>
      <c r="AR465" s="68"/>
      <c r="AS465" s="68"/>
      <c r="AT465" s="68"/>
      <c r="AU465" s="68"/>
      <c r="AV465" s="68"/>
      <c r="AW465" s="68"/>
      <c r="AX465" s="68"/>
      <c r="AY465" s="68"/>
      <c r="AZ465" s="68"/>
      <c r="BA465" s="68"/>
      <c r="BB465" s="68"/>
      <c r="BC465" s="68"/>
      <c r="BD465" s="68"/>
      <c r="BE465" s="68"/>
      <c r="BF465" s="68"/>
      <c r="BG465" s="68"/>
      <c r="BH465" s="68"/>
      <c r="BI465" s="68"/>
      <c r="BJ465" s="68"/>
      <c r="BK465" s="68"/>
      <c r="BL465" s="68"/>
      <c r="BM465" s="68"/>
      <c r="BN465" s="68"/>
    </row>
    <row r="466" spans="1:66" ht="17">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68"/>
      <c r="AG466" s="68"/>
      <c r="AH466" s="68"/>
      <c r="AI466" s="68"/>
      <c r="AJ466" s="68"/>
      <c r="AK466" s="68"/>
      <c r="AL466" s="68"/>
      <c r="AM466" s="68"/>
      <c r="AN466" s="68"/>
      <c r="AO466" s="68"/>
      <c r="AP466" s="68"/>
      <c r="AQ466" s="68"/>
      <c r="AR466" s="68"/>
      <c r="AS466" s="68"/>
      <c r="AT466" s="68"/>
      <c r="AU466" s="68"/>
      <c r="AV466" s="68"/>
      <c r="AW466" s="68"/>
      <c r="AX466" s="68"/>
      <c r="AY466" s="68"/>
      <c r="AZ466" s="68"/>
      <c r="BA466" s="68"/>
      <c r="BB466" s="68"/>
      <c r="BC466" s="68"/>
      <c r="BD466" s="68"/>
      <c r="BE466" s="68"/>
      <c r="BF466" s="68"/>
      <c r="BG466" s="68"/>
      <c r="BH466" s="68"/>
      <c r="BI466" s="68"/>
      <c r="BJ466" s="68"/>
      <c r="BK466" s="68"/>
      <c r="BL466" s="68"/>
      <c r="BM466" s="68"/>
      <c r="BN466" s="68"/>
    </row>
    <row r="467" spans="1:66" ht="1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68"/>
      <c r="AG467" s="68"/>
      <c r="AH467" s="68"/>
      <c r="AI467" s="68"/>
      <c r="AJ467" s="68"/>
      <c r="AK467" s="68"/>
      <c r="AL467" s="68"/>
      <c r="AM467" s="68"/>
      <c r="AN467" s="68"/>
      <c r="AO467" s="68"/>
      <c r="AP467" s="68"/>
      <c r="AQ467" s="68"/>
      <c r="AR467" s="68"/>
      <c r="AS467" s="68"/>
      <c r="AT467" s="68"/>
      <c r="AU467" s="68"/>
      <c r="AV467" s="68"/>
      <c r="AW467" s="68"/>
      <c r="AX467" s="68"/>
      <c r="AY467" s="68"/>
      <c r="AZ467" s="68"/>
      <c r="BA467" s="68"/>
      <c r="BB467" s="68"/>
      <c r="BC467" s="68"/>
      <c r="BD467" s="68"/>
      <c r="BE467" s="68"/>
      <c r="BF467" s="68"/>
      <c r="BG467" s="68"/>
      <c r="BH467" s="68"/>
      <c r="BI467" s="68"/>
      <c r="BJ467" s="68"/>
      <c r="BK467" s="68"/>
      <c r="BL467" s="68"/>
      <c r="BM467" s="68"/>
      <c r="BN467" s="68"/>
    </row>
    <row r="468" spans="1:66" ht="17">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68"/>
      <c r="AG468" s="68"/>
      <c r="AH468" s="68"/>
      <c r="AI468" s="68"/>
      <c r="AJ468" s="68"/>
      <c r="AK468" s="68"/>
      <c r="AL468" s="68"/>
      <c r="AM468" s="68"/>
      <c r="AN468" s="68"/>
      <c r="AO468" s="68"/>
      <c r="AP468" s="68"/>
      <c r="AQ468" s="68"/>
      <c r="AR468" s="68"/>
      <c r="AS468" s="68"/>
      <c r="AT468" s="68"/>
      <c r="AU468" s="68"/>
      <c r="AV468" s="68"/>
      <c r="AW468" s="68"/>
      <c r="AX468" s="68"/>
      <c r="AY468" s="68"/>
      <c r="AZ468" s="68"/>
      <c r="BA468" s="68"/>
      <c r="BB468" s="68"/>
      <c r="BC468" s="68"/>
      <c r="BD468" s="68"/>
      <c r="BE468" s="68"/>
      <c r="BF468" s="68"/>
      <c r="BG468" s="68"/>
      <c r="BH468" s="68"/>
      <c r="BI468" s="68"/>
      <c r="BJ468" s="68"/>
      <c r="BK468" s="68"/>
      <c r="BL468" s="68"/>
      <c r="BM468" s="68"/>
      <c r="BN468" s="68"/>
    </row>
    <row r="469" spans="1:66" ht="17">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68"/>
      <c r="AG469" s="68"/>
      <c r="AH469" s="68"/>
      <c r="AI469" s="68"/>
      <c r="AJ469" s="68"/>
      <c r="AK469" s="68"/>
      <c r="AL469" s="68"/>
      <c r="AM469" s="68"/>
      <c r="AN469" s="68"/>
      <c r="AO469" s="68"/>
      <c r="AP469" s="68"/>
      <c r="AQ469" s="68"/>
      <c r="AR469" s="68"/>
      <c r="AS469" s="68"/>
      <c r="AT469" s="68"/>
      <c r="AU469" s="68"/>
      <c r="AV469" s="68"/>
      <c r="AW469" s="68"/>
      <c r="AX469" s="68"/>
      <c r="AY469" s="68"/>
      <c r="AZ469" s="68"/>
      <c r="BA469" s="68"/>
      <c r="BB469" s="68"/>
      <c r="BC469" s="68"/>
      <c r="BD469" s="68"/>
      <c r="BE469" s="68"/>
      <c r="BF469" s="68"/>
      <c r="BG469" s="68"/>
      <c r="BH469" s="68"/>
      <c r="BI469" s="68"/>
      <c r="BJ469" s="68"/>
      <c r="BK469" s="68"/>
      <c r="BL469" s="68"/>
      <c r="BM469" s="68"/>
      <c r="BN469" s="68"/>
    </row>
    <row r="470" spans="1:66" ht="17">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68"/>
      <c r="AG470" s="68"/>
      <c r="AH470" s="68"/>
      <c r="AI470" s="68"/>
      <c r="AJ470" s="68"/>
      <c r="AK470" s="68"/>
      <c r="AL470" s="68"/>
      <c r="AM470" s="68"/>
      <c r="AN470" s="68"/>
      <c r="AO470" s="68"/>
      <c r="AP470" s="68"/>
      <c r="AQ470" s="68"/>
      <c r="AR470" s="68"/>
      <c r="AS470" s="68"/>
      <c r="AT470" s="68"/>
      <c r="AU470" s="68"/>
      <c r="AV470" s="68"/>
      <c r="AW470" s="68"/>
      <c r="AX470" s="68"/>
      <c r="AY470" s="68"/>
      <c r="AZ470" s="68"/>
      <c r="BA470" s="68"/>
      <c r="BB470" s="68"/>
      <c r="BC470" s="68"/>
      <c r="BD470" s="68"/>
      <c r="BE470" s="68"/>
      <c r="BF470" s="68"/>
      <c r="BG470" s="68"/>
      <c r="BH470" s="68"/>
      <c r="BI470" s="68"/>
      <c r="BJ470" s="68"/>
      <c r="BK470" s="68"/>
      <c r="BL470" s="68"/>
      <c r="BM470" s="68"/>
      <c r="BN470" s="68"/>
    </row>
    <row r="471" spans="1:66" ht="17">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68"/>
      <c r="AG471" s="68"/>
      <c r="AH471" s="68"/>
      <c r="AI471" s="68"/>
      <c r="AJ471" s="68"/>
      <c r="AK471" s="68"/>
      <c r="AL471" s="68"/>
      <c r="AM471" s="68"/>
      <c r="AN471" s="68"/>
      <c r="AO471" s="68"/>
      <c r="AP471" s="68"/>
      <c r="AQ471" s="68"/>
      <c r="AR471" s="68"/>
      <c r="AS471" s="68"/>
      <c r="AT471" s="68"/>
      <c r="AU471" s="68"/>
      <c r="AV471" s="68"/>
      <c r="AW471" s="68"/>
      <c r="AX471" s="68"/>
      <c r="AY471" s="68"/>
      <c r="AZ471" s="68"/>
      <c r="BA471" s="68"/>
      <c r="BB471" s="68"/>
      <c r="BC471" s="68"/>
      <c r="BD471" s="68"/>
      <c r="BE471" s="68"/>
      <c r="BF471" s="68"/>
      <c r="BG471" s="68"/>
      <c r="BH471" s="68"/>
      <c r="BI471" s="68"/>
      <c r="BJ471" s="68"/>
      <c r="BK471" s="68"/>
      <c r="BL471" s="68"/>
      <c r="BM471" s="68"/>
      <c r="BN471" s="68"/>
    </row>
    <row r="472" spans="1:66" ht="17">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68"/>
      <c r="AG472" s="68"/>
      <c r="AH472" s="68"/>
      <c r="AI472" s="68"/>
      <c r="AJ472" s="68"/>
      <c r="AK472" s="68"/>
      <c r="AL472" s="68"/>
      <c r="AM472" s="68"/>
      <c r="AN472" s="68"/>
      <c r="AO472" s="68"/>
      <c r="AP472" s="68"/>
      <c r="AQ472" s="68"/>
      <c r="AR472" s="68"/>
      <c r="AS472" s="68"/>
      <c r="AT472" s="68"/>
      <c r="AU472" s="68"/>
      <c r="AV472" s="68"/>
      <c r="AW472" s="68"/>
      <c r="AX472" s="68"/>
      <c r="AY472" s="68"/>
      <c r="AZ472" s="68"/>
      <c r="BA472" s="68"/>
      <c r="BB472" s="68"/>
      <c r="BC472" s="68"/>
      <c r="BD472" s="68"/>
      <c r="BE472" s="68"/>
      <c r="BF472" s="68"/>
      <c r="BG472" s="68"/>
      <c r="BH472" s="68"/>
      <c r="BI472" s="68"/>
      <c r="BJ472" s="68"/>
      <c r="BK472" s="68"/>
      <c r="BL472" s="68"/>
      <c r="BM472" s="68"/>
      <c r="BN472" s="68"/>
    </row>
    <row r="473" spans="1:66" ht="17">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68"/>
      <c r="AG473" s="68"/>
      <c r="AH473" s="68"/>
      <c r="AI473" s="68"/>
      <c r="AJ473" s="68"/>
      <c r="AK473" s="68"/>
      <c r="AL473" s="68"/>
      <c r="AM473" s="68"/>
      <c r="AN473" s="68"/>
      <c r="AO473" s="68"/>
      <c r="AP473" s="68"/>
      <c r="AQ473" s="68"/>
      <c r="AR473" s="68"/>
      <c r="AS473" s="68"/>
      <c r="AT473" s="68"/>
      <c r="AU473" s="68"/>
      <c r="AV473" s="68"/>
      <c r="AW473" s="68"/>
      <c r="AX473" s="68"/>
      <c r="AY473" s="68"/>
      <c r="AZ473" s="68"/>
      <c r="BA473" s="68"/>
      <c r="BB473" s="68"/>
      <c r="BC473" s="68"/>
      <c r="BD473" s="68"/>
      <c r="BE473" s="68"/>
      <c r="BF473" s="68"/>
      <c r="BG473" s="68"/>
      <c r="BH473" s="68"/>
      <c r="BI473" s="68"/>
      <c r="BJ473" s="68"/>
      <c r="BK473" s="68"/>
      <c r="BL473" s="68"/>
      <c r="BM473" s="68"/>
      <c r="BN473" s="68"/>
    </row>
    <row r="474" spans="1:66" ht="17">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68"/>
      <c r="AG474" s="68"/>
      <c r="AH474" s="68"/>
      <c r="AI474" s="68"/>
      <c r="AJ474" s="68"/>
      <c r="AK474" s="68"/>
      <c r="AL474" s="68"/>
      <c r="AM474" s="68"/>
      <c r="AN474" s="68"/>
      <c r="AO474" s="68"/>
      <c r="AP474" s="68"/>
      <c r="AQ474" s="68"/>
      <c r="AR474" s="68"/>
      <c r="AS474" s="68"/>
      <c r="AT474" s="68"/>
      <c r="AU474" s="68"/>
      <c r="AV474" s="68"/>
      <c r="AW474" s="68"/>
      <c r="AX474" s="68"/>
      <c r="AY474" s="68"/>
      <c r="AZ474" s="68"/>
      <c r="BA474" s="68"/>
      <c r="BB474" s="68"/>
      <c r="BC474" s="68"/>
      <c r="BD474" s="68"/>
      <c r="BE474" s="68"/>
      <c r="BF474" s="68"/>
      <c r="BG474" s="68"/>
      <c r="BH474" s="68"/>
      <c r="BI474" s="68"/>
      <c r="BJ474" s="68"/>
      <c r="BK474" s="68"/>
      <c r="BL474" s="68"/>
      <c r="BM474" s="68"/>
      <c r="BN474" s="68"/>
    </row>
    <row r="475" spans="1:66" ht="17">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68"/>
      <c r="AG475" s="68"/>
      <c r="AH475" s="68"/>
      <c r="AI475" s="68"/>
      <c r="AJ475" s="68"/>
      <c r="AK475" s="68"/>
      <c r="AL475" s="68"/>
      <c r="AM475" s="68"/>
      <c r="AN475" s="68"/>
      <c r="AO475" s="68"/>
      <c r="AP475" s="68"/>
      <c r="AQ475" s="68"/>
      <c r="AR475" s="68"/>
      <c r="AS475" s="68"/>
      <c r="AT475" s="68"/>
      <c r="AU475" s="68"/>
      <c r="AV475" s="68"/>
      <c r="AW475" s="68"/>
      <c r="AX475" s="68"/>
      <c r="AY475" s="68"/>
      <c r="AZ475" s="68"/>
      <c r="BA475" s="68"/>
      <c r="BB475" s="68"/>
      <c r="BC475" s="68"/>
      <c r="BD475" s="68"/>
      <c r="BE475" s="68"/>
      <c r="BF475" s="68"/>
      <c r="BG475" s="68"/>
      <c r="BH475" s="68"/>
      <c r="BI475" s="68"/>
      <c r="BJ475" s="68"/>
      <c r="BK475" s="68"/>
      <c r="BL475" s="68"/>
      <c r="BM475" s="68"/>
      <c r="BN475" s="68"/>
    </row>
    <row r="476" spans="1:66" ht="17">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68"/>
      <c r="AG476" s="68"/>
      <c r="AH476" s="68"/>
      <c r="AI476" s="68"/>
      <c r="AJ476" s="68"/>
      <c r="AK476" s="68"/>
      <c r="AL476" s="68"/>
      <c r="AM476" s="68"/>
      <c r="AN476" s="68"/>
      <c r="AO476" s="68"/>
      <c r="AP476" s="68"/>
      <c r="AQ476" s="68"/>
      <c r="AR476" s="68"/>
      <c r="AS476" s="68"/>
      <c r="AT476" s="68"/>
      <c r="AU476" s="68"/>
      <c r="AV476" s="68"/>
      <c r="AW476" s="68"/>
      <c r="AX476" s="68"/>
      <c r="AY476" s="68"/>
      <c r="AZ476" s="68"/>
      <c r="BA476" s="68"/>
      <c r="BB476" s="68"/>
      <c r="BC476" s="68"/>
      <c r="BD476" s="68"/>
      <c r="BE476" s="68"/>
      <c r="BF476" s="68"/>
      <c r="BG476" s="68"/>
      <c r="BH476" s="68"/>
      <c r="BI476" s="68"/>
      <c r="BJ476" s="68"/>
      <c r="BK476" s="68"/>
      <c r="BL476" s="68"/>
      <c r="BM476" s="68"/>
      <c r="BN476" s="68"/>
    </row>
    <row r="477" spans="1:66" ht="1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68"/>
      <c r="AG477" s="68"/>
      <c r="AH477" s="68"/>
      <c r="AI477" s="68"/>
      <c r="AJ477" s="68"/>
      <c r="AK477" s="68"/>
      <c r="AL477" s="68"/>
      <c r="AM477" s="68"/>
      <c r="AN477" s="68"/>
      <c r="AO477" s="68"/>
      <c r="AP477" s="68"/>
      <c r="AQ477" s="68"/>
      <c r="AR477" s="68"/>
      <c r="AS477" s="68"/>
      <c r="AT477" s="68"/>
      <c r="AU477" s="68"/>
      <c r="AV477" s="68"/>
      <c r="AW477" s="68"/>
      <c r="AX477" s="68"/>
      <c r="AY477" s="68"/>
      <c r="AZ477" s="68"/>
      <c r="BA477" s="68"/>
      <c r="BB477" s="68"/>
      <c r="BC477" s="68"/>
      <c r="BD477" s="68"/>
      <c r="BE477" s="68"/>
      <c r="BF477" s="68"/>
      <c r="BG477" s="68"/>
      <c r="BH477" s="68"/>
      <c r="BI477" s="68"/>
      <c r="BJ477" s="68"/>
      <c r="BK477" s="68"/>
      <c r="BL477" s="68"/>
      <c r="BM477" s="68"/>
      <c r="BN477" s="68"/>
    </row>
    <row r="478" spans="1:66" ht="17">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68"/>
      <c r="AG478" s="68"/>
      <c r="AH478" s="68"/>
      <c r="AI478" s="68"/>
      <c r="AJ478" s="68"/>
      <c r="AK478" s="68"/>
      <c r="AL478" s="68"/>
      <c r="AM478" s="68"/>
      <c r="AN478" s="68"/>
      <c r="AO478" s="68"/>
      <c r="AP478" s="68"/>
      <c r="AQ478" s="68"/>
      <c r="AR478" s="68"/>
      <c r="AS478" s="68"/>
      <c r="AT478" s="68"/>
      <c r="AU478" s="68"/>
      <c r="AV478" s="68"/>
      <c r="AW478" s="68"/>
      <c r="AX478" s="68"/>
      <c r="AY478" s="68"/>
      <c r="AZ478" s="68"/>
      <c r="BA478" s="68"/>
      <c r="BB478" s="68"/>
      <c r="BC478" s="68"/>
      <c r="BD478" s="68"/>
      <c r="BE478" s="68"/>
      <c r="BF478" s="68"/>
      <c r="BG478" s="68"/>
      <c r="BH478" s="68"/>
      <c r="BI478" s="68"/>
      <c r="BJ478" s="68"/>
      <c r="BK478" s="68"/>
      <c r="BL478" s="68"/>
      <c r="BM478" s="68"/>
      <c r="BN478" s="68"/>
    </row>
    <row r="479" spans="1:66" ht="17">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68"/>
      <c r="AG479" s="68"/>
      <c r="AH479" s="68"/>
      <c r="AI479" s="68"/>
      <c r="AJ479" s="68"/>
      <c r="AK479" s="68"/>
      <c r="AL479" s="68"/>
      <c r="AM479" s="68"/>
      <c r="AN479" s="68"/>
      <c r="AO479" s="68"/>
      <c r="AP479" s="68"/>
      <c r="AQ479" s="68"/>
      <c r="AR479" s="68"/>
      <c r="AS479" s="68"/>
      <c r="AT479" s="68"/>
      <c r="AU479" s="68"/>
      <c r="AV479" s="68"/>
      <c r="AW479" s="68"/>
      <c r="AX479" s="68"/>
      <c r="AY479" s="68"/>
      <c r="AZ479" s="68"/>
      <c r="BA479" s="68"/>
      <c r="BB479" s="68"/>
      <c r="BC479" s="68"/>
      <c r="BD479" s="68"/>
      <c r="BE479" s="68"/>
      <c r="BF479" s="68"/>
      <c r="BG479" s="68"/>
      <c r="BH479" s="68"/>
      <c r="BI479" s="68"/>
      <c r="BJ479" s="68"/>
      <c r="BK479" s="68"/>
      <c r="BL479" s="68"/>
      <c r="BM479" s="68"/>
      <c r="BN479" s="68"/>
    </row>
    <row r="480" spans="1:66" ht="17">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68"/>
      <c r="AG480" s="68"/>
      <c r="AH480" s="68"/>
      <c r="AI480" s="68"/>
      <c r="AJ480" s="68"/>
      <c r="AK480" s="68"/>
      <c r="AL480" s="68"/>
      <c r="AM480" s="68"/>
      <c r="AN480" s="68"/>
      <c r="AO480" s="68"/>
      <c r="AP480" s="68"/>
      <c r="AQ480" s="68"/>
      <c r="AR480" s="68"/>
      <c r="AS480" s="68"/>
      <c r="AT480" s="68"/>
      <c r="AU480" s="68"/>
      <c r="AV480" s="68"/>
      <c r="AW480" s="68"/>
      <c r="AX480" s="68"/>
      <c r="AY480" s="68"/>
      <c r="AZ480" s="68"/>
      <c r="BA480" s="68"/>
      <c r="BB480" s="68"/>
      <c r="BC480" s="68"/>
      <c r="BD480" s="68"/>
      <c r="BE480" s="68"/>
      <c r="BF480" s="68"/>
      <c r="BG480" s="68"/>
      <c r="BH480" s="68"/>
      <c r="BI480" s="68"/>
      <c r="BJ480" s="68"/>
      <c r="BK480" s="68"/>
      <c r="BL480" s="68"/>
      <c r="BM480" s="68"/>
      <c r="BN480" s="68"/>
    </row>
    <row r="481" spans="1:66" ht="17">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68"/>
      <c r="AG481" s="68"/>
      <c r="AH481" s="68"/>
      <c r="AI481" s="68"/>
      <c r="AJ481" s="68"/>
      <c r="AK481" s="68"/>
      <c r="AL481" s="68"/>
      <c r="AM481" s="68"/>
      <c r="AN481" s="68"/>
      <c r="AO481" s="68"/>
      <c r="AP481" s="68"/>
      <c r="AQ481" s="68"/>
      <c r="AR481" s="68"/>
      <c r="AS481" s="68"/>
      <c r="AT481" s="68"/>
      <c r="AU481" s="68"/>
      <c r="AV481" s="68"/>
      <c r="AW481" s="68"/>
      <c r="AX481" s="68"/>
      <c r="AY481" s="68"/>
      <c r="AZ481" s="68"/>
      <c r="BA481" s="68"/>
      <c r="BB481" s="68"/>
      <c r="BC481" s="68"/>
      <c r="BD481" s="68"/>
      <c r="BE481" s="68"/>
      <c r="BF481" s="68"/>
      <c r="BG481" s="68"/>
      <c r="BH481" s="68"/>
      <c r="BI481" s="68"/>
      <c r="BJ481" s="68"/>
      <c r="BK481" s="68"/>
      <c r="BL481" s="68"/>
      <c r="BM481" s="68"/>
      <c r="BN481" s="68"/>
    </row>
    <row r="482" spans="1:66" ht="17">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68"/>
      <c r="AG482" s="68"/>
      <c r="AH482" s="68"/>
      <c r="AI482" s="68"/>
      <c r="AJ482" s="68"/>
      <c r="AK482" s="68"/>
      <c r="AL482" s="68"/>
      <c r="AM482" s="68"/>
      <c r="AN482" s="68"/>
      <c r="AO482" s="68"/>
      <c r="AP482" s="68"/>
      <c r="AQ482" s="68"/>
      <c r="AR482" s="68"/>
      <c r="AS482" s="68"/>
      <c r="AT482" s="68"/>
      <c r="AU482" s="68"/>
      <c r="AV482" s="68"/>
      <c r="AW482" s="68"/>
      <c r="AX482" s="68"/>
      <c r="AY482" s="68"/>
      <c r="AZ482" s="68"/>
      <c r="BA482" s="68"/>
      <c r="BB482" s="68"/>
      <c r="BC482" s="68"/>
      <c r="BD482" s="68"/>
      <c r="BE482" s="68"/>
      <c r="BF482" s="68"/>
      <c r="BG482" s="68"/>
      <c r="BH482" s="68"/>
      <c r="BI482" s="68"/>
      <c r="BJ482" s="68"/>
      <c r="BK482" s="68"/>
      <c r="BL482" s="68"/>
      <c r="BM482" s="68"/>
      <c r="BN482" s="68"/>
    </row>
    <row r="483" spans="1:66" ht="17">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68"/>
      <c r="AG483" s="68"/>
      <c r="AH483" s="68"/>
      <c r="AI483" s="68"/>
      <c r="AJ483" s="68"/>
      <c r="AK483" s="68"/>
      <c r="AL483" s="68"/>
      <c r="AM483" s="68"/>
      <c r="AN483" s="68"/>
      <c r="AO483" s="68"/>
      <c r="AP483" s="68"/>
      <c r="AQ483" s="68"/>
      <c r="AR483" s="68"/>
      <c r="AS483" s="68"/>
      <c r="AT483" s="68"/>
      <c r="AU483" s="68"/>
      <c r="AV483" s="68"/>
      <c r="AW483" s="68"/>
      <c r="AX483" s="68"/>
      <c r="AY483" s="68"/>
      <c r="AZ483" s="68"/>
      <c r="BA483" s="68"/>
      <c r="BB483" s="68"/>
      <c r="BC483" s="68"/>
      <c r="BD483" s="68"/>
      <c r="BE483" s="68"/>
      <c r="BF483" s="68"/>
      <c r="BG483" s="68"/>
      <c r="BH483" s="68"/>
      <c r="BI483" s="68"/>
      <c r="BJ483" s="68"/>
      <c r="BK483" s="68"/>
      <c r="BL483" s="68"/>
      <c r="BM483" s="68"/>
      <c r="BN483" s="68"/>
    </row>
    <row r="484" spans="1:66" ht="17">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68"/>
      <c r="AG484" s="68"/>
      <c r="AH484" s="68"/>
      <c r="AI484" s="68"/>
      <c r="AJ484" s="68"/>
      <c r="AK484" s="68"/>
      <c r="AL484" s="68"/>
      <c r="AM484" s="68"/>
      <c r="AN484" s="68"/>
      <c r="AO484" s="68"/>
      <c r="AP484" s="68"/>
      <c r="AQ484" s="68"/>
      <c r="AR484" s="68"/>
      <c r="AS484" s="68"/>
      <c r="AT484" s="68"/>
      <c r="AU484" s="68"/>
      <c r="AV484" s="68"/>
      <c r="AW484" s="68"/>
      <c r="AX484" s="68"/>
      <c r="AY484" s="68"/>
      <c r="AZ484" s="68"/>
      <c r="BA484" s="68"/>
      <c r="BB484" s="68"/>
      <c r="BC484" s="68"/>
      <c r="BD484" s="68"/>
      <c r="BE484" s="68"/>
      <c r="BF484" s="68"/>
      <c r="BG484" s="68"/>
      <c r="BH484" s="68"/>
      <c r="BI484" s="68"/>
      <c r="BJ484" s="68"/>
      <c r="BK484" s="68"/>
      <c r="BL484" s="68"/>
      <c r="BM484" s="68"/>
      <c r="BN484" s="68"/>
    </row>
    <row r="485" spans="1:66" ht="17">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68"/>
      <c r="AG485" s="68"/>
      <c r="AH485" s="68"/>
      <c r="AI485" s="68"/>
      <c r="AJ485" s="68"/>
      <c r="AK485" s="68"/>
      <c r="AL485" s="68"/>
      <c r="AM485" s="68"/>
      <c r="AN485" s="68"/>
      <c r="AO485" s="68"/>
      <c r="AP485" s="68"/>
      <c r="AQ485" s="68"/>
      <c r="AR485" s="68"/>
      <c r="AS485" s="68"/>
      <c r="AT485" s="68"/>
      <c r="AU485" s="68"/>
      <c r="AV485" s="68"/>
      <c r="AW485" s="68"/>
      <c r="AX485" s="68"/>
      <c r="AY485" s="68"/>
      <c r="AZ485" s="68"/>
      <c r="BA485" s="68"/>
      <c r="BB485" s="68"/>
      <c r="BC485" s="68"/>
      <c r="BD485" s="68"/>
      <c r="BE485" s="68"/>
      <c r="BF485" s="68"/>
      <c r="BG485" s="68"/>
      <c r="BH485" s="68"/>
      <c r="BI485" s="68"/>
      <c r="BJ485" s="68"/>
      <c r="BK485" s="68"/>
      <c r="BL485" s="68"/>
      <c r="BM485" s="68"/>
      <c r="BN485" s="68"/>
    </row>
    <row r="486" spans="1:66" ht="17">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68"/>
      <c r="AG486" s="68"/>
      <c r="AH486" s="68"/>
      <c r="AI486" s="68"/>
      <c r="AJ486" s="68"/>
      <c r="AK486" s="68"/>
      <c r="AL486" s="68"/>
      <c r="AM486" s="68"/>
      <c r="AN486" s="68"/>
      <c r="AO486" s="68"/>
      <c r="AP486" s="68"/>
      <c r="AQ486" s="68"/>
      <c r="AR486" s="68"/>
      <c r="AS486" s="68"/>
      <c r="AT486" s="68"/>
      <c r="AU486" s="68"/>
      <c r="AV486" s="68"/>
      <c r="AW486" s="68"/>
      <c r="AX486" s="68"/>
      <c r="AY486" s="68"/>
      <c r="AZ486" s="68"/>
      <c r="BA486" s="68"/>
      <c r="BB486" s="68"/>
      <c r="BC486" s="68"/>
      <c r="BD486" s="68"/>
      <c r="BE486" s="68"/>
      <c r="BF486" s="68"/>
      <c r="BG486" s="68"/>
      <c r="BH486" s="68"/>
      <c r="BI486" s="68"/>
      <c r="BJ486" s="68"/>
      <c r="BK486" s="68"/>
      <c r="BL486" s="68"/>
      <c r="BM486" s="68"/>
      <c r="BN486" s="68"/>
    </row>
    <row r="487" spans="1:66" ht="1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68"/>
      <c r="AG487" s="68"/>
      <c r="AH487" s="68"/>
      <c r="AI487" s="68"/>
      <c r="AJ487" s="68"/>
      <c r="AK487" s="68"/>
      <c r="AL487" s="68"/>
      <c r="AM487" s="68"/>
      <c r="AN487" s="68"/>
      <c r="AO487" s="68"/>
      <c r="AP487" s="68"/>
      <c r="AQ487" s="68"/>
      <c r="AR487" s="68"/>
      <c r="AS487" s="68"/>
      <c r="AT487" s="68"/>
      <c r="AU487" s="68"/>
      <c r="AV487" s="68"/>
      <c r="AW487" s="68"/>
      <c r="AX487" s="68"/>
      <c r="AY487" s="68"/>
      <c r="AZ487" s="68"/>
      <c r="BA487" s="68"/>
      <c r="BB487" s="68"/>
      <c r="BC487" s="68"/>
      <c r="BD487" s="68"/>
      <c r="BE487" s="68"/>
      <c r="BF487" s="68"/>
      <c r="BG487" s="68"/>
      <c r="BH487" s="68"/>
      <c r="BI487" s="68"/>
      <c r="BJ487" s="68"/>
      <c r="BK487" s="68"/>
      <c r="BL487" s="68"/>
      <c r="BM487" s="68"/>
      <c r="BN487" s="68"/>
    </row>
    <row r="488" spans="1:66" ht="17">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68"/>
      <c r="AG488" s="68"/>
      <c r="AH488" s="68"/>
      <c r="AI488" s="68"/>
      <c r="AJ488" s="68"/>
      <c r="AK488" s="68"/>
      <c r="AL488" s="68"/>
      <c r="AM488" s="68"/>
      <c r="AN488" s="68"/>
      <c r="AO488" s="68"/>
      <c r="AP488" s="68"/>
      <c r="AQ488" s="68"/>
      <c r="AR488" s="68"/>
      <c r="AS488" s="68"/>
      <c r="AT488" s="68"/>
      <c r="AU488" s="68"/>
      <c r="AV488" s="68"/>
      <c r="AW488" s="68"/>
      <c r="AX488" s="68"/>
      <c r="AY488" s="68"/>
      <c r="AZ488" s="68"/>
      <c r="BA488" s="68"/>
      <c r="BB488" s="68"/>
      <c r="BC488" s="68"/>
      <c r="BD488" s="68"/>
      <c r="BE488" s="68"/>
      <c r="BF488" s="68"/>
      <c r="BG488" s="68"/>
      <c r="BH488" s="68"/>
      <c r="BI488" s="68"/>
      <c r="BJ488" s="68"/>
      <c r="BK488" s="68"/>
      <c r="BL488" s="68"/>
      <c r="BM488" s="68"/>
      <c r="BN488" s="68"/>
    </row>
    <row r="489" spans="1:66" ht="17">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68"/>
      <c r="AG489" s="68"/>
      <c r="AH489" s="68"/>
      <c r="AI489" s="68"/>
      <c r="AJ489" s="68"/>
      <c r="AK489" s="68"/>
      <c r="AL489" s="68"/>
      <c r="AM489" s="68"/>
      <c r="AN489" s="68"/>
      <c r="AO489" s="68"/>
      <c r="AP489" s="68"/>
      <c r="AQ489" s="68"/>
      <c r="AR489" s="68"/>
      <c r="AS489" s="68"/>
      <c r="AT489" s="68"/>
      <c r="AU489" s="68"/>
      <c r="AV489" s="68"/>
      <c r="AW489" s="68"/>
      <c r="AX489" s="68"/>
      <c r="AY489" s="68"/>
      <c r="AZ489" s="68"/>
      <c r="BA489" s="68"/>
      <c r="BB489" s="68"/>
      <c r="BC489" s="68"/>
      <c r="BD489" s="68"/>
      <c r="BE489" s="68"/>
      <c r="BF489" s="68"/>
      <c r="BG489" s="68"/>
      <c r="BH489" s="68"/>
      <c r="BI489" s="68"/>
      <c r="BJ489" s="68"/>
      <c r="BK489" s="68"/>
      <c r="BL489" s="68"/>
      <c r="BM489" s="68"/>
      <c r="BN489" s="68"/>
    </row>
    <row r="490" spans="1:66" ht="17">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68"/>
      <c r="AG490" s="68"/>
      <c r="AH490" s="68"/>
      <c r="AI490" s="68"/>
      <c r="AJ490" s="68"/>
      <c r="AK490" s="68"/>
      <c r="AL490" s="68"/>
      <c r="AM490" s="68"/>
      <c r="AN490" s="68"/>
      <c r="AO490" s="68"/>
      <c r="AP490" s="68"/>
      <c r="AQ490" s="68"/>
      <c r="AR490" s="68"/>
      <c r="AS490" s="68"/>
      <c r="AT490" s="68"/>
      <c r="AU490" s="68"/>
      <c r="AV490" s="68"/>
      <c r="AW490" s="68"/>
      <c r="AX490" s="68"/>
      <c r="AY490" s="68"/>
      <c r="AZ490" s="68"/>
      <c r="BA490" s="68"/>
      <c r="BB490" s="68"/>
      <c r="BC490" s="68"/>
      <c r="BD490" s="68"/>
      <c r="BE490" s="68"/>
      <c r="BF490" s="68"/>
      <c r="BG490" s="68"/>
      <c r="BH490" s="68"/>
      <c r="BI490" s="68"/>
      <c r="BJ490" s="68"/>
      <c r="BK490" s="68"/>
      <c r="BL490" s="68"/>
      <c r="BM490" s="68"/>
      <c r="BN490" s="68"/>
    </row>
    <row r="491" spans="1:66" ht="17">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68"/>
      <c r="AG491" s="68"/>
      <c r="AH491" s="68"/>
      <c r="AI491" s="68"/>
      <c r="AJ491" s="68"/>
      <c r="AK491" s="68"/>
      <c r="AL491" s="68"/>
      <c r="AM491" s="68"/>
      <c r="AN491" s="68"/>
      <c r="AO491" s="68"/>
      <c r="AP491" s="68"/>
      <c r="AQ491" s="68"/>
      <c r="AR491" s="68"/>
      <c r="AS491" s="68"/>
      <c r="AT491" s="68"/>
      <c r="AU491" s="68"/>
      <c r="AV491" s="68"/>
      <c r="AW491" s="68"/>
      <c r="AX491" s="68"/>
      <c r="AY491" s="68"/>
      <c r="AZ491" s="68"/>
      <c r="BA491" s="68"/>
      <c r="BB491" s="68"/>
      <c r="BC491" s="68"/>
      <c r="BD491" s="68"/>
      <c r="BE491" s="68"/>
      <c r="BF491" s="68"/>
      <c r="BG491" s="68"/>
      <c r="BH491" s="68"/>
      <c r="BI491" s="68"/>
      <c r="BJ491" s="68"/>
      <c r="BK491" s="68"/>
      <c r="BL491" s="68"/>
      <c r="BM491" s="68"/>
      <c r="BN491" s="68"/>
    </row>
    <row r="492" spans="1:66" ht="17">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68"/>
      <c r="AG492" s="68"/>
      <c r="AH492" s="68"/>
      <c r="AI492" s="68"/>
      <c r="AJ492" s="68"/>
      <c r="AK492" s="68"/>
      <c r="AL492" s="68"/>
      <c r="AM492" s="68"/>
      <c r="AN492" s="68"/>
      <c r="AO492" s="68"/>
      <c r="AP492" s="68"/>
      <c r="AQ492" s="68"/>
      <c r="AR492" s="68"/>
      <c r="AS492" s="68"/>
      <c r="AT492" s="68"/>
      <c r="AU492" s="68"/>
      <c r="AV492" s="68"/>
      <c r="AW492" s="68"/>
      <c r="AX492" s="68"/>
      <c r="AY492" s="68"/>
      <c r="AZ492" s="68"/>
      <c r="BA492" s="68"/>
      <c r="BB492" s="68"/>
      <c r="BC492" s="68"/>
      <c r="BD492" s="68"/>
      <c r="BE492" s="68"/>
      <c r="BF492" s="68"/>
      <c r="BG492" s="68"/>
      <c r="BH492" s="68"/>
      <c r="BI492" s="68"/>
      <c r="BJ492" s="68"/>
      <c r="BK492" s="68"/>
      <c r="BL492" s="68"/>
      <c r="BM492" s="68"/>
      <c r="BN492" s="68"/>
    </row>
    <row r="493" spans="1:66" ht="17">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68"/>
      <c r="AG493" s="68"/>
      <c r="AH493" s="68"/>
      <c r="AI493" s="68"/>
      <c r="AJ493" s="68"/>
      <c r="AK493" s="68"/>
      <c r="AL493" s="68"/>
      <c r="AM493" s="68"/>
      <c r="AN493" s="68"/>
      <c r="AO493" s="68"/>
      <c r="AP493" s="68"/>
      <c r="AQ493" s="68"/>
      <c r="AR493" s="68"/>
      <c r="AS493" s="68"/>
      <c r="AT493" s="68"/>
      <c r="AU493" s="68"/>
      <c r="AV493" s="68"/>
      <c r="AW493" s="68"/>
      <c r="AX493" s="68"/>
      <c r="AY493" s="68"/>
      <c r="AZ493" s="68"/>
      <c r="BA493" s="68"/>
      <c r="BB493" s="68"/>
      <c r="BC493" s="68"/>
      <c r="BD493" s="68"/>
      <c r="BE493" s="68"/>
      <c r="BF493" s="68"/>
      <c r="BG493" s="68"/>
      <c r="BH493" s="68"/>
      <c r="BI493" s="68"/>
      <c r="BJ493" s="68"/>
      <c r="BK493" s="68"/>
      <c r="BL493" s="68"/>
      <c r="BM493" s="68"/>
      <c r="BN493" s="68"/>
    </row>
    <row r="494" spans="1:66" ht="17">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68"/>
      <c r="AG494" s="68"/>
      <c r="AH494" s="68"/>
      <c r="AI494" s="68"/>
      <c r="AJ494" s="68"/>
      <c r="AK494" s="68"/>
      <c r="AL494" s="68"/>
      <c r="AM494" s="68"/>
      <c r="AN494" s="68"/>
      <c r="AO494" s="68"/>
      <c r="AP494" s="68"/>
      <c r="AQ494" s="68"/>
      <c r="AR494" s="68"/>
      <c r="AS494" s="68"/>
      <c r="AT494" s="68"/>
      <c r="AU494" s="68"/>
      <c r="AV494" s="68"/>
      <c r="AW494" s="68"/>
      <c r="AX494" s="68"/>
      <c r="AY494" s="68"/>
      <c r="AZ494" s="68"/>
      <c r="BA494" s="68"/>
      <c r="BB494" s="68"/>
      <c r="BC494" s="68"/>
      <c r="BD494" s="68"/>
      <c r="BE494" s="68"/>
      <c r="BF494" s="68"/>
      <c r="BG494" s="68"/>
      <c r="BH494" s="68"/>
      <c r="BI494" s="68"/>
      <c r="BJ494" s="68"/>
      <c r="BK494" s="68"/>
      <c r="BL494" s="68"/>
      <c r="BM494" s="68"/>
      <c r="BN494" s="68"/>
    </row>
    <row r="495" spans="1:66" ht="17">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68"/>
      <c r="AG495" s="68"/>
      <c r="AH495" s="68"/>
      <c r="AI495" s="68"/>
      <c r="AJ495" s="68"/>
      <c r="AK495" s="68"/>
      <c r="AL495" s="68"/>
      <c r="AM495" s="68"/>
      <c r="AN495" s="68"/>
      <c r="AO495" s="68"/>
      <c r="AP495" s="68"/>
      <c r="AQ495" s="68"/>
      <c r="AR495" s="68"/>
      <c r="AS495" s="68"/>
      <c r="AT495" s="68"/>
      <c r="AU495" s="68"/>
      <c r="AV495" s="68"/>
      <c r="AW495" s="68"/>
      <c r="AX495" s="68"/>
      <c r="AY495" s="68"/>
      <c r="AZ495" s="68"/>
      <c r="BA495" s="68"/>
      <c r="BB495" s="68"/>
      <c r="BC495" s="68"/>
      <c r="BD495" s="68"/>
      <c r="BE495" s="68"/>
      <c r="BF495" s="68"/>
      <c r="BG495" s="68"/>
      <c r="BH495" s="68"/>
      <c r="BI495" s="68"/>
      <c r="BJ495" s="68"/>
      <c r="BK495" s="68"/>
      <c r="BL495" s="68"/>
      <c r="BM495" s="68"/>
      <c r="BN495" s="68"/>
    </row>
    <row r="496" spans="1:66" ht="17">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68"/>
      <c r="AG496" s="68"/>
      <c r="AH496" s="68"/>
      <c r="AI496" s="68"/>
      <c r="AJ496" s="68"/>
      <c r="AK496" s="68"/>
      <c r="AL496" s="68"/>
      <c r="AM496" s="68"/>
      <c r="AN496" s="68"/>
      <c r="AO496" s="68"/>
      <c r="AP496" s="68"/>
      <c r="AQ496" s="68"/>
      <c r="AR496" s="68"/>
      <c r="AS496" s="68"/>
      <c r="AT496" s="68"/>
      <c r="AU496" s="68"/>
      <c r="AV496" s="68"/>
      <c r="AW496" s="68"/>
      <c r="AX496" s="68"/>
      <c r="AY496" s="68"/>
      <c r="AZ496" s="68"/>
      <c r="BA496" s="68"/>
      <c r="BB496" s="68"/>
      <c r="BC496" s="68"/>
      <c r="BD496" s="68"/>
      <c r="BE496" s="68"/>
      <c r="BF496" s="68"/>
      <c r="BG496" s="68"/>
      <c r="BH496" s="68"/>
      <c r="BI496" s="68"/>
      <c r="BJ496" s="68"/>
      <c r="BK496" s="68"/>
      <c r="BL496" s="68"/>
      <c r="BM496" s="68"/>
      <c r="BN496" s="68"/>
    </row>
    <row r="497" spans="1:66" ht="1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68"/>
      <c r="AG497" s="68"/>
      <c r="AH497" s="68"/>
      <c r="AI497" s="68"/>
      <c r="AJ497" s="68"/>
      <c r="AK497" s="68"/>
      <c r="AL497" s="68"/>
      <c r="AM497" s="68"/>
      <c r="AN497" s="68"/>
      <c r="AO497" s="68"/>
      <c r="AP497" s="68"/>
      <c r="AQ497" s="68"/>
      <c r="AR497" s="68"/>
      <c r="AS497" s="68"/>
      <c r="AT497" s="68"/>
      <c r="AU497" s="68"/>
      <c r="AV497" s="68"/>
      <c r="AW497" s="68"/>
      <c r="AX497" s="68"/>
      <c r="AY497" s="68"/>
      <c r="AZ497" s="68"/>
      <c r="BA497" s="68"/>
      <c r="BB497" s="68"/>
      <c r="BC497" s="68"/>
      <c r="BD497" s="68"/>
      <c r="BE497" s="68"/>
      <c r="BF497" s="68"/>
      <c r="BG497" s="68"/>
      <c r="BH497" s="68"/>
      <c r="BI497" s="68"/>
      <c r="BJ497" s="68"/>
      <c r="BK497" s="68"/>
      <c r="BL497" s="68"/>
      <c r="BM497" s="68"/>
      <c r="BN497" s="68"/>
    </row>
    <row r="498" spans="1:66" ht="17">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68"/>
      <c r="AG498" s="68"/>
      <c r="AH498" s="68"/>
      <c r="AI498" s="68"/>
      <c r="AJ498" s="68"/>
      <c r="AK498" s="68"/>
      <c r="AL498" s="68"/>
      <c r="AM498" s="68"/>
      <c r="AN498" s="68"/>
      <c r="AO498" s="68"/>
      <c r="AP498" s="68"/>
      <c r="AQ498" s="68"/>
      <c r="AR498" s="68"/>
      <c r="AS498" s="68"/>
      <c r="AT498" s="68"/>
      <c r="AU498" s="68"/>
      <c r="AV498" s="68"/>
      <c r="AW498" s="68"/>
      <c r="AX498" s="68"/>
      <c r="AY498" s="68"/>
      <c r="AZ498" s="68"/>
      <c r="BA498" s="68"/>
      <c r="BB498" s="68"/>
      <c r="BC498" s="68"/>
      <c r="BD498" s="68"/>
      <c r="BE498" s="68"/>
      <c r="BF498" s="68"/>
      <c r="BG498" s="68"/>
      <c r="BH498" s="68"/>
      <c r="BI498" s="68"/>
      <c r="BJ498" s="68"/>
      <c r="BK498" s="68"/>
      <c r="BL498" s="68"/>
      <c r="BM498" s="68"/>
      <c r="BN498" s="68"/>
    </row>
    <row r="499" spans="1:66" ht="17">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68"/>
      <c r="AG499" s="68"/>
      <c r="AH499" s="68"/>
      <c r="AI499" s="68"/>
      <c r="AJ499" s="68"/>
      <c r="AK499" s="68"/>
      <c r="AL499" s="68"/>
      <c r="AM499" s="68"/>
      <c r="AN499" s="68"/>
      <c r="AO499" s="68"/>
      <c r="AP499" s="68"/>
      <c r="AQ499" s="68"/>
      <c r="AR499" s="68"/>
      <c r="AS499" s="68"/>
      <c r="AT499" s="68"/>
      <c r="AU499" s="68"/>
      <c r="AV499" s="68"/>
      <c r="AW499" s="68"/>
      <c r="AX499" s="68"/>
      <c r="AY499" s="68"/>
      <c r="AZ499" s="68"/>
      <c r="BA499" s="68"/>
      <c r="BB499" s="68"/>
      <c r="BC499" s="68"/>
      <c r="BD499" s="68"/>
      <c r="BE499" s="68"/>
      <c r="BF499" s="68"/>
      <c r="BG499" s="68"/>
      <c r="BH499" s="68"/>
      <c r="BI499" s="68"/>
      <c r="BJ499" s="68"/>
      <c r="BK499" s="68"/>
      <c r="BL499" s="68"/>
      <c r="BM499" s="68"/>
      <c r="BN499" s="68"/>
    </row>
    <row r="500" spans="1:66" ht="17">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68"/>
      <c r="AG500" s="68"/>
      <c r="AH500" s="68"/>
      <c r="AI500" s="68"/>
      <c r="AJ500" s="68"/>
      <c r="AK500" s="68"/>
      <c r="AL500" s="68"/>
      <c r="AM500" s="68"/>
      <c r="AN500" s="68"/>
      <c r="AO500" s="68"/>
      <c r="AP500" s="68"/>
      <c r="AQ500" s="68"/>
      <c r="AR500" s="68"/>
      <c r="AS500" s="68"/>
      <c r="AT500" s="68"/>
      <c r="AU500" s="68"/>
      <c r="AV500" s="68"/>
      <c r="AW500" s="68"/>
      <c r="AX500" s="68"/>
      <c r="AY500" s="68"/>
      <c r="AZ500" s="68"/>
      <c r="BA500" s="68"/>
      <c r="BB500" s="68"/>
      <c r="BC500" s="68"/>
      <c r="BD500" s="68"/>
      <c r="BE500" s="68"/>
      <c r="BF500" s="68"/>
      <c r="BG500" s="68"/>
      <c r="BH500" s="68"/>
      <c r="BI500" s="68"/>
      <c r="BJ500" s="68"/>
      <c r="BK500" s="68"/>
      <c r="BL500" s="68"/>
      <c r="BM500" s="68"/>
      <c r="BN500" s="68"/>
    </row>
    <row r="501" spans="1:66" ht="17">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68"/>
      <c r="AG501" s="68"/>
      <c r="AH501" s="68"/>
      <c r="AI501" s="68"/>
      <c r="AJ501" s="68"/>
      <c r="AK501" s="68"/>
      <c r="AL501" s="68"/>
      <c r="AM501" s="68"/>
      <c r="AN501" s="68"/>
      <c r="AO501" s="68"/>
      <c r="AP501" s="68"/>
      <c r="AQ501" s="68"/>
      <c r="AR501" s="68"/>
      <c r="AS501" s="68"/>
      <c r="AT501" s="68"/>
      <c r="AU501" s="68"/>
      <c r="AV501" s="68"/>
      <c r="AW501" s="68"/>
      <c r="AX501" s="68"/>
      <c r="AY501" s="68"/>
      <c r="AZ501" s="68"/>
      <c r="BA501" s="68"/>
      <c r="BB501" s="68"/>
      <c r="BC501" s="68"/>
      <c r="BD501" s="68"/>
      <c r="BE501" s="68"/>
      <c r="BF501" s="68"/>
      <c r="BG501" s="68"/>
      <c r="BH501" s="68"/>
      <c r="BI501" s="68"/>
      <c r="BJ501" s="68"/>
      <c r="BK501" s="68"/>
      <c r="BL501" s="68"/>
      <c r="BM501" s="68"/>
      <c r="BN501" s="68"/>
    </row>
    <row r="502" spans="1:66" ht="17">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68"/>
      <c r="AG502" s="68"/>
      <c r="AH502" s="68"/>
      <c r="AI502" s="68"/>
      <c r="AJ502" s="68"/>
      <c r="AK502" s="68"/>
      <c r="AL502" s="68"/>
      <c r="AM502" s="68"/>
      <c r="AN502" s="68"/>
      <c r="AO502" s="68"/>
      <c r="AP502" s="68"/>
      <c r="AQ502" s="68"/>
      <c r="AR502" s="68"/>
      <c r="AS502" s="68"/>
      <c r="AT502" s="68"/>
      <c r="AU502" s="68"/>
      <c r="AV502" s="68"/>
      <c r="AW502" s="68"/>
      <c r="AX502" s="68"/>
      <c r="AY502" s="68"/>
      <c r="AZ502" s="68"/>
      <c r="BA502" s="68"/>
      <c r="BB502" s="68"/>
      <c r="BC502" s="68"/>
      <c r="BD502" s="68"/>
      <c r="BE502" s="68"/>
      <c r="BF502" s="68"/>
      <c r="BG502" s="68"/>
      <c r="BH502" s="68"/>
      <c r="BI502" s="68"/>
      <c r="BJ502" s="68"/>
      <c r="BK502" s="68"/>
      <c r="BL502" s="68"/>
      <c r="BM502" s="68"/>
      <c r="BN502" s="68"/>
    </row>
    <row r="503" spans="1:66" ht="17">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68"/>
      <c r="AG503" s="68"/>
      <c r="AH503" s="68"/>
      <c r="AI503" s="68"/>
      <c r="AJ503" s="68"/>
      <c r="AK503" s="68"/>
      <c r="AL503" s="68"/>
      <c r="AM503" s="68"/>
      <c r="AN503" s="68"/>
      <c r="AO503" s="68"/>
      <c r="AP503" s="68"/>
      <c r="AQ503" s="68"/>
      <c r="AR503" s="68"/>
      <c r="AS503" s="68"/>
      <c r="AT503" s="68"/>
      <c r="AU503" s="68"/>
      <c r="AV503" s="68"/>
      <c r="AW503" s="68"/>
      <c r="AX503" s="68"/>
      <c r="AY503" s="68"/>
      <c r="AZ503" s="68"/>
      <c r="BA503" s="68"/>
      <c r="BB503" s="68"/>
      <c r="BC503" s="68"/>
      <c r="BD503" s="68"/>
      <c r="BE503" s="68"/>
      <c r="BF503" s="68"/>
      <c r="BG503" s="68"/>
      <c r="BH503" s="68"/>
      <c r="BI503" s="68"/>
      <c r="BJ503" s="68"/>
      <c r="BK503" s="68"/>
      <c r="BL503" s="68"/>
      <c r="BM503" s="68"/>
      <c r="BN503" s="68"/>
    </row>
    <row r="504" spans="1:66" ht="17">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c r="AG504" s="68"/>
      <c r="AH504" s="68"/>
      <c r="AI504" s="68"/>
      <c r="AJ504" s="68"/>
      <c r="AK504" s="68"/>
      <c r="AL504" s="68"/>
      <c r="AM504" s="68"/>
      <c r="AN504" s="68"/>
      <c r="AO504" s="68"/>
      <c r="AP504" s="68"/>
      <c r="AQ504" s="68"/>
      <c r="AR504" s="68"/>
      <c r="AS504" s="68"/>
      <c r="AT504" s="68"/>
      <c r="AU504" s="68"/>
      <c r="AV504" s="68"/>
      <c r="AW504" s="68"/>
      <c r="AX504" s="68"/>
      <c r="AY504" s="68"/>
      <c r="AZ504" s="68"/>
      <c r="BA504" s="68"/>
      <c r="BB504" s="68"/>
      <c r="BC504" s="68"/>
      <c r="BD504" s="68"/>
      <c r="BE504" s="68"/>
      <c r="BF504" s="68"/>
      <c r="BG504" s="68"/>
      <c r="BH504" s="68"/>
      <c r="BI504" s="68"/>
      <c r="BJ504" s="68"/>
      <c r="BK504" s="68"/>
      <c r="BL504" s="68"/>
      <c r="BM504" s="68"/>
      <c r="BN504" s="68"/>
    </row>
    <row r="505" spans="1:66" ht="17">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68"/>
      <c r="AG505" s="68"/>
      <c r="AH505" s="68"/>
      <c r="AI505" s="68"/>
      <c r="AJ505" s="68"/>
      <c r="AK505" s="68"/>
      <c r="AL505" s="68"/>
      <c r="AM505" s="68"/>
      <c r="AN505" s="68"/>
      <c r="AO505" s="68"/>
      <c r="AP505" s="68"/>
      <c r="AQ505" s="68"/>
      <c r="AR505" s="68"/>
      <c r="AS505" s="68"/>
      <c r="AT505" s="68"/>
      <c r="AU505" s="68"/>
      <c r="AV505" s="68"/>
      <c r="AW505" s="68"/>
      <c r="AX505" s="68"/>
      <c r="AY505" s="68"/>
      <c r="AZ505" s="68"/>
      <c r="BA505" s="68"/>
      <c r="BB505" s="68"/>
      <c r="BC505" s="68"/>
      <c r="BD505" s="68"/>
      <c r="BE505" s="68"/>
      <c r="BF505" s="68"/>
      <c r="BG505" s="68"/>
      <c r="BH505" s="68"/>
      <c r="BI505" s="68"/>
      <c r="BJ505" s="68"/>
      <c r="BK505" s="68"/>
      <c r="BL505" s="68"/>
      <c r="BM505" s="68"/>
      <c r="BN505" s="68"/>
    </row>
    <row r="506" spans="1:66" ht="17">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c r="AG506" s="68"/>
      <c r="AH506" s="68"/>
      <c r="AI506" s="68"/>
      <c r="AJ506" s="68"/>
      <c r="AK506" s="68"/>
      <c r="AL506" s="68"/>
      <c r="AM506" s="68"/>
      <c r="AN506" s="68"/>
      <c r="AO506" s="68"/>
      <c r="AP506" s="68"/>
      <c r="AQ506" s="68"/>
      <c r="AR506" s="68"/>
      <c r="AS506" s="68"/>
      <c r="AT506" s="68"/>
      <c r="AU506" s="68"/>
      <c r="AV506" s="68"/>
      <c r="AW506" s="68"/>
      <c r="AX506" s="68"/>
      <c r="AY506" s="68"/>
      <c r="AZ506" s="68"/>
      <c r="BA506" s="68"/>
      <c r="BB506" s="68"/>
      <c r="BC506" s="68"/>
      <c r="BD506" s="68"/>
      <c r="BE506" s="68"/>
      <c r="BF506" s="68"/>
      <c r="BG506" s="68"/>
      <c r="BH506" s="68"/>
      <c r="BI506" s="68"/>
      <c r="BJ506" s="68"/>
      <c r="BK506" s="68"/>
      <c r="BL506" s="68"/>
      <c r="BM506" s="68"/>
      <c r="BN506" s="68"/>
    </row>
    <row r="507" spans="1:66" ht="1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68"/>
      <c r="AG507" s="68"/>
      <c r="AH507" s="68"/>
      <c r="AI507" s="68"/>
      <c r="AJ507" s="68"/>
      <c r="AK507" s="68"/>
      <c r="AL507" s="68"/>
      <c r="AM507" s="68"/>
      <c r="AN507" s="68"/>
      <c r="AO507" s="68"/>
      <c r="AP507" s="68"/>
      <c r="AQ507" s="68"/>
      <c r="AR507" s="68"/>
      <c r="AS507" s="68"/>
      <c r="AT507" s="68"/>
      <c r="AU507" s="68"/>
      <c r="AV507" s="68"/>
      <c r="AW507" s="68"/>
      <c r="AX507" s="68"/>
      <c r="AY507" s="68"/>
      <c r="AZ507" s="68"/>
      <c r="BA507" s="68"/>
      <c r="BB507" s="68"/>
      <c r="BC507" s="68"/>
      <c r="BD507" s="68"/>
      <c r="BE507" s="68"/>
      <c r="BF507" s="68"/>
      <c r="BG507" s="68"/>
      <c r="BH507" s="68"/>
      <c r="BI507" s="68"/>
      <c r="BJ507" s="68"/>
      <c r="BK507" s="68"/>
      <c r="BL507" s="68"/>
      <c r="BM507" s="68"/>
      <c r="BN507" s="68"/>
    </row>
    <row r="508" spans="1:66" ht="17">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c r="AG508" s="68"/>
      <c r="AH508" s="68"/>
      <c r="AI508" s="68"/>
      <c r="AJ508" s="68"/>
      <c r="AK508" s="68"/>
      <c r="AL508" s="68"/>
      <c r="AM508" s="68"/>
      <c r="AN508" s="68"/>
      <c r="AO508" s="68"/>
      <c r="AP508" s="68"/>
      <c r="AQ508" s="68"/>
      <c r="AR508" s="68"/>
      <c r="AS508" s="68"/>
      <c r="AT508" s="68"/>
      <c r="AU508" s="68"/>
      <c r="AV508" s="68"/>
      <c r="AW508" s="68"/>
      <c r="AX508" s="68"/>
      <c r="AY508" s="68"/>
      <c r="AZ508" s="68"/>
      <c r="BA508" s="68"/>
      <c r="BB508" s="68"/>
      <c r="BC508" s="68"/>
      <c r="BD508" s="68"/>
      <c r="BE508" s="68"/>
      <c r="BF508" s="68"/>
      <c r="BG508" s="68"/>
      <c r="BH508" s="68"/>
      <c r="BI508" s="68"/>
      <c r="BJ508" s="68"/>
      <c r="BK508" s="68"/>
      <c r="BL508" s="68"/>
      <c r="BM508" s="68"/>
      <c r="BN508" s="68"/>
    </row>
    <row r="509" spans="1:66" ht="17">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68"/>
      <c r="AG509" s="68"/>
      <c r="AH509" s="68"/>
      <c r="AI509" s="68"/>
      <c r="AJ509" s="68"/>
      <c r="AK509" s="68"/>
      <c r="AL509" s="68"/>
      <c r="AM509" s="68"/>
      <c r="AN509" s="68"/>
      <c r="AO509" s="68"/>
      <c r="AP509" s="68"/>
      <c r="AQ509" s="68"/>
      <c r="AR509" s="68"/>
      <c r="AS509" s="68"/>
      <c r="AT509" s="68"/>
      <c r="AU509" s="68"/>
      <c r="AV509" s="68"/>
      <c r="AW509" s="68"/>
      <c r="AX509" s="68"/>
      <c r="AY509" s="68"/>
      <c r="AZ509" s="68"/>
      <c r="BA509" s="68"/>
      <c r="BB509" s="68"/>
      <c r="BC509" s="68"/>
      <c r="BD509" s="68"/>
      <c r="BE509" s="68"/>
      <c r="BF509" s="68"/>
      <c r="BG509" s="68"/>
      <c r="BH509" s="68"/>
      <c r="BI509" s="68"/>
      <c r="BJ509" s="68"/>
      <c r="BK509" s="68"/>
      <c r="BL509" s="68"/>
      <c r="BM509" s="68"/>
      <c r="BN509" s="68"/>
    </row>
    <row r="510" spans="1:66" ht="17">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c r="AG510" s="68"/>
      <c r="AH510" s="68"/>
      <c r="AI510" s="68"/>
      <c r="AJ510" s="68"/>
      <c r="AK510" s="68"/>
      <c r="AL510" s="68"/>
      <c r="AM510" s="68"/>
      <c r="AN510" s="68"/>
      <c r="AO510" s="68"/>
      <c r="AP510" s="68"/>
      <c r="AQ510" s="68"/>
      <c r="AR510" s="68"/>
      <c r="AS510" s="68"/>
      <c r="AT510" s="68"/>
      <c r="AU510" s="68"/>
      <c r="AV510" s="68"/>
      <c r="AW510" s="68"/>
      <c r="AX510" s="68"/>
      <c r="AY510" s="68"/>
      <c r="AZ510" s="68"/>
      <c r="BA510" s="68"/>
      <c r="BB510" s="68"/>
      <c r="BC510" s="68"/>
      <c r="BD510" s="68"/>
      <c r="BE510" s="68"/>
      <c r="BF510" s="68"/>
      <c r="BG510" s="68"/>
      <c r="BH510" s="68"/>
      <c r="BI510" s="68"/>
      <c r="BJ510" s="68"/>
      <c r="BK510" s="68"/>
      <c r="BL510" s="68"/>
      <c r="BM510" s="68"/>
      <c r="BN510" s="68"/>
    </row>
    <row r="511" spans="1:66" ht="17">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68"/>
      <c r="AG511" s="68"/>
      <c r="AH511" s="68"/>
      <c r="AI511" s="68"/>
      <c r="AJ511" s="68"/>
      <c r="AK511" s="68"/>
      <c r="AL511" s="68"/>
      <c r="AM511" s="68"/>
      <c r="AN511" s="68"/>
      <c r="AO511" s="68"/>
      <c r="AP511" s="68"/>
      <c r="AQ511" s="68"/>
      <c r="AR511" s="68"/>
      <c r="AS511" s="68"/>
      <c r="AT511" s="68"/>
      <c r="AU511" s="68"/>
      <c r="AV511" s="68"/>
      <c r="AW511" s="68"/>
      <c r="AX511" s="68"/>
      <c r="AY511" s="68"/>
      <c r="AZ511" s="68"/>
      <c r="BA511" s="68"/>
      <c r="BB511" s="68"/>
      <c r="BC511" s="68"/>
      <c r="BD511" s="68"/>
      <c r="BE511" s="68"/>
      <c r="BF511" s="68"/>
      <c r="BG511" s="68"/>
      <c r="BH511" s="68"/>
      <c r="BI511" s="68"/>
      <c r="BJ511" s="68"/>
      <c r="BK511" s="68"/>
      <c r="BL511" s="68"/>
      <c r="BM511" s="68"/>
      <c r="BN511" s="68"/>
    </row>
    <row r="512" spans="1:66" ht="17">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68"/>
      <c r="AG512" s="68"/>
      <c r="AH512" s="68"/>
      <c r="AI512" s="68"/>
      <c r="AJ512" s="68"/>
      <c r="AK512" s="68"/>
      <c r="AL512" s="68"/>
      <c r="AM512" s="68"/>
      <c r="AN512" s="68"/>
      <c r="AO512" s="68"/>
      <c r="AP512" s="68"/>
      <c r="AQ512" s="68"/>
      <c r="AR512" s="68"/>
      <c r="AS512" s="68"/>
      <c r="AT512" s="68"/>
      <c r="AU512" s="68"/>
      <c r="AV512" s="68"/>
      <c r="AW512" s="68"/>
      <c r="AX512" s="68"/>
      <c r="AY512" s="68"/>
      <c r="AZ512" s="68"/>
      <c r="BA512" s="68"/>
      <c r="BB512" s="68"/>
      <c r="BC512" s="68"/>
      <c r="BD512" s="68"/>
      <c r="BE512" s="68"/>
      <c r="BF512" s="68"/>
      <c r="BG512" s="68"/>
      <c r="BH512" s="68"/>
      <c r="BI512" s="68"/>
      <c r="BJ512" s="68"/>
      <c r="BK512" s="68"/>
      <c r="BL512" s="68"/>
      <c r="BM512" s="68"/>
      <c r="BN512" s="68"/>
    </row>
    <row r="513" spans="1:66" ht="17">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68"/>
      <c r="AG513" s="68"/>
      <c r="AH513" s="68"/>
      <c r="AI513" s="68"/>
      <c r="AJ513" s="68"/>
      <c r="AK513" s="68"/>
      <c r="AL513" s="68"/>
      <c r="AM513" s="68"/>
      <c r="AN513" s="68"/>
      <c r="AO513" s="68"/>
      <c r="AP513" s="68"/>
      <c r="AQ513" s="68"/>
      <c r="AR513" s="68"/>
      <c r="AS513" s="68"/>
      <c r="AT513" s="68"/>
      <c r="AU513" s="68"/>
      <c r="AV513" s="68"/>
      <c r="AW513" s="68"/>
      <c r="AX513" s="68"/>
      <c r="AY513" s="68"/>
      <c r="AZ513" s="68"/>
      <c r="BA513" s="68"/>
      <c r="BB513" s="68"/>
      <c r="BC513" s="68"/>
      <c r="BD513" s="68"/>
      <c r="BE513" s="68"/>
      <c r="BF513" s="68"/>
      <c r="BG513" s="68"/>
      <c r="BH513" s="68"/>
      <c r="BI513" s="68"/>
      <c r="BJ513" s="68"/>
      <c r="BK513" s="68"/>
      <c r="BL513" s="68"/>
      <c r="BM513" s="68"/>
      <c r="BN513" s="68"/>
    </row>
    <row r="514" spans="1:66" ht="17">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68"/>
      <c r="AG514" s="68"/>
      <c r="AH514" s="68"/>
      <c r="AI514" s="68"/>
      <c r="AJ514" s="68"/>
      <c r="AK514" s="68"/>
      <c r="AL514" s="68"/>
      <c r="AM514" s="68"/>
      <c r="AN514" s="68"/>
      <c r="AO514" s="68"/>
      <c r="AP514" s="68"/>
      <c r="AQ514" s="68"/>
      <c r="AR514" s="68"/>
      <c r="AS514" s="68"/>
      <c r="AT514" s="68"/>
      <c r="AU514" s="68"/>
      <c r="AV514" s="68"/>
      <c r="AW514" s="68"/>
      <c r="AX514" s="68"/>
      <c r="AY514" s="68"/>
      <c r="AZ514" s="68"/>
      <c r="BA514" s="68"/>
      <c r="BB514" s="68"/>
      <c r="BC514" s="68"/>
      <c r="BD514" s="68"/>
      <c r="BE514" s="68"/>
      <c r="BF514" s="68"/>
      <c r="BG514" s="68"/>
      <c r="BH514" s="68"/>
      <c r="BI514" s="68"/>
      <c r="BJ514" s="68"/>
      <c r="BK514" s="68"/>
      <c r="BL514" s="68"/>
      <c r="BM514" s="68"/>
      <c r="BN514" s="68"/>
    </row>
    <row r="515" spans="1:66" ht="17">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68"/>
      <c r="AG515" s="68"/>
      <c r="AH515" s="68"/>
      <c r="AI515" s="68"/>
      <c r="AJ515" s="68"/>
      <c r="AK515" s="68"/>
      <c r="AL515" s="68"/>
      <c r="AM515" s="68"/>
      <c r="AN515" s="68"/>
      <c r="AO515" s="68"/>
      <c r="AP515" s="68"/>
      <c r="AQ515" s="68"/>
      <c r="AR515" s="68"/>
      <c r="AS515" s="68"/>
      <c r="AT515" s="68"/>
      <c r="AU515" s="68"/>
      <c r="AV515" s="68"/>
      <c r="AW515" s="68"/>
      <c r="AX515" s="68"/>
      <c r="AY515" s="68"/>
      <c r="AZ515" s="68"/>
      <c r="BA515" s="68"/>
      <c r="BB515" s="68"/>
      <c r="BC515" s="68"/>
      <c r="BD515" s="68"/>
      <c r="BE515" s="68"/>
      <c r="BF515" s="68"/>
      <c r="BG515" s="68"/>
      <c r="BH515" s="68"/>
      <c r="BI515" s="68"/>
      <c r="BJ515" s="68"/>
      <c r="BK515" s="68"/>
      <c r="BL515" s="68"/>
      <c r="BM515" s="68"/>
      <c r="BN515" s="68"/>
    </row>
    <row r="516" spans="1:66" ht="17">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68"/>
      <c r="AG516" s="68"/>
      <c r="AH516" s="68"/>
      <c r="AI516" s="68"/>
      <c r="AJ516" s="68"/>
      <c r="AK516" s="68"/>
      <c r="AL516" s="68"/>
      <c r="AM516" s="68"/>
      <c r="AN516" s="68"/>
      <c r="AO516" s="68"/>
      <c r="AP516" s="68"/>
      <c r="AQ516" s="68"/>
      <c r="AR516" s="68"/>
      <c r="AS516" s="68"/>
      <c r="AT516" s="68"/>
      <c r="AU516" s="68"/>
      <c r="AV516" s="68"/>
      <c r="AW516" s="68"/>
      <c r="AX516" s="68"/>
      <c r="AY516" s="68"/>
      <c r="AZ516" s="68"/>
      <c r="BA516" s="68"/>
      <c r="BB516" s="68"/>
      <c r="BC516" s="68"/>
      <c r="BD516" s="68"/>
      <c r="BE516" s="68"/>
      <c r="BF516" s="68"/>
      <c r="BG516" s="68"/>
      <c r="BH516" s="68"/>
      <c r="BI516" s="68"/>
      <c r="BJ516" s="68"/>
      <c r="BK516" s="68"/>
      <c r="BL516" s="68"/>
      <c r="BM516" s="68"/>
      <c r="BN516" s="68"/>
    </row>
    <row r="517" spans="1:66" ht="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68"/>
      <c r="AG517" s="68"/>
      <c r="AH517" s="68"/>
      <c r="AI517" s="68"/>
      <c r="AJ517" s="68"/>
      <c r="AK517" s="68"/>
      <c r="AL517" s="68"/>
      <c r="AM517" s="68"/>
      <c r="AN517" s="68"/>
      <c r="AO517" s="68"/>
      <c r="AP517" s="68"/>
      <c r="AQ517" s="68"/>
      <c r="AR517" s="68"/>
      <c r="AS517" s="68"/>
      <c r="AT517" s="68"/>
      <c r="AU517" s="68"/>
      <c r="AV517" s="68"/>
      <c r="AW517" s="68"/>
      <c r="AX517" s="68"/>
      <c r="AY517" s="68"/>
      <c r="AZ517" s="68"/>
      <c r="BA517" s="68"/>
      <c r="BB517" s="68"/>
      <c r="BC517" s="68"/>
      <c r="BD517" s="68"/>
      <c r="BE517" s="68"/>
      <c r="BF517" s="68"/>
      <c r="BG517" s="68"/>
      <c r="BH517" s="68"/>
      <c r="BI517" s="68"/>
      <c r="BJ517" s="68"/>
      <c r="BK517" s="68"/>
      <c r="BL517" s="68"/>
      <c r="BM517" s="68"/>
      <c r="BN517" s="68"/>
    </row>
    <row r="518" spans="1:66" ht="17">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68"/>
      <c r="AG518" s="68"/>
      <c r="AH518" s="68"/>
      <c r="AI518" s="68"/>
      <c r="AJ518" s="68"/>
      <c r="AK518" s="68"/>
      <c r="AL518" s="68"/>
      <c r="AM518" s="68"/>
      <c r="AN518" s="68"/>
      <c r="AO518" s="68"/>
      <c r="AP518" s="68"/>
      <c r="AQ518" s="68"/>
      <c r="AR518" s="68"/>
      <c r="AS518" s="68"/>
      <c r="AT518" s="68"/>
      <c r="AU518" s="68"/>
      <c r="AV518" s="68"/>
      <c r="AW518" s="68"/>
      <c r="AX518" s="68"/>
      <c r="AY518" s="68"/>
      <c r="AZ518" s="68"/>
      <c r="BA518" s="68"/>
      <c r="BB518" s="68"/>
      <c r="BC518" s="68"/>
      <c r="BD518" s="68"/>
      <c r="BE518" s="68"/>
      <c r="BF518" s="68"/>
      <c r="BG518" s="68"/>
      <c r="BH518" s="68"/>
      <c r="BI518" s="68"/>
      <c r="BJ518" s="68"/>
      <c r="BK518" s="68"/>
      <c r="BL518" s="68"/>
      <c r="BM518" s="68"/>
      <c r="BN518" s="68"/>
    </row>
    <row r="519" spans="1:66" ht="17">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68"/>
      <c r="AG519" s="68"/>
      <c r="AH519" s="68"/>
      <c r="AI519" s="68"/>
      <c r="AJ519" s="68"/>
      <c r="AK519" s="68"/>
      <c r="AL519" s="68"/>
      <c r="AM519" s="68"/>
      <c r="AN519" s="68"/>
      <c r="AO519" s="68"/>
      <c r="AP519" s="68"/>
      <c r="AQ519" s="68"/>
      <c r="AR519" s="68"/>
      <c r="AS519" s="68"/>
      <c r="AT519" s="68"/>
      <c r="AU519" s="68"/>
      <c r="AV519" s="68"/>
      <c r="AW519" s="68"/>
      <c r="AX519" s="68"/>
      <c r="AY519" s="68"/>
      <c r="AZ519" s="68"/>
      <c r="BA519" s="68"/>
      <c r="BB519" s="68"/>
      <c r="BC519" s="68"/>
      <c r="BD519" s="68"/>
      <c r="BE519" s="68"/>
      <c r="BF519" s="68"/>
      <c r="BG519" s="68"/>
      <c r="BH519" s="68"/>
      <c r="BI519" s="68"/>
      <c r="BJ519" s="68"/>
      <c r="BK519" s="68"/>
      <c r="BL519" s="68"/>
      <c r="BM519" s="68"/>
      <c r="BN519" s="68"/>
    </row>
    <row r="520" spans="1:66" ht="17">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68"/>
      <c r="AG520" s="68"/>
      <c r="AH520" s="68"/>
      <c r="AI520" s="68"/>
      <c r="AJ520" s="68"/>
      <c r="AK520" s="68"/>
      <c r="AL520" s="68"/>
      <c r="AM520" s="68"/>
      <c r="AN520" s="68"/>
      <c r="AO520" s="68"/>
      <c r="AP520" s="68"/>
      <c r="AQ520" s="68"/>
      <c r="AR520" s="68"/>
      <c r="AS520" s="68"/>
      <c r="AT520" s="68"/>
      <c r="AU520" s="68"/>
      <c r="AV520" s="68"/>
      <c r="AW520" s="68"/>
      <c r="AX520" s="68"/>
      <c r="AY520" s="68"/>
      <c r="AZ520" s="68"/>
      <c r="BA520" s="68"/>
      <c r="BB520" s="68"/>
      <c r="BC520" s="68"/>
      <c r="BD520" s="68"/>
      <c r="BE520" s="68"/>
      <c r="BF520" s="68"/>
      <c r="BG520" s="68"/>
      <c r="BH520" s="68"/>
      <c r="BI520" s="68"/>
      <c r="BJ520" s="68"/>
      <c r="BK520" s="68"/>
      <c r="BL520" s="68"/>
      <c r="BM520" s="68"/>
      <c r="BN520" s="68"/>
    </row>
    <row r="521" spans="1:66" ht="17">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c r="AG521" s="68"/>
      <c r="AH521" s="68"/>
      <c r="AI521" s="68"/>
      <c r="AJ521" s="68"/>
      <c r="AK521" s="68"/>
      <c r="AL521" s="68"/>
      <c r="AM521" s="68"/>
      <c r="AN521" s="68"/>
      <c r="AO521" s="68"/>
      <c r="AP521" s="68"/>
      <c r="AQ521" s="68"/>
      <c r="AR521" s="68"/>
      <c r="AS521" s="68"/>
      <c r="AT521" s="68"/>
      <c r="AU521" s="68"/>
      <c r="AV521" s="68"/>
      <c r="AW521" s="68"/>
      <c r="AX521" s="68"/>
      <c r="AY521" s="68"/>
      <c r="AZ521" s="68"/>
      <c r="BA521" s="68"/>
      <c r="BB521" s="68"/>
      <c r="BC521" s="68"/>
      <c r="BD521" s="68"/>
      <c r="BE521" s="68"/>
      <c r="BF521" s="68"/>
      <c r="BG521" s="68"/>
      <c r="BH521" s="68"/>
      <c r="BI521" s="68"/>
      <c r="BJ521" s="68"/>
      <c r="BK521" s="68"/>
      <c r="BL521" s="68"/>
      <c r="BM521" s="68"/>
      <c r="BN521" s="68"/>
    </row>
    <row r="522" spans="1:66" ht="17">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68"/>
      <c r="AG522" s="68"/>
      <c r="AH522" s="68"/>
      <c r="AI522" s="68"/>
      <c r="AJ522" s="68"/>
      <c r="AK522" s="68"/>
      <c r="AL522" s="68"/>
      <c r="AM522" s="68"/>
      <c r="AN522" s="68"/>
      <c r="AO522" s="68"/>
      <c r="AP522" s="68"/>
      <c r="AQ522" s="68"/>
      <c r="AR522" s="68"/>
      <c r="AS522" s="68"/>
      <c r="AT522" s="68"/>
      <c r="AU522" s="68"/>
      <c r="AV522" s="68"/>
      <c r="AW522" s="68"/>
      <c r="AX522" s="68"/>
      <c r="AY522" s="68"/>
      <c r="AZ522" s="68"/>
      <c r="BA522" s="68"/>
      <c r="BB522" s="68"/>
      <c r="BC522" s="68"/>
      <c r="BD522" s="68"/>
      <c r="BE522" s="68"/>
      <c r="BF522" s="68"/>
      <c r="BG522" s="68"/>
      <c r="BH522" s="68"/>
      <c r="BI522" s="68"/>
      <c r="BJ522" s="68"/>
      <c r="BK522" s="68"/>
      <c r="BL522" s="68"/>
      <c r="BM522" s="68"/>
      <c r="BN522" s="68"/>
    </row>
    <row r="523" spans="1:66" ht="17">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68"/>
      <c r="AG523" s="68"/>
      <c r="AH523" s="68"/>
      <c r="AI523" s="68"/>
      <c r="AJ523" s="68"/>
      <c r="AK523" s="68"/>
      <c r="AL523" s="68"/>
      <c r="AM523" s="68"/>
      <c r="AN523" s="68"/>
      <c r="AO523" s="68"/>
      <c r="AP523" s="68"/>
      <c r="AQ523" s="68"/>
      <c r="AR523" s="68"/>
      <c r="AS523" s="68"/>
      <c r="AT523" s="68"/>
      <c r="AU523" s="68"/>
      <c r="AV523" s="68"/>
      <c r="AW523" s="68"/>
      <c r="AX523" s="68"/>
      <c r="AY523" s="68"/>
      <c r="AZ523" s="68"/>
      <c r="BA523" s="68"/>
      <c r="BB523" s="68"/>
      <c r="BC523" s="68"/>
      <c r="BD523" s="68"/>
      <c r="BE523" s="68"/>
      <c r="BF523" s="68"/>
      <c r="BG523" s="68"/>
      <c r="BH523" s="68"/>
      <c r="BI523" s="68"/>
      <c r="BJ523" s="68"/>
      <c r="BK523" s="68"/>
      <c r="BL523" s="68"/>
      <c r="BM523" s="68"/>
      <c r="BN523" s="68"/>
    </row>
    <row r="524" spans="1:66" ht="17">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68"/>
      <c r="AG524" s="68"/>
      <c r="AH524" s="68"/>
      <c r="AI524" s="68"/>
      <c r="AJ524" s="68"/>
      <c r="AK524" s="68"/>
      <c r="AL524" s="68"/>
      <c r="AM524" s="68"/>
      <c r="AN524" s="68"/>
      <c r="AO524" s="68"/>
      <c r="AP524" s="68"/>
      <c r="AQ524" s="68"/>
      <c r="AR524" s="68"/>
      <c r="AS524" s="68"/>
      <c r="AT524" s="68"/>
      <c r="AU524" s="68"/>
      <c r="AV524" s="68"/>
      <c r="AW524" s="68"/>
      <c r="AX524" s="68"/>
      <c r="AY524" s="68"/>
      <c r="AZ524" s="68"/>
      <c r="BA524" s="68"/>
      <c r="BB524" s="68"/>
      <c r="BC524" s="68"/>
      <c r="BD524" s="68"/>
      <c r="BE524" s="68"/>
      <c r="BF524" s="68"/>
      <c r="BG524" s="68"/>
      <c r="BH524" s="68"/>
      <c r="BI524" s="68"/>
      <c r="BJ524" s="68"/>
      <c r="BK524" s="68"/>
      <c r="BL524" s="68"/>
      <c r="BM524" s="68"/>
      <c r="BN524" s="68"/>
    </row>
    <row r="525" spans="1:66" ht="17">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68"/>
      <c r="AG525" s="68"/>
      <c r="AH525" s="68"/>
      <c r="AI525" s="68"/>
      <c r="AJ525" s="68"/>
      <c r="AK525" s="68"/>
      <c r="AL525" s="68"/>
      <c r="AM525" s="68"/>
      <c r="AN525" s="68"/>
      <c r="AO525" s="68"/>
      <c r="AP525" s="68"/>
      <c r="AQ525" s="68"/>
      <c r="AR525" s="68"/>
      <c r="AS525" s="68"/>
      <c r="AT525" s="68"/>
      <c r="AU525" s="68"/>
      <c r="AV525" s="68"/>
      <c r="AW525" s="68"/>
      <c r="AX525" s="68"/>
      <c r="AY525" s="68"/>
      <c r="AZ525" s="68"/>
      <c r="BA525" s="68"/>
      <c r="BB525" s="68"/>
      <c r="BC525" s="68"/>
      <c r="BD525" s="68"/>
      <c r="BE525" s="68"/>
      <c r="BF525" s="68"/>
      <c r="BG525" s="68"/>
      <c r="BH525" s="68"/>
      <c r="BI525" s="68"/>
      <c r="BJ525" s="68"/>
      <c r="BK525" s="68"/>
      <c r="BL525" s="68"/>
      <c r="BM525" s="68"/>
      <c r="BN525" s="68"/>
    </row>
    <row r="526" spans="1:66" ht="17">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68"/>
      <c r="AG526" s="68"/>
      <c r="AH526" s="68"/>
      <c r="AI526" s="68"/>
      <c r="AJ526" s="68"/>
      <c r="AK526" s="68"/>
      <c r="AL526" s="68"/>
      <c r="AM526" s="68"/>
      <c r="AN526" s="68"/>
      <c r="AO526" s="68"/>
      <c r="AP526" s="68"/>
      <c r="AQ526" s="68"/>
      <c r="AR526" s="68"/>
      <c r="AS526" s="68"/>
      <c r="AT526" s="68"/>
      <c r="AU526" s="68"/>
      <c r="AV526" s="68"/>
      <c r="AW526" s="68"/>
      <c r="AX526" s="68"/>
      <c r="AY526" s="68"/>
      <c r="AZ526" s="68"/>
      <c r="BA526" s="68"/>
      <c r="BB526" s="68"/>
      <c r="BC526" s="68"/>
      <c r="BD526" s="68"/>
      <c r="BE526" s="68"/>
      <c r="BF526" s="68"/>
      <c r="BG526" s="68"/>
      <c r="BH526" s="68"/>
      <c r="BI526" s="68"/>
      <c r="BJ526" s="68"/>
      <c r="BK526" s="68"/>
      <c r="BL526" s="68"/>
      <c r="BM526" s="68"/>
      <c r="BN526" s="68"/>
    </row>
    <row r="527" spans="1:66" ht="1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68"/>
      <c r="AG527" s="68"/>
      <c r="AH527" s="68"/>
      <c r="AI527" s="68"/>
      <c r="AJ527" s="68"/>
      <c r="AK527" s="68"/>
      <c r="AL527" s="68"/>
      <c r="AM527" s="68"/>
      <c r="AN527" s="68"/>
      <c r="AO527" s="68"/>
      <c r="AP527" s="68"/>
      <c r="AQ527" s="68"/>
      <c r="AR527" s="68"/>
      <c r="AS527" s="68"/>
      <c r="AT527" s="68"/>
      <c r="AU527" s="68"/>
      <c r="AV527" s="68"/>
      <c r="AW527" s="68"/>
      <c r="AX527" s="68"/>
      <c r="AY527" s="68"/>
      <c r="AZ527" s="68"/>
      <c r="BA527" s="68"/>
      <c r="BB527" s="68"/>
      <c r="BC527" s="68"/>
      <c r="BD527" s="68"/>
      <c r="BE527" s="68"/>
      <c r="BF527" s="68"/>
      <c r="BG527" s="68"/>
      <c r="BH527" s="68"/>
      <c r="BI527" s="68"/>
      <c r="BJ527" s="68"/>
      <c r="BK527" s="68"/>
      <c r="BL527" s="68"/>
      <c r="BM527" s="68"/>
      <c r="BN527" s="68"/>
    </row>
    <row r="528" spans="1:66" ht="17">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68"/>
      <c r="AG528" s="68"/>
      <c r="AH528" s="68"/>
      <c r="AI528" s="68"/>
      <c r="AJ528" s="68"/>
      <c r="AK528" s="68"/>
      <c r="AL528" s="68"/>
      <c r="AM528" s="68"/>
      <c r="AN528" s="68"/>
      <c r="AO528" s="68"/>
      <c r="AP528" s="68"/>
      <c r="AQ528" s="68"/>
      <c r="AR528" s="68"/>
      <c r="AS528" s="68"/>
      <c r="AT528" s="68"/>
      <c r="AU528" s="68"/>
      <c r="AV528" s="68"/>
      <c r="AW528" s="68"/>
      <c r="AX528" s="68"/>
      <c r="AY528" s="68"/>
      <c r="AZ528" s="68"/>
      <c r="BA528" s="68"/>
      <c r="BB528" s="68"/>
      <c r="BC528" s="68"/>
      <c r="BD528" s="68"/>
      <c r="BE528" s="68"/>
      <c r="BF528" s="68"/>
      <c r="BG528" s="68"/>
      <c r="BH528" s="68"/>
      <c r="BI528" s="68"/>
      <c r="BJ528" s="68"/>
      <c r="BK528" s="68"/>
      <c r="BL528" s="68"/>
      <c r="BM528" s="68"/>
      <c r="BN528" s="68"/>
    </row>
    <row r="529" spans="1:66" ht="17">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68"/>
      <c r="AG529" s="68"/>
      <c r="AH529" s="68"/>
      <c r="AI529" s="68"/>
      <c r="AJ529" s="68"/>
      <c r="AK529" s="68"/>
      <c r="AL529" s="68"/>
      <c r="AM529" s="68"/>
      <c r="AN529" s="68"/>
      <c r="AO529" s="68"/>
      <c r="AP529" s="68"/>
      <c r="AQ529" s="68"/>
      <c r="AR529" s="68"/>
      <c r="AS529" s="68"/>
      <c r="AT529" s="68"/>
      <c r="AU529" s="68"/>
      <c r="AV529" s="68"/>
      <c r="AW529" s="68"/>
      <c r="AX529" s="68"/>
      <c r="AY529" s="68"/>
      <c r="AZ529" s="68"/>
      <c r="BA529" s="68"/>
      <c r="BB529" s="68"/>
      <c r="BC529" s="68"/>
      <c r="BD529" s="68"/>
      <c r="BE529" s="68"/>
      <c r="BF529" s="68"/>
      <c r="BG529" s="68"/>
      <c r="BH529" s="68"/>
      <c r="BI529" s="68"/>
      <c r="BJ529" s="68"/>
      <c r="BK529" s="68"/>
      <c r="BL529" s="68"/>
      <c r="BM529" s="68"/>
      <c r="BN529" s="68"/>
    </row>
    <row r="530" spans="1:66" ht="17">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68"/>
      <c r="AG530" s="68"/>
      <c r="AH530" s="68"/>
      <c r="AI530" s="68"/>
      <c r="AJ530" s="68"/>
      <c r="AK530" s="68"/>
      <c r="AL530" s="68"/>
      <c r="AM530" s="68"/>
      <c r="AN530" s="68"/>
      <c r="AO530" s="68"/>
      <c r="AP530" s="68"/>
      <c r="AQ530" s="68"/>
      <c r="AR530" s="68"/>
      <c r="AS530" s="68"/>
      <c r="AT530" s="68"/>
      <c r="AU530" s="68"/>
      <c r="AV530" s="68"/>
      <c r="AW530" s="68"/>
      <c r="AX530" s="68"/>
      <c r="AY530" s="68"/>
      <c r="AZ530" s="68"/>
      <c r="BA530" s="68"/>
      <c r="BB530" s="68"/>
      <c r="BC530" s="68"/>
      <c r="BD530" s="68"/>
      <c r="BE530" s="68"/>
      <c r="BF530" s="68"/>
      <c r="BG530" s="68"/>
      <c r="BH530" s="68"/>
      <c r="BI530" s="68"/>
      <c r="BJ530" s="68"/>
      <c r="BK530" s="68"/>
      <c r="BL530" s="68"/>
      <c r="BM530" s="68"/>
      <c r="BN530" s="68"/>
    </row>
    <row r="531" spans="1:66" ht="17">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68"/>
      <c r="AG531" s="68"/>
      <c r="AH531" s="68"/>
      <c r="AI531" s="68"/>
      <c r="AJ531" s="68"/>
      <c r="AK531" s="68"/>
      <c r="AL531" s="68"/>
      <c r="AM531" s="68"/>
      <c r="AN531" s="68"/>
      <c r="AO531" s="68"/>
      <c r="AP531" s="68"/>
      <c r="AQ531" s="68"/>
      <c r="AR531" s="68"/>
      <c r="AS531" s="68"/>
      <c r="AT531" s="68"/>
      <c r="AU531" s="68"/>
      <c r="AV531" s="68"/>
      <c r="AW531" s="68"/>
      <c r="AX531" s="68"/>
      <c r="AY531" s="68"/>
      <c r="AZ531" s="68"/>
      <c r="BA531" s="68"/>
      <c r="BB531" s="68"/>
      <c r="BC531" s="68"/>
      <c r="BD531" s="68"/>
      <c r="BE531" s="68"/>
      <c r="BF531" s="68"/>
      <c r="BG531" s="68"/>
      <c r="BH531" s="68"/>
      <c r="BI531" s="68"/>
      <c r="BJ531" s="68"/>
      <c r="BK531" s="68"/>
      <c r="BL531" s="68"/>
      <c r="BM531" s="68"/>
      <c r="BN531" s="68"/>
    </row>
    <row r="532" spans="1:66" ht="17">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68"/>
      <c r="AG532" s="68"/>
      <c r="AH532" s="68"/>
      <c r="AI532" s="68"/>
      <c r="AJ532" s="68"/>
      <c r="AK532" s="68"/>
      <c r="AL532" s="68"/>
      <c r="AM532" s="68"/>
      <c r="AN532" s="68"/>
      <c r="AO532" s="68"/>
      <c r="AP532" s="68"/>
      <c r="AQ532" s="68"/>
      <c r="AR532" s="68"/>
      <c r="AS532" s="68"/>
      <c r="AT532" s="68"/>
      <c r="AU532" s="68"/>
      <c r="AV532" s="68"/>
      <c r="AW532" s="68"/>
      <c r="AX532" s="68"/>
      <c r="AY532" s="68"/>
      <c r="AZ532" s="68"/>
      <c r="BA532" s="68"/>
      <c r="BB532" s="68"/>
      <c r="BC532" s="68"/>
      <c r="BD532" s="68"/>
      <c r="BE532" s="68"/>
      <c r="BF532" s="68"/>
      <c r="BG532" s="68"/>
      <c r="BH532" s="68"/>
      <c r="BI532" s="68"/>
      <c r="BJ532" s="68"/>
      <c r="BK532" s="68"/>
      <c r="BL532" s="68"/>
      <c r="BM532" s="68"/>
      <c r="BN532" s="68"/>
    </row>
    <row r="533" spans="1:66" ht="17">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68"/>
      <c r="AG533" s="68"/>
      <c r="AH533" s="68"/>
      <c r="AI533" s="68"/>
      <c r="AJ533" s="68"/>
      <c r="AK533" s="68"/>
      <c r="AL533" s="68"/>
      <c r="AM533" s="68"/>
      <c r="AN533" s="68"/>
      <c r="AO533" s="68"/>
      <c r="AP533" s="68"/>
      <c r="AQ533" s="68"/>
      <c r="AR533" s="68"/>
      <c r="AS533" s="68"/>
      <c r="AT533" s="68"/>
      <c r="AU533" s="68"/>
      <c r="AV533" s="68"/>
      <c r="AW533" s="68"/>
      <c r="AX533" s="68"/>
      <c r="AY533" s="68"/>
      <c r="AZ533" s="68"/>
      <c r="BA533" s="68"/>
      <c r="BB533" s="68"/>
      <c r="BC533" s="68"/>
      <c r="BD533" s="68"/>
      <c r="BE533" s="68"/>
      <c r="BF533" s="68"/>
      <c r="BG533" s="68"/>
      <c r="BH533" s="68"/>
      <c r="BI533" s="68"/>
      <c r="BJ533" s="68"/>
      <c r="BK533" s="68"/>
      <c r="BL533" s="68"/>
      <c r="BM533" s="68"/>
      <c r="BN533" s="68"/>
    </row>
    <row r="534" spans="1:66" ht="17">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c r="AG534" s="68"/>
      <c r="AH534" s="68"/>
      <c r="AI534" s="68"/>
      <c r="AJ534" s="68"/>
      <c r="AK534" s="68"/>
      <c r="AL534" s="68"/>
      <c r="AM534" s="68"/>
      <c r="AN534" s="68"/>
      <c r="AO534" s="68"/>
      <c r="AP534" s="68"/>
      <c r="AQ534" s="68"/>
      <c r="AR534" s="68"/>
      <c r="AS534" s="68"/>
      <c r="AT534" s="68"/>
      <c r="AU534" s="68"/>
      <c r="AV534" s="68"/>
      <c r="AW534" s="68"/>
      <c r="AX534" s="68"/>
      <c r="AY534" s="68"/>
      <c r="AZ534" s="68"/>
      <c r="BA534" s="68"/>
      <c r="BB534" s="68"/>
      <c r="BC534" s="68"/>
      <c r="BD534" s="68"/>
      <c r="BE534" s="68"/>
      <c r="BF534" s="68"/>
      <c r="BG534" s="68"/>
      <c r="BH534" s="68"/>
      <c r="BI534" s="68"/>
      <c r="BJ534" s="68"/>
      <c r="BK534" s="68"/>
      <c r="BL534" s="68"/>
      <c r="BM534" s="68"/>
      <c r="BN534" s="68"/>
    </row>
    <row r="535" spans="1:66" ht="17">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c r="AG535" s="68"/>
      <c r="AH535" s="68"/>
      <c r="AI535" s="68"/>
      <c r="AJ535" s="68"/>
      <c r="AK535" s="68"/>
      <c r="AL535" s="68"/>
      <c r="AM535" s="68"/>
      <c r="AN535" s="68"/>
      <c r="AO535" s="68"/>
      <c r="AP535" s="68"/>
      <c r="AQ535" s="68"/>
      <c r="AR535" s="68"/>
      <c r="AS535" s="68"/>
      <c r="AT535" s="68"/>
      <c r="AU535" s="68"/>
      <c r="AV535" s="68"/>
      <c r="AW535" s="68"/>
      <c r="AX535" s="68"/>
      <c r="AY535" s="68"/>
      <c r="AZ535" s="68"/>
      <c r="BA535" s="68"/>
      <c r="BB535" s="68"/>
      <c r="BC535" s="68"/>
      <c r="BD535" s="68"/>
      <c r="BE535" s="68"/>
      <c r="BF535" s="68"/>
      <c r="BG535" s="68"/>
      <c r="BH535" s="68"/>
      <c r="BI535" s="68"/>
      <c r="BJ535" s="68"/>
      <c r="BK535" s="68"/>
      <c r="BL535" s="68"/>
      <c r="BM535" s="68"/>
      <c r="BN535" s="68"/>
    </row>
    <row r="536" spans="1:66" ht="17">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68"/>
      <c r="AG536" s="68"/>
      <c r="AH536" s="68"/>
      <c r="AI536" s="68"/>
      <c r="AJ536" s="68"/>
      <c r="AK536" s="68"/>
      <c r="AL536" s="68"/>
      <c r="AM536" s="68"/>
      <c r="AN536" s="68"/>
      <c r="AO536" s="68"/>
      <c r="AP536" s="68"/>
      <c r="AQ536" s="68"/>
      <c r="AR536" s="68"/>
      <c r="AS536" s="68"/>
      <c r="AT536" s="68"/>
      <c r="AU536" s="68"/>
      <c r="AV536" s="68"/>
      <c r="AW536" s="68"/>
      <c r="AX536" s="68"/>
      <c r="AY536" s="68"/>
      <c r="AZ536" s="68"/>
      <c r="BA536" s="68"/>
      <c r="BB536" s="68"/>
      <c r="BC536" s="68"/>
      <c r="BD536" s="68"/>
      <c r="BE536" s="68"/>
      <c r="BF536" s="68"/>
      <c r="BG536" s="68"/>
      <c r="BH536" s="68"/>
      <c r="BI536" s="68"/>
      <c r="BJ536" s="68"/>
      <c r="BK536" s="68"/>
      <c r="BL536" s="68"/>
      <c r="BM536" s="68"/>
      <c r="BN536" s="68"/>
    </row>
    <row r="537" spans="1:66" ht="1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68"/>
      <c r="AG537" s="68"/>
      <c r="AH537" s="68"/>
      <c r="AI537" s="68"/>
      <c r="AJ537" s="68"/>
      <c r="AK537" s="68"/>
      <c r="AL537" s="68"/>
      <c r="AM537" s="68"/>
      <c r="AN537" s="68"/>
      <c r="AO537" s="68"/>
      <c r="AP537" s="68"/>
      <c r="AQ537" s="68"/>
      <c r="AR537" s="68"/>
      <c r="AS537" s="68"/>
      <c r="AT537" s="68"/>
      <c r="AU537" s="68"/>
      <c r="AV537" s="68"/>
      <c r="AW537" s="68"/>
      <c r="AX537" s="68"/>
      <c r="AY537" s="68"/>
      <c r="AZ537" s="68"/>
      <c r="BA537" s="68"/>
      <c r="BB537" s="68"/>
      <c r="BC537" s="68"/>
      <c r="BD537" s="68"/>
      <c r="BE537" s="68"/>
      <c r="BF537" s="68"/>
      <c r="BG537" s="68"/>
      <c r="BH537" s="68"/>
      <c r="BI537" s="68"/>
      <c r="BJ537" s="68"/>
      <c r="BK537" s="68"/>
      <c r="BL537" s="68"/>
      <c r="BM537" s="68"/>
      <c r="BN537" s="68"/>
    </row>
    <row r="538" spans="1:66" ht="17">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68"/>
      <c r="AG538" s="68"/>
      <c r="AH538" s="68"/>
      <c r="AI538" s="68"/>
      <c r="AJ538" s="68"/>
      <c r="AK538" s="68"/>
      <c r="AL538" s="68"/>
      <c r="AM538" s="68"/>
      <c r="AN538" s="68"/>
      <c r="AO538" s="68"/>
      <c r="AP538" s="68"/>
      <c r="AQ538" s="68"/>
      <c r="AR538" s="68"/>
      <c r="AS538" s="68"/>
      <c r="AT538" s="68"/>
      <c r="AU538" s="68"/>
      <c r="AV538" s="68"/>
      <c r="AW538" s="68"/>
      <c r="AX538" s="68"/>
      <c r="AY538" s="68"/>
      <c r="AZ538" s="68"/>
      <c r="BA538" s="68"/>
      <c r="BB538" s="68"/>
      <c r="BC538" s="68"/>
      <c r="BD538" s="68"/>
      <c r="BE538" s="68"/>
      <c r="BF538" s="68"/>
      <c r="BG538" s="68"/>
      <c r="BH538" s="68"/>
      <c r="BI538" s="68"/>
      <c r="BJ538" s="68"/>
      <c r="BK538" s="68"/>
      <c r="BL538" s="68"/>
      <c r="BM538" s="68"/>
      <c r="BN538" s="68"/>
    </row>
    <row r="539" spans="1:66" ht="17">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68"/>
      <c r="AG539" s="68"/>
      <c r="AH539" s="68"/>
      <c r="AI539" s="68"/>
      <c r="AJ539" s="68"/>
      <c r="AK539" s="68"/>
      <c r="AL539" s="68"/>
      <c r="AM539" s="68"/>
      <c r="AN539" s="68"/>
      <c r="AO539" s="68"/>
      <c r="AP539" s="68"/>
      <c r="AQ539" s="68"/>
      <c r="AR539" s="68"/>
      <c r="AS539" s="68"/>
      <c r="AT539" s="68"/>
      <c r="AU539" s="68"/>
      <c r="AV539" s="68"/>
      <c r="AW539" s="68"/>
      <c r="AX539" s="68"/>
      <c r="AY539" s="68"/>
      <c r="AZ539" s="68"/>
      <c r="BA539" s="68"/>
      <c r="BB539" s="68"/>
      <c r="BC539" s="68"/>
      <c r="BD539" s="68"/>
      <c r="BE539" s="68"/>
      <c r="BF539" s="68"/>
      <c r="BG539" s="68"/>
      <c r="BH539" s="68"/>
      <c r="BI539" s="68"/>
      <c r="BJ539" s="68"/>
      <c r="BK539" s="68"/>
      <c r="BL539" s="68"/>
      <c r="BM539" s="68"/>
      <c r="BN539" s="68"/>
    </row>
    <row r="540" spans="1:66" ht="17">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68"/>
      <c r="AG540" s="68"/>
      <c r="AH540" s="68"/>
      <c r="AI540" s="68"/>
      <c r="AJ540" s="68"/>
      <c r="AK540" s="68"/>
      <c r="AL540" s="68"/>
      <c r="AM540" s="68"/>
      <c r="AN540" s="68"/>
      <c r="AO540" s="68"/>
      <c r="AP540" s="68"/>
      <c r="AQ540" s="68"/>
      <c r="AR540" s="68"/>
      <c r="AS540" s="68"/>
      <c r="AT540" s="68"/>
      <c r="AU540" s="68"/>
      <c r="AV540" s="68"/>
      <c r="AW540" s="68"/>
      <c r="AX540" s="68"/>
      <c r="AY540" s="68"/>
      <c r="AZ540" s="68"/>
      <c r="BA540" s="68"/>
      <c r="BB540" s="68"/>
      <c r="BC540" s="68"/>
      <c r="BD540" s="68"/>
      <c r="BE540" s="68"/>
      <c r="BF540" s="68"/>
      <c r="BG540" s="68"/>
      <c r="BH540" s="68"/>
      <c r="BI540" s="68"/>
      <c r="BJ540" s="68"/>
      <c r="BK540" s="68"/>
      <c r="BL540" s="68"/>
      <c r="BM540" s="68"/>
      <c r="BN540" s="68"/>
    </row>
    <row r="541" spans="1:66" ht="17">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68"/>
      <c r="AG541" s="68"/>
      <c r="AH541" s="68"/>
      <c r="AI541" s="68"/>
      <c r="AJ541" s="68"/>
      <c r="AK541" s="68"/>
      <c r="AL541" s="68"/>
      <c r="AM541" s="68"/>
      <c r="AN541" s="68"/>
      <c r="AO541" s="68"/>
      <c r="AP541" s="68"/>
      <c r="AQ541" s="68"/>
      <c r="AR541" s="68"/>
      <c r="AS541" s="68"/>
      <c r="AT541" s="68"/>
      <c r="AU541" s="68"/>
      <c r="AV541" s="68"/>
      <c r="AW541" s="68"/>
      <c r="AX541" s="68"/>
      <c r="AY541" s="68"/>
      <c r="AZ541" s="68"/>
      <c r="BA541" s="68"/>
      <c r="BB541" s="68"/>
      <c r="BC541" s="68"/>
      <c r="BD541" s="68"/>
      <c r="BE541" s="68"/>
      <c r="BF541" s="68"/>
      <c r="BG541" s="68"/>
      <c r="BH541" s="68"/>
      <c r="BI541" s="68"/>
      <c r="BJ541" s="68"/>
      <c r="BK541" s="68"/>
      <c r="BL541" s="68"/>
      <c r="BM541" s="68"/>
      <c r="BN541" s="68"/>
    </row>
    <row r="542" spans="1:66" ht="17">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68"/>
      <c r="AG542" s="68"/>
      <c r="AH542" s="68"/>
      <c r="AI542" s="68"/>
      <c r="AJ542" s="68"/>
      <c r="AK542" s="68"/>
      <c r="AL542" s="68"/>
      <c r="AM542" s="68"/>
      <c r="AN542" s="68"/>
      <c r="AO542" s="68"/>
      <c r="AP542" s="68"/>
      <c r="AQ542" s="68"/>
      <c r="AR542" s="68"/>
      <c r="AS542" s="68"/>
      <c r="AT542" s="68"/>
      <c r="AU542" s="68"/>
      <c r="AV542" s="68"/>
      <c r="AW542" s="68"/>
      <c r="AX542" s="68"/>
      <c r="AY542" s="68"/>
      <c r="AZ542" s="68"/>
      <c r="BA542" s="68"/>
      <c r="BB542" s="68"/>
      <c r="BC542" s="68"/>
      <c r="BD542" s="68"/>
      <c r="BE542" s="68"/>
      <c r="BF542" s="68"/>
      <c r="BG542" s="68"/>
      <c r="BH542" s="68"/>
      <c r="BI542" s="68"/>
      <c r="BJ542" s="68"/>
      <c r="BK542" s="68"/>
      <c r="BL542" s="68"/>
      <c r="BM542" s="68"/>
      <c r="BN542" s="68"/>
    </row>
    <row r="543" spans="1:66" ht="17">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68"/>
      <c r="AG543" s="68"/>
      <c r="AH543" s="68"/>
      <c r="AI543" s="68"/>
      <c r="AJ543" s="68"/>
      <c r="AK543" s="68"/>
      <c r="AL543" s="68"/>
      <c r="AM543" s="68"/>
      <c r="AN543" s="68"/>
      <c r="AO543" s="68"/>
      <c r="AP543" s="68"/>
      <c r="AQ543" s="68"/>
      <c r="AR543" s="68"/>
      <c r="AS543" s="68"/>
      <c r="AT543" s="68"/>
      <c r="AU543" s="68"/>
      <c r="AV543" s="68"/>
      <c r="AW543" s="68"/>
      <c r="AX543" s="68"/>
      <c r="AY543" s="68"/>
      <c r="AZ543" s="68"/>
      <c r="BA543" s="68"/>
      <c r="BB543" s="68"/>
      <c r="BC543" s="68"/>
      <c r="BD543" s="68"/>
      <c r="BE543" s="68"/>
      <c r="BF543" s="68"/>
      <c r="BG543" s="68"/>
      <c r="BH543" s="68"/>
      <c r="BI543" s="68"/>
      <c r="BJ543" s="68"/>
      <c r="BK543" s="68"/>
      <c r="BL543" s="68"/>
      <c r="BM543" s="68"/>
      <c r="BN543" s="68"/>
    </row>
    <row r="544" spans="1:66" ht="17">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68"/>
      <c r="AG544" s="68"/>
      <c r="AH544" s="68"/>
      <c r="AI544" s="68"/>
      <c r="AJ544" s="68"/>
      <c r="AK544" s="68"/>
      <c r="AL544" s="68"/>
      <c r="AM544" s="68"/>
      <c r="AN544" s="68"/>
      <c r="AO544" s="68"/>
      <c r="AP544" s="68"/>
      <c r="AQ544" s="68"/>
      <c r="AR544" s="68"/>
      <c r="AS544" s="68"/>
      <c r="AT544" s="68"/>
      <c r="AU544" s="68"/>
      <c r="AV544" s="68"/>
      <c r="AW544" s="68"/>
      <c r="AX544" s="68"/>
      <c r="AY544" s="68"/>
      <c r="AZ544" s="68"/>
      <c r="BA544" s="68"/>
      <c r="BB544" s="68"/>
      <c r="BC544" s="68"/>
      <c r="BD544" s="68"/>
      <c r="BE544" s="68"/>
      <c r="BF544" s="68"/>
      <c r="BG544" s="68"/>
      <c r="BH544" s="68"/>
      <c r="BI544" s="68"/>
      <c r="BJ544" s="68"/>
      <c r="BK544" s="68"/>
      <c r="BL544" s="68"/>
      <c r="BM544" s="68"/>
      <c r="BN544" s="68"/>
    </row>
    <row r="545" spans="1:66" ht="17">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68"/>
      <c r="AG545" s="68"/>
      <c r="AH545" s="68"/>
      <c r="AI545" s="68"/>
      <c r="AJ545" s="68"/>
      <c r="AK545" s="68"/>
      <c r="AL545" s="68"/>
      <c r="AM545" s="68"/>
      <c r="AN545" s="68"/>
      <c r="AO545" s="68"/>
      <c r="AP545" s="68"/>
      <c r="AQ545" s="68"/>
      <c r="AR545" s="68"/>
      <c r="AS545" s="68"/>
      <c r="AT545" s="68"/>
      <c r="AU545" s="68"/>
      <c r="AV545" s="68"/>
      <c r="AW545" s="68"/>
      <c r="AX545" s="68"/>
      <c r="AY545" s="68"/>
      <c r="AZ545" s="68"/>
      <c r="BA545" s="68"/>
      <c r="BB545" s="68"/>
      <c r="BC545" s="68"/>
      <c r="BD545" s="68"/>
      <c r="BE545" s="68"/>
      <c r="BF545" s="68"/>
      <c r="BG545" s="68"/>
      <c r="BH545" s="68"/>
      <c r="BI545" s="68"/>
      <c r="BJ545" s="68"/>
      <c r="BK545" s="68"/>
      <c r="BL545" s="68"/>
      <c r="BM545" s="68"/>
      <c r="BN545" s="68"/>
    </row>
    <row r="546" spans="1:66" ht="17">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68"/>
      <c r="AG546" s="68"/>
      <c r="AH546" s="68"/>
      <c r="AI546" s="68"/>
      <c r="AJ546" s="68"/>
      <c r="AK546" s="68"/>
      <c r="AL546" s="68"/>
      <c r="AM546" s="68"/>
      <c r="AN546" s="68"/>
      <c r="AO546" s="68"/>
      <c r="AP546" s="68"/>
      <c r="AQ546" s="68"/>
      <c r="AR546" s="68"/>
      <c r="AS546" s="68"/>
      <c r="AT546" s="68"/>
      <c r="AU546" s="68"/>
      <c r="AV546" s="68"/>
      <c r="AW546" s="68"/>
      <c r="AX546" s="68"/>
      <c r="AY546" s="68"/>
      <c r="AZ546" s="68"/>
      <c r="BA546" s="68"/>
      <c r="BB546" s="68"/>
      <c r="BC546" s="68"/>
      <c r="BD546" s="68"/>
      <c r="BE546" s="68"/>
      <c r="BF546" s="68"/>
      <c r="BG546" s="68"/>
      <c r="BH546" s="68"/>
      <c r="BI546" s="68"/>
      <c r="BJ546" s="68"/>
      <c r="BK546" s="68"/>
      <c r="BL546" s="68"/>
      <c r="BM546" s="68"/>
      <c r="BN546" s="68"/>
    </row>
    <row r="547" spans="1:66" ht="1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68"/>
      <c r="AG547" s="68"/>
      <c r="AH547" s="68"/>
      <c r="AI547" s="68"/>
      <c r="AJ547" s="68"/>
      <c r="AK547" s="68"/>
      <c r="AL547" s="68"/>
      <c r="AM547" s="68"/>
      <c r="AN547" s="68"/>
      <c r="AO547" s="68"/>
      <c r="AP547" s="68"/>
      <c r="AQ547" s="68"/>
      <c r="AR547" s="68"/>
      <c r="AS547" s="68"/>
      <c r="AT547" s="68"/>
      <c r="AU547" s="68"/>
      <c r="AV547" s="68"/>
      <c r="AW547" s="68"/>
      <c r="AX547" s="68"/>
      <c r="AY547" s="68"/>
      <c r="AZ547" s="68"/>
      <c r="BA547" s="68"/>
      <c r="BB547" s="68"/>
      <c r="BC547" s="68"/>
      <c r="BD547" s="68"/>
      <c r="BE547" s="68"/>
      <c r="BF547" s="68"/>
      <c r="BG547" s="68"/>
      <c r="BH547" s="68"/>
      <c r="BI547" s="68"/>
      <c r="BJ547" s="68"/>
      <c r="BK547" s="68"/>
      <c r="BL547" s="68"/>
      <c r="BM547" s="68"/>
      <c r="BN547" s="68"/>
    </row>
    <row r="548" spans="1:66" ht="17">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68"/>
      <c r="AG548" s="68"/>
      <c r="AH548" s="68"/>
      <c r="AI548" s="68"/>
      <c r="AJ548" s="68"/>
      <c r="AK548" s="68"/>
      <c r="AL548" s="68"/>
      <c r="AM548" s="68"/>
      <c r="AN548" s="68"/>
      <c r="AO548" s="68"/>
      <c r="AP548" s="68"/>
      <c r="AQ548" s="68"/>
      <c r="AR548" s="68"/>
      <c r="AS548" s="68"/>
      <c r="AT548" s="68"/>
      <c r="AU548" s="68"/>
      <c r="AV548" s="68"/>
      <c r="AW548" s="68"/>
      <c r="AX548" s="68"/>
      <c r="AY548" s="68"/>
      <c r="AZ548" s="68"/>
      <c r="BA548" s="68"/>
      <c r="BB548" s="68"/>
      <c r="BC548" s="68"/>
      <c r="BD548" s="68"/>
      <c r="BE548" s="68"/>
      <c r="BF548" s="68"/>
      <c r="BG548" s="68"/>
      <c r="BH548" s="68"/>
      <c r="BI548" s="68"/>
      <c r="BJ548" s="68"/>
      <c r="BK548" s="68"/>
      <c r="BL548" s="68"/>
      <c r="BM548" s="68"/>
      <c r="BN548" s="68"/>
    </row>
    <row r="549" spans="1:66" ht="17">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68"/>
      <c r="AG549" s="68"/>
      <c r="AH549" s="68"/>
      <c r="AI549" s="68"/>
      <c r="AJ549" s="68"/>
      <c r="AK549" s="68"/>
      <c r="AL549" s="68"/>
      <c r="AM549" s="68"/>
      <c r="AN549" s="68"/>
      <c r="AO549" s="68"/>
      <c r="AP549" s="68"/>
      <c r="AQ549" s="68"/>
      <c r="AR549" s="68"/>
      <c r="AS549" s="68"/>
      <c r="AT549" s="68"/>
      <c r="AU549" s="68"/>
      <c r="AV549" s="68"/>
      <c r="AW549" s="68"/>
      <c r="AX549" s="68"/>
      <c r="AY549" s="68"/>
      <c r="AZ549" s="68"/>
      <c r="BA549" s="68"/>
      <c r="BB549" s="68"/>
      <c r="BC549" s="68"/>
      <c r="BD549" s="68"/>
      <c r="BE549" s="68"/>
      <c r="BF549" s="68"/>
      <c r="BG549" s="68"/>
      <c r="BH549" s="68"/>
      <c r="BI549" s="68"/>
      <c r="BJ549" s="68"/>
      <c r="BK549" s="68"/>
      <c r="BL549" s="68"/>
      <c r="BM549" s="68"/>
      <c r="BN549" s="68"/>
    </row>
    <row r="550" spans="1:66" ht="17">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68"/>
      <c r="AG550" s="68"/>
      <c r="AH550" s="68"/>
      <c r="AI550" s="68"/>
      <c r="AJ550" s="68"/>
      <c r="AK550" s="68"/>
      <c r="AL550" s="68"/>
      <c r="AM550" s="68"/>
      <c r="AN550" s="68"/>
      <c r="AO550" s="68"/>
      <c r="AP550" s="68"/>
      <c r="AQ550" s="68"/>
      <c r="AR550" s="68"/>
      <c r="AS550" s="68"/>
      <c r="AT550" s="68"/>
      <c r="AU550" s="68"/>
      <c r="AV550" s="68"/>
      <c r="AW550" s="68"/>
      <c r="AX550" s="68"/>
      <c r="AY550" s="68"/>
      <c r="AZ550" s="68"/>
      <c r="BA550" s="68"/>
      <c r="BB550" s="68"/>
      <c r="BC550" s="68"/>
      <c r="BD550" s="68"/>
      <c r="BE550" s="68"/>
      <c r="BF550" s="68"/>
      <c r="BG550" s="68"/>
      <c r="BH550" s="68"/>
      <c r="BI550" s="68"/>
      <c r="BJ550" s="68"/>
      <c r="BK550" s="68"/>
      <c r="BL550" s="68"/>
      <c r="BM550" s="68"/>
      <c r="BN550" s="68"/>
    </row>
    <row r="551" spans="1:66" ht="17">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68"/>
      <c r="AG551" s="68"/>
      <c r="AH551" s="68"/>
      <c r="AI551" s="68"/>
      <c r="AJ551" s="68"/>
      <c r="AK551" s="68"/>
      <c r="AL551" s="68"/>
      <c r="AM551" s="68"/>
      <c r="AN551" s="68"/>
      <c r="AO551" s="68"/>
      <c r="AP551" s="68"/>
      <c r="AQ551" s="68"/>
      <c r="AR551" s="68"/>
      <c r="AS551" s="68"/>
      <c r="AT551" s="68"/>
      <c r="AU551" s="68"/>
      <c r="AV551" s="68"/>
      <c r="AW551" s="68"/>
      <c r="AX551" s="68"/>
      <c r="AY551" s="68"/>
      <c r="AZ551" s="68"/>
      <c r="BA551" s="68"/>
      <c r="BB551" s="68"/>
      <c r="BC551" s="68"/>
      <c r="BD551" s="68"/>
      <c r="BE551" s="68"/>
      <c r="BF551" s="68"/>
      <c r="BG551" s="68"/>
      <c r="BH551" s="68"/>
      <c r="BI551" s="68"/>
      <c r="BJ551" s="68"/>
      <c r="BK551" s="68"/>
      <c r="BL551" s="68"/>
      <c r="BM551" s="68"/>
      <c r="BN551" s="68"/>
    </row>
    <row r="552" spans="1:66" ht="17">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68"/>
      <c r="AG552" s="68"/>
      <c r="AH552" s="68"/>
      <c r="AI552" s="68"/>
      <c r="AJ552" s="68"/>
      <c r="AK552" s="68"/>
      <c r="AL552" s="68"/>
      <c r="AM552" s="68"/>
      <c r="AN552" s="68"/>
      <c r="AO552" s="68"/>
      <c r="AP552" s="68"/>
      <c r="AQ552" s="68"/>
      <c r="AR552" s="68"/>
      <c r="AS552" s="68"/>
      <c r="AT552" s="68"/>
      <c r="AU552" s="68"/>
      <c r="AV552" s="68"/>
      <c r="AW552" s="68"/>
      <c r="AX552" s="68"/>
      <c r="AY552" s="68"/>
      <c r="AZ552" s="68"/>
      <c r="BA552" s="68"/>
      <c r="BB552" s="68"/>
      <c r="BC552" s="68"/>
      <c r="BD552" s="68"/>
      <c r="BE552" s="68"/>
      <c r="BF552" s="68"/>
      <c r="BG552" s="68"/>
      <c r="BH552" s="68"/>
      <c r="BI552" s="68"/>
      <c r="BJ552" s="68"/>
      <c r="BK552" s="68"/>
      <c r="BL552" s="68"/>
      <c r="BM552" s="68"/>
      <c r="BN552" s="68"/>
    </row>
    <row r="553" spans="1:66" ht="17">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68"/>
      <c r="AG553" s="68"/>
      <c r="AH553" s="68"/>
      <c r="AI553" s="68"/>
      <c r="AJ553" s="68"/>
      <c r="AK553" s="68"/>
      <c r="AL553" s="68"/>
      <c r="AM553" s="68"/>
      <c r="AN553" s="68"/>
      <c r="AO553" s="68"/>
      <c r="AP553" s="68"/>
      <c r="AQ553" s="68"/>
      <c r="AR553" s="68"/>
      <c r="AS553" s="68"/>
      <c r="AT553" s="68"/>
      <c r="AU553" s="68"/>
      <c r="AV553" s="68"/>
      <c r="AW553" s="68"/>
      <c r="AX553" s="68"/>
      <c r="AY553" s="68"/>
      <c r="AZ553" s="68"/>
      <c r="BA553" s="68"/>
      <c r="BB553" s="68"/>
      <c r="BC553" s="68"/>
      <c r="BD553" s="68"/>
      <c r="BE553" s="68"/>
      <c r="BF553" s="68"/>
      <c r="BG553" s="68"/>
      <c r="BH553" s="68"/>
      <c r="BI553" s="68"/>
      <c r="BJ553" s="68"/>
      <c r="BK553" s="68"/>
      <c r="BL553" s="68"/>
      <c r="BM553" s="68"/>
      <c r="BN553" s="68"/>
    </row>
    <row r="554" spans="1:66" ht="17">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68"/>
      <c r="AG554" s="68"/>
      <c r="AH554" s="68"/>
      <c r="AI554" s="68"/>
      <c r="AJ554" s="68"/>
      <c r="AK554" s="68"/>
      <c r="AL554" s="68"/>
      <c r="AM554" s="68"/>
      <c r="AN554" s="68"/>
      <c r="AO554" s="68"/>
      <c r="AP554" s="68"/>
      <c r="AQ554" s="68"/>
      <c r="AR554" s="68"/>
      <c r="AS554" s="68"/>
      <c r="AT554" s="68"/>
      <c r="AU554" s="68"/>
      <c r="AV554" s="68"/>
      <c r="AW554" s="68"/>
      <c r="AX554" s="68"/>
      <c r="AY554" s="68"/>
      <c r="AZ554" s="68"/>
      <c r="BA554" s="68"/>
      <c r="BB554" s="68"/>
      <c r="BC554" s="68"/>
      <c r="BD554" s="68"/>
      <c r="BE554" s="68"/>
      <c r="BF554" s="68"/>
      <c r="BG554" s="68"/>
      <c r="BH554" s="68"/>
      <c r="BI554" s="68"/>
      <c r="BJ554" s="68"/>
      <c r="BK554" s="68"/>
      <c r="BL554" s="68"/>
      <c r="BM554" s="68"/>
      <c r="BN554" s="68"/>
    </row>
    <row r="555" spans="1:66" ht="17">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68"/>
      <c r="AG555" s="68"/>
      <c r="AH555" s="68"/>
      <c r="AI555" s="68"/>
      <c r="AJ555" s="68"/>
      <c r="AK555" s="68"/>
      <c r="AL555" s="68"/>
      <c r="AM555" s="68"/>
      <c r="AN555" s="68"/>
      <c r="AO555" s="68"/>
      <c r="AP555" s="68"/>
      <c r="AQ555" s="68"/>
      <c r="AR555" s="68"/>
      <c r="AS555" s="68"/>
      <c r="AT555" s="68"/>
      <c r="AU555" s="68"/>
      <c r="AV555" s="68"/>
      <c r="AW555" s="68"/>
      <c r="AX555" s="68"/>
      <c r="AY555" s="68"/>
      <c r="AZ555" s="68"/>
      <c r="BA555" s="68"/>
      <c r="BB555" s="68"/>
      <c r="BC555" s="68"/>
      <c r="BD555" s="68"/>
      <c r="BE555" s="68"/>
      <c r="BF555" s="68"/>
      <c r="BG555" s="68"/>
      <c r="BH555" s="68"/>
      <c r="BI555" s="68"/>
      <c r="BJ555" s="68"/>
      <c r="BK555" s="68"/>
      <c r="BL555" s="68"/>
      <c r="BM555" s="68"/>
      <c r="BN555" s="68"/>
    </row>
    <row r="556" spans="1:66" ht="17">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c r="AG556" s="68"/>
      <c r="AH556" s="68"/>
      <c r="AI556" s="68"/>
      <c r="AJ556" s="68"/>
      <c r="AK556" s="68"/>
      <c r="AL556" s="68"/>
      <c r="AM556" s="68"/>
      <c r="AN556" s="68"/>
      <c r="AO556" s="68"/>
      <c r="AP556" s="68"/>
      <c r="AQ556" s="68"/>
      <c r="AR556" s="68"/>
      <c r="AS556" s="68"/>
      <c r="AT556" s="68"/>
      <c r="AU556" s="68"/>
      <c r="AV556" s="68"/>
      <c r="AW556" s="68"/>
      <c r="AX556" s="68"/>
      <c r="AY556" s="68"/>
      <c r="AZ556" s="68"/>
      <c r="BA556" s="68"/>
      <c r="BB556" s="68"/>
      <c r="BC556" s="68"/>
      <c r="BD556" s="68"/>
      <c r="BE556" s="68"/>
      <c r="BF556" s="68"/>
      <c r="BG556" s="68"/>
      <c r="BH556" s="68"/>
      <c r="BI556" s="68"/>
      <c r="BJ556" s="68"/>
      <c r="BK556" s="68"/>
      <c r="BL556" s="68"/>
      <c r="BM556" s="68"/>
      <c r="BN556" s="68"/>
    </row>
    <row r="557" spans="1:66" ht="1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68"/>
      <c r="AG557" s="68"/>
      <c r="AH557" s="68"/>
      <c r="AI557" s="68"/>
      <c r="AJ557" s="68"/>
      <c r="AK557" s="68"/>
      <c r="AL557" s="68"/>
      <c r="AM557" s="68"/>
      <c r="AN557" s="68"/>
      <c r="AO557" s="68"/>
      <c r="AP557" s="68"/>
      <c r="AQ557" s="68"/>
      <c r="AR557" s="68"/>
      <c r="AS557" s="68"/>
      <c r="AT557" s="68"/>
      <c r="AU557" s="68"/>
      <c r="AV557" s="68"/>
      <c r="AW557" s="68"/>
      <c r="AX557" s="68"/>
      <c r="AY557" s="68"/>
      <c r="AZ557" s="68"/>
      <c r="BA557" s="68"/>
      <c r="BB557" s="68"/>
      <c r="BC557" s="68"/>
      <c r="BD557" s="68"/>
      <c r="BE557" s="68"/>
      <c r="BF557" s="68"/>
      <c r="BG557" s="68"/>
      <c r="BH557" s="68"/>
      <c r="BI557" s="68"/>
      <c r="BJ557" s="68"/>
      <c r="BK557" s="68"/>
      <c r="BL557" s="68"/>
      <c r="BM557" s="68"/>
      <c r="BN557" s="68"/>
    </row>
    <row r="558" spans="1:66" ht="17">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c r="AG558" s="68"/>
      <c r="AH558" s="68"/>
      <c r="AI558" s="68"/>
      <c r="AJ558" s="68"/>
      <c r="AK558" s="68"/>
      <c r="AL558" s="68"/>
      <c r="AM558" s="68"/>
      <c r="AN558" s="68"/>
      <c r="AO558" s="68"/>
      <c r="AP558" s="68"/>
      <c r="AQ558" s="68"/>
      <c r="AR558" s="68"/>
      <c r="AS558" s="68"/>
      <c r="AT558" s="68"/>
      <c r="AU558" s="68"/>
      <c r="AV558" s="68"/>
      <c r="AW558" s="68"/>
      <c r="AX558" s="68"/>
      <c r="AY558" s="68"/>
      <c r="AZ558" s="68"/>
      <c r="BA558" s="68"/>
      <c r="BB558" s="68"/>
      <c r="BC558" s="68"/>
      <c r="BD558" s="68"/>
      <c r="BE558" s="68"/>
      <c r="BF558" s="68"/>
      <c r="BG558" s="68"/>
      <c r="BH558" s="68"/>
      <c r="BI558" s="68"/>
      <c r="BJ558" s="68"/>
      <c r="BK558" s="68"/>
      <c r="BL558" s="68"/>
      <c r="BM558" s="68"/>
      <c r="BN558" s="68"/>
    </row>
    <row r="559" spans="1:66" ht="17">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c r="AG559" s="68"/>
      <c r="AH559" s="68"/>
      <c r="AI559" s="68"/>
      <c r="AJ559" s="68"/>
      <c r="AK559" s="68"/>
      <c r="AL559" s="68"/>
      <c r="AM559" s="68"/>
      <c r="AN559" s="68"/>
      <c r="AO559" s="68"/>
      <c r="AP559" s="68"/>
      <c r="AQ559" s="68"/>
      <c r="AR559" s="68"/>
      <c r="AS559" s="68"/>
      <c r="AT559" s="68"/>
      <c r="AU559" s="68"/>
      <c r="AV559" s="68"/>
      <c r="AW559" s="68"/>
      <c r="AX559" s="68"/>
      <c r="AY559" s="68"/>
      <c r="AZ559" s="68"/>
      <c r="BA559" s="68"/>
      <c r="BB559" s="68"/>
      <c r="BC559" s="68"/>
      <c r="BD559" s="68"/>
      <c r="BE559" s="68"/>
      <c r="BF559" s="68"/>
      <c r="BG559" s="68"/>
      <c r="BH559" s="68"/>
      <c r="BI559" s="68"/>
      <c r="BJ559" s="68"/>
      <c r="BK559" s="68"/>
      <c r="BL559" s="68"/>
      <c r="BM559" s="68"/>
      <c r="BN559" s="68"/>
    </row>
    <row r="560" spans="1:66" ht="17">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c r="AG560" s="68"/>
      <c r="AH560" s="68"/>
      <c r="AI560" s="68"/>
      <c r="AJ560" s="68"/>
      <c r="AK560" s="68"/>
      <c r="AL560" s="68"/>
      <c r="AM560" s="68"/>
      <c r="AN560" s="68"/>
      <c r="AO560" s="68"/>
      <c r="AP560" s="68"/>
      <c r="AQ560" s="68"/>
      <c r="AR560" s="68"/>
      <c r="AS560" s="68"/>
      <c r="AT560" s="68"/>
      <c r="AU560" s="68"/>
      <c r="AV560" s="68"/>
      <c r="AW560" s="68"/>
      <c r="AX560" s="68"/>
      <c r="AY560" s="68"/>
      <c r="AZ560" s="68"/>
      <c r="BA560" s="68"/>
      <c r="BB560" s="68"/>
      <c r="BC560" s="68"/>
      <c r="BD560" s="68"/>
      <c r="BE560" s="68"/>
      <c r="BF560" s="68"/>
      <c r="BG560" s="68"/>
      <c r="BH560" s="68"/>
      <c r="BI560" s="68"/>
      <c r="BJ560" s="68"/>
      <c r="BK560" s="68"/>
      <c r="BL560" s="68"/>
      <c r="BM560" s="68"/>
      <c r="BN560" s="68"/>
    </row>
    <row r="561" spans="1:66" ht="17">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c r="AG561" s="68"/>
      <c r="AH561" s="68"/>
      <c r="AI561" s="68"/>
      <c r="AJ561" s="68"/>
      <c r="AK561" s="68"/>
      <c r="AL561" s="68"/>
      <c r="AM561" s="68"/>
      <c r="AN561" s="68"/>
      <c r="AO561" s="68"/>
      <c r="AP561" s="68"/>
      <c r="AQ561" s="68"/>
      <c r="AR561" s="68"/>
      <c r="AS561" s="68"/>
      <c r="AT561" s="68"/>
      <c r="AU561" s="68"/>
      <c r="AV561" s="68"/>
      <c r="AW561" s="68"/>
      <c r="AX561" s="68"/>
      <c r="AY561" s="68"/>
      <c r="AZ561" s="68"/>
      <c r="BA561" s="68"/>
      <c r="BB561" s="68"/>
      <c r="BC561" s="68"/>
      <c r="BD561" s="68"/>
      <c r="BE561" s="68"/>
      <c r="BF561" s="68"/>
      <c r="BG561" s="68"/>
      <c r="BH561" s="68"/>
      <c r="BI561" s="68"/>
      <c r="BJ561" s="68"/>
      <c r="BK561" s="68"/>
      <c r="BL561" s="68"/>
      <c r="BM561" s="68"/>
      <c r="BN561" s="68"/>
    </row>
    <row r="562" spans="1:66" ht="17">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c r="AG562" s="68"/>
      <c r="AH562" s="68"/>
      <c r="AI562" s="68"/>
      <c r="AJ562" s="68"/>
      <c r="AK562" s="68"/>
      <c r="AL562" s="68"/>
      <c r="AM562" s="68"/>
      <c r="AN562" s="68"/>
      <c r="AO562" s="68"/>
      <c r="AP562" s="68"/>
      <c r="AQ562" s="68"/>
      <c r="AR562" s="68"/>
      <c r="AS562" s="68"/>
      <c r="AT562" s="68"/>
      <c r="AU562" s="68"/>
      <c r="AV562" s="68"/>
      <c r="AW562" s="68"/>
      <c r="AX562" s="68"/>
      <c r="AY562" s="68"/>
      <c r="AZ562" s="68"/>
      <c r="BA562" s="68"/>
      <c r="BB562" s="68"/>
      <c r="BC562" s="68"/>
      <c r="BD562" s="68"/>
      <c r="BE562" s="68"/>
      <c r="BF562" s="68"/>
      <c r="BG562" s="68"/>
      <c r="BH562" s="68"/>
      <c r="BI562" s="68"/>
      <c r="BJ562" s="68"/>
      <c r="BK562" s="68"/>
      <c r="BL562" s="68"/>
      <c r="BM562" s="68"/>
      <c r="BN562" s="68"/>
    </row>
    <row r="563" spans="1:66" ht="17">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c r="AG563" s="68"/>
      <c r="AH563" s="68"/>
      <c r="AI563" s="68"/>
      <c r="AJ563" s="68"/>
      <c r="AK563" s="68"/>
      <c r="AL563" s="68"/>
      <c r="AM563" s="68"/>
      <c r="AN563" s="68"/>
      <c r="AO563" s="68"/>
      <c r="AP563" s="68"/>
      <c r="AQ563" s="68"/>
      <c r="AR563" s="68"/>
      <c r="AS563" s="68"/>
      <c r="AT563" s="68"/>
      <c r="AU563" s="68"/>
      <c r="AV563" s="68"/>
      <c r="AW563" s="68"/>
      <c r="AX563" s="68"/>
      <c r="AY563" s="68"/>
      <c r="AZ563" s="68"/>
      <c r="BA563" s="68"/>
      <c r="BB563" s="68"/>
      <c r="BC563" s="68"/>
      <c r="BD563" s="68"/>
      <c r="BE563" s="68"/>
      <c r="BF563" s="68"/>
      <c r="BG563" s="68"/>
      <c r="BH563" s="68"/>
      <c r="BI563" s="68"/>
      <c r="BJ563" s="68"/>
      <c r="BK563" s="68"/>
      <c r="BL563" s="68"/>
      <c r="BM563" s="68"/>
      <c r="BN563" s="68"/>
    </row>
    <row r="564" spans="1:66" ht="17">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68"/>
      <c r="AG564" s="68"/>
      <c r="AH564" s="68"/>
      <c r="AI564" s="68"/>
      <c r="AJ564" s="68"/>
      <c r="AK564" s="68"/>
      <c r="AL564" s="68"/>
      <c r="AM564" s="68"/>
      <c r="AN564" s="68"/>
      <c r="AO564" s="68"/>
      <c r="AP564" s="68"/>
      <c r="AQ564" s="68"/>
      <c r="AR564" s="68"/>
      <c r="AS564" s="68"/>
      <c r="AT564" s="68"/>
      <c r="AU564" s="68"/>
      <c r="AV564" s="68"/>
      <c r="AW564" s="68"/>
      <c r="AX564" s="68"/>
      <c r="AY564" s="68"/>
      <c r="AZ564" s="68"/>
      <c r="BA564" s="68"/>
      <c r="BB564" s="68"/>
      <c r="BC564" s="68"/>
      <c r="BD564" s="68"/>
      <c r="BE564" s="68"/>
      <c r="BF564" s="68"/>
      <c r="BG564" s="68"/>
      <c r="BH564" s="68"/>
      <c r="BI564" s="68"/>
      <c r="BJ564" s="68"/>
      <c r="BK564" s="68"/>
      <c r="BL564" s="68"/>
      <c r="BM564" s="68"/>
      <c r="BN564" s="68"/>
    </row>
    <row r="565" spans="1:66" ht="17">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68"/>
      <c r="AG565" s="68"/>
      <c r="AH565" s="68"/>
      <c r="AI565" s="68"/>
      <c r="AJ565" s="68"/>
      <c r="AK565" s="68"/>
      <c r="AL565" s="68"/>
      <c r="AM565" s="68"/>
      <c r="AN565" s="68"/>
      <c r="AO565" s="68"/>
      <c r="AP565" s="68"/>
      <c r="AQ565" s="68"/>
      <c r="AR565" s="68"/>
      <c r="AS565" s="68"/>
      <c r="AT565" s="68"/>
      <c r="AU565" s="68"/>
      <c r="AV565" s="68"/>
      <c r="AW565" s="68"/>
      <c r="AX565" s="68"/>
      <c r="AY565" s="68"/>
      <c r="AZ565" s="68"/>
      <c r="BA565" s="68"/>
      <c r="BB565" s="68"/>
      <c r="BC565" s="68"/>
      <c r="BD565" s="68"/>
      <c r="BE565" s="68"/>
      <c r="BF565" s="68"/>
      <c r="BG565" s="68"/>
      <c r="BH565" s="68"/>
      <c r="BI565" s="68"/>
      <c r="BJ565" s="68"/>
      <c r="BK565" s="68"/>
      <c r="BL565" s="68"/>
      <c r="BM565" s="68"/>
      <c r="BN565" s="68"/>
    </row>
    <row r="566" spans="1:66" ht="17">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68"/>
      <c r="AG566" s="68"/>
      <c r="AH566" s="68"/>
      <c r="AI566" s="68"/>
      <c r="AJ566" s="68"/>
      <c r="AK566" s="68"/>
      <c r="AL566" s="68"/>
      <c r="AM566" s="68"/>
      <c r="AN566" s="68"/>
      <c r="AO566" s="68"/>
      <c r="AP566" s="68"/>
      <c r="AQ566" s="68"/>
      <c r="AR566" s="68"/>
      <c r="AS566" s="68"/>
      <c r="AT566" s="68"/>
      <c r="AU566" s="68"/>
      <c r="AV566" s="68"/>
      <c r="AW566" s="68"/>
      <c r="AX566" s="68"/>
      <c r="AY566" s="68"/>
      <c r="AZ566" s="68"/>
      <c r="BA566" s="68"/>
      <c r="BB566" s="68"/>
      <c r="BC566" s="68"/>
      <c r="BD566" s="68"/>
      <c r="BE566" s="68"/>
      <c r="BF566" s="68"/>
      <c r="BG566" s="68"/>
      <c r="BH566" s="68"/>
      <c r="BI566" s="68"/>
      <c r="BJ566" s="68"/>
      <c r="BK566" s="68"/>
      <c r="BL566" s="68"/>
      <c r="BM566" s="68"/>
      <c r="BN566" s="68"/>
    </row>
    <row r="567" spans="1:66" ht="1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68"/>
      <c r="AG567" s="68"/>
      <c r="AH567" s="68"/>
      <c r="AI567" s="68"/>
      <c r="AJ567" s="68"/>
      <c r="AK567" s="68"/>
      <c r="AL567" s="68"/>
      <c r="AM567" s="68"/>
      <c r="AN567" s="68"/>
      <c r="AO567" s="68"/>
      <c r="AP567" s="68"/>
      <c r="AQ567" s="68"/>
      <c r="AR567" s="68"/>
      <c r="AS567" s="68"/>
      <c r="AT567" s="68"/>
      <c r="AU567" s="68"/>
      <c r="AV567" s="68"/>
      <c r="AW567" s="68"/>
      <c r="AX567" s="68"/>
      <c r="AY567" s="68"/>
      <c r="AZ567" s="68"/>
      <c r="BA567" s="68"/>
      <c r="BB567" s="68"/>
      <c r="BC567" s="68"/>
      <c r="BD567" s="68"/>
      <c r="BE567" s="68"/>
      <c r="BF567" s="68"/>
      <c r="BG567" s="68"/>
      <c r="BH567" s="68"/>
      <c r="BI567" s="68"/>
      <c r="BJ567" s="68"/>
      <c r="BK567" s="68"/>
      <c r="BL567" s="68"/>
      <c r="BM567" s="68"/>
      <c r="BN567" s="68"/>
    </row>
    <row r="568" spans="1:66" ht="17">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68"/>
      <c r="AG568" s="68"/>
      <c r="AH568" s="68"/>
      <c r="AI568" s="68"/>
      <c r="AJ568" s="68"/>
      <c r="AK568" s="68"/>
      <c r="AL568" s="68"/>
      <c r="AM568" s="68"/>
      <c r="AN568" s="68"/>
      <c r="AO568" s="68"/>
      <c r="AP568" s="68"/>
      <c r="AQ568" s="68"/>
      <c r="AR568" s="68"/>
      <c r="AS568" s="68"/>
      <c r="AT568" s="68"/>
      <c r="AU568" s="68"/>
      <c r="AV568" s="68"/>
      <c r="AW568" s="68"/>
      <c r="AX568" s="68"/>
      <c r="AY568" s="68"/>
      <c r="AZ568" s="68"/>
      <c r="BA568" s="68"/>
      <c r="BB568" s="68"/>
      <c r="BC568" s="68"/>
      <c r="BD568" s="68"/>
      <c r="BE568" s="68"/>
      <c r="BF568" s="68"/>
      <c r="BG568" s="68"/>
      <c r="BH568" s="68"/>
      <c r="BI568" s="68"/>
      <c r="BJ568" s="68"/>
      <c r="BK568" s="68"/>
      <c r="BL568" s="68"/>
      <c r="BM568" s="68"/>
      <c r="BN568" s="68"/>
    </row>
    <row r="569" spans="1:66" ht="17">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68"/>
      <c r="AG569" s="68"/>
      <c r="AH569" s="68"/>
      <c r="AI569" s="68"/>
      <c r="AJ569" s="68"/>
      <c r="AK569" s="68"/>
      <c r="AL569" s="68"/>
      <c r="AM569" s="68"/>
      <c r="AN569" s="68"/>
      <c r="AO569" s="68"/>
      <c r="AP569" s="68"/>
      <c r="AQ569" s="68"/>
      <c r="AR569" s="68"/>
      <c r="AS569" s="68"/>
      <c r="AT569" s="68"/>
      <c r="AU569" s="68"/>
      <c r="AV569" s="68"/>
      <c r="AW569" s="68"/>
      <c r="AX569" s="68"/>
      <c r="AY569" s="68"/>
      <c r="AZ569" s="68"/>
      <c r="BA569" s="68"/>
      <c r="BB569" s="68"/>
      <c r="BC569" s="68"/>
      <c r="BD569" s="68"/>
      <c r="BE569" s="68"/>
      <c r="BF569" s="68"/>
      <c r="BG569" s="68"/>
      <c r="BH569" s="68"/>
      <c r="BI569" s="68"/>
      <c r="BJ569" s="68"/>
      <c r="BK569" s="68"/>
      <c r="BL569" s="68"/>
      <c r="BM569" s="68"/>
      <c r="BN569" s="68"/>
    </row>
    <row r="570" spans="1:66" ht="17">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68"/>
      <c r="AG570" s="68"/>
      <c r="AH570" s="68"/>
      <c r="AI570" s="68"/>
      <c r="AJ570" s="68"/>
      <c r="AK570" s="68"/>
      <c r="AL570" s="68"/>
      <c r="AM570" s="68"/>
      <c r="AN570" s="68"/>
      <c r="AO570" s="68"/>
      <c r="AP570" s="68"/>
      <c r="AQ570" s="68"/>
      <c r="AR570" s="68"/>
      <c r="AS570" s="68"/>
      <c r="AT570" s="68"/>
      <c r="AU570" s="68"/>
      <c r="AV570" s="68"/>
      <c r="AW570" s="68"/>
      <c r="AX570" s="68"/>
      <c r="AY570" s="68"/>
      <c r="AZ570" s="68"/>
      <c r="BA570" s="68"/>
      <c r="BB570" s="68"/>
      <c r="BC570" s="68"/>
      <c r="BD570" s="68"/>
      <c r="BE570" s="68"/>
      <c r="BF570" s="68"/>
      <c r="BG570" s="68"/>
      <c r="BH570" s="68"/>
      <c r="BI570" s="68"/>
      <c r="BJ570" s="68"/>
      <c r="BK570" s="68"/>
      <c r="BL570" s="68"/>
      <c r="BM570" s="68"/>
      <c r="BN570" s="68"/>
    </row>
    <row r="571" spans="1:66" ht="17">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68"/>
      <c r="AG571" s="68"/>
      <c r="AH571" s="68"/>
      <c r="AI571" s="68"/>
      <c r="AJ571" s="68"/>
      <c r="AK571" s="68"/>
      <c r="AL571" s="68"/>
      <c r="AM571" s="68"/>
      <c r="AN571" s="68"/>
      <c r="AO571" s="68"/>
      <c r="AP571" s="68"/>
      <c r="AQ571" s="68"/>
      <c r="AR571" s="68"/>
      <c r="AS571" s="68"/>
      <c r="AT571" s="68"/>
      <c r="AU571" s="68"/>
      <c r="AV571" s="68"/>
      <c r="AW571" s="68"/>
      <c r="AX571" s="68"/>
      <c r="AY571" s="68"/>
      <c r="AZ571" s="68"/>
      <c r="BA571" s="68"/>
      <c r="BB571" s="68"/>
      <c r="BC571" s="68"/>
      <c r="BD571" s="68"/>
      <c r="BE571" s="68"/>
      <c r="BF571" s="68"/>
      <c r="BG571" s="68"/>
      <c r="BH571" s="68"/>
      <c r="BI571" s="68"/>
      <c r="BJ571" s="68"/>
      <c r="BK571" s="68"/>
      <c r="BL571" s="68"/>
      <c r="BM571" s="68"/>
      <c r="BN571" s="68"/>
    </row>
    <row r="572" spans="1:66" ht="17">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68"/>
      <c r="AG572" s="68"/>
      <c r="AH572" s="68"/>
      <c r="AI572" s="68"/>
      <c r="AJ572" s="68"/>
      <c r="AK572" s="68"/>
      <c r="AL572" s="68"/>
      <c r="AM572" s="68"/>
      <c r="AN572" s="68"/>
      <c r="AO572" s="68"/>
      <c r="AP572" s="68"/>
      <c r="AQ572" s="68"/>
      <c r="AR572" s="68"/>
      <c r="AS572" s="68"/>
      <c r="AT572" s="68"/>
      <c r="AU572" s="68"/>
      <c r="AV572" s="68"/>
      <c r="AW572" s="68"/>
      <c r="AX572" s="68"/>
      <c r="AY572" s="68"/>
      <c r="AZ572" s="68"/>
      <c r="BA572" s="68"/>
      <c r="BB572" s="68"/>
      <c r="BC572" s="68"/>
      <c r="BD572" s="68"/>
      <c r="BE572" s="68"/>
      <c r="BF572" s="68"/>
      <c r="BG572" s="68"/>
      <c r="BH572" s="68"/>
      <c r="BI572" s="68"/>
      <c r="BJ572" s="68"/>
      <c r="BK572" s="68"/>
      <c r="BL572" s="68"/>
      <c r="BM572" s="68"/>
      <c r="BN572" s="68"/>
    </row>
    <row r="573" spans="1:66" ht="17">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68"/>
      <c r="AG573" s="68"/>
      <c r="AH573" s="68"/>
      <c r="AI573" s="68"/>
      <c r="AJ573" s="68"/>
      <c r="AK573" s="68"/>
      <c r="AL573" s="68"/>
      <c r="AM573" s="68"/>
      <c r="AN573" s="68"/>
      <c r="AO573" s="68"/>
      <c r="AP573" s="68"/>
      <c r="AQ573" s="68"/>
      <c r="AR573" s="68"/>
      <c r="AS573" s="68"/>
      <c r="AT573" s="68"/>
      <c r="AU573" s="68"/>
      <c r="AV573" s="68"/>
      <c r="AW573" s="68"/>
      <c r="AX573" s="68"/>
      <c r="AY573" s="68"/>
      <c r="AZ573" s="68"/>
      <c r="BA573" s="68"/>
      <c r="BB573" s="68"/>
      <c r="BC573" s="68"/>
      <c r="BD573" s="68"/>
      <c r="BE573" s="68"/>
      <c r="BF573" s="68"/>
      <c r="BG573" s="68"/>
      <c r="BH573" s="68"/>
      <c r="BI573" s="68"/>
      <c r="BJ573" s="68"/>
      <c r="BK573" s="68"/>
      <c r="BL573" s="68"/>
      <c r="BM573" s="68"/>
      <c r="BN573" s="68"/>
    </row>
    <row r="574" spans="1:66" ht="17">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68"/>
      <c r="AG574" s="68"/>
      <c r="AH574" s="68"/>
      <c r="AI574" s="68"/>
      <c r="AJ574" s="68"/>
      <c r="AK574" s="68"/>
      <c r="AL574" s="68"/>
      <c r="AM574" s="68"/>
      <c r="AN574" s="68"/>
      <c r="AO574" s="68"/>
      <c r="AP574" s="68"/>
      <c r="AQ574" s="68"/>
      <c r="AR574" s="68"/>
      <c r="AS574" s="68"/>
      <c r="AT574" s="68"/>
      <c r="AU574" s="68"/>
      <c r="AV574" s="68"/>
      <c r="AW574" s="68"/>
      <c r="AX574" s="68"/>
      <c r="AY574" s="68"/>
      <c r="AZ574" s="68"/>
      <c r="BA574" s="68"/>
      <c r="BB574" s="68"/>
      <c r="BC574" s="68"/>
      <c r="BD574" s="68"/>
      <c r="BE574" s="68"/>
      <c r="BF574" s="68"/>
      <c r="BG574" s="68"/>
      <c r="BH574" s="68"/>
      <c r="BI574" s="68"/>
      <c r="BJ574" s="68"/>
      <c r="BK574" s="68"/>
      <c r="BL574" s="68"/>
      <c r="BM574" s="68"/>
      <c r="BN574" s="68"/>
    </row>
    <row r="575" spans="1:66" ht="17">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68"/>
      <c r="AG575" s="68"/>
      <c r="AH575" s="68"/>
      <c r="AI575" s="68"/>
      <c r="AJ575" s="68"/>
      <c r="AK575" s="68"/>
      <c r="AL575" s="68"/>
      <c r="AM575" s="68"/>
      <c r="AN575" s="68"/>
      <c r="AO575" s="68"/>
      <c r="AP575" s="68"/>
      <c r="AQ575" s="68"/>
      <c r="AR575" s="68"/>
      <c r="AS575" s="68"/>
      <c r="AT575" s="68"/>
      <c r="AU575" s="68"/>
      <c r="AV575" s="68"/>
      <c r="AW575" s="68"/>
      <c r="AX575" s="68"/>
      <c r="AY575" s="68"/>
      <c r="AZ575" s="68"/>
      <c r="BA575" s="68"/>
      <c r="BB575" s="68"/>
      <c r="BC575" s="68"/>
      <c r="BD575" s="68"/>
      <c r="BE575" s="68"/>
      <c r="BF575" s="68"/>
      <c r="BG575" s="68"/>
      <c r="BH575" s="68"/>
      <c r="BI575" s="68"/>
      <c r="BJ575" s="68"/>
      <c r="BK575" s="68"/>
      <c r="BL575" s="68"/>
      <c r="BM575" s="68"/>
      <c r="BN575" s="68"/>
    </row>
    <row r="576" spans="1:66" ht="17">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68"/>
      <c r="AG576" s="68"/>
      <c r="AH576" s="68"/>
      <c r="AI576" s="68"/>
      <c r="AJ576" s="68"/>
      <c r="AK576" s="68"/>
      <c r="AL576" s="68"/>
      <c r="AM576" s="68"/>
      <c r="AN576" s="68"/>
      <c r="AO576" s="68"/>
      <c r="AP576" s="68"/>
      <c r="AQ576" s="68"/>
      <c r="AR576" s="68"/>
      <c r="AS576" s="68"/>
      <c r="AT576" s="68"/>
      <c r="AU576" s="68"/>
      <c r="AV576" s="68"/>
      <c r="AW576" s="68"/>
      <c r="AX576" s="68"/>
      <c r="AY576" s="68"/>
      <c r="AZ576" s="68"/>
      <c r="BA576" s="68"/>
      <c r="BB576" s="68"/>
      <c r="BC576" s="68"/>
      <c r="BD576" s="68"/>
      <c r="BE576" s="68"/>
      <c r="BF576" s="68"/>
      <c r="BG576" s="68"/>
      <c r="BH576" s="68"/>
      <c r="BI576" s="68"/>
      <c r="BJ576" s="68"/>
      <c r="BK576" s="68"/>
      <c r="BL576" s="68"/>
      <c r="BM576" s="68"/>
      <c r="BN576" s="68"/>
    </row>
    <row r="577" spans="1:66" ht="1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68"/>
      <c r="AG577" s="68"/>
      <c r="AH577" s="68"/>
      <c r="AI577" s="68"/>
      <c r="AJ577" s="68"/>
      <c r="AK577" s="68"/>
      <c r="AL577" s="68"/>
      <c r="AM577" s="68"/>
      <c r="AN577" s="68"/>
      <c r="AO577" s="68"/>
      <c r="AP577" s="68"/>
      <c r="AQ577" s="68"/>
      <c r="AR577" s="68"/>
      <c r="AS577" s="68"/>
      <c r="AT577" s="68"/>
      <c r="AU577" s="68"/>
      <c r="AV577" s="68"/>
      <c r="AW577" s="68"/>
      <c r="AX577" s="68"/>
      <c r="AY577" s="68"/>
      <c r="AZ577" s="68"/>
      <c r="BA577" s="68"/>
      <c r="BB577" s="68"/>
      <c r="BC577" s="68"/>
      <c r="BD577" s="68"/>
      <c r="BE577" s="68"/>
      <c r="BF577" s="68"/>
      <c r="BG577" s="68"/>
      <c r="BH577" s="68"/>
      <c r="BI577" s="68"/>
      <c r="BJ577" s="68"/>
      <c r="BK577" s="68"/>
      <c r="BL577" s="68"/>
      <c r="BM577" s="68"/>
      <c r="BN577" s="68"/>
    </row>
    <row r="578" spans="1:66" ht="17">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68"/>
      <c r="AG578" s="68"/>
      <c r="AH578" s="68"/>
      <c r="AI578" s="68"/>
      <c r="AJ578" s="68"/>
      <c r="AK578" s="68"/>
      <c r="AL578" s="68"/>
      <c r="AM578" s="68"/>
      <c r="AN578" s="68"/>
      <c r="AO578" s="68"/>
      <c r="AP578" s="68"/>
      <c r="AQ578" s="68"/>
      <c r="AR578" s="68"/>
      <c r="AS578" s="68"/>
      <c r="AT578" s="68"/>
      <c r="AU578" s="68"/>
      <c r="AV578" s="68"/>
      <c r="AW578" s="68"/>
      <c r="AX578" s="68"/>
      <c r="AY578" s="68"/>
      <c r="AZ578" s="68"/>
      <c r="BA578" s="68"/>
      <c r="BB578" s="68"/>
      <c r="BC578" s="68"/>
      <c r="BD578" s="68"/>
      <c r="BE578" s="68"/>
      <c r="BF578" s="68"/>
      <c r="BG578" s="68"/>
      <c r="BH578" s="68"/>
      <c r="BI578" s="68"/>
      <c r="BJ578" s="68"/>
      <c r="BK578" s="68"/>
      <c r="BL578" s="68"/>
      <c r="BM578" s="68"/>
      <c r="BN578" s="68"/>
    </row>
    <row r="579" spans="1:66" ht="17">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68"/>
      <c r="AG579" s="68"/>
      <c r="AH579" s="68"/>
      <c r="AI579" s="68"/>
      <c r="AJ579" s="68"/>
      <c r="AK579" s="68"/>
      <c r="AL579" s="68"/>
      <c r="AM579" s="68"/>
      <c r="AN579" s="68"/>
      <c r="AO579" s="68"/>
      <c r="AP579" s="68"/>
      <c r="AQ579" s="68"/>
      <c r="AR579" s="68"/>
      <c r="AS579" s="68"/>
      <c r="AT579" s="68"/>
      <c r="AU579" s="68"/>
      <c r="AV579" s="68"/>
      <c r="AW579" s="68"/>
      <c r="AX579" s="68"/>
      <c r="AY579" s="68"/>
      <c r="AZ579" s="68"/>
      <c r="BA579" s="68"/>
      <c r="BB579" s="68"/>
      <c r="BC579" s="68"/>
      <c r="BD579" s="68"/>
      <c r="BE579" s="68"/>
      <c r="BF579" s="68"/>
      <c r="BG579" s="68"/>
      <c r="BH579" s="68"/>
      <c r="BI579" s="68"/>
      <c r="BJ579" s="68"/>
      <c r="BK579" s="68"/>
      <c r="BL579" s="68"/>
      <c r="BM579" s="68"/>
      <c r="BN579" s="68"/>
    </row>
    <row r="580" spans="1:66" ht="17">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68"/>
      <c r="AG580" s="68"/>
      <c r="AH580" s="68"/>
      <c r="AI580" s="68"/>
      <c r="AJ580" s="68"/>
      <c r="AK580" s="68"/>
      <c r="AL580" s="68"/>
      <c r="AM580" s="68"/>
      <c r="AN580" s="68"/>
      <c r="AO580" s="68"/>
      <c r="AP580" s="68"/>
      <c r="AQ580" s="68"/>
      <c r="AR580" s="68"/>
      <c r="AS580" s="68"/>
      <c r="AT580" s="68"/>
      <c r="AU580" s="68"/>
      <c r="AV580" s="68"/>
      <c r="AW580" s="68"/>
      <c r="AX580" s="68"/>
      <c r="AY580" s="68"/>
      <c r="AZ580" s="68"/>
      <c r="BA580" s="68"/>
      <c r="BB580" s="68"/>
      <c r="BC580" s="68"/>
      <c r="BD580" s="68"/>
      <c r="BE580" s="68"/>
      <c r="BF580" s="68"/>
      <c r="BG580" s="68"/>
      <c r="BH580" s="68"/>
      <c r="BI580" s="68"/>
      <c r="BJ580" s="68"/>
      <c r="BK580" s="68"/>
      <c r="BL580" s="68"/>
      <c r="BM580" s="68"/>
      <c r="BN580" s="68"/>
    </row>
    <row r="581" spans="1:66" ht="17">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c r="AG581" s="68"/>
      <c r="AH581" s="68"/>
      <c r="AI581" s="68"/>
      <c r="AJ581" s="68"/>
      <c r="AK581" s="68"/>
      <c r="AL581" s="68"/>
      <c r="AM581" s="68"/>
      <c r="AN581" s="68"/>
      <c r="AO581" s="68"/>
      <c r="AP581" s="68"/>
      <c r="AQ581" s="68"/>
      <c r="AR581" s="68"/>
      <c r="AS581" s="68"/>
      <c r="AT581" s="68"/>
      <c r="AU581" s="68"/>
      <c r="AV581" s="68"/>
      <c r="AW581" s="68"/>
      <c r="AX581" s="68"/>
      <c r="AY581" s="68"/>
      <c r="AZ581" s="68"/>
      <c r="BA581" s="68"/>
      <c r="BB581" s="68"/>
      <c r="BC581" s="68"/>
      <c r="BD581" s="68"/>
      <c r="BE581" s="68"/>
      <c r="BF581" s="68"/>
      <c r="BG581" s="68"/>
      <c r="BH581" s="68"/>
      <c r="BI581" s="68"/>
      <c r="BJ581" s="68"/>
      <c r="BK581" s="68"/>
      <c r="BL581" s="68"/>
      <c r="BM581" s="68"/>
      <c r="BN581" s="68"/>
    </row>
    <row r="582" spans="1:66" ht="17">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68"/>
      <c r="AG582" s="68"/>
      <c r="AH582" s="68"/>
      <c r="AI582" s="68"/>
      <c r="AJ582" s="68"/>
      <c r="AK582" s="68"/>
      <c r="AL582" s="68"/>
      <c r="AM582" s="68"/>
      <c r="AN582" s="68"/>
      <c r="AO582" s="68"/>
      <c r="AP582" s="68"/>
      <c r="AQ582" s="68"/>
      <c r="AR582" s="68"/>
      <c r="AS582" s="68"/>
      <c r="AT582" s="68"/>
      <c r="AU582" s="68"/>
      <c r="AV582" s="68"/>
      <c r="AW582" s="68"/>
      <c r="AX582" s="68"/>
      <c r="AY582" s="68"/>
      <c r="AZ582" s="68"/>
      <c r="BA582" s="68"/>
      <c r="BB582" s="68"/>
      <c r="BC582" s="68"/>
      <c r="BD582" s="68"/>
      <c r="BE582" s="68"/>
      <c r="BF582" s="68"/>
      <c r="BG582" s="68"/>
      <c r="BH582" s="68"/>
      <c r="BI582" s="68"/>
      <c r="BJ582" s="68"/>
      <c r="BK582" s="68"/>
      <c r="BL582" s="68"/>
      <c r="BM582" s="68"/>
      <c r="BN582" s="68"/>
    </row>
    <row r="583" spans="1:66" ht="17">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68"/>
      <c r="AG583" s="68"/>
      <c r="AH583" s="68"/>
      <c r="AI583" s="68"/>
      <c r="AJ583" s="68"/>
      <c r="AK583" s="68"/>
      <c r="AL583" s="68"/>
      <c r="AM583" s="68"/>
      <c r="AN583" s="68"/>
      <c r="AO583" s="68"/>
      <c r="AP583" s="68"/>
      <c r="AQ583" s="68"/>
      <c r="AR583" s="68"/>
      <c r="AS583" s="68"/>
      <c r="AT583" s="68"/>
      <c r="AU583" s="68"/>
      <c r="AV583" s="68"/>
      <c r="AW583" s="68"/>
      <c r="AX583" s="68"/>
      <c r="AY583" s="68"/>
      <c r="AZ583" s="68"/>
      <c r="BA583" s="68"/>
      <c r="BB583" s="68"/>
      <c r="BC583" s="68"/>
      <c r="BD583" s="68"/>
      <c r="BE583" s="68"/>
      <c r="BF583" s="68"/>
      <c r="BG583" s="68"/>
      <c r="BH583" s="68"/>
      <c r="BI583" s="68"/>
      <c r="BJ583" s="68"/>
      <c r="BK583" s="68"/>
      <c r="BL583" s="68"/>
      <c r="BM583" s="68"/>
      <c r="BN583" s="68"/>
    </row>
    <row r="584" spans="1:66" ht="17">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68"/>
      <c r="AG584" s="68"/>
      <c r="AH584" s="68"/>
      <c r="AI584" s="68"/>
      <c r="AJ584" s="68"/>
      <c r="AK584" s="68"/>
      <c r="AL584" s="68"/>
      <c r="AM584" s="68"/>
      <c r="AN584" s="68"/>
      <c r="AO584" s="68"/>
      <c r="AP584" s="68"/>
      <c r="AQ584" s="68"/>
      <c r="AR584" s="68"/>
      <c r="AS584" s="68"/>
      <c r="AT584" s="68"/>
      <c r="AU584" s="68"/>
      <c r="AV584" s="68"/>
      <c r="AW584" s="68"/>
      <c r="AX584" s="68"/>
      <c r="AY584" s="68"/>
      <c r="AZ584" s="68"/>
      <c r="BA584" s="68"/>
      <c r="BB584" s="68"/>
      <c r="BC584" s="68"/>
      <c r="BD584" s="68"/>
      <c r="BE584" s="68"/>
      <c r="BF584" s="68"/>
      <c r="BG584" s="68"/>
      <c r="BH584" s="68"/>
      <c r="BI584" s="68"/>
      <c r="BJ584" s="68"/>
      <c r="BK584" s="68"/>
      <c r="BL584" s="68"/>
      <c r="BM584" s="68"/>
      <c r="BN584" s="68"/>
    </row>
    <row r="585" spans="1:66" ht="17">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68"/>
      <c r="AG585" s="68"/>
      <c r="AH585" s="68"/>
      <c r="AI585" s="68"/>
      <c r="AJ585" s="68"/>
      <c r="AK585" s="68"/>
      <c r="AL585" s="68"/>
      <c r="AM585" s="68"/>
      <c r="AN585" s="68"/>
      <c r="AO585" s="68"/>
      <c r="AP585" s="68"/>
      <c r="AQ585" s="68"/>
      <c r="AR585" s="68"/>
      <c r="AS585" s="68"/>
      <c r="AT585" s="68"/>
      <c r="AU585" s="68"/>
      <c r="AV585" s="68"/>
      <c r="AW585" s="68"/>
      <c r="AX585" s="68"/>
      <c r="AY585" s="68"/>
      <c r="AZ585" s="68"/>
      <c r="BA585" s="68"/>
      <c r="BB585" s="68"/>
      <c r="BC585" s="68"/>
      <c r="BD585" s="68"/>
      <c r="BE585" s="68"/>
      <c r="BF585" s="68"/>
      <c r="BG585" s="68"/>
      <c r="BH585" s="68"/>
      <c r="BI585" s="68"/>
      <c r="BJ585" s="68"/>
      <c r="BK585" s="68"/>
      <c r="BL585" s="68"/>
      <c r="BM585" s="68"/>
      <c r="BN585" s="68"/>
    </row>
    <row r="586" spans="1:66" ht="17">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68"/>
      <c r="AG586" s="68"/>
      <c r="AH586" s="68"/>
      <c r="AI586" s="68"/>
      <c r="AJ586" s="68"/>
      <c r="AK586" s="68"/>
      <c r="AL586" s="68"/>
      <c r="AM586" s="68"/>
      <c r="AN586" s="68"/>
      <c r="AO586" s="68"/>
      <c r="AP586" s="68"/>
      <c r="AQ586" s="68"/>
      <c r="AR586" s="68"/>
      <c r="AS586" s="68"/>
      <c r="AT586" s="68"/>
      <c r="AU586" s="68"/>
      <c r="AV586" s="68"/>
      <c r="AW586" s="68"/>
      <c r="AX586" s="68"/>
      <c r="AY586" s="68"/>
      <c r="AZ586" s="68"/>
      <c r="BA586" s="68"/>
      <c r="BB586" s="68"/>
      <c r="BC586" s="68"/>
      <c r="BD586" s="68"/>
      <c r="BE586" s="68"/>
      <c r="BF586" s="68"/>
      <c r="BG586" s="68"/>
      <c r="BH586" s="68"/>
      <c r="BI586" s="68"/>
      <c r="BJ586" s="68"/>
      <c r="BK586" s="68"/>
      <c r="BL586" s="68"/>
      <c r="BM586" s="68"/>
      <c r="BN586" s="68"/>
    </row>
    <row r="587" spans="1:66" ht="1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68"/>
      <c r="AG587" s="68"/>
      <c r="AH587" s="68"/>
      <c r="AI587" s="68"/>
      <c r="AJ587" s="68"/>
      <c r="AK587" s="68"/>
      <c r="AL587" s="68"/>
      <c r="AM587" s="68"/>
      <c r="AN587" s="68"/>
      <c r="AO587" s="68"/>
      <c r="AP587" s="68"/>
      <c r="AQ587" s="68"/>
      <c r="AR587" s="68"/>
      <c r="AS587" s="68"/>
      <c r="AT587" s="68"/>
      <c r="AU587" s="68"/>
      <c r="AV587" s="68"/>
      <c r="AW587" s="68"/>
      <c r="AX587" s="68"/>
      <c r="AY587" s="68"/>
      <c r="AZ587" s="68"/>
      <c r="BA587" s="68"/>
      <c r="BB587" s="68"/>
      <c r="BC587" s="68"/>
      <c r="BD587" s="68"/>
      <c r="BE587" s="68"/>
      <c r="BF587" s="68"/>
      <c r="BG587" s="68"/>
      <c r="BH587" s="68"/>
      <c r="BI587" s="68"/>
      <c r="BJ587" s="68"/>
      <c r="BK587" s="68"/>
      <c r="BL587" s="68"/>
      <c r="BM587" s="68"/>
      <c r="BN587" s="68"/>
    </row>
    <row r="588" spans="1:66" ht="17">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68"/>
      <c r="AG588" s="68"/>
      <c r="AH588" s="68"/>
      <c r="AI588" s="68"/>
      <c r="AJ588" s="68"/>
      <c r="AK588" s="68"/>
      <c r="AL588" s="68"/>
      <c r="AM588" s="68"/>
      <c r="AN588" s="68"/>
      <c r="AO588" s="68"/>
      <c r="AP588" s="68"/>
      <c r="AQ588" s="68"/>
      <c r="AR588" s="68"/>
      <c r="AS588" s="68"/>
      <c r="AT588" s="68"/>
      <c r="AU588" s="68"/>
      <c r="AV588" s="68"/>
      <c r="AW588" s="68"/>
      <c r="AX588" s="68"/>
      <c r="AY588" s="68"/>
      <c r="AZ588" s="68"/>
      <c r="BA588" s="68"/>
      <c r="BB588" s="68"/>
      <c r="BC588" s="68"/>
      <c r="BD588" s="68"/>
      <c r="BE588" s="68"/>
      <c r="BF588" s="68"/>
      <c r="BG588" s="68"/>
      <c r="BH588" s="68"/>
      <c r="BI588" s="68"/>
      <c r="BJ588" s="68"/>
      <c r="BK588" s="68"/>
      <c r="BL588" s="68"/>
      <c r="BM588" s="68"/>
      <c r="BN588" s="68"/>
    </row>
    <row r="589" spans="1:66" ht="17">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68"/>
      <c r="AG589" s="68"/>
      <c r="AH589" s="68"/>
      <c r="AI589" s="68"/>
      <c r="AJ589" s="68"/>
      <c r="AK589" s="68"/>
      <c r="AL589" s="68"/>
      <c r="AM589" s="68"/>
      <c r="AN589" s="68"/>
      <c r="AO589" s="68"/>
      <c r="AP589" s="68"/>
      <c r="AQ589" s="68"/>
      <c r="AR589" s="68"/>
      <c r="AS589" s="68"/>
      <c r="AT589" s="68"/>
      <c r="AU589" s="68"/>
      <c r="AV589" s="68"/>
      <c r="AW589" s="68"/>
      <c r="AX589" s="68"/>
      <c r="AY589" s="68"/>
      <c r="AZ589" s="68"/>
      <c r="BA589" s="68"/>
      <c r="BB589" s="68"/>
      <c r="BC589" s="68"/>
      <c r="BD589" s="68"/>
      <c r="BE589" s="68"/>
      <c r="BF589" s="68"/>
      <c r="BG589" s="68"/>
      <c r="BH589" s="68"/>
      <c r="BI589" s="68"/>
      <c r="BJ589" s="68"/>
      <c r="BK589" s="68"/>
      <c r="BL589" s="68"/>
      <c r="BM589" s="68"/>
      <c r="BN589" s="68"/>
    </row>
    <row r="590" spans="1:66" ht="17">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68"/>
      <c r="AG590" s="68"/>
      <c r="AH590" s="68"/>
      <c r="AI590" s="68"/>
      <c r="AJ590" s="68"/>
      <c r="AK590" s="68"/>
      <c r="AL590" s="68"/>
      <c r="AM590" s="68"/>
      <c r="AN590" s="68"/>
      <c r="AO590" s="68"/>
      <c r="AP590" s="68"/>
      <c r="AQ590" s="68"/>
      <c r="AR590" s="68"/>
      <c r="AS590" s="68"/>
      <c r="AT590" s="68"/>
      <c r="AU590" s="68"/>
      <c r="AV590" s="68"/>
      <c r="AW590" s="68"/>
      <c r="AX590" s="68"/>
      <c r="AY590" s="68"/>
      <c r="AZ590" s="68"/>
      <c r="BA590" s="68"/>
      <c r="BB590" s="68"/>
      <c r="BC590" s="68"/>
      <c r="BD590" s="68"/>
      <c r="BE590" s="68"/>
      <c r="BF590" s="68"/>
      <c r="BG590" s="68"/>
      <c r="BH590" s="68"/>
      <c r="BI590" s="68"/>
      <c r="BJ590" s="68"/>
      <c r="BK590" s="68"/>
      <c r="BL590" s="68"/>
      <c r="BM590" s="68"/>
      <c r="BN590" s="68"/>
    </row>
    <row r="591" spans="1:66" ht="17">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68"/>
      <c r="AG591" s="68"/>
      <c r="AH591" s="68"/>
      <c r="AI591" s="68"/>
      <c r="AJ591" s="68"/>
      <c r="AK591" s="68"/>
      <c r="AL591" s="68"/>
      <c r="AM591" s="68"/>
      <c r="AN591" s="68"/>
      <c r="AO591" s="68"/>
      <c r="AP591" s="68"/>
      <c r="AQ591" s="68"/>
      <c r="AR591" s="68"/>
      <c r="AS591" s="68"/>
      <c r="AT591" s="68"/>
      <c r="AU591" s="68"/>
      <c r="AV591" s="68"/>
      <c r="AW591" s="68"/>
      <c r="AX591" s="68"/>
      <c r="AY591" s="68"/>
      <c r="AZ591" s="68"/>
      <c r="BA591" s="68"/>
      <c r="BB591" s="68"/>
      <c r="BC591" s="68"/>
      <c r="BD591" s="68"/>
      <c r="BE591" s="68"/>
      <c r="BF591" s="68"/>
      <c r="BG591" s="68"/>
      <c r="BH591" s="68"/>
      <c r="BI591" s="68"/>
      <c r="BJ591" s="68"/>
      <c r="BK591" s="68"/>
      <c r="BL591" s="68"/>
      <c r="BM591" s="68"/>
      <c r="BN591" s="68"/>
    </row>
    <row r="592" spans="1:66" ht="17">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68"/>
      <c r="AG592" s="68"/>
      <c r="AH592" s="68"/>
      <c r="AI592" s="68"/>
      <c r="AJ592" s="68"/>
      <c r="AK592" s="68"/>
      <c r="AL592" s="68"/>
      <c r="AM592" s="68"/>
      <c r="AN592" s="68"/>
      <c r="AO592" s="68"/>
      <c r="AP592" s="68"/>
      <c r="AQ592" s="68"/>
      <c r="AR592" s="68"/>
      <c r="AS592" s="68"/>
      <c r="AT592" s="68"/>
      <c r="AU592" s="68"/>
      <c r="AV592" s="68"/>
      <c r="AW592" s="68"/>
      <c r="AX592" s="68"/>
      <c r="AY592" s="68"/>
      <c r="AZ592" s="68"/>
      <c r="BA592" s="68"/>
      <c r="BB592" s="68"/>
      <c r="BC592" s="68"/>
      <c r="BD592" s="68"/>
      <c r="BE592" s="68"/>
      <c r="BF592" s="68"/>
      <c r="BG592" s="68"/>
      <c r="BH592" s="68"/>
      <c r="BI592" s="68"/>
      <c r="BJ592" s="68"/>
      <c r="BK592" s="68"/>
      <c r="BL592" s="68"/>
      <c r="BM592" s="68"/>
      <c r="BN592" s="68"/>
    </row>
    <row r="593" spans="1:66" ht="17">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68"/>
      <c r="AG593" s="68"/>
      <c r="AH593" s="68"/>
      <c r="AI593" s="68"/>
      <c r="AJ593" s="68"/>
      <c r="AK593" s="68"/>
      <c r="AL593" s="68"/>
      <c r="AM593" s="68"/>
      <c r="AN593" s="68"/>
      <c r="AO593" s="68"/>
      <c r="AP593" s="68"/>
      <c r="AQ593" s="68"/>
      <c r="AR593" s="68"/>
      <c r="AS593" s="68"/>
      <c r="AT593" s="68"/>
      <c r="AU593" s="68"/>
      <c r="AV593" s="68"/>
      <c r="AW593" s="68"/>
      <c r="AX593" s="68"/>
      <c r="AY593" s="68"/>
      <c r="AZ593" s="68"/>
      <c r="BA593" s="68"/>
      <c r="BB593" s="68"/>
      <c r="BC593" s="68"/>
      <c r="BD593" s="68"/>
      <c r="BE593" s="68"/>
      <c r="BF593" s="68"/>
      <c r="BG593" s="68"/>
      <c r="BH593" s="68"/>
      <c r="BI593" s="68"/>
      <c r="BJ593" s="68"/>
      <c r="BK593" s="68"/>
      <c r="BL593" s="68"/>
      <c r="BM593" s="68"/>
      <c r="BN593" s="68"/>
    </row>
    <row r="594" spans="1:66" ht="17">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68"/>
      <c r="AG594" s="68"/>
      <c r="AH594" s="68"/>
      <c r="AI594" s="68"/>
      <c r="AJ594" s="68"/>
      <c r="AK594" s="68"/>
      <c r="AL594" s="68"/>
      <c r="AM594" s="68"/>
      <c r="AN594" s="68"/>
      <c r="AO594" s="68"/>
      <c r="AP594" s="68"/>
      <c r="AQ594" s="68"/>
      <c r="AR594" s="68"/>
      <c r="AS594" s="68"/>
      <c r="AT594" s="68"/>
      <c r="AU594" s="68"/>
      <c r="AV594" s="68"/>
      <c r="AW594" s="68"/>
      <c r="AX594" s="68"/>
      <c r="AY594" s="68"/>
      <c r="AZ594" s="68"/>
      <c r="BA594" s="68"/>
      <c r="BB594" s="68"/>
      <c r="BC594" s="68"/>
      <c r="BD594" s="68"/>
      <c r="BE594" s="68"/>
      <c r="BF594" s="68"/>
      <c r="BG594" s="68"/>
      <c r="BH594" s="68"/>
      <c r="BI594" s="68"/>
      <c r="BJ594" s="68"/>
      <c r="BK594" s="68"/>
      <c r="BL594" s="68"/>
      <c r="BM594" s="68"/>
      <c r="BN594" s="68"/>
    </row>
    <row r="595" spans="1:66" ht="17">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68"/>
      <c r="AG595" s="68"/>
      <c r="AH595" s="68"/>
      <c r="AI595" s="68"/>
      <c r="AJ595" s="68"/>
      <c r="AK595" s="68"/>
      <c r="AL595" s="68"/>
      <c r="AM595" s="68"/>
      <c r="AN595" s="68"/>
      <c r="AO595" s="68"/>
      <c r="AP595" s="68"/>
      <c r="AQ595" s="68"/>
      <c r="AR595" s="68"/>
      <c r="AS595" s="68"/>
      <c r="AT595" s="68"/>
      <c r="AU595" s="68"/>
      <c r="AV595" s="68"/>
      <c r="AW595" s="68"/>
      <c r="AX595" s="68"/>
      <c r="AY595" s="68"/>
      <c r="AZ595" s="68"/>
      <c r="BA595" s="68"/>
      <c r="BB595" s="68"/>
      <c r="BC595" s="68"/>
      <c r="BD595" s="68"/>
      <c r="BE595" s="68"/>
      <c r="BF595" s="68"/>
      <c r="BG595" s="68"/>
      <c r="BH595" s="68"/>
      <c r="BI595" s="68"/>
      <c r="BJ595" s="68"/>
      <c r="BK595" s="68"/>
      <c r="BL595" s="68"/>
      <c r="BM595" s="68"/>
      <c r="BN595" s="68"/>
    </row>
    <row r="596" spans="1:66" ht="17">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68"/>
      <c r="AG596" s="68"/>
      <c r="AH596" s="68"/>
      <c r="AI596" s="68"/>
      <c r="AJ596" s="68"/>
      <c r="AK596" s="68"/>
      <c r="AL596" s="68"/>
      <c r="AM596" s="68"/>
      <c r="AN596" s="68"/>
      <c r="AO596" s="68"/>
      <c r="AP596" s="68"/>
      <c r="AQ596" s="68"/>
      <c r="AR596" s="68"/>
      <c r="AS596" s="68"/>
      <c r="AT596" s="68"/>
      <c r="AU596" s="68"/>
      <c r="AV596" s="68"/>
      <c r="AW596" s="68"/>
      <c r="AX596" s="68"/>
      <c r="AY596" s="68"/>
      <c r="AZ596" s="68"/>
      <c r="BA596" s="68"/>
      <c r="BB596" s="68"/>
      <c r="BC596" s="68"/>
      <c r="BD596" s="68"/>
      <c r="BE596" s="68"/>
      <c r="BF596" s="68"/>
      <c r="BG596" s="68"/>
      <c r="BH596" s="68"/>
      <c r="BI596" s="68"/>
      <c r="BJ596" s="68"/>
      <c r="BK596" s="68"/>
      <c r="BL596" s="68"/>
      <c r="BM596" s="68"/>
      <c r="BN596" s="68"/>
    </row>
    <row r="597" spans="1:66" ht="1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68"/>
      <c r="AG597" s="68"/>
      <c r="AH597" s="68"/>
      <c r="AI597" s="68"/>
      <c r="AJ597" s="68"/>
      <c r="AK597" s="68"/>
      <c r="AL597" s="68"/>
      <c r="AM597" s="68"/>
      <c r="AN597" s="68"/>
      <c r="AO597" s="68"/>
      <c r="AP597" s="68"/>
      <c r="AQ597" s="68"/>
      <c r="AR597" s="68"/>
      <c r="AS597" s="68"/>
      <c r="AT597" s="68"/>
      <c r="AU597" s="68"/>
      <c r="AV597" s="68"/>
      <c r="AW597" s="68"/>
      <c r="AX597" s="68"/>
      <c r="AY597" s="68"/>
      <c r="AZ597" s="68"/>
      <c r="BA597" s="68"/>
      <c r="BB597" s="68"/>
      <c r="BC597" s="68"/>
      <c r="BD597" s="68"/>
      <c r="BE597" s="68"/>
      <c r="BF597" s="68"/>
      <c r="BG597" s="68"/>
      <c r="BH597" s="68"/>
      <c r="BI597" s="68"/>
      <c r="BJ597" s="68"/>
      <c r="BK597" s="68"/>
      <c r="BL597" s="68"/>
      <c r="BM597" s="68"/>
      <c r="BN597" s="68"/>
    </row>
    <row r="598" spans="1:66" ht="17">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68"/>
      <c r="AG598" s="68"/>
      <c r="AH598" s="68"/>
      <c r="AI598" s="68"/>
      <c r="AJ598" s="68"/>
      <c r="AK598" s="68"/>
      <c r="AL598" s="68"/>
      <c r="AM598" s="68"/>
      <c r="AN598" s="68"/>
      <c r="AO598" s="68"/>
      <c r="AP598" s="68"/>
      <c r="AQ598" s="68"/>
      <c r="AR598" s="68"/>
      <c r="AS598" s="68"/>
      <c r="AT598" s="68"/>
      <c r="AU598" s="68"/>
      <c r="AV598" s="68"/>
      <c r="AW598" s="68"/>
      <c r="AX598" s="68"/>
      <c r="AY598" s="68"/>
      <c r="AZ598" s="68"/>
      <c r="BA598" s="68"/>
      <c r="BB598" s="68"/>
      <c r="BC598" s="68"/>
      <c r="BD598" s="68"/>
      <c r="BE598" s="68"/>
      <c r="BF598" s="68"/>
      <c r="BG598" s="68"/>
      <c r="BH598" s="68"/>
      <c r="BI598" s="68"/>
      <c r="BJ598" s="68"/>
      <c r="BK598" s="68"/>
      <c r="BL598" s="68"/>
      <c r="BM598" s="68"/>
      <c r="BN598" s="68"/>
    </row>
    <row r="599" spans="1:66" ht="17">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68"/>
      <c r="AG599" s="68"/>
      <c r="AH599" s="68"/>
      <c r="AI599" s="68"/>
      <c r="AJ599" s="68"/>
      <c r="AK599" s="68"/>
      <c r="AL599" s="68"/>
      <c r="AM599" s="68"/>
      <c r="AN599" s="68"/>
      <c r="AO599" s="68"/>
      <c r="AP599" s="68"/>
      <c r="AQ599" s="68"/>
      <c r="AR599" s="68"/>
      <c r="AS599" s="68"/>
      <c r="AT599" s="68"/>
      <c r="AU599" s="68"/>
      <c r="AV599" s="68"/>
      <c r="AW599" s="68"/>
      <c r="AX599" s="68"/>
      <c r="AY599" s="68"/>
      <c r="AZ599" s="68"/>
      <c r="BA599" s="68"/>
      <c r="BB599" s="68"/>
      <c r="BC599" s="68"/>
      <c r="BD599" s="68"/>
      <c r="BE599" s="68"/>
      <c r="BF599" s="68"/>
      <c r="BG599" s="68"/>
      <c r="BH599" s="68"/>
      <c r="BI599" s="68"/>
      <c r="BJ599" s="68"/>
      <c r="BK599" s="68"/>
      <c r="BL599" s="68"/>
      <c r="BM599" s="68"/>
      <c r="BN599" s="68"/>
    </row>
    <row r="600" spans="1:66" ht="17">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68"/>
      <c r="AG600" s="68"/>
      <c r="AH600" s="68"/>
      <c r="AI600" s="68"/>
      <c r="AJ600" s="68"/>
      <c r="AK600" s="68"/>
      <c r="AL600" s="68"/>
      <c r="AM600" s="68"/>
      <c r="AN600" s="68"/>
      <c r="AO600" s="68"/>
      <c r="AP600" s="68"/>
      <c r="AQ600" s="68"/>
      <c r="AR600" s="68"/>
      <c r="AS600" s="68"/>
      <c r="AT600" s="68"/>
      <c r="AU600" s="68"/>
      <c r="AV600" s="68"/>
      <c r="AW600" s="68"/>
      <c r="AX600" s="68"/>
      <c r="AY600" s="68"/>
      <c r="AZ600" s="68"/>
      <c r="BA600" s="68"/>
      <c r="BB600" s="68"/>
      <c r="BC600" s="68"/>
      <c r="BD600" s="68"/>
      <c r="BE600" s="68"/>
      <c r="BF600" s="68"/>
      <c r="BG600" s="68"/>
      <c r="BH600" s="68"/>
      <c r="BI600" s="68"/>
      <c r="BJ600" s="68"/>
      <c r="BK600" s="68"/>
      <c r="BL600" s="68"/>
      <c r="BM600" s="68"/>
      <c r="BN600" s="68"/>
    </row>
    <row r="601" spans="1:66" ht="17">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68"/>
      <c r="AG601" s="68"/>
      <c r="AH601" s="68"/>
      <c r="AI601" s="68"/>
      <c r="AJ601" s="68"/>
      <c r="AK601" s="68"/>
      <c r="AL601" s="68"/>
      <c r="AM601" s="68"/>
      <c r="AN601" s="68"/>
      <c r="AO601" s="68"/>
      <c r="AP601" s="68"/>
      <c r="AQ601" s="68"/>
      <c r="AR601" s="68"/>
      <c r="AS601" s="68"/>
      <c r="AT601" s="68"/>
      <c r="AU601" s="68"/>
      <c r="AV601" s="68"/>
      <c r="AW601" s="68"/>
      <c r="AX601" s="68"/>
      <c r="AY601" s="68"/>
      <c r="AZ601" s="68"/>
      <c r="BA601" s="68"/>
      <c r="BB601" s="68"/>
      <c r="BC601" s="68"/>
      <c r="BD601" s="68"/>
      <c r="BE601" s="68"/>
      <c r="BF601" s="68"/>
      <c r="BG601" s="68"/>
      <c r="BH601" s="68"/>
      <c r="BI601" s="68"/>
      <c r="BJ601" s="68"/>
      <c r="BK601" s="68"/>
      <c r="BL601" s="68"/>
      <c r="BM601" s="68"/>
      <c r="BN601" s="68"/>
    </row>
    <row r="602" spans="1:66" ht="17">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68"/>
      <c r="AG602" s="68"/>
      <c r="AH602" s="68"/>
      <c r="AI602" s="68"/>
      <c r="AJ602" s="68"/>
      <c r="AK602" s="68"/>
      <c r="AL602" s="68"/>
      <c r="AM602" s="68"/>
      <c r="AN602" s="68"/>
      <c r="AO602" s="68"/>
      <c r="AP602" s="68"/>
      <c r="AQ602" s="68"/>
      <c r="AR602" s="68"/>
      <c r="AS602" s="68"/>
      <c r="AT602" s="68"/>
      <c r="AU602" s="68"/>
      <c r="AV602" s="68"/>
      <c r="AW602" s="68"/>
      <c r="AX602" s="68"/>
      <c r="AY602" s="68"/>
      <c r="AZ602" s="68"/>
      <c r="BA602" s="68"/>
      <c r="BB602" s="68"/>
      <c r="BC602" s="68"/>
      <c r="BD602" s="68"/>
      <c r="BE602" s="68"/>
      <c r="BF602" s="68"/>
      <c r="BG602" s="68"/>
      <c r="BH602" s="68"/>
      <c r="BI602" s="68"/>
      <c r="BJ602" s="68"/>
      <c r="BK602" s="68"/>
      <c r="BL602" s="68"/>
      <c r="BM602" s="68"/>
      <c r="BN602" s="68"/>
    </row>
    <row r="603" spans="1:66" ht="17">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68"/>
      <c r="AG603" s="68"/>
      <c r="AH603" s="68"/>
      <c r="AI603" s="68"/>
      <c r="AJ603" s="68"/>
      <c r="AK603" s="68"/>
      <c r="AL603" s="68"/>
      <c r="AM603" s="68"/>
      <c r="AN603" s="68"/>
      <c r="AO603" s="68"/>
      <c r="AP603" s="68"/>
      <c r="AQ603" s="68"/>
      <c r="AR603" s="68"/>
      <c r="AS603" s="68"/>
      <c r="AT603" s="68"/>
      <c r="AU603" s="68"/>
      <c r="AV603" s="68"/>
      <c r="AW603" s="68"/>
      <c r="AX603" s="68"/>
      <c r="AY603" s="68"/>
      <c r="AZ603" s="68"/>
      <c r="BA603" s="68"/>
      <c r="BB603" s="68"/>
      <c r="BC603" s="68"/>
      <c r="BD603" s="68"/>
      <c r="BE603" s="68"/>
      <c r="BF603" s="68"/>
      <c r="BG603" s="68"/>
      <c r="BH603" s="68"/>
      <c r="BI603" s="68"/>
      <c r="BJ603" s="68"/>
      <c r="BK603" s="68"/>
      <c r="BL603" s="68"/>
      <c r="BM603" s="68"/>
      <c r="BN603" s="68"/>
    </row>
    <row r="604" spans="1:66" ht="17">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68"/>
      <c r="AG604" s="68"/>
      <c r="AH604" s="68"/>
      <c r="AI604" s="68"/>
      <c r="AJ604" s="68"/>
      <c r="AK604" s="68"/>
      <c r="AL604" s="68"/>
      <c r="AM604" s="68"/>
      <c r="AN604" s="68"/>
      <c r="AO604" s="68"/>
      <c r="AP604" s="68"/>
      <c r="AQ604" s="68"/>
      <c r="AR604" s="68"/>
      <c r="AS604" s="68"/>
      <c r="AT604" s="68"/>
      <c r="AU604" s="68"/>
      <c r="AV604" s="68"/>
      <c r="AW604" s="68"/>
      <c r="AX604" s="68"/>
      <c r="AY604" s="68"/>
      <c r="AZ604" s="68"/>
      <c r="BA604" s="68"/>
      <c r="BB604" s="68"/>
      <c r="BC604" s="68"/>
      <c r="BD604" s="68"/>
      <c r="BE604" s="68"/>
      <c r="BF604" s="68"/>
      <c r="BG604" s="68"/>
      <c r="BH604" s="68"/>
      <c r="BI604" s="68"/>
      <c r="BJ604" s="68"/>
      <c r="BK604" s="68"/>
      <c r="BL604" s="68"/>
      <c r="BM604" s="68"/>
      <c r="BN604" s="68"/>
    </row>
    <row r="605" spans="1:66" ht="17">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68"/>
      <c r="AG605" s="68"/>
      <c r="AH605" s="68"/>
      <c r="AI605" s="68"/>
      <c r="AJ605" s="68"/>
      <c r="AK605" s="68"/>
      <c r="AL605" s="68"/>
      <c r="AM605" s="68"/>
      <c r="AN605" s="68"/>
      <c r="AO605" s="68"/>
      <c r="AP605" s="68"/>
      <c r="AQ605" s="68"/>
      <c r="AR605" s="68"/>
      <c r="AS605" s="68"/>
      <c r="AT605" s="68"/>
      <c r="AU605" s="68"/>
      <c r="AV605" s="68"/>
      <c r="AW605" s="68"/>
      <c r="AX605" s="68"/>
      <c r="AY605" s="68"/>
      <c r="AZ605" s="68"/>
      <c r="BA605" s="68"/>
      <c r="BB605" s="68"/>
      <c r="BC605" s="68"/>
      <c r="BD605" s="68"/>
      <c r="BE605" s="68"/>
      <c r="BF605" s="68"/>
      <c r="BG605" s="68"/>
      <c r="BH605" s="68"/>
      <c r="BI605" s="68"/>
      <c r="BJ605" s="68"/>
      <c r="BK605" s="68"/>
      <c r="BL605" s="68"/>
      <c r="BM605" s="68"/>
      <c r="BN605" s="68"/>
    </row>
    <row r="606" spans="1:66" ht="17">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68"/>
      <c r="AG606" s="68"/>
      <c r="AH606" s="68"/>
      <c r="AI606" s="68"/>
      <c r="AJ606" s="68"/>
      <c r="AK606" s="68"/>
      <c r="AL606" s="68"/>
      <c r="AM606" s="68"/>
      <c r="AN606" s="68"/>
      <c r="AO606" s="68"/>
      <c r="AP606" s="68"/>
      <c r="AQ606" s="68"/>
      <c r="AR606" s="68"/>
      <c r="AS606" s="68"/>
      <c r="AT606" s="68"/>
      <c r="AU606" s="68"/>
      <c r="AV606" s="68"/>
      <c r="AW606" s="68"/>
      <c r="AX606" s="68"/>
      <c r="AY606" s="68"/>
      <c r="AZ606" s="68"/>
      <c r="BA606" s="68"/>
      <c r="BB606" s="68"/>
      <c r="BC606" s="68"/>
      <c r="BD606" s="68"/>
      <c r="BE606" s="68"/>
      <c r="BF606" s="68"/>
      <c r="BG606" s="68"/>
      <c r="BH606" s="68"/>
      <c r="BI606" s="68"/>
      <c r="BJ606" s="68"/>
      <c r="BK606" s="68"/>
      <c r="BL606" s="68"/>
      <c r="BM606" s="68"/>
      <c r="BN606" s="68"/>
    </row>
    <row r="607" spans="1:66" ht="1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68"/>
      <c r="AG607" s="68"/>
      <c r="AH607" s="68"/>
      <c r="AI607" s="68"/>
      <c r="AJ607" s="68"/>
      <c r="AK607" s="68"/>
      <c r="AL607" s="68"/>
      <c r="AM607" s="68"/>
      <c r="AN607" s="68"/>
      <c r="AO607" s="68"/>
      <c r="AP607" s="68"/>
      <c r="AQ607" s="68"/>
      <c r="AR607" s="68"/>
      <c r="AS607" s="68"/>
      <c r="AT607" s="68"/>
      <c r="AU607" s="68"/>
      <c r="AV607" s="68"/>
      <c r="AW607" s="68"/>
      <c r="AX607" s="68"/>
      <c r="AY607" s="68"/>
      <c r="AZ607" s="68"/>
      <c r="BA607" s="68"/>
      <c r="BB607" s="68"/>
      <c r="BC607" s="68"/>
      <c r="BD607" s="68"/>
      <c r="BE607" s="68"/>
      <c r="BF607" s="68"/>
      <c r="BG607" s="68"/>
      <c r="BH607" s="68"/>
      <c r="BI607" s="68"/>
      <c r="BJ607" s="68"/>
      <c r="BK607" s="68"/>
      <c r="BL607" s="68"/>
      <c r="BM607" s="68"/>
      <c r="BN607" s="68"/>
    </row>
    <row r="608" spans="1:66" ht="17">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68"/>
      <c r="AG608" s="68"/>
      <c r="AH608" s="68"/>
      <c r="AI608" s="68"/>
      <c r="AJ608" s="68"/>
      <c r="AK608" s="68"/>
      <c r="AL608" s="68"/>
      <c r="AM608" s="68"/>
      <c r="AN608" s="68"/>
      <c r="AO608" s="68"/>
      <c r="AP608" s="68"/>
      <c r="AQ608" s="68"/>
      <c r="AR608" s="68"/>
      <c r="AS608" s="68"/>
      <c r="AT608" s="68"/>
      <c r="AU608" s="68"/>
      <c r="AV608" s="68"/>
      <c r="AW608" s="68"/>
      <c r="AX608" s="68"/>
      <c r="AY608" s="68"/>
      <c r="AZ608" s="68"/>
      <c r="BA608" s="68"/>
      <c r="BB608" s="68"/>
      <c r="BC608" s="68"/>
      <c r="BD608" s="68"/>
      <c r="BE608" s="68"/>
      <c r="BF608" s="68"/>
      <c r="BG608" s="68"/>
      <c r="BH608" s="68"/>
      <c r="BI608" s="68"/>
      <c r="BJ608" s="68"/>
      <c r="BK608" s="68"/>
      <c r="BL608" s="68"/>
      <c r="BM608" s="68"/>
      <c r="BN608" s="68"/>
    </row>
    <row r="609" spans="1:66" ht="17">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68"/>
      <c r="AG609" s="68"/>
      <c r="AH609" s="68"/>
      <c r="AI609" s="68"/>
      <c r="AJ609" s="68"/>
      <c r="AK609" s="68"/>
      <c r="AL609" s="68"/>
      <c r="AM609" s="68"/>
      <c r="AN609" s="68"/>
      <c r="AO609" s="68"/>
      <c r="AP609" s="68"/>
      <c r="AQ609" s="68"/>
      <c r="AR609" s="68"/>
      <c r="AS609" s="68"/>
      <c r="AT609" s="68"/>
      <c r="AU609" s="68"/>
      <c r="AV609" s="68"/>
      <c r="AW609" s="68"/>
      <c r="AX609" s="68"/>
      <c r="AY609" s="68"/>
      <c r="AZ609" s="68"/>
      <c r="BA609" s="68"/>
      <c r="BB609" s="68"/>
      <c r="BC609" s="68"/>
      <c r="BD609" s="68"/>
      <c r="BE609" s="68"/>
      <c r="BF609" s="68"/>
      <c r="BG609" s="68"/>
      <c r="BH609" s="68"/>
      <c r="BI609" s="68"/>
      <c r="BJ609" s="68"/>
      <c r="BK609" s="68"/>
      <c r="BL609" s="68"/>
      <c r="BM609" s="68"/>
      <c r="BN609" s="68"/>
    </row>
    <row r="610" spans="1:66" ht="17">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68"/>
      <c r="AG610" s="68"/>
      <c r="AH610" s="68"/>
      <c r="AI610" s="68"/>
      <c r="AJ610" s="68"/>
      <c r="AK610" s="68"/>
      <c r="AL610" s="68"/>
      <c r="AM610" s="68"/>
      <c r="AN610" s="68"/>
      <c r="AO610" s="68"/>
      <c r="AP610" s="68"/>
      <c r="AQ610" s="68"/>
      <c r="AR610" s="68"/>
      <c r="AS610" s="68"/>
      <c r="AT610" s="68"/>
      <c r="AU610" s="68"/>
      <c r="AV610" s="68"/>
      <c r="AW610" s="68"/>
      <c r="AX610" s="68"/>
      <c r="AY610" s="68"/>
      <c r="AZ610" s="68"/>
      <c r="BA610" s="68"/>
      <c r="BB610" s="68"/>
      <c r="BC610" s="68"/>
      <c r="BD610" s="68"/>
      <c r="BE610" s="68"/>
      <c r="BF610" s="68"/>
      <c r="BG610" s="68"/>
      <c r="BH610" s="68"/>
      <c r="BI610" s="68"/>
      <c r="BJ610" s="68"/>
      <c r="BK610" s="68"/>
      <c r="BL610" s="68"/>
      <c r="BM610" s="68"/>
      <c r="BN610" s="68"/>
    </row>
    <row r="611" spans="1:66" ht="17">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68"/>
      <c r="AG611" s="68"/>
      <c r="AH611" s="68"/>
      <c r="AI611" s="68"/>
      <c r="AJ611" s="68"/>
      <c r="AK611" s="68"/>
      <c r="AL611" s="68"/>
      <c r="AM611" s="68"/>
      <c r="AN611" s="68"/>
      <c r="AO611" s="68"/>
      <c r="AP611" s="68"/>
      <c r="AQ611" s="68"/>
      <c r="AR611" s="68"/>
      <c r="AS611" s="68"/>
      <c r="AT611" s="68"/>
      <c r="AU611" s="68"/>
      <c r="AV611" s="68"/>
      <c r="AW611" s="68"/>
      <c r="AX611" s="68"/>
      <c r="AY611" s="68"/>
      <c r="AZ611" s="68"/>
      <c r="BA611" s="68"/>
      <c r="BB611" s="68"/>
      <c r="BC611" s="68"/>
      <c r="BD611" s="68"/>
      <c r="BE611" s="68"/>
      <c r="BF611" s="68"/>
      <c r="BG611" s="68"/>
      <c r="BH611" s="68"/>
      <c r="BI611" s="68"/>
      <c r="BJ611" s="68"/>
      <c r="BK611" s="68"/>
      <c r="BL611" s="68"/>
      <c r="BM611" s="68"/>
      <c r="BN611" s="68"/>
    </row>
    <row r="612" spans="1:66" ht="17">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68"/>
      <c r="AG612" s="68"/>
      <c r="AH612" s="68"/>
      <c r="AI612" s="68"/>
      <c r="AJ612" s="68"/>
      <c r="AK612" s="68"/>
      <c r="AL612" s="68"/>
      <c r="AM612" s="68"/>
      <c r="AN612" s="68"/>
      <c r="AO612" s="68"/>
      <c r="AP612" s="68"/>
      <c r="AQ612" s="68"/>
      <c r="AR612" s="68"/>
      <c r="AS612" s="68"/>
      <c r="AT612" s="68"/>
      <c r="AU612" s="68"/>
      <c r="AV612" s="68"/>
      <c r="AW612" s="68"/>
      <c r="AX612" s="68"/>
      <c r="AY612" s="68"/>
      <c r="AZ612" s="68"/>
      <c r="BA612" s="68"/>
      <c r="BB612" s="68"/>
      <c r="BC612" s="68"/>
      <c r="BD612" s="68"/>
      <c r="BE612" s="68"/>
      <c r="BF612" s="68"/>
      <c r="BG612" s="68"/>
      <c r="BH612" s="68"/>
      <c r="BI612" s="68"/>
      <c r="BJ612" s="68"/>
      <c r="BK612" s="68"/>
      <c r="BL612" s="68"/>
      <c r="BM612" s="68"/>
      <c r="BN612" s="68"/>
    </row>
    <row r="613" spans="1:66" ht="17">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68"/>
      <c r="AG613" s="68"/>
      <c r="AH613" s="68"/>
      <c r="AI613" s="68"/>
      <c r="AJ613" s="68"/>
      <c r="AK613" s="68"/>
      <c r="AL613" s="68"/>
      <c r="AM613" s="68"/>
      <c r="AN613" s="68"/>
      <c r="AO613" s="68"/>
      <c r="AP613" s="68"/>
      <c r="AQ613" s="68"/>
      <c r="AR613" s="68"/>
      <c r="AS613" s="68"/>
      <c r="AT613" s="68"/>
      <c r="AU613" s="68"/>
      <c r="AV613" s="68"/>
      <c r="AW613" s="68"/>
      <c r="AX613" s="68"/>
      <c r="AY613" s="68"/>
      <c r="AZ613" s="68"/>
      <c r="BA613" s="68"/>
      <c r="BB613" s="68"/>
      <c r="BC613" s="68"/>
      <c r="BD613" s="68"/>
      <c r="BE613" s="68"/>
      <c r="BF613" s="68"/>
      <c r="BG613" s="68"/>
      <c r="BH613" s="68"/>
      <c r="BI613" s="68"/>
      <c r="BJ613" s="68"/>
      <c r="BK613" s="68"/>
      <c r="BL613" s="68"/>
      <c r="BM613" s="68"/>
      <c r="BN613" s="68"/>
    </row>
    <row r="614" spans="1:66" ht="17">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68"/>
      <c r="AG614" s="68"/>
      <c r="AH614" s="68"/>
      <c r="AI614" s="68"/>
      <c r="AJ614" s="68"/>
      <c r="AK614" s="68"/>
      <c r="AL614" s="68"/>
      <c r="AM614" s="68"/>
      <c r="AN614" s="68"/>
      <c r="AO614" s="68"/>
      <c r="AP614" s="68"/>
      <c r="AQ614" s="68"/>
      <c r="AR614" s="68"/>
      <c r="AS614" s="68"/>
      <c r="AT614" s="68"/>
      <c r="AU614" s="68"/>
      <c r="AV614" s="68"/>
      <c r="AW614" s="68"/>
      <c r="AX614" s="68"/>
      <c r="AY614" s="68"/>
      <c r="AZ614" s="68"/>
      <c r="BA614" s="68"/>
      <c r="BB614" s="68"/>
      <c r="BC614" s="68"/>
      <c r="BD614" s="68"/>
      <c r="BE614" s="68"/>
      <c r="BF614" s="68"/>
      <c r="BG614" s="68"/>
      <c r="BH614" s="68"/>
      <c r="BI614" s="68"/>
      <c r="BJ614" s="68"/>
      <c r="BK614" s="68"/>
      <c r="BL614" s="68"/>
      <c r="BM614" s="68"/>
      <c r="BN614" s="68"/>
    </row>
    <row r="615" spans="1:66" ht="17">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68"/>
      <c r="AG615" s="68"/>
      <c r="AH615" s="68"/>
      <c r="AI615" s="68"/>
      <c r="AJ615" s="68"/>
      <c r="AK615" s="68"/>
      <c r="AL615" s="68"/>
      <c r="AM615" s="68"/>
      <c r="AN615" s="68"/>
      <c r="AO615" s="68"/>
      <c r="AP615" s="68"/>
      <c r="AQ615" s="68"/>
      <c r="AR615" s="68"/>
      <c r="AS615" s="68"/>
      <c r="AT615" s="68"/>
      <c r="AU615" s="68"/>
      <c r="AV615" s="68"/>
      <c r="AW615" s="68"/>
      <c r="AX615" s="68"/>
      <c r="AY615" s="68"/>
      <c r="AZ615" s="68"/>
      <c r="BA615" s="68"/>
      <c r="BB615" s="68"/>
      <c r="BC615" s="68"/>
      <c r="BD615" s="68"/>
      <c r="BE615" s="68"/>
      <c r="BF615" s="68"/>
      <c r="BG615" s="68"/>
      <c r="BH615" s="68"/>
      <c r="BI615" s="68"/>
      <c r="BJ615" s="68"/>
      <c r="BK615" s="68"/>
      <c r="BL615" s="68"/>
      <c r="BM615" s="68"/>
      <c r="BN615" s="68"/>
    </row>
    <row r="616" spans="1:66" ht="17">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68"/>
      <c r="AG616" s="68"/>
      <c r="AH616" s="68"/>
      <c r="AI616" s="68"/>
      <c r="AJ616" s="68"/>
      <c r="AK616" s="68"/>
      <c r="AL616" s="68"/>
      <c r="AM616" s="68"/>
      <c r="AN616" s="68"/>
      <c r="AO616" s="68"/>
      <c r="AP616" s="68"/>
      <c r="AQ616" s="68"/>
      <c r="AR616" s="68"/>
      <c r="AS616" s="68"/>
      <c r="AT616" s="68"/>
      <c r="AU616" s="68"/>
      <c r="AV616" s="68"/>
      <c r="AW616" s="68"/>
      <c r="AX616" s="68"/>
      <c r="AY616" s="68"/>
      <c r="AZ616" s="68"/>
      <c r="BA616" s="68"/>
      <c r="BB616" s="68"/>
      <c r="BC616" s="68"/>
      <c r="BD616" s="68"/>
      <c r="BE616" s="68"/>
      <c r="BF616" s="68"/>
      <c r="BG616" s="68"/>
      <c r="BH616" s="68"/>
      <c r="BI616" s="68"/>
      <c r="BJ616" s="68"/>
      <c r="BK616" s="68"/>
      <c r="BL616" s="68"/>
      <c r="BM616" s="68"/>
      <c r="BN616" s="68"/>
    </row>
    <row r="617" spans="1:66" ht="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68"/>
      <c r="AG617" s="68"/>
      <c r="AH617" s="68"/>
      <c r="AI617" s="68"/>
      <c r="AJ617" s="68"/>
      <c r="AK617" s="68"/>
      <c r="AL617" s="68"/>
      <c r="AM617" s="68"/>
      <c r="AN617" s="68"/>
      <c r="AO617" s="68"/>
      <c r="AP617" s="68"/>
      <c r="AQ617" s="68"/>
      <c r="AR617" s="68"/>
      <c r="AS617" s="68"/>
      <c r="AT617" s="68"/>
      <c r="AU617" s="68"/>
      <c r="AV617" s="68"/>
      <c r="AW617" s="68"/>
      <c r="AX617" s="68"/>
      <c r="AY617" s="68"/>
      <c r="AZ617" s="68"/>
      <c r="BA617" s="68"/>
      <c r="BB617" s="68"/>
      <c r="BC617" s="68"/>
      <c r="BD617" s="68"/>
      <c r="BE617" s="68"/>
      <c r="BF617" s="68"/>
      <c r="BG617" s="68"/>
      <c r="BH617" s="68"/>
      <c r="BI617" s="68"/>
      <c r="BJ617" s="68"/>
      <c r="BK617" s="68"/>
      <c r="BL617" s="68"/>
      <c r="BM617" s="68"/>
      <c r="BN617" s="68"/>
    </row>
    <row r="618" spans="1:66" ht="17">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68"/>
      <c r="AG618" s="68"/>
      <c r="AH618" s="68"/>
      <c r="AI618" s="68"/>
      <c r="AJ618" s="68"/>
      <c r="AK618" s="68"/>
      <c r="AL618" s="68"/>
      <c r="AM618" s="68"/>
      <c r="AN618" s="68"/>
      <c r="AO618" s="68"/>
      <c r="AP618" s="68"/>
      <c r="AQ618" s="68"/>
      <c r="AR618" s="68"/>
      <c r="AS618" s="68"/>
      <c r="AT618" s="68"/>
      <c r="AU618" s="68"/>
      <c r="AV618" s="68"/>
      <c r="AW618" s="68"/>
      <c r="AX618" s="68"/>
      <c r="AY618" s="68"/>
      <c r="AZ618" s="68"/>
      <c r="BA618" s="68"/>
      <c r="BB618" s="68"/>
      <c r="BC618" s="68"/>
      <c r="BD618" s="68"/>
      <c r="BE618" s="68"/>
      <c r="BF618" s="68"/>
      <c r="BG618" s="68"/>
      <c r="BH618" s="68"/>
      <c r="BI618" s="68"/>
      <c r="BJ618" s="68"/>
      <c r="BK618" s="68"/>
      <c r="BL618" s="68"/>
      <c r="BM618" s="68"/>
      <c r="BN618" s="68"/>
    </row>
    <row r="619" spans="1:66" ht="17">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68"/>
      <c r="AG619" s="68"/>
      <c r="AH619" s="68"/>
      <c r="AI619" s="68"/>
      <c r="AJ619" s="68"/>
      <c r="AK619" s="68"/>
      <c r="AL619" s="68"/>
      <c r="AM619" s="68"/>
      <c r="AN619" s="68"/>
      <c r="AO619" s="68"/>
      <c r="AP619" s="68"/>
      <c r="AQ619" s="68"/>
      <c r="AR619" s="68"/>
      <c r="AS619" s="68"/>
      <c r="AT619" s="68"/>
      <c r="AU619" s="68"/>
      <c r="AV619" s="68"/>
      <c r="AW619" s="68"/>
      <c r="AX619" s="68"/>
      <c r="AY619" s="68"/>
      <c r="AZ619" s="68"/>
      <c r="BA619" s="68"/>
      <c r="BB619" s="68"/>
      <c r="BC619" s="68"/>
      <c r="BD619" s="68"/>
      <c r="BE619" s="68"/>
      <c r="BF619" s="68"/>
      <c r="BG619" s="68"/>
      <c r="BH619" s="68"/>
      <c r="BI619" s="68"/>
      <c r="BJ619" s="68"/>
      <c r="BK619" s="68"/>
      <c r="BL619" s="68"/>
      <c r="BM619" s="68"/>
      <c r="BN619" s="68"/>
    </row>
    <row r="620" spans="1:66" ht="17">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68"/>
      <c r="AG620" s="68"/>
      <c r="AH620" s="68"/>
      <c r="AI620" s="68"/>
      <c r="AJ620" s="68"/>
      <c r="AK620" s="68"/>
      <c r="AL620" s="68"/>
      <c r="AM620" s="68"/>
      <c r="AN620" s="68"/>
      <c r="AO620" s="68"/>
      <c r="AP620" s="68"/>
      <c r="AQ620" s="68"/>
      <c r="AR620" s="68"/>
      <c r="AS620" s="68"/>
      <c r="AT620" s="68"/>
      <c r="AU620" s="68"/>
      <c r="AV620" s="68"/>
      <c r="AW620" s="68"/>
      <c r="AX620" s="68"/>
      <c r="AY620" s="68"/>
      <c r="AZ620" s="68"/>
      <c r="BA620" s="68"/>
      <c r="BB620" s="68"/>
      <c r="BC620" s="68"/>
      <c r="BD620" s="68"/>
      <c r="BE620" s="68"/>
      <c r="BF620" s="68"/>
      <c r="BG620" s="68"/>
      <c r="BH620" s="68"/>
      <c r="BI620" s="68"/>
      <c r="BJ620" s="68"/>
      <c r="BK620" s="68"/>
      <c r="BL620" s="68"/>
      <c r="BM620" s="68"/>
      <c r="BN620" s="68"/>
    </row>
    <row r="621" spans="1:66" ht="17">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68"/>
      <c r="AG621" s="68"/>
      <c r="AH621" s="68"/>
      <c r="AI621" s="68"/>
      <c r="AJ621" s="68"/>
      <c r="AK621" s="68"/>
      <c r="AL621" s="68"/>
      <c r="AM621" s="68"/>
      <c r="AN621" s="68"/>
      <c r="AO621" s="68"/>
      <c r="AP621" s="68"/>
      <c r="AQ621" s="68"/>
      <c r="AR621" s="68"/>
      <c r="AS621" s="68"/>
      <c r="AT621" s="68"/>
      <c r="AU621" s="68"/>
      <c r="AV621" s="68"/>
      <c r="AW621" s="68"/>
      <c r="AX621" s="68"/>
      <c r="AY621" s="68"/>
      <c r="AZ621" s="68"/>
      <c r="BA621" s="68"/>
      <c r="BB621" s="68"/>
      <c r="BC621" s="68"/>
      <c r="BD621" s="68"/>
      <c r="BE621" s="68"/>
      <c r="BF621" s="68"/>
      <c r="BG621" s="68"/>
      <c r="BH621" s="68"/>
      <c r="BI621" s="68"/>
      <c r="BJ621" s="68"/>
      <c r="BK621" s="68"/>
      <c r="BL621" s="68"/>
      <c r="BM621" s="68"/>
      <c r="BN621" s="68"/>
    </row>
    <row r="622" spans="1:66" ht="17">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68"/>
      <c r="AG622" s="68"/>
      <c r="AH622" s="68"/>
      <c r="AI622" s="68"/>
      <c r="AJ622" s="68"/>
      <c r="AK622" s="68"/>
      <c r="AL622" s="68"/>
      <c r="AM622" s="68"/>
      <c r="AN622" s="68"/>
      <c r="AO622" s="68"/>
      <c r="AP622" s="68"/>
      <c r="AQ622" s="68"/>
      <c r="AR622" s="68"/>
      <c r="AS622" s="68"/>
      <c r="AT622" s="68"/>
      <c r="AU622" s="68"/>
      <c r="AV622" s="68"/>
      <c r="AW622" s="68"/>
      <c r="AX622" s="68"/>
      <c r="AY622" s="68"/>
      <c r="AZ622" s="68"/>
      <c r="BA622" s="68"/>
      <c r="BB622" s="68"/>
      <c r="BC622" s="68"/>
      <c r="BD622" s="68"/>
      <c r="BE622" s="68"/>
      <c r="BF622" s="68"/>
      <c r="BG622" s="68"/>
      <c r="BH622" s="68"/>
      <c r="BI622" s="68"/>
      <c r="BJ622" s="68"/>
      <c r="BK622" s="68"/>
      <c r="BL622" s="68"/>
      <c r="BM622" s="68"/>
      <c r="BN622" s="68"/>
    </row>
    <row r="623" spans="1:66" ht="17">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68"/>
      <c r="AG623" s="68"/>
      <c r="AH623" s="68"/>
      <c r="AI623" s="68"/>
      <c r="AJ623" s="68"/>
      <c r="AK623" s="68"/>
      <c r="AL623" s="68"/>
      <c r="AM623" s="68"/>
      <c r="AN623" s="68"/>
      <c r="AO623" s="68"/>
      <c r="AP623" s="68"/>
      <c r="AQ623" s="68"/>
      <c r="AR623" s="68"/>
      <c r="AS623" s="68"/>
      <c r="AT623" s="68"/>
      <c r="AU623" s="68"/>
      <c r="AV623" s="68"/>
      <c r="AW623" s="68"/>
      <c r="AX623" s="68"/>
      <c r="AY623" s="68"/>
      <c r="AZ623" s="68"/>
      <c r="BA623" s="68"/>
      <c r="BB623" s="68"/>
      <c r="BC623" s="68"/>
      <c r="BD623" s="68"/>
      <c r="BE623" s="68"/>
      <c r="BF623" s="68"/>
      <c r="BG623" s="68"/>
      <c r="BH623" s="68"/>
      <c r="BI623" s="68"/>
      <c r="BJ623" s="68"/>
      <c r="BK623" s="68"/>
      <c r="BL623" s="68"/>
      <c r="BM623" s="68"/>
      <c r="BN623" s="68"/>
    </row>
    <row r="624" spans="1:66" ht="17">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68"/>
      <c r="AG624" s="68"/>
      <c r="AH624" s="68"/>
      <c r="AI624" s="68"/>
      <c r="AJ624" s="68"/>
      <c r="AK624" s="68"/>
      <c r="AL624" s="68"/>
      <c r="AM624" s="68"/>
      <c r="AN624" s="68"/>
      <c r="AO624" s="68"/>
      <c r="AP624" s="68"/>
      <c r="AQ624" s="68"/>
      <c r="AR624" s="68"/>
      <c r="AS624" s="68"/>
      <c r="AT624" s="68"/>
      <c r="AU624" s="68"/>
      <c r="AV624" s="68"/>
      <c r="AW624" s="68"/>
      <c r="AX624" s="68"/>
      <c r="AY624" s="68"/>
      <c r="AZ624" s="68"/>
      <c r="BA624" s="68"/>
      <c r="BB624" s="68"/>
      <c r="BC624" s="68"/>
      <c r="BD624" s="68"/>
      <c r="BE624" s="68"/>
      <c r="BF624" s="68"/>
      <c r="BG624" s="68"/>
      <c r="BH624" s="68"/>
      <c r="BI624" s="68"/>
      <c r="BJ624" s="68"/>
      <c r="BK624" s="68"/>
      <c r="BL624" s="68"/>
      <c r="BM624" s="68"/>
      <c r="BN624" s="68"/>
    </row>
    <row r="625" spans="1:66" ht="17">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68"/>
      <c r="AG625" s="68"/>
      <c r="AH625" s="68"/>
      <c r="AI625" s="68"/>
      <c r="AJ625" s="68"/>
      <c r="AK625" s="68"/>
      <c r="AL625" s="68"/>
      <c r="AM625" s="68"/>
      <c r="AN625" s="68"/>
      <c r="AO625" s="68"/>
      <c r="AP625" s="68"/>
      <c r="AQ625" s="68"/>
      <c r="AR625" s="68"/>
      <c r="AS625" s="68"/>
      <c r="AT625" s="68"/>
      <c r="AU625" s="68"/>
      <c r="AV625" s="68"/>
      <c r="AW625" s="68"/>
      <c r="AX625" s="68"/>
      <c r="AY625" s="68"/>
      <c r="AZ625" s="68"/>
      <c r="BA625" s="68"/>
      <c r="BB625" s="68"/>
      <c r="BC625" s="68"/>
      <c r="BD625" s="68"/>
      <c r="BE625" s="68"/>
      <c r="BF625" s="68"/>
      <c r="BG625" s="68"/>
      <c r="BH625" s="68"/>
      <c r="BI625" s="68"/>
      <c r="BJ625" s="68"/>
      <c r="BK625" s="68"/>
      <c r="BL625" s="68"/>
      <c r="BM625" s="68"/>
      <c r="BN625" s="68"/>
    </row>
    <row r="626" spans="1:66" ht="17">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68"/>
      <c r="AG626" s="68"/>
      <c r="AH626" s="68"/>
      <c r="AI626" s="68"/>
      <c r="AJ626" s="68"/>
      <c r="AK626" s="68"/>
      <c r="AL626" s="68"/>
      <c r="AM626" s="68"/>
      <c r="AN626" s="68"/>
      <c r="AO626" s="68"/>
      <c r="AP626" s="68"/>
      <c r="AQ626" s="68"/>
      <c r="AR626" s="68"/>
      <c r="AS626" s="68"/>
      <c r="AT626" s="68"/>
      <c r="AU626" s="68"/>
      <c r="AV626" s="68"/>
      <c r="AW626" s="68"/>
      <c r="AX626" s="68"/>
      <c r="AY626" s="68"/>
      <c r="AZ626" s="68"/>
      <c r="BA626" s="68"/>
      <c r="BB626" s="68"/>
      <c r="BC626" s="68"/>
      <c r="BD626" s="68"/>
      <c r="BE626" s="68"/>
      <c r="BF626" s="68"/>
      <c r="BG626" s="68"/>
      <c r="BH626" s="68"/>
      <c r="BI626" s="68"/>
      <c r="BJ626" s="68"/>
      <c r="BK626" s="68"/>
      <c r="BL626" s="68"/>
      <c r="BM626" s="68"/>
      <c r="BN626" s="68"/>
    </row>
    <row r="627" spans="1:66" ht="1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68"/>
      <c r="AG627" s="68"/>
      <c r="AH627" s="68"/>
      <c r="AI627" s="68"/>
      <c r="AJ627" s="68"/>
      <c r="AK627" s="68"/>
      <c r="AL627" s="68"/>
      <c r="AM627" s="68"/>
      <c r="AN627" s="68"/>
      <c r="AO627" s="68"/>
      <c r="AP627" s="68"/>
      <c r="AQ627" s="68"/>
      <c r="AR627" s="68"/>
      <c r="AS627" s="68"/>
      <c r="AT627" s="68"/>
      <c r="AU627" s="68"/>
      <c r="AV627" s="68"/>
      <c r="AW627" s="68"/>
      <c r="AX627" s="68"/>
      <c r="AY627" s="68"/>
      <c r="AZ627" s="68"/>
      <c r="BA627" s="68"/>
      <c r="BB627" s="68"/>
      <c r="BC627" s="68"/>
      <c r="BD627" s="68"/>
      <c r="BE627" s="68"/>
      <c r="BF627" s="68"/>
      <c r="BG627" s="68"/>
      <c r="BH627" s="68"/>
      <c r="BI627" s="68"/>
      <c r="BJ627" s="68"/>
      <c r="BK627" s="68"/>
      <c r="BL627" s="68"/>
      <c r="BM627" s="68"/>
      <c r="BN627" s="68"/>
    </row>
    <row r="628" spans="1:66" ht="17">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68"/>
      <c r="AG628" s="68"/>
      <c r="AH628" s="68"/>
      <c r="AI628" s="68"/>
      <c r="AJ628" s="68"/>
      <c r="AK628" s="68"/>
      <c r="AL628" s="68"/>
      <c r="AM628" s="68"/>
      <c r="AN628" s="68"/>
      <c r="AO628" s="68"/>
      <c r="AP628" s="68"/>
      <c r="AQ628" s="68"/>
      <c r="AR628" s="68"/>
      <c r="AS628" s="68"/>
      <c r="AT628" s="68"/>
      <c r="AU628" s="68"/>
      <c r="AV628" s="68"/>
      <c r="AW628" s="68"/>
      <c r="AX628" s="68"/>
      <c r="AY628" s="68"/>
      <c r="AZ628" s="68"/>
      <c r="BA628" s="68"/>
      <c r="BB628" s="68"/>
      <c r="BC628" s="68"/>
      <c r="BD628" s="68"/>
      <c r="BE628" s="68"/>
      <c r="BF628" s="68"/>
      <c r="BG628" s="68"/>
      <c r="BH628" s="68"/>
      <c r="BI628" s="68"/>
      <c r="BJ628" s="68"/>
      <c r="BK628" s="68"/>
      <c r="BL628" s="68"/>
      <c r="BM628" s="68"/>
      <c r="BN628" s="68"/>
    </row>
    <row r="629" spans="1:66" ht="17">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68"/>
      <c r="AG629" s="68"/>
      <c r="AH629" s="68"/>
      <c r="AI629" s="68"/>
      <c r="AJ629" s="68"/>
      <c r="AK629" s="68"/>
      <c r="AL629" s="68"/>
      <c r="AM629" s="68"/>
      <c r="AN629" s="68"/>
      <c r="AO629" s="68"/>
      <c r="AP629" s="68"/>
      <c r="AQ629" s="68"/>
      <c r="AR629" s="68"/>
      <c r="AS629" s="68"/>
      <c r="AT629" s="68"/>
      <c r="AU629" s="68"/>
      <c r="AV629" s="68"/>
      <c r="AW629" s="68"/>
      <c r="AX629" s="68"/>
      <c r="AY629" s="68"/>
      <c r="AZ629" s="68"/>
      <c r="BA629" s="68"/>
      <c r="BB629" s="68"/>
      <c r="BC629" s="68"/>
      <c r="BD629" s="68"/>
      <c r="BE629" s="68"/>
      <c r="BF629" s="68"/>
      <c r="BG629" s="68"/>
      <c r="BH629" s="68"/>
      <c r="BI629" s="68"/>
      <c r="BJ629" s="68"/>
      <c r="BK629" s="68"/>
      <c r="BL629" s="68"/>
      <c r="BM629" s="68"/>
      <c r="BN629" s="68"/>
    </row>
    <row r="630" spans="1:66" ht="17">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68"/>
      <c r="AG630" s="68"/>
      <c r="AH630" s="68"/>
      <c r="AI630" s="68"/>
      <c r="AJ630" s="68"/>
      <c r="AK630" s="68"/>
      <c r="AL630" s="68"/>
      <c r="AM630" s="68"/>
      <c r="AN630" s="68"/>
      <c r="AO630" s="68"/>
      <c r="AP630" s="68"/>
      <c r="AQ630" s="68"/>
      <c r="AR630" s="68"/>
      <c r="AS630" s="68"/>
      <c r="AT630" s="68"/>
      <c r="AU630" s="68"/>
      <c r="AV630" s="68"/>
      <c r="AW630" s="68"/>
      <c r="AX630" s="68"/>
      <c r="AY630" s="68"/>
      <c r="AZ630" s="68"/>
      <c r="BA630" s="68"/>
      <c r="BB630" s="68"/>
      <c r="BC630" s="68"/>
      <c r="BD630" s="68"/>
      <c r="BE630" s="68"/>
      <c r="BF630" s="68"/>
      <c r="BG630" s="68"/>
      <c r="BH630" s="68"/>
      <c r="BI630" s="68"/>
      <c r="BJ630" s="68"/>
      <c r="BK630" s="68"/>
      <c r="BL630" s="68"/>
      <c r="BM630" s="68"/>
      <c r="BN630" s="68"/>
    </row>
    <row r="631" spans="1:66" ht="17">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68"/>
      <c r="AG631" s="68"/>
      <c r="AH631" s="68"/>
      <c r="AI631" s="68"/>
      <c r="AJ631" s="68"/>
      <c r="AK631" s="68"/>
      <c r="AL631" s="68"/>
      <c r="AM631" s="68"/>
      <c r="AN631" s="68"/>
      <c r="AO631" s="68"/>
      <c r="AP631" s="68"/>
      <c r="AQ631" s="68"/>
      <c r="AR631" s="68"/>
      <c r="AS631" s="68"/>
      <c r="AT631" s="68"/>
      <c r="AU631" s="68"/>
      <c r="AV631" s="68"/>
      <c r="AW631" s="68"/>
      <c r="AX631" s="68"/>
      <c r="AY631" s="68"/>
      <c r="AZ631" s="68"/>
      <c r="BA631" s="68"/>
      <c r="BB631" s="68"/>
      <c r="BC631" s="68"/>
      <c r="BD631" s="68"/>
      <c r="BE631" s="68"/>
      <c r="BF631" s="68"/>
      <c r="BG631" s="68"/>
      <c r="BH631" s="68"/>
      <c r="BI631" s="68"/>
      <c r="BJ631" s="68"/>
      <c r="BK631" s="68"/>
      <c r="BL631" s="68"/>
      <c r="BM631" s="68"/>
      <c r="BN631" s="68"/>
    </row>
    <row r="632" spans="1:66" ht="17">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68"/>
      <c r="AG632" s="68"/>
      <c r="AH632" s="68"/>
      <c r="AI632" s="68"/>
      <c r="AJ632" s="68"/>
      <c r="AK632" s="68"/>
      <c r="AL632" s="68"/>
      <c r="AM632" s="68"/>
      <c r="AN632" s="68"/>
      <c r="AO632" s="68"/>
      <c r="AP632" s="68"/>
      <c r="AQ632" s="68"/>
      <c r="AR632" s="68"/>
      <c r="AS632" s="68"/>
      <c r="AT632" s="68"/>
      <c r="AU632" s="68"/>
      <c r="AV632" s="68"/>
      <c r="AW632" s="68"/>
      <c r="AX632" s="68"/>
      <c r="AY632" s="68"/>
      <c r="AZ632" s="68"/>
      <c r="BA632" s="68"/>
      <c r="BB632" s="68"/>
      <c r="BC632" s="68"/>
      <c r="BD632" s="68"/>
      <c r="BE632" s="68"/>
      <c r="BF632" s="68"/>
      <c r="BG632" s="68"/>
      <c r="BH632" s="68"/>
      <c r="BI632" s="68"/>
      <c r="BJ632" s="68"/>
      <c r="BK632" s="68"/>
      <c r="BL632" s="68"/>
      <c r="BM632" s="68"/>
      <c r="BN632" s="68"/>
    </row>
    <row r="633" spans="1:66" ht="17">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68"/>
      <c r="AG633" s="68"/>
      <c r="AH633" s="68"/>
      <c r="AI633" s="68"/>
      <c r="AJ633" s="68"/>
      <c r="AK633" s="68"/>
      <c r="AL633" s="68"/>
      <c r="AM633" s="68"/>
      <c r="AN633" s="68"/>
      <c r="AO633" s="68"/>
      <c r="AP633" s="68"/>
      <c r="AQ633" s="68"/>
      <c r="AR633" s="68"/>
      <c r="AS633" s="68"/>
      <c r="AT633" s="68"/>
      <c r="AU633" s="68"/>
      <c r="AV633" s="68"/>
      <c r="AW633" s="68"/>
      <c r="AX633" s="68"/>
      <c r="AY633" s="68"/>
      <c r="AZ633" s="68"/>
      <c r="BA633" s="68"/>
      <c r="BB633" s="68"/>
      <c r="BC633" s="68"/>
      <c r="BD633" s="68"/>
      <c r="BE633" s="68"/>
      <c r="BF633" s="68"/>
      <c r="BG633" s="68"/>
      <c r="BH633" s="68"/>
      <c r="BI633" s="68"/>
      <c r="BJ633" s="68"/>
      <c r="BK633" s="68"/>
      <c r="BL633" s="68"/>
      <c r="BM633" s="68"/>
      <c r="BN633" s="68"/>
    </row>
    <row r="634" spans="1:66" ht="17">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68"/>
      <c r="AG634" s="68"/>
      <c r="AH634" s="68"/>
      <c r="AI634" s="68"/>
      <c r="AJ634" s="68"/>
      <c r="AK634" s="68"/>
      <c r="AL634" s="68"/>
      <c r="AM634" s="68"/>
      <c r="AN634" s="68"/>
      <c r="AO634" s="68"/>
      <c r="AP634" s="68"/>
      <c r="AQ634" s="68"/>
      <c r="AR634" s="68"/>
      <c r="AS634" s="68"/>
      <c r="AT634" s="68"/>
      <c r="AU634" s="68"/>
      <c r="AV634" s="68"/>
      <c r="AW634" s="68"/>
      <c r="AX634" s="68"/>
      <c r="AY634" s="68"/>
      <c r="AZ634" s="68"/>
      <c r="BA634" s="68"/>
      <c r="BB634" s="68"/>
      <c r="BC634" s="68"/>
      <c r="BD634" s="68"/>
      <c r="BE634" s="68"/>
      <c r="BF634" s="68"/>
      <c r="BG634" s="68"/>
      <c r="BH634" s="68"/>
      <c r="BI634" s="68"/>
      <c r="BJ634" s="68"/>
      <c r="BK634" s="68"/>
      <c r="BL634" s="68"/>
      <c r="BM634" s="68"/>
      <c r="BN634" s="68"/>
    </row>
    <row r="635" spans="1:66" ht="17">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68"/>
      <c r="AG635" s="68"/>
      <c r="AH635" s="68"/>
      <c r="AI635" s="68"/>
      <c r="AJ635" s="68"/>
      <c r="AK635" s="68"/>
      <c r="AL635" s="68"/>
      <c r="AM635" s="68"/>
      <c r="AN635" s="68"/>
      <c r="AO635" s="68"/>
      <c r="AP635" s="68"/>
      <c r="AQ635" s="68"/>
      <c r="AR635" s="68"/>
      <c r="AS635" s="68"/>
      <c r="AT635" s="68"/>
      <c r="AU635" s="68"/>
      <c r="AV635" s="68"/>
      <c r="AW635" s="68"/>
      <c r="AX635" s="68"/>
      <c r="AY635" s="68"/>
      <c r="AZ635" s="68"/>
      <c r="BA635" s="68"/>
      <c r="BB635" s="68"/>
      <c r="BC635" s="68"/>
      <c r="BD635" s="68"/>
      <c r="BE635" s="68"/>
      <c r="BF635" s="68"/>
      <c r="BG635" s="68"/>
      <c r="BH635" s="68"/>
      <c r="BI635" s="68"/>
      <c r="BJ635" s="68"/>
      <c r="BK635" s="68"/>
      <c r="BL635" s="68"/>
      <c r="BM635" s="68"/>
      <c r="BN635" s="68"/>
    </row>
    <row r="636" spans="1:66" ht="17">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68"/>
      <c r="AG636" s="68"/>
      <c r="AH636" s="68"/>
      <c r="AI636" s="68"/>
      <c r="AJ636" s="68"/>
      <c r="AK636" s="68"/>
      <c r="AL636" s="68"/>
      <c r="AM636" s="68"/>
      <c r="AN636" s="68"/>
      <c r="AO636" s="68"/>
      <c r="AP636" s="68"/>
      <c r="AQ636" s="68"/>
      <c r="AR636" s="68"/>
      <c r="AS636" s="68"/>
      <c r="AT636" s="68"/>
      <c r="AU636" s="68"/>
      <c r="AV636" s="68"/>
      <c r="AW636" s="68"/>
      <c r="AX636" s="68"/>
      <c r="AY636" s="68"/>
      <c r="AZ636" s="68"/>
      <c r="BA636" s="68"/>
      <c r="BB636" s="68"/>
      <c r="BC636" s="68"/>
      <c r="BD636" s="68"/>
      <c r="BE636" s="68"/>
      <c r="BF636" s="68"/>
      <c r="BG636" s="68"/>
      <c r="BH636" s="68"/>
      <c r="BI636" s="68"/>
      <c r="BJ636" s="68"/>
      <c r="BK636" s="68"/>
      <c r="BL636" s="68"/>
      <c r="BM636" s="68"/>
      <c r="BN636" s="68"/>
    </row>
    <row r="637" spans="1:66" ht="1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c r="AG637" s="68"/>
      <c r="AH637" s="68"/>
      <c r="AI637" s="68"/>
      <c r="AJ637" s="68"/>
      <c r="AK637" s="68"/>
      <c r="AL637" s="68"/>
      <c r="AM637" s="68"/>
      <c r="AN637" s="68"/>
      <c r="AO637" s="68"/>
      <c r="AP637" s="68"/>
      <c r="AQ637" s="68"/>
      <c r="AR637" s="68"/>
      <c r="AS637" s="68"/>
      <c r="AT637" s="68"/>
      <c r="AU637" s="68"/>
      <c r="AV637" s="68"/>
      <c r="AW637" s="68"/>
      <c r="AX637" s="68"/>
      <c r="AY637" s="68"/>
      <c r="AZ637" s="68"/>
      <c r="BA637" s="68"/>
      <c r="BB637" s="68"/>
      <c r="BC637" s="68"/>
      <c r="BD637" s="68"/>
      <c r="BE637" s="68"/>
      <c r="BF637" s="68"/>
      <c r="BG637" s="68"/>
      <c r="BH637" s="68"/>
      <c r="BI637" s="68"/>
      <c r="BJ637" s="68"/>
      <c r="BK637" s="68"/>
      <c r="BL637" s="68"/>
      <c r="BM637" s="68"/>
      <c r="BN637" s="68"/>
    </row>
    <row r="638" spans="1:66" ht="17">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68"/>
      <c r="AG638" s="68"/>
      <c r="AH638" s="68"/>
      <c r="AI638" s="68"/>
      <c r="AJ638" s="68"/>
      <c r="AK638" s="68"/>
      <c r="AL638" s="68"/>
      <c r="AM638" s="68"/>
      <c r="AN638" s="68"/>
      <c r="AO638" s="68"/>
      <c r="AP638" s="68"/>
      <c r="AQ638" s="68"/>
      <c r="AR638" s="68"/>
      <c r="AS638" s="68"/>
      <c r="AT638" s="68"/>
      <c r="AU638" s="68"/>
      <c r="AV638" s="68"/>
      <c r="AW638" s="68"/>
      <c r="AX638" s="68"/>
      <c r="AY638" s="68"/>
      <c r="AZ638" s="68"/>
      <c r="BA638" s="68"/>
      <c r="BB638" s="68"/>
      <c r="BC638" s="68"/>
      <c r="BD638" s="68"/>
      <c r="BE638" s="68"/>
      <c r="BF638" s="68"/>
      <c r="BG638" s="68"/>
      <c r="BH638" s="68"/>
      <c r="BI638" s="68"/>
      <c r="BJ638" s="68"/>
      <c r="BK638" s="68"/>
      <c r="BL638" s="68"/>
      <c r="BM638" s="68"/>
      <c r="BN638" s="68"/>
    </row>
    <row r="639" spans="1:66" ht="17">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68"/>
      <c r="AG639" s="68"/>
      <c r="AH639" s="68"/>
      <c r="AI639" s="68"/>
      <c r="AJ639" s="68"/>
      <c r="AK639" s="68"/>
      <c r="AL639" s="68"/>
      <c r="AM639" s="68"/>
      <c r="AN639" s="68"/>
      <c r="AO639" s="68"/>
      <c r="AP639" s="68"/>
      <c r="AQ639" s="68"/>
      <c r="AR639" s="68"/>
      <c r="AS639" s="68"/>
      <c r="AT639" s="68"/>
      <c r="AU639" s="68"/>
      <c r="AV639" s="68"/>
      <c r="AW639" s="68"/>
      <c r="AX639" s="68"/>
      <c r="AY639" s="68"/>
      <c r="AZ639" s="68"/>
      <c r="BA639" s="68"/>
      <c r="BB639" s="68"/>
      <c r="BC639" s="68"/>
      <c r="BD639" s="68"/>
      <c r="BE639" s="68"/>
      <c r="BF639" s="68"/>
      <c r="BG639" s="68"/>
      <c r="BH639" s="68"/>
      <c r="BI639" s="68"/>
      <c r="BJ639" s="68"/>
      <c r="BK639" s="68"/>
      <c r="BL639" s="68"/>
      <c r="BM639" s="68"/>
      <c r="BN639" s="68"/>
    </row>
    <row r="640" spans="1:66" ht="17">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68"/>
      <c r="AG640" s="68"/>
      <c r="AH640" s="68"/>
      <c r="AI640" s="68"/>
      <c r="AJ640" s="68"/>
      <c r="AK640" s="68"/>
      <c r="AL640" s="68"/>
      <c r="AM640" s="68"/>
      <c r="AN640" s="68"/>
      <c r="AO640" s="68"/>
      <c r="AP640" s="68"/>
      <c r="AQ640" s="68"/>
      <c r="AR640" s="68"/>
      <c r="AS640" s="68"/>
      <c r="AT640" s="68"/>
      <c r="AU640" s="68"/>
      <c r="AV640" s="68"/>
      <c r="AW640" s="68"/>
      <c r="AX640" s="68"/>
      <c r="AY640" s="68"/>
      <c r="AZ640" s="68"/>
      <c r="BA640" s="68"/>
      <c r="BB640" s="68"/>
      <c r="BC640" s="68"/>
      <c r="BD640" s="68"/>
      <c r="BE640" s="68"/>
      <c r="BF640" s="68"/>
      <c r="BG640" s="68"/>
      <c r="BH640" s="68"/>
      <c r="BI640" s="68"/>
      <c r="BJ640" s="68"/>
      <c r="BK640" s="68"/>
      <c r="BL640" s="68"/>
      <c r="BM640" s="68"/>
      <c r="BN640" s="68"/>
    </row>
    <row r="641" spans="1:66" ht="17">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68"/>
      <c r="AG641" s="68"/>
      <c r="AH641" s="68"/>
      <c r="AI641" s="68"/>
      <c r="AJ641" s="68"/>
      <c r="AK641" s="68"/>
      <c r="AL641" s="68"/>
      <c r="AM641" s="68"/>
      <c r="AN641" s="68"/>
      <c r="AO641" s="68"/>
      <c r="AP641" s="68"/>
      <c r="AQ641" s="68"/>
      <c r="AR641" s="68"/>
      <c r="AS641" s="68"/>
      <c r="AT641" s="68"/>
      <c r="AU641" s="68"/>
      <c r="AV641" s="68"/>
      <c r="AW641" s="68"/>
      <c r="AX641" s="68"/>
      <c r="AY641" s="68"/>
      <c r="AZ641" s="68"/>
      <c r="BA641" s="68"/>
      <c r="BB641" s="68"/>
      <c r="BC641" s="68"/>
      <c r="BD641" s="68"/>
      <c r="BE641" s="68"/>
      <c r="BF641" s="68"/>
      <c r="BG641" s="68"/>
      <c r="BH641" s="68"/>
      <c r="BI641" s="68"/>
      <c r="BJ641" s="68"/>
      <c r="BK641" s="68"/>
      <c r="BL641" s="68"/>
      <c r="BM641" s="68"/>
      <c r="BN641" s="68"/>
    </row>
    <row r="642" spans="1:66" ht="17">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68"/>
      <c r="AG642" s="68"/>
      <c r="AH642" s="68"/>
      <c r="AI642" s="68"/>
      <c r="AJ642" s="68"/>
      <c r="AK642" s="68"/>
      <c r="AL642" s="68"/>
      <c r="AM642" s="68"/>
      <c r="AN642" s="68"/>
      <c r="AO642" s="68"/>
      <c r="AP642" s="68"/>
      <c r="AQ642" s="68"/>
      <c r="AR642" s="68"/>
      <c r="AS642" s="68"/>
      <c r="AT642" s="68"/>
      <c r="AU642" s="68"/>
      <c r="AV642" s="68"/>
      <c r="AW642" s="68"/>
      <c r="AX642" s="68"/>
      <c r="AY642" s="68"/>
      <c r="AZ642" s="68"/>
      <c r="BA642" s="68"/>
      <c r="BB642" s="68"/>
      <c r="BC642" s="68"/>
      <c r="BD642" s="68"/>
      <c r="BE642" s="68"/>
      <c r="BF642" s="68"/>
      <c r="BG642" s="68"/>
      <c r="BH642" s="68"/>
      <c r="BI642" s="68"/>
      <c r="BJ642" s="68"/>
      <c r="BK642" s="68"/>
      <c r="BL642" s="68"/>
      <c r="BM642" s="68"/>
      <c r="BN642" s="68"/>
    </row>
    <row r="643" spans="1:66" ht="17">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68"/>
      <c r="AG643" s="68"/>
      <c r="AH643" s="68"/>
      <c r="AI643" s="68"/>
      <c r="AJ643" s="68"/>
      <c r="AK643" s="68"/>
      <c r="AL643" s="68"/>
      <c r="AM643" s="68"/>
      <c r="AN643" s="68"/>
      <c r="AO643" s="68"/>
      <c r="AP643" s="68"/>
      <c r="AQ643" s="68"/>
      <c r="AR643" s="68"/>
      <c r="AS643" s="68"/>
      <c r="AT643" s="68"/>
      <c r="AU643" s="68"/>
      <c r="AV643" s="68"/>
      <c r="AW643" s="68"/>
      <c r="AX643" s="68"/>
      <c r="AY643" s="68"/>
      <c r="AZ643" s="68"/>
      <c r="BA643" s="68"/>
      <c r="BB643" s="68"/>
      <c r="BC643" s="68"/>
      <c r="BD643" s="68"/>
      <c r="BE643" s="68"/>
      <c r="BF643" s="68"/>
      <c r="BG643" s="68"/>
      <c r="BH643" s="68"/>
      <c r="BI643" s="68"/>
      <c r="BJ643" s="68"/>
      <c r="BK643" s="68"/>
      <c r="BL643" s="68"/>
      <c r="BM643" s="68"/>
      <c r="BN643" s="68"/>
    </row>
    <row r="644" spans="1:66" ht="17">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68"/>
      <c r="AG644" s="68"/>
      <c r="AH644" s="68"/>
      <c r="AI644" s="68"/>
      <c r="AJ644" s="68"/>
      <c r="AK644" s="68"/>
      <c r="AL644" s="68"/>
      <c r="AM644" s="68"/>
      <c r="AN644" s="68"/>
      <c r="AO644" s="68"/>
      <c r="AP644" s="68"/>
      <c r="AQ644" s="68"/>
      <c r="AR644" s="68"/>
      <c r="AS644" s="68"/>
      <c r="AT644" s="68"/>
      <c r="AU644" s="68"/>
      <c r="AV644" s="68"/>
      <c r="AW644" s="68"/>
      <c r="AX644" s="68"/>
      <c r="AY644" s="68"/>
      <c r="AZ644" s="68"/>
      <c r="BA644" s="68"/>
      <c r="BB644" s="68"/>
      <c r="BC644" s="68"/>
      <c r="BD644" s="68"/>
      <c r="BE644" s="68"/>
      <c r="BF644" s="68"/>
      <c r="BG644" s="68"/>
      <c r="BH644" s="68"/>
      <c r="BI644" s="68"/>
      <c r="BJ644" s="68"/>
      <c r="BK644" s="68"/>
      <c r="BL644" s="68"/>
      <c r="BM644" s="68"/>
      <c r="BN644" s="68"/>
    </row>
    <row r="645" spans="1:66" ht="17">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68"/>
      <c r="AG645" s="68"/>
      <c r="AH645" s="68"/>
      <c r="AI645" s="68"/>
      <c r="AJ645" s="68"/>
      <c r="AK645" s="68"/>
      <c r="AL645" s="68"/>
      <c r="AM645" s="68"/>
      <c r="AN645" s="68"/>
      <c r="AO645" s="68"/>
      <c r="AP645" s="68"/>
      <c r="AQ645" s="68"/>
      <c r="AR645" s="68"/>
      <c r="AS645" s="68"/>
      <c r="AT645" s="68"/>
      <c r="AU645" s="68"/>
      <c r="AV645" s="68"/>
      <c r="AW645" s="68"/>
      <c r="AX645" s="68"/>
      <c r="AY645" s="68"/>
      <c r="AZ645" s="68"/>
      <c r="BA645" s="68"/>
      <c r="BB645" s="68"/>
      <c r="BC645" s="68"/>
      <c r="BD645" s="68"/>
      <c r="BE645" s="68"/>
      <c r="BF645" s="68"/>
      <c r="BG645" s="68"/>
      <c r="BH645" s="68"/>
      <c r="BI645" s="68"/>
      <c r="BJ645" s="68"/>
      <c r="BK645" s="68"/>
      <c r="BL645" s="68"/>
      <c r="BM645" s="68"/>
      <c r="BN645" s="68"/>
    </row>
    <row r="646" spans="1:66" ht="17">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68"/>
      <c r="AG646" s="68"/>
      <c r="AH646" s="68"/>
      <c r="AI646" s="68"/>
      <c r="AJ646" s="68"/>
      <c r="AK646" s="68"/>
      <c r="AL646" s="68"/>
      <c r="AM646" s="68"/>
      <c r="AN646" s="68"/>
      <c r="AO646" s="68"/>
      <c r="AP646" s="68"/>
      <c r="AQ646" s="68"/>
      <c r="AR646" s="68"/>
      <c r="AS646" s="68"/>
      <c r="AT646" s="68"/>
      <c r="AU646" s="68"/>
      <c r="AV646" s="68"/>
      <c r="AW646" s="68"/>
      <c r="AX646" s="68"/>
      <c r="AY646" s="68"/>
      <c r="AZ646" s="68"/>
      <c r="BA646" s="68"/>
      <c r="BB646" s="68"/>
      <c r="BC646" s="68"/>
      <c r="BD646" s="68"/>
      <c r="BE646" s="68"/>
      <c r="BF646" s="68"/>
      <c r="BG646" s="68"/>
      <c r="BH646" s="68"/>
      <c r="BI646" s="68"/>
      <c r="BJ646" s="68"/>
      <c r="BK646" s="68"/>
      <c r="BL646" s="68"/>
      <c r="BM646" s="68"/>
      <c r="BN646" s="68"/>
    </row>
    <row r="647" spans="1:66" ht="1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68"/>
      <c r="AG647" s="68"/>
      <c r="AH647" s="68"/>
      <c r="AI647" s="68"/>
      <c r="AJ647" s="68"/>
      <c r="AK647" s="68"/>
      <c r="AL647" s="68"/>
      <c r="AM647" s="68"/>
      <c r="AN647" s="68"/>
      <c r="AO647" s="68"/>
      <c r="AP647" s="68"/>
      <c r="AQ647" s="68"/>
      <c r="AR647" s="68"/>
      <c r="AS647" s="68"/>
      <c r="AT647" s="68"/>
      <c r="AU647" s="68"/>
      <c r="AV647" s="68"/>
      <c r="AW647" s="68"/>
      <c r="AX647" s="68"/>
      <c r="AY647" s="68"/>
      <c r="AZ647" s="68"/>
      <c r="BA647" s="68"/>
      <c r="BB647" s="68"/>
      <c r="BC647" s="68"/>
      <c r="BD647" s="68"/>
      <c r="BE647" s="68"/>
      <c r="BF647" s="68"/>
      <c r="BG647" s="68"/>
      <c r="BH647" s="68"/>
      <c r="BI647" s="68"/>
      <c r="BJ647" s="68"/>
      <c r="BK647" s="68"/>
      <c r="BL647" s="68"/>
      <c r="BM647" s="68"/>
      <c r="BN647" s="68"/>
    </row>
    <row r="648" spans="1:66" ht="17">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68"/>
      <c r="AG648" s="68"/>
      <c r="AH648" s="68"/>
      <c r="AI648" s="68"/>
      <c r="AJ648" s="68"/>
      <c r="AK648" s="68"/>
      <c r="AL648" s="68"/>
      <c r="AM648" s="68"/>
      <c r="AN648" s="68"/>
      <c r="AO648" s="68"/>
      <c r="AP648" s="68"/>
      <c r="AQ648" s="68"/>
      <c r="AR648" s="68"/>
      <c r="AS648" s="68"/>
      <c r="AT648" s="68"/>
      <c r="AU648" s="68"/>
      <c r="AV648" s="68"/>
      <c r="AW648" s="68"/>
      <c r="AX648" s="68"/>
      <c r="AY648" s="68"/>
      <c r="AZ648" s="68"/>
      <c r="BA648" s="68"/>
      <c r="BB648" s="68"/>
      <c r="BC648" s="68"/>
      <c r="BD648" s="68"/>
      <c r="BE648" s="68"/>
      <c r="BF648" s="68"/>
      <c r="BG648" s="68"/>
      <c r="BH648" s="68"/>
      <c r="BI648" s="68"/>
      <c r="BJ648" s="68"/>
      <c r="BK648" s="68"/>
      <c r="BL648" s="68"/>
      <c r="BM648" s="68"/>
      <c r="BN648" s="68"/>
    </row>
    <row r="649" spans="1:66" ht="17">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68"/>
      <c r="AG649" s="68"/>
      <c r="AH649" s="68"/>
      <c r="AI649" s="68"/>
      <c r="AJ649" s="68"/>
      <c r="AK649" s="68"/>
      <c r="AL649" s="68"/>
      <c r="AM649" s="68"/>
      <c r="AN649" s="68"/>
      <c r="AO649" s="68"/>
      <c r="AP649" s="68"/>
      <c r="AQ649" s="68"/>
      <c r="AR649" s="68"/>
      <c r="AS649" s="68"/>
      <c r="AT649" s="68"/>
      <c r="AU649" s="68"/>
      <c r="AV649" s="68"/>
      <c r="AW649" s="68"/>
      <c r="AX649" s="68"/>
      <c r="AY649" s="68"/>
      <c r="AZ649" s="68"/>
      <c r="BA649" s="68"/>
      <c r="BB649" s="68"/>
      <c r="BC649" s="68"/>
      <c r="BD649" s="68"/>
      <c r="BE649" s="68"/>
      <c r="BF649" s="68"/>
      <c r="BG649" s="68"/>
      <c r="BH649" s="68"/>
      <c r="BI649" s="68"/>
      <c r="BJ649" s="68"/>
      <c r="BK649" s="68"/>
      <c r="BL649" s="68"/>
      <c r="BM649" s="68"/>
      <c r="BN649" s="68"/>
    </row>
    <row r="650" spans="1:66" ht="17">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68"/>
      <c r="AG650" s="68"/>
      <c r="AH650" s="68"/>
      <c r="AI650" s="68"/>
      <c r="AJ650" s="68"/>
      <c r="AK650" s="68"/>
      <c r="AL650" s="68"/>
      <c r="AM650" s="68"/>
      <c r="AN650" s="68"/>
      <c r="AO650" s="68"/>
      <c r="AP650" s="68"/>
      <c r="AQ650" s="68"/>
      <c r="AR650" s="68"/>
      <c r="AS650" s="68"/>
      <c r="AT650" s="68"/>
      <c r="AU650" s="68"/>
      <c r="AV650" s="68"/>
      <c r="AW650" s="68"/>
      <c r="AX650" s="68"/>
      <c r="AY650" s="68"/>
      <c r="AZ650" s="68"/>
      <c r="BA650" s="68"/>
      <c r="BB650" s="68"/>
      <c r="BC650" s="68"/>
      <c r="BD650" s="68"/>
      <c r="BE650" s="68"/>
      <c r="BF650" s="68"/>
      <c r="BG650" s="68"/>
      <c r="BH650" s="68"/>
      <c r="BI650" s="68"/>
      <c r="BJ650" s="68"/>
      <c r="BK650" s="68"/>
      <c r="BL650" s="68"/>
      <c r="BM650" s="68"/>
      <c r="BN650" s="68"/>
    </row>
    <row r="651" spans="1:66" ht="17">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68"/>
      <c r="AG651" s="68"/>
      <c r="AH651" s="68"/>
      <c r="AI651" s="68"/>
      <c r="AJ651" s="68"/>
      <c r="AK651" s="68"/>
      <c r="AL651" s="68"/>
      <c r="AM651" s="68"/>
      <c r="AN651" s="68"/>
      <c r="AO651" s="68"/>
      <c r="AP651" s="68"/>
      <c r="AQ651" s="68"/>
      <c r="AR651" s="68"/>
      <c r="AS651" s="68"/>
      <c r="AT651" s="68"/>
      <c r="AU651" s="68"/>
      <c r="AV651" s="68"/>
      <c r="AW651" s="68"/>
      <c r="AX651" s="68"/>
      <c r="AY651" s="68"/>
      <c r="AZ651" s="68"/>
      <c r="BA651" s="68"/>
      <c r="BB651" s="68"/>
      <c r="BC651" s="68"/>
      <c r="BD651" s="68"/>
      <c r="BE651" s="68"/>
      <c r="BF651" s="68"/>
      <c r="BG651" s="68"/>
      <c r="BH651" s="68"/>
      <c r="BI651" s="68"/>
      <c r="BJ651" s="68"/>
      <c r="BK651" s="68"/>
      <c r="BL651" s="68"/>
      <c r="BM651" s="68"/>
      <c r="BN651" s="68"/>
    </row>
    <row r="652" spans="1:66" ht="17">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68"/>
      <c r="AG652" s="68"/>
      <c r="AH652" s="68"/>
      <c r="AI652" s="68"/>
      <c r="AJ652" s="68"/>
      <c r="AK652" s="68"/>
      <c r="AL652" s="68"/>
      <c r="AM652" s="68"/>
      <c r="AN652" s="68"/>
      <c r="AO652" s="68"/>
      <c r="AP652" s="68"/>
      <c r="AQ652" s="68"/>
      <c r="AR652" s="68"/>
      <c r="AS652" s="68"/>
      <c r="AT652" s="68"/>
      <c r="AU652" s="68"/>
      <c r="AV652" s="68"/>
      <c r="AW652" s="68"/>
      <c r="AX652" s="68"/>
      <c r="AY652" s="68"/>
      <c r="AZ652" s="68"/>
      <c r="BA652" s="68"/>
      <c r="BB652" s="68"/>
      <c r="BC652" s="68"/>
      <c r="BD652" s="68"/>
      <c r="BE652" s="68"/>
      <c r="BF652" s="68"/>
      <c r="BG652" s="68"/>
      <c r="BH652" s="68"/>
      <c r="BI652" s="68"/>
      <c r="BJ652" s="68"/>
      <c r="BK652" s="68"/>
      <c r="BL652" s="68"/>
      <c r="BM652" s="68"/>
      <c r="BN652" s="68"/>
    </row>
    <row r="653" spans="1:66" ht="17">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68"/>
      <c r="AG653" s="68"/>
      <c r="AH653" s="68"/>
      <c r="AI653" s="68"/>
      <c r="AJ653" s="68"/>
      <c r="AK653" s="68"/>
      <c r="AL653" s="68"/>
      <c r="AM653" s="68"/>
      <c r="AN653" s="68"/>
      <c r="AO653" s="68"/>
      <c r="AP653" s="68"/>
      <c r="AQ653" s="68"/>
      <c r="AR653" s="68"/>
      <c r="AS653" s="68"/>
      <c r="AT653" s="68"/>
      <c r="AU653" s="68"/>
      <c r="AV653" s="68"/>
      <c r="AW653" s="68"/>
      <c r="AX653" s="68"/>
      <c r="AY653" s="68"/>
      <c r="AZ653" s="68"/>
      <c r="BA653" s="68"/>
      <c r="BB653" s="68"/>
      <c r="BC653" s="68"/>
      <c r="BD653" s="68"/>
      <c r="BE653" s="68"/>
      <c r="BF653" s="68"/>
      <c r="BG653" s="68"/>
      <c r="BH653" s="68"/>
      <c r="BI653" s="68"/>
      <c r="BJ653" s="68"/>
      <c r="BK653" s="68"/>
      <c r="BL653" s="68"/>
      <c r="BM653" s="68"/>
      <c r="BN653" s="68"/>
    </row>
    <row r="654" spans="1:66" ht="17">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68"/>
      <c r="AG654" s="68"/>
      <c r="AH654" s="68"/>
      <c r="AI654" s="68"/>
      <c r="AJ654" s="68"/>
      <c r="AK654" s="68"/>
      <c r="AL654" s="68"/>
      <c r="AM654" s="68"/>
      <c r="AN654" s="68"/>
      <c r="AO654" s="68"/>
      <c r="AP654" s="68"/>
      <c r="AQ654" s="68"/>
      <c r="AR654" s="68"/>
      <c r="AS654" s="68"/>
      <c r="AT654" s="68"/>
      <c r="AU654" s="68"/>
      <c r="AV654" s="68"/>
      <c r="AW654" s="68"/>
      <c r="AX654" s="68"/>
      <c r="AY654" s="68"/>
      <c r="AZ654" s="68"/>
      <c r="BA654" s="68"/>
      <c r="BB654" s="68"/>
      <c r="BC654" s="68"/>
      <c r="BD654" s="68"/>
      <c r="BE654" s="68"/>
      <c r="BF654" s="68"/>
      <c r="BG654" s="68"/>
      <c r="BH654" s="68"/>
      <c r="BI654" s="68"/>
      <c r="BJ654" s="68"/>
      <c r="BK654" s="68"/>
      <c r="BL654" s="68"/>
      <c r="BM654" s="68"/>
      <c r="BN654" s="68"/>
    </row>
    <row r="655" spans="1:66" ht="17">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68"/>
      <c r="AG655" s="68"/>
      <c r="AH655" s="68"/>
      <c r="AI655" s="68"/>
      <c r="AJ655" s="68"/>
      <c r="AK655" s="68"/>
      <c r="AL655" s="68"/>
      <c r="AM655" s="68"/>
      <c r="AN655" s="68"/>
      <c r="AO655" s="68"/>
      <c r="AP655" s="68"/>
      <c r="AQ655" s="68"/>
      <c r="AR655" s="68"/>
      <c r="AS655" s="68"/>
      <c r="AT655" s="68"/>
      <c r="AU655" s="68"/>
      <c r="AV655" s="68"/>
      <c r="AW655" s="68"/>
      <c r="AX655" s="68"/>
      <c r="AY655" s="68"/>
      <c r="AZ655" s="68"/>
      <c r="BA655" s="68"/>
      <c r="BB655" s="68"/>
      <c r="BC655" s="68"/>
      <c r="BD655" s="68"/>
      <c r="BE655" s="68"/>
      <c r="BF655" s="68"/>
      <c r="BG655" s="68"/>
      <c r="BH655" s="68"/>
      <c r="BI655" s="68"/>
      <c r="BJ655" s="68"/>
      <c r="BK655" s="68"/>
      <c r="BL655" s="68"/>
      <c r="BM655" s="68"/>
      <c r="BN655" s="68"/>
    </row>
    <row r="656" spans="1:66" ht="17">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68"/>
      <c r="AG656" s="68"/>
      <c r="AH656" s="68"/>
      <c r="AI656" s="68"/>
      <c r="AJ656" s="68"/>
      <c r="AK656" s="68"/>
      <c r="AL656" s="68"/>
      <c r="AM656" s="68"/>
      <c r="AN656" s="68"/>
      <c r="AO656" s="68"/>
      <c r="AP656" s="68"/>
      <c r="AQ656" s="68"/>
      <c r="AR656" s="68"/>
      <c r="AS656" s="68"/>
      <c r="AT656" s="68"/>
      <c r="AU656" s="68"/>
      <c r="AV656" s="68"/>
      <c r="AW656" s="68"/>
      <c r="AX656" s="68"/>
      <c r="AY656" s="68"/>
      <c r="AZ656" s="68"/>
      <c r="BA656" s="68"/>
      <c r="BB656" s="68"/>
      <c r="BC656" s="68"/>
      <c r="BD656" s="68"/>
      <c r="BE656" s="68"/>
      <c r="BF656" s="68"/>
      <c r="BG656" s="68"/>
      <c r="BH656" s="68"/>
      <c r="BI656" s="68"/>
      <c r="BJ656" s="68"/>
      <c r="BK656" s="68"/>
      <c r="BL656" s="68"/>
      <c r="BM656" s="68"/>
      <c r="BN656" s="68"/>
    </row>
    <row r="657" spans="1:66" ht="1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68"/>
      <c r="AG657" s="68"/>
      <c r="AH657" s="68"/>
      <c r="AI657" s="68"/>
      <c r="AJ657" s="68"/>
      <c r="AK657" s="68"/>
      <c r="AL657" s="68"/>
      <c r="AM657" s="68"/>
      <c r="AN657" s="68"/>
      <c r="AO657" s="68"/>
      <c r="AP657" s="68"/>
      <c r="AQ657" s="68"/>
      <c r="AR657" s="68"/>
      <c r="AS657" s="68"/>
      <c r="AT657" s="68"/>
      <c r="AU657" s="68"/>
      <c r="AV657" s="68"/>
      <c r="AW657" s="68"/>
      <c r="AX657" s="68"/>
      <c r="AY657" s="68"/>
      <c r="AZ657" s="68"/>
      <c r="BA657" s="68"/>
      <c r="BB657" s="68"/>
      <c r="BC657" s="68"/>
      <c r="BD657" s="68"/>
      <c r="BE657" s="68"/>
      <c r="BF657" s="68"/>
      <c r="BG657" s="68"/>
      <c r="BH657" s="68"/>
      <c r="BI657" s="68"/>
      <c r="BJ657" s="68"/>
      <c r="BK657" s="68"/>
      <c r="BL657" s="68"/>
      <c r="BM657" s="68"/>
      <c r="BN657" s="68"/>
    </row>
    <row r="658" spans="1:66" ht="17">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68"/>
      <c r="AG658" s="68"/>
      <c r="AH658" s="68"/>
      <c r="AI658" s="68"/>
      <c r="AJ658" s="68"/>
      <c r="AK658" s="68"/>
      <c r="AL658" s="68"/>
      <c r="AM658" s="68"/>
      <c r="AN658" s="68"/>
      <c r="AO658" s="68"/>
      <c r="AP658" s="68"/>
      <c r="AQ658" s="68"/>
      <c r="AR658" s="68"/>
      <c r="AS658" s="68"/>
      <c r="AT658" s="68"/>
      <c r="AU658" s="68"/>
      <c r="AV658" s="68"/>
      <c r="AW658" s="68"/>
      <c r="AX658" s="68"/>
      <c r="AY658" s="68"/>
      <c r="AZ658" s="68"/>
      <c r="BA658" s="68"/>
      <c r="BB658" s="68"/>
      <c r="BC658" s="68"/>
      <c r="BD658" s="68"/>
      <c r="BE658" s="68"/>
      <c r="BF658" s="68"/>
      <c r="BG658" s="68"/>
      <c r="BH658" s="68"/>
      <c r="BI658" s="68"/>
      <c r="BJ658" s="68"/>
      <c r="BK658" s="68"/>
      <c r="BL658" s="68"/>
      <c r="BM658" s="68"/>
      <c r="BN658" s="68"/>
    </row>
    <row r="659" spans="1:66" ht="17">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68"/>
      <c r="AG659" s="68"/>
      <c r="AH659" s="68"/>
      <c r="AI659" s="68"/>
      <c r="AJ659" s="68"/>
      <c r="AK659" s="68"/>
      <c r="AL659" s="68"/>
      <c r="AM659" s="68"/>
      <c r="AN659" s="68"/>
      <c r="AO659" s="68"/>
      <c r="AP659" s="68"/>
      <c r="AQ659" s="68"/>
      <c r="AR659" s="68"/>
      <c r="AS659" s="68"/>
      <c r="AT659" s="68"/>
      <c r="AU659" s="68"/>
      <c r="AV659" s="68"/>
      <c r="AW659" s="68"/>
      <c r="AX659" s="68"/>
      <c r="AY659" s="68"/>
      <c r="AZ659" s="68"/>
      <c r="BA659" s="68"/>
      <c r="BB659" s="68"/>
      <c r="BC659" s="68"/>
      <c r="BD659" s="68"/>
      <c r="BE659" s="68"/>
      <c r="BF659" s="68"/>
      <c r="BG659" s="68"/>
      <c r="BH659" s="68"/>
      <c r="BI659" s="68"/>
      <c r="BJ659" s="68"/>
      <c r="BK659" s="68"/>
      <c r="BL659" s="68"/>
      <c r="BM659" s="68"/>
      <c r="BN659" s="68"/>
    </row>
    <row r="660" spans="1:66" ht="17">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68"/>
      <c r="AG660" s="68"/>
      <c r="AH660" s="68"/>
      <c r="AI660" s="68"/>
      <c r="AJ660" s="68"/>
      <c r="AK660" s="68"/>
      <c r="AL660" s="68"/>
      <c r="AM660" s="68"/>
      <c r="AN660" s="68"/>
      <c r="AO660" s="68"/>
      <c r="AP660" s="68"/>
      <c r="AQ660" s="68"/>
      <c r="AR660" s="68"/>
      <c r="AS660" s="68"/>
      <c r="AT660" s="68"/>
      <c r="AU660" s="68"/>
      <c r="AV660" s="68"/>
      <c r="AW660" s="68"/>
      <c r="AX660" s="68"/>
      <c r="AY660" s="68"/>
      <c r="AZ660" s="68"/>
      <c r="BA660" s="68"/>
      <c r="BB660" s="68"/>
      <c r="BC660" s="68"/>
      <c r="BD660" s="68"/>
      <c r="BE660" s="68"/>
      <c r="BF660" s="68"/>
      <c r="BG660" s="68"/>
      <c r="BH660" s="68"/>
      <c r="BI660" s="68"/>
      <c r="BJ660" s="68"/>
      <c r="BK660" s="68"/>
      <c r="BL660" s="68"/>
      <c r="BM660" s="68"/>
      <c r="BN660" s="68"/>
    </row>
    <row r="661" spans="1:66" ht="17">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68"/>
      <c r="AG661" s="68"/>
      <c r="AH661" s="68"/>
      <c r="AI661" s="68"/>
      <c r="AJ661" s="68"/>
      <c r="AK661" s="68"/>
      <c r="AL661" s="68"/>
      <c r="AM661" s="68"/>
      <c r="AN661" s="68"/>
      <c r="AO661" s="68"/>
      <c r="AP661" s="68"/>
      <c r="AQ661" s="68"/>
      <c r="AR661" s="68"/>
      <c r="AS661" s="68"/>
      <c r="AT661" s="68"/>
      <c r="AU661" s="68"/>
      <c r="AV661" s="68"/>
      <c r="AW661" s="68"/>
      <c r="AX661" s="68"/>
      <c r="AY661" s="68"/>
      <c r="AZ661" s="68"/>
      <c r="BA661" s="68"/>
      <c r="BB661" s="68"/>
      <c r="BC661" s="68"/>
      <c r="BD661" s="68"/>
      <c r="BE661" s="68"/>
      <c r="BF661" s="68"/>
      <c r="BG661" s="68"/>
      <c r="BH661" s="68"/>
      <c r="BI661" s="68"/>
      <c r="BJ661" s="68"/>
      <c r="BK661" s="68"/>
      <c r="BL661" s="68"/>
      <c r="BM661" s="68"/>
      <c r="BN661" s="68"/>
    </row>
    <row r="662" spans="1:66" ht="17">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68"/>
      <c r="AG662" s="68"/>
      <c r="AH662" s="68"/>
      <c r="AI662" s="68"/>
      <c r="AJ662" s="68"/>
      <c r="AK662" s="68"/>
      <c r="AL662" s="68"/>
      <c r="AM662" s="68"/>
      <c r="AN662" s="68"/>
      <c r="AO662" s="68"/>
      <c r="AP662" s="68"/>
      <c r="AQ662" s="68"/>
      <c r="AR662" s="68"/>
      <c r="AS662" s="68"/>
      <c r="AT662" s="68"/>
      <c r="AU662" s="68"/>
      <c r="AV662" s="68"/>
      <c r="AW662" s="68"/>
      <c r="AX662" s="68"/>
      <c r="AY662" s="68"/>
      <c r="AZ662" s="68"/>
      <c r="BA662" s="68"/>
      <c r="BB662" s="68"/>
      <c r="BC662" s="68"/>
      <c r="BD662" s="68"/>
      <c r="BE662" s="68"/>
      <c r="BF662" s="68"/>
      <c r="BG662" s="68"/>
      <c r="BH662" s="68"/>
      <c r="BI662" s="68"/>
      <c r="BJ662" s="68"/>
      <c r="BK662" s="68"/>
      <c r="BL662" s="68"/>
      <c r="BM662" s="68"/>
      <c r="BN662" s="68"/>
    </row>
    <row r="663" spans="1:66" ht="17">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68"/>
      <c r="AG663" s="68"/>
      <c r="AH663" s="68"/>
      <c r="AI663" s="68"/>
      <c r="AJ663" s="68"/>
      <c r="AK663" s="68"/>
      <c r="AL663" s="68"/>
      <c r="AM663" s="68"/>
      <c r="AN663" s="68"/>
      <c r="AO663" s="68"/>
      <c r="AP663" s="68"/>
      <c r="AQ663" s="68"/>
      <c r="AR663" s="68"/>
      <c r="AS663" s="68"/>
      <c r="AT663" s="68"/>
      <c r="AU663" s="68"/>
      <c r="AV663" s="68"/>
      <c r="AW663" s="68"/>
      <c r="AX663" s="68"/>
      <c r="AY663" s="68"/>
      <c r="AZ663" s="68"/>
      <c r="BA663" s="68"/>
      <c r="BB663" s="68"/>
      <c r="BC663" s="68"/>
      <c r="BD663" s="68"/>
      <c r="BE663" s="68"/>
      <c r="BF663" s="68"/>
      <c r="BG663" s="68"/>
      <c r="BH663" s="68"/>
      <c r="BI663" s="68"/>
      <c r="BJ663" s="68"/>
      <c r="BK663" s="68"/>
      <c r="BL663" s="68"/>
      <c r="BM663" s="68"/>
      <c r="BN663" s="68"/>
    </row>
    <row r="664" spans="1:66" ht="17">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c r="AG664" s="68"/>
      <c r="AH664" s="68"/>
      <c r="AI664" s="68"/>
      <c r="AJ664" s="68"/>
      <c r="AK664" s="68"/>
      <c r="AL664" s="68"/>
      <c r="AM664" s="68"/>
      <c r="AN664" s="68"/>
      <c r="AO664" s="68"/>
      <c r="AP664" s="68"/>
      <c r="AQ664" s="68"/>
      <c r="AR664" s="68"/>
      <c r="AS664" s="68"/>
      <c r="AT664" s="68"/>
      <c r="AU664" s="68"/>
      <c r="AV664" s="68"/>
      <c r="AW664" s="68"/>
      <c r="AX664" s="68"/>
      <c r="AY664" s="68"/>
      <c r="AZ664" s="68"/>
      <c r="BA664" s="68"/>
      <c r="BB664" s="68"/>
      <c r="BC664" s="68"/>
      <c r="BD664" s="68"/>
      <c r="BE664" s="68"/>
      <c r="BF664" s="68"/>
      <c r="BG664" s="68"/>
      <c r="BH664" s="68"/>
      <c r="BI664" s="68"/>
      <c r="BJ664" s="68"/>
      <c r="BK664" s="68"/>
      <c r="BL664" s="68"/>
      <c r="BM664" s="68"/>
      <c r="BN664" s="68"/>
    </row>
    <row r="665" spans="1:66" ht="17">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c r="AG665" s="68"/>
      <c r="AH665" s="68"/>
      <c r="AI665" s="68"/>
      <c r="AJ665" s="68"/>
      <c r="AK665" s="68"/>
      <c r="AL665" s="68"/>
      <c r="AM665" s="68"/>
      <c r="AN665" s="68"/>
      <c r="AO665" s="68"/>
      <c r="AP665" s="68"/>
      <c r="AQ665" s="68"/>
      <c r="AR665" s="68"/>
      <c r="AS665" s="68"/>
      <c r="AT665" s="68"/>
      <c r="AU665" s="68"/>
      <c r="AV665" s="68"/>
      <c r="AW665" s="68"/>
      <c r="AX665" s="68"/>
      <c r="AY665" s="68"/>
      <c r="AZ665" s="68"/>
      <c r="BA665" s="68"/>
      <c r="BB665" s="68"/>
      <c r="BC665" s="68"/>
      <c r="BD665" s="68"/>
      <c r="BE665" s="68"/>
      <c r="BF665" s="68"/>
      <c r="BG665" s="68"/>
      <c r="BH665" s="68"/>
      <c r="BI665" s="68"/>
      <c r="BJ665" s="68"/>
      <c r="BK665" s="68"/>
      <c r="BL665" s="68"/>
      <c r="BM665" s="68"/>
      <c r="BN665" s="68"/>
    </row>
    <row r="666" spans="1:66" ht="17">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68"/>
      <c r="AG666" s="68"/>
      <c r="AH666" s="68"/>
      <c r="AI666" s="68"/>
      <c r="AJ666" s="68"/>
      <c r="AK666" s="68"/>
      <c r="AL666" s="68"/>
      <c r="AM666" s="68"/>
      <c r="AN666" s="68"/>
      <c r="AO666" s="68"/>
      <c r="AP666" s="68"/>
      <c r="AQ666" s="68"/>
      <c r="AR666" s="68"/>
      <c r="AS666" s="68"/>
      <c r="AT666" s="68"/>
      <c r="AU666" s="68"/>
      <c r="AV666" s="68"/>
      <c r="AW666" s="68"/>
      <c r="AX666" s="68"/>
      <c r="AY666" s="68"/>
      <c r="AZ666" s="68"/>
      <c r="BA666" s="68"/>
      <c r="BB666" s="68"/>
      <c r="BC666" s="68"/>
      <c r="BD666" s="68"/>
      <c r="BE666" s="68"/>
      <c r="BF666" s="68"/>
      <c r="BG666" s="68"/>
      <c r="BH666" s="68"/>
      <c r="BI666" s="68"/>
      <c r="BJ666" s="68"/>
      <c r="BK666" s="68"/>
      <c r="BL666" s="68"/>
      <c r="BM666" s="68"/>
      <c r="BN666" s="68"/>
    </row>
    <row r="667" spans="1:66" ht="1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68"/>
      <c r="AG667" s="68"/>
      <c r="AH667" s="68"/>
      <c r="AI667" s="68"/>
      <c r="AJ667" s="68"/>
      <c r="AK667" s="68"/>
      <c r="AL667" s="68"/>
      <c r="AM667" s="68"/>
      <c r="AN667" s="68"/>
      <c r="AO667" s="68"/>
      <c r="AP667" s="68"/>
      <c r="AQ667" s="68"/>
      <c r="AR667" s="68"/>
      <c r="AS667" s="68"/>
      <c r="AT667" s="68"/>
      <c r="AU667" s="68"/>
      <c r="AV667" s="68"/>
      <c r="AW667" s="68"/>
      <c r="AX667" s="68"/>
      <c r="AY667" s="68"/>
      <c r="AZ667" s="68"/>
      <c r="BA667" s="68"/>
      <c r="BB667" s="68"/>
      <c r="BC667" s="68"/>
      <c r="BD667" s="68"/>
      <c r="BE667" s="68"/>
      <c r="BF667" s="68"/>
      <c r="BG667" s="68"/>
      <c r="BH667" s="68"/>
      <c r="BI667" s="68"/>
      <c r="BJ667" s="68"/>
      <c r="BK667" s="68"/>
      <c r="BL667" s="68"/>
      <c r="BM667" s="68"/>
      <c r="BN667" s="68"/>
    </row>
    <row r="668" spans="1:66" ht="17">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68"/>
      <c r="AG668" s="68"/>
      <c r="AH668" s="68"/>
      <c r="AI668" s="68"/>
      <c r="AJ668" s="68"/>
      <c r="AK668" s="68"/>
      <c r="AL668" s="68"/>
      <c r="AM668" s="68"/>
      <c r="AN668" s="68"/>
      <c r="AO668" s="68"/>
      <c r="AP668" s="68"/>
      <c r="AQ668" s="68"/>
      <c r="AR668" s="68"/>
      <c r="AS668" s="68"/>
      <c r="AT668" s="68"/>
      <c r="AU668" s="68"/>
      <c r="AV668" s="68"/>
      <c r="AW668" s="68"/>
      <c r="AX668" s="68"/>
      <c r="AY668" s="68"/>
      <c r="AZ668" s="68"/>
      <c r="BA668" s="68"/>
      <c r="BB668" s="68"/>
      <c r="BC668" s="68"/>
      <c r="BD668" s="68"/>
      <c r="BE668" s="68"/>
      <c r="BF668" s="68"/>
      <c r="BG668" s="68"/>
      <c r="BH668" s="68"/>
      <c r="BI668" s="68"/>
      <c r="BJ668" s="68"/>
      <c r="BK668" s="68"/>
      <c r="BL668" s="68"/>
      <c r="BM668" s="68"/>
      <c r="BN668" s="68"/>
    </row>
    <row r="669" spans="1:66" ht="17">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68"/>
      <c r="AG669" s="68"/>
      <c r="AH669" s="68"/>
      <c r="AI669" s="68"/>
      <c r="AJ669" s="68"/>
      <c r="AK669" s="68"/>
      <c r="AL669" s="68"/>
      <c r="AM669" s="68"/>
      <c r="AN669" s="68"/>
      <c r="AO669" s="68"/>
      <c r="AP669" s="68"/>
      <c r="AQ669" s="68"/>
      <c r="AR669" s="68"/>
      <c r="AS669" s="68"/>
      <c r="AT669" s="68"/>
      <c r="AU669" s="68"/>
      <c r="AV669" s="68"/>
      <c r="AW669" s="68"/>
      <c r="AX669" s="68"/>
      <c r="AY669" s="68"/>
      <c r="AZ669" s="68"/>
      <c r="BA669" s="68"/>
      <c r="BB669" s="68"/>
      <c r="BC669" s="68"/>
      <c r="BD669" s="68"/>
      <c r="BE669" s="68"/>
      <c r="BF669" s="68"/>
      <c r="BG669" s="68"/>
      <c r="BH669" s="68"/>
      <c r="BI669" s="68"/>
      <c r="BJ669" s="68"/>
      <c r="BK669" s="68"/>
      <c r="BL669" s="68"/>
      <c r="BM669" s="68"/>
      <c r="BN669" s="68"/>
    </row>
    <row r="670" spans="1:66" ht="17">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68"/>
      <c r="AG670" s="68"/>
      <c r="AH670" s="68"/>
      <c r="AI670" s="68"/>
      <c r="AJ670" s="68"/>
      <c r="AK670" s="68"/>
      <c r="AL670" s="68"/>
      <c r="AM670" s="68"/>
      <c r="AN670" s="68"/>
      <c r="AO670" s="68"/>
      <c r="AP670" s="68"/>
      <c r="AQ670" s="68"/>
      <c r="AR670" s="68"/>
      <c r="AS670" s="68"/>
      <c r="AT670" s="68"/>
      <c r="AU670" s="68"/>
      <c r="AV670" s="68"/>
      <c r="AW670" s="68"/>
      <c r="AX670" s="68"/>
      <c r="AY670" s="68"/>
      <c r="AZ670" s="68"/>
      <c r="BA670" s="68"/>
      <c r="BB670" s="68"/>
      <c r="BC670" s="68"/>
      <c r="BD670" s="68"/>
      <c r="BE670" s="68"/>
      <c r="BF670" s="68"/>
      <c r="BG670" s="68"/>
      <c r="BH670" s="68"/>
      <c r="BI670" s="68"/>
      <c r="BJ670" s="68"/>
      <c r="BK670" s="68"/>
      <c r="BL670" s="68"/>
      <c r="BM670" s="68"/>
      <c r="BN670" s="68"/>
    </row>
    <row r="671" spans="1:66" ht="17">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68"/>
      <c r="AG671" s="68"/>
      <c r="AH671" s="68"/>
      <c r="AI671" s="68"/>
      <c r="AJ671" s="68"/>
      <c r="AK671" s="68"/>
      <c r="AL671" s="68"/>
      <c r="AM671" s="68"/>
      <c r="AN671" s="68"/>
      <c r="AO671" s="68"/>
      <c r="AP671" s="68"/>
      <c r="AQ671" s="68"/>
      <c r="AR671" s="68"/>
      <c r="AS671" s="68"/>
      <c r="AT671" s="68"/>
      <c r="AU671" s="68"/>
      <c r="AV671" s="68"/>
      <c r="AW671" s="68"/>
      <c r="AX671" s="68"/>
      <c r="AY671" s="68"/>
      <c r="AZ671" s="68"/>
      <c r="BA671" s="68"/>
      <c r="BB671" s="68"/>
      <c r="BC671" s="68"/>
      <c r="BD671" s="68"/>
      <c r="BE671" s="68"/>
      <c r="BF671" s="68"/>
      <c r="BG671" s="68"/>
      <c r="BH671" s="68"/>
      <c r="BI671" s="68"/>
      <c r="BJ671" s="68"/>
      <c r="BK671" s="68"/>
      <c r="BL671" s="68"/>
      <c r="BM671" s="68"/>
      <c r="BN671" s="68"/>
    </row>
    <row r="672" spans="1:66" ht="17">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68"/>
      <c r="AG672" s="68"/>
      <c r="AH672" s="68"/>
      <c r="AI672" s="68"/>
      <c r="AJ672" s="68"/>
      <c r="AK672" s="68"/>
      <c r="AL672" s="68"/>
      <c r="AM672" s="68"/>
      <c r="AN672" s="68"/>
      <c r="AO672" s="68"/>
      <c r="AP672" s="68"/>
      <c r="AQ672" s="68"/>
      <c r="AR672" s="68"/>
      <c r="AS672" s="68"/>
      <c r="AT672" s="68"/>
      <c r="AU672" s="68"/>
      <c r="AV672" s="68"/>
      <c r="AW672" s="68"/>
      <c r="AX672" s="68"/>
      <c r="AY672" s="68"/>
      <c r="AZ672" s="68"/>
      <c r="BA672" s="68"/>
      <c r="BB672" s="68"/>
      <c r="BC672" s="68"/>
      <c r="BD672" s="68"/>
      <c r="BE672" s="68"/>
      <c r="BF672" s="68"/>
      <c r="BG672" s="68"/>
      <c r="BH672" s="68"/>
      <c r="BI672" s="68"/>
      <c r="BJ672" s="68"/>
      <c r="BK672" s="68"/>
      <c r="BL672" s="68"/>
      <c r="BM672" s="68"/>
      <c r="BN672" s="68"/>
    </row>
    <row r="673" spans="1:66" ht="17">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68"/>
      <c r="AG673" s="68"/>
      <c r="AH673" s="68"/>
      <c r="AI673" s="68"/>
      <c r="AJ673" s="68"/>
      <c r="AK673" s="68"/>
      <c r="AL673" s="68"/>
      <c r="AM673" s="68"/>
      <c r="AN673" s="68"/>
      <c r="AO673" s="68"/>
      <c r="AP673" s="68"/>
      <c r="AQ673" s="68"/>
      <c r="AR673" s="68"/>
      <c r="AS673" s="68"/>
      <c r="AT673" s="68"/>
      <c r="AU673" s="68"/>
      <c r="AV673" s="68"/>
      <c r="AW673" s="68"/>
      <c r="AX673" s="68"/>
      <c r="AY673" s="68"/>
      <c r="AZ673" s="68"/>
      <c r="BA673" s="68"/>
      <c r="BB673" s="68"/>
      <c r="BC673" s="68"/>
      <c r="BD673" s="68"/>
      <c r="BE673" s="68"/>
      <c r="BF673" s="68"/>
      <c r="BG673" s="68"/>
      <c r="BH673" s="68"/>
      <c r="BI673" s="68"/>
      <c r="BJ673" s="68"/>
      <c r="BK673" s="68"/>
      <c r="BL673" s="68"/>
      <c r="BM673" s="68"/>
      <c r="BN673" s="68"/>
    </row>
    <row r="674" spans="1:66" ht="17">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68"/>
      <c r="AG674" s="68"/>
      <c r="AH674" s="68"/>
      <c r="AI674" s="68"/>
      <c r="AJ674" s="68"/>
      <c r="AK674" s="68"/>
      <c r="AL674" s="68"/>
      <c r="AM674" s="68"/>
      <c r="AN674" s="68"/>
      <c r="AO674" s="68"/>
      <c r="AP674" s="68"/>
      <c r="AQ674" s="68"/>
      <c r="AR674" s="68"/>
      <c r="AS674" s="68"/>
      <c r="AT674" s="68"/>
      <c r="AU674" s="68"/>
      <c r="AV674" s="68"/>
      <c r="AW674" s="68"/>
      <c r="AX674" s="68"/>
      <c r="AY674" s="68"/>
      <c r="AZ674" s="68"/>
      <c r="BA674" s="68"/>
      <c r="BB674" s="68"/>
      <c r="BC674" s="68"/>
      <c r="BD674" s="68"/>
      <c r="BE674" s="68"/>
      <c r="BF674" s="68"/>
      <c r="BG674" s="68"/>
      <c r="BH674" s="68"/>
      <c r="BI674" s="68"/>
      <c r="BJ674" s="68"/>
      <c r="BK674" s="68"/>
      <c r="BL674" s="68"/>
      <c r="BM674" s="68"/>
      <c r="BN674" s="68"/>
    </row>
    <row r="675" spans="1:66" ht="17">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68"/>
      <c r="AG675" s="68"/>
      <c r="AH675" s="68"/>
      <c r="AI675" s="68"/>
      <c r="AJ675" s="68"/>
      <c r="AK675" s="68"/>
      <c r="AL675" s="68"/>
      <c r="AM675" s="68"/>
      <c r="AN675" s="68"/>
      <c r="AO675" s="68"/>
      <c r="AP675" s="68"/>
      <c r="AQ675" s="68"/>
      <c r="AR675" s="68"/>
      <c r="AS675" s="68"/>
      <c r="AT675" s="68"/>
      <c r="AU675" s="68"/>
      <c r="AV675" s="68"/>
      <c r="AW675" s="68"/>
      <c r="AX675" s="68"/>
      <c r="AY675" s="68"/>
      <c r="AZ675" s="68"/>
      <c r="BA675" s="68"/>
      <c r="BB675" s="68"/>
      <c r="BC675" s="68"/>
      <c r="BD675" s="68"/>
      <c r="BE675" s="68"/>
      <c r="BF675" s="68"/>
      <c r="BG675" s="68"/>
      <c r="BH675" s="68"/>
      <c r="BI675" s="68"/>
      <c r="BJ675" s="68"/>
      <c r="BK675" s="68"/>
      <c r="BL675" s="68"/>
      <c r="BM675" s="68"/>
      <c r="BN675" s="68"/>
    </row>
    <row r="676" spans="1:66" ht="17">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68"/>
      <c r="AG676" s="68"/>
      <c r="AH676" s="68"/>
      <c r="AI676" s="68"/>
      <c r="AJ676" s="68"/>
      <c r="AK676" s="68"/>
      <c r="AL676" s="68"/>
      <c r="AM676" s="68"/>
      <c r="AN676" s="68"/>
      <c r="AO676" s="68"/>
      <c r="AP676" s="68"/>
      <c r="AQ676" s="68"/>
      <c r="AR676" s="68"/>
      <c r="AS676" s="68"/>
      <c r="AT676" s="68"/>
      <c r="AU676" s="68"/>
      <c r="AV676" s="68"/>
      <c r="AW676" s="68"/>
      <c r="AX676" s="68"/>
      <c r="AY676" s="68"/>
      <c r="AZ676" s="68"/>
      <c r="BA676" s="68"/>
      <c r="BB676" s="68"/>
      <c r="BC676" s="68"/>
      <c r="BD676" s="68"/>
      <c r="BE676" s="68"/>
      <c r="BF676" s="68"/>
      <c r="BG676" s="68"/>
      <c r="BH676" s="68"/>
      <c r="BI676" s="68"/>
      <c r="BJ676" s="68"/>
      <c r="BK676" s="68"/>
      <c r="BL676" s="68"/>
      <c r="BM676" s="68"/>
      <c r="BN676" s="68"/>
    </row>
    <row r="677" spans="1:66" ht="1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68"/>
      <c r="AG677" s="68"/>
      <c r="AH677" s="68"/>
      <c r="AI677" s="68"/>
      <c r="AJ677" s="68"/>
      <c r="AK677" s="68"/>
      <c r="AL677" s="68"/>
      <c r="AM677" s="68"/>
      <c r="AN677" s="68"/>
      <c r="AO677" s="68"/>
      <c r="AP677" s="68"/>
      <c r="AQ677" s="68"/>
      <c r="AR677" s="68"/>
      <c r="AS677" s="68"/>
      <c r="AT677" s="68"/>
      <c r="AU677" s="68"/>
      <c r="AV677" s="68"/>
      <c r="AW677" s="68"/>
      <c r="AX677" s="68"/>
      <c r="AY677" s="68"/>
      <c r="AZ677" s="68"/>
      <c r="BA677" s="68"/>
      <c r="BB677" s="68"/>
      <c r="BC677" s="68"/>
      <c r="BD677" s="68"/>
      <c r="BE677" s="68"/>
      <c r="BF677" s="68"/>
      <c r="BG677" s="68"/>
      <c r="BH677" s="68"/>
      <c r="BI677" s="68"/>
      <c r="BJ677" s="68"/>
      <c r="BK677" s="68"/>
      <c r="BL677" s="68"/>
      <c r="BM677" s="68"/>
      <c r="BN677" s="68"/>
    </row>
    <row r="678" spans="1:66" ht="17">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68"/>
      <c r="AG678" s="68"/>
      <c r="AH678" s="68"/>
      <c r="AI678" s="68"/>
      <c r="AJ678" s="68"/>
      <c r="AK678" s="68"/>
      <c r="AL678" s="68"/>
      <c r="AM678" s="68"/>
      <c r="AN678" s="68"/>
      <c r="AO678" s="68"/>
      <c r="AP678" s="68"/>
      <c r="AQ678" s="68"/>
      <c r="AR678" s="68"/>
      <c r="AS678" s="68"/>
      <c r="AT678" s="68"/>
      <c r="AU678" s="68"/>
      <c r="AV678" s="68"/>
      <c r="AW678" s="68"/>
      <c r="AX678" s="68"/>
      <c r="AY678" s="68"/>
      <c r="AZ678" s="68"/>
      <c r="BA678" s="68"/>
      <c r="BB678" s="68"/>
      <c r="BC678" s="68"/>
      <c r="BD678" s="68"/>
      <c r="BE678" s="68"/>
      <c r="BF678" s="68"/>
      <c r="BG678" s="68"/>
      <c r="BH678" s="68"/>
      <c r="BI678" s="68"/>
      <c r="BJ678" s="68"/>
      <c r="BK678" s="68"/>
      <c r="BL678" s="68"/>
      <c r="BM678" s="68"/>
      <c r="BN678" s="68"/>
    </row>
    <row r="679" spans="1:66" ht="17">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68"/>
      <c r="AG679" s="68"/>
      <c r="AH679" s="68"/>
      <c r="AI679" s="68"/>
      <c r="AJ679" s="68"/>
      <c r="AK679" s="68"/>
      <c r="AL679" s="68"/>
      <c r="AM679" s="68"/>
      <c r="AN679" s="68"/>
      <c r="AO679" s="68"/>
      <c r="AP679" s="68"/>
      <c r="AQ679" s="68"/>
      <c r="AR679" s="68"/>
      <c r="AS679" s="68"/>
      <c r="AT679" s="68"/>
      <c r="AU679" s="68"/>
      <c r="AV679" s="68"/>
      <c r="AW679" s="68"/>
      <c r="AX679" s="68"/>
      <c r="AY679" s="68"/>
      <c r="AZ679" s="68"/>
      <c r="BA679" s="68"/>
      <c r="BB679" s="68"/>
      <c r="BC679" s="68"/>
      <c r="BD679" s="68"/>
      <c r="BE679" s="68"/>
      <c r="BF679" s="68"/>
      <c r="BG679" s="68"/>
      <c r="BH679" s="68"/>
      <c r="BI679" s="68"/>
      <c r="BJ679" s="68"/>
      <c r="BK679" s="68"/>
      <c r="BL679" s="68"/>
      <c r="BM679" s="68"/>
      <c r="BN679" s="68"/>
    </row>
    <row r="680" spans="1:66" ht="17">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68"/>
      <c r="AG680" s="68"/>
      <c r="AH680" s="68"/>
      <c r="AI680" s="68"/>
      <c r="AJ680" s="68"/>
      <c r="AK680" s="68"/>
      <c r="AL680" s="68"/>
      <c r="AM680" s="68"/>
      <c r="AN680" s="68"/>
      <c r="AO680" s="68"/>
      <c r="AP680" s="68"/>
      <c r="AQ680" s="68"/>
      <c r="AR680" s="68"/>
      <c r="AS680" s="68"/>
      <c r="AT680" s="68"/>
      <c r="AU680" s="68"/>
      <c r="AV680" s="68"/>
      <c r="AW680" s="68"/>
      <c r="AX680" s="68"/>
      <c r="AY680" s="68"/>
      <c r="AZ680" s="68"/>
      <c r="BA680" s="68"/>
      <c r="BB680" s="68"/>
      <c r="BC680" s="68"/>
      <c r="BD680" s="68"/>
      <c r="BE680" s="68"/>
      <c r="BF680" s="68"/>
      <c r="BG680" s="68"/>
      <c r="BH680" s="68"/>
      <c r="BI680" s="68"/>
      <c r="BJ680" s="68"/>
      <c r="BK680" s="68"/>
      <c r="BL680" s="68"/>
      <c r="BM680" s="68"/>
      <c r="BN680" s="68"/>
    </row>
    <row r="681" spans="1:66" ht="17">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68"/>
      <c r="AG681" s="68"/>
      <c r="AH681" s="68"/>
      <c r="AI681" s="68"/>
      <c r="AJ681" s="68"/>
      <c r="AK681" s="68"/>
      <c r="AL681" s="68"/>
      <c r="AM681" s="68"/>
      <c r="AN681" s="68"/>
      <c r="AO681" s="68"/>
      <c r="AP681" s="68"/>
      <c r="AQ681" s="68"/>
      <c r="AR681" s="68"/>
      <c r="AS681" s="68"/>
      <c r="AT681" s="68"/>
      <c r="AU681" s="68"/>
      <c r="AV681" s="68"/>
      <c r="AW681" s="68"/>
      <c r="AX681" s="68"/>
      <c r="AY681" s="68"/>
      <c r="AZ681" s="68"/>
      <c r="BA681" s="68"/>
      <c r="BB681" s="68"/>
      <c r="BC681" s="68"/>
      <c r="BD681" s="68"/>
      <c r="BE681" s="68"/>
      <c r="BF681" s="68"/>
      <c r="BG681" s="68"/>
      <c r="BH681" s="68"/>
      <c r="BI681" s="68"/>
      <c r="BJ681" s="68"/>
      <c r="BK681" s="68"/>
      <c r="BL681" s="68"/>
      <c r="BM681" s="68"/>
      <c r="BN681" s="68"/>
    </row>
    <row r="682" spans="1:66" ht="17">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68"/>
      <c r="AG682" s="68"/>
      <c r="AH682" s="68"/>
      <c r="AI682" s="68"/>
      <c r="AJ682" s="68"/>
      <c r="AK682" s="68"/>
      <c r="AL682" s="68"/>
      <c r="AM682" s="68"/>
      <c r="AN682" s="68"/>
      <c r="AO682" s="68"/>
      <c r="AP682" s="68"/>
      <c r="AQ682" s="68"/>
      <c r="AR682" s="68"/>
      <c r="AS682" s="68"/>
      <c r="AT682" s="68"/>
      <c r="AU682" s="68"/>
      <c r="AV682" s="68"/>
      <c r="AW682" s="68"/>
      <c r="AX682" s="68"/>
      <c r="AY682" s="68"/>
      <c r="AZ682" s="68"/>
      <c r="BA682" s="68"/>
      <c r="BB682" s="68"/>
      <c r="BC682" s="68"/>
      <c r="BD682" s="68"/>
      <c r="BE682" s="68"/>
      <c r="BF682" s="68"/>
      <c r="BG682" s="68"/>
      <c r="BH682" s="68"/>
      <c r="BI682" s="68"/>
      <c r="BJ682" s="68"/>
      <c r="BK682" s="68"/>
      <c r="BL682" s="68"/>
      <c r="BM682" s="68"/>
      <c r="BN682" s="68"/>
    </row>
    <row r="683" spans="1:66" ht="17">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68"/>
      <c r="AG683" s="68"/>
      <c r="AH683" s="68"/>
      <c r="AI683" s="68"/>
      <c r="AJ683" s="68"/>
      <c r="AK683" s="68"/>
      <c r="AL683" s="68"/>
      <c r="AM683" s="68"/>
      <c r="AN683" s="68"/>
      <c r="AO683" s="68"/>
      <c r="AP683" s="68"/>
      <c r="AQ683" s="68"/>
      <c r="AR683" s="68"/>
      <c r="AS683" s="68"/>
      <c r="AT683" s="68"/>
      <c r="AU683" s="68"/>
      <c r="AV683" s="68"/>
      <c r="AW683" s="68"/>
      <c r="AX683" s="68"/>
      <c r="AY683" s="68"/>
      <c r="AZ683" s="68"/>
      <c r="BA683" s="68"/>
      <c r="BB683" s="68"/>
      <c r="BC683" s="68"/>
      <c r="BD683" s="68"/>
      <c r="BE683" s="68"/>
      <c r="BF683" s="68"/>
      <c r="BG683" s="68"/>
      <c r="BH683" s="68"/>
      <c r="BI683" s="68"/>
      <c r="BJ683" s="68"/>
      <c r="BK683" s="68"/>
      <c r="BL683" s="68"/>
      <c r="BM683" s="68"/>
      <c r="BN683" s="68"/>
    </row>
    <row r="684" spans="1:66" ht="17">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68"/>
      <c r="AG684" s="68"/>
      <c r="AH684" s="68"/>
      <c r="AI684" s="68"/>
      <c r="AJ684" s="68"/>
      <c r="AK684" s="68"/>
      <c r="AL684" s="68"/>
      <c r="AM684" s="68"/>
      <c r="AN684" s="68"/>
      <c r="AO684" s="68"/>
      <c r="AP684" s="68"/>
      <c r="AQ684" s="68"/>
      <c r="AR684" s="68"/>
      <c r="AS684" s="68"/>
      <c r="AT684" s="68"/>
      <c r="AU684" s="68"/>
      <c r="AV684" s="68"/>
      <c r="AW684" s="68"/>
      <c r="AX684" s="68"/>
      <c r="AY684" s="68"/>
      <c r="AZ684" s="68"/>
      <c r="BA684" s="68"/>
      <c r="BB684" s="68"/>
      <c r="BC684" s="68"/>
      <c r="BD684" s="68"/>
      <c r="BE684" s="68"/>
      <c r="BF684" s="68"/>
      <c r="BG684" s="68"/>
      <c r="BH684" s="68"/>
      <c r="BI684" s="68"/>
      <c r="BJ684" s="68"/>
      <c r="BK684" s="68"/>
      <c r="BL684" s="68"/>
      <c r="BM684" s="68"/>
      <c r="BN684" s="68"/>
    </row>
    <row r="685" spans="1:66" ht="17">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68"/>
      <c r="AG685" s="68"/>
      <c r="AH685" s="68"/>
      <c r="AI685" s="68"/>
      <c r="AJ685" s="68"/>
      <c r="AK685" s="68"/>
      <c r="AL685" s="68"/>
      <c r="AM685" s="68"/>
      <c r="AN685" s="68"/>
      <c r="AO685" s="68"/>
      <c r="AP685" s="68"/>
      <c r="AQ685" s="68"/>
      <c r="AR685" s="68"/>
      <c r="AS685" s="68"/>
      <c r="AT685" s="68"/>
      <c r="AU685" s="68"/>
      <c r="AV685" s="68"/>
      <c r="AW685" s="68"/>
      <c r="AX685" s="68"/>
      <c r="AY685" s="68"/>
      <c r="AZ685" s="68"/>
      <c r="BA685" s="68"/>
      <c r="BB685" s="68"/>
      <c r="BC685" s="68"/>
      <c r="BD685" s="68"/>
      <c r="BE685" s="68"/>
      <c r="BF685" s="68"/>
      <c r="BG685" s="68"/>
      <c r="BH685" s="68"/>
      <c r="BI685" s="68"/>
      <c r="BJ685" s="68"/>
      <c r="BK685" s="68"/>
      <c r="BL685" s="68"/>
      <c r="BM685" s="68"/>
      <c r="BN685" s="68"/>
    </row>
    <row r="686" spans="1:66" ht="17">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68"/>
      <c r="AG686" s="68"/>
      <c r="AH686" s="68"/>
      <c r="AI686" s="68"/>
      <c r="AJ686" s="68"/>
      <c r="AK686" s="68"/>
      <c r="AL686" s="68"/>
      <c r="AM686" s="68"/>
      <c r="AN686" s="68"/>
      <c r="AO686" s="68"/>
      <c r="AP686" s="68"/>
      <c r="AQ686" s="68"/>
      <c r="AR686" s="68"/>
      <c r="AS686" s="68"/>
      <c r="AT686" s="68"/>
      <c r="AU686" s="68"/>
      <c r="AV686" s="68"/>
      <c r="AW686" s="68"/>
      <c r="AX686" s="68"/>
      <c r="AY686" s="68"/>
      <c r="AZ686" s="68"/>
      <c r="BA686" s="68"/>
      <c r="BB686" s="68"/>
      <c r="BC686" s="68"/>
      <c r="BD686" s="68"/>
      <c r="BE686" s="68"/>
      <c r="BF686" s="68"/>
      <c r="BG686" s="68"/>
      <c r="BH686" s="68"/>
      <c r="BI686" s="68"/>
      <c r="BJ686" s="68"/>
      <c r="BK686" s="68"/>
      <c r="BL686" s="68"/>
      <c r="BM686" s="68"/>
      <c r="BN686" s="68"/>
    </row>
    <row r="687" spans="1:66" ht="1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68"/>
      <c r="AG687" s="68"/>
      <c r="AH687" s="68"/>
      <c r="AI687" s="68"/>
      <c r="AJ687" s="68"/>
      <c r="AK687" s="68"/>
      <c r="AL687" s="68"/>
      <c r="AM687" s="68"/>
      <c r="AN687" s="68"/>
      <c r="AO687" s="68"/>
      <c r="AP687" s="68"/>
      <c r="AQ687" s="68"/>
      <c r="AR687" s="68"/>
      <c r="AS687" s="68"/>
      <c r="AT687" s="68"/>
      <c r="AU687" s="68"/>
      <c r="AV687" s="68"/>
      <c r="AW687" s="68"/>
      <c r="AX687" s="68"/>
      <c r="AY687" s="68"/>
      <c r="AZ687" s="68"/>
      <c r="BA687" s="68"/>
      <c r="BB687" s="68"/>
      <c r="BC687" s="68"/>
      <c r="BD687" s="68"/>
      <c r="BE687" s="68"/>
      <c r="BF687" s="68"/>
      <c r="BG687" s="68"/>
      <c r="BH687" s="68"/>
      <c r="BI687" s="68"/>
      <c r="BJ687" s="68"/>
      <c r="BK687" s="68"/>
      <c r="BL687" s="68"/>
      <c r="BM687" s="68"/>
      <c r="BN687" s="68"/>
    </row>
    <row r="688" spans="1:66" ht="17">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68"/>
      <c r="AG688" s="68"/>
      <c r="AH688" s="68"/>
      <c r="AI688" s="68"/>
      <c r="AJ688" s="68"/>
      <c r="AK688" s="68"/>
      <c r="AL688" s="68"/>
      <c r="AM688" s="68"/>
      <c r="AN688" s="68"/>
      <c r="AO688" s="68"/>
      <c r="AP688" s="68"/>
      <c r="AQ688" s="68"/>
      <c r="AR688" s="68"/>
      <c r="AS688" s="68"/>
      <c r="AT688" s="68"/>
      <c r="AU688" s="68"/>
      <c r="AV688" s="68"/>
      <c r="AW688" s="68"/>
      <c r="AX688" s="68"/>
      <c r="AY688" s="68"/>
      <c r="AZ688" s="68"/>
      <c r="BA688" s="68"/>
      <c r="BB688" s="68"/>
      <c r="BC688" s="68"/>
      <c r="BD688" s="68"/>
      <c r="BE688" s="68"/>
      <c r="BF688" s="68"/>
      <c r="BG688" s="68"/>
      <c r="BH688" s="68"/>
      <c r="BI688" s="68"/>
      <c r="BJ688" s="68"/>
      <c r="BK688" s="68"/>
      <c r="BL688" s="68"/>
      <c r="BM688" s="68"/>
      <c r="BN688" s="68"/>
    </row>
    <row r="689" spans="1:66" ht="17">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68"/>
      <c r="AG689" s="68"/>
      <c r="AH689" s="68"/>
      <c r="AI689" s="68"/>
      <c r="AJ689" s="68"/>
      <c r="AK689" s="68"/>
      <c r="AL689" s="68"/>
      <c r="AM689" s="68"/>
      <c r="AN689" s="68"/>
      <c r="AO689" s="68"/>
      <c r="AP689" s="68"/>
      <c r="AQ689" s="68"/>
      <c r="AR689" s="68"/>
      <c r="AS689" s="68"/>
      <c r="AT689" s="68"/>
      <c r="AU689" s="68"/>
      <c r="AV689" s="68"/>
      <c r="AW689" s="68"/>
      <c r="AX689" s="68"/>
      <c r="AY689" s="68"/>
      <c r="AZ689" s="68"/>
      <c r="BA689" s="68"/>
      <c r="BB689" s="68"/>
      <c r="BC689" s="68"/>
      <c r="BD689" s="68"/>
      <c r="BE689" s="68"/>
      <c r="BF689" s="68"/>
      <c r="BG689" s="68"/>
      <c r="BH689" s="68"/>
      <c r="BI689" s="68"/>
      <c r="BJ689" s="68"/>
      <c r="BK689" s="68"/>
      <c r="BL689" s="68"/>
      <c r="BM689" s="68"/>
      <c r="BN689" s="68"/>
    </row>
    <row r="690" spans="1:66" ht="17">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68"/>
      <c r="AG690" s="68"/>
      <c r="AH690" s="68"/>
      <c r="AI690" s="68"/>
      <c r="AJ690" s="68"/>
      <c r="AK690" s="68"/>
      <c r="AL690" s="68"/>
      <c r="AM690" s="68"/>
      <c r="AN690" s="68"/>
      <c r="AO690" s="68"/>
      <c r="AP690" s="68"/>
      <c r="AQ690" s="68"/>
      <c r="AR690" s="68"/>
      <c r="AS690" s="68"/>
      <c r="AT690" s="68"/>
      <c r="AU690" s="68"/>
      <c r="AV690" s="68"/>
      <c r="AW690" s="68"/>
      <c r="AX690" s="68"/>
      <c r="AY690" s="68"/>
      <c r="AZ690" s="68"/>
      <c r="BA690" s="68"/>
      <c r="BB690" s="68"/>
      <c r="BC690" s="68"/>
      <c r="BD690" s="68"/>
      <c r="BE690" s="68"/>
      <c r="BF690" s="68"/>
      <c r="BG690" s="68"/>
      <c r="BH690" s="68"/>
      <c r="BI690" s="68"/>
      <c r="BJ690" s="68"/>
      <c r="BK690" s="68"/>
      <c r="BL690" s="68"/>
      <c r="BM690" s="68"/>
      <c r="BN690" s="68"/>
    </row>
    <row r="691" spans="1:66" ht="17">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68"/>
      <c r="AG691" s="68"/>
      <c r="AH691" s="68"/>
      <c r="AI691" s="68"/>
      <c r="AJ691" s="68"/>
      <c r="AK691" s="68"/>
      <c r="AL691" s="68"/>
      <c r="AM691" s="68"/>
      <c r="AN691" s="68"/>
      <c r="AO691" s="68"/>
      <c r="AP691" s="68"/>
      <c r="AQ691" s="68"/>
      <c r="AR691" s="68"/>
      <c r="AS691" s="68"/>
      <c r="AT691" s="68"/>
      <c r="AU691" s="68"/>
      <c r="AV691" s="68"/>
      <c r="AW691" s="68"/>
      <c r="AX691" s="68"/>
      <c r="AY691" s="68"/>
      <c r="AZ691" s="68"/>
      <c r="BA691" s="68"/>
      <c r="BB691" s="68"/>
      <c r="BC691" s="68"/>
      <c r="BD691" s="68"/>
      <c r="BE691" s="68"/>
      <c r="BF691" s="68"/>
      <c r="BG691" s="68"/>
      <c r="BH691" s="68"/>
      <c r="BI691" s="68"/>
      <c r="BJ691" s="68"/>
      <c r="BK691" s="68"/>
      <c r="BL691" s="68"/>
      <c r="BM691" s="68"/>
      <c r="BN691" s="68"/>
    </row>
    <row r="692" spans="1:66" ht="17">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68"/>
      <c r="AG692" s="68"/>
      <c r="AH692" s="68"/>
      <c r="AI692" s="68"/>
      <c r="AJ692" s="68"/>
      <c r="AK692" s="68"/>
      <c r="AL692" s="68"/>
      <c r="AM692" s="68"/>
      <c r="AN692" s="68"/>
      <c r="AO692" s="68"/>
      <c r="AP692" s="68"/>
      <c r="AQ692" s="68"/>
      <c r="AR692" s="68"/>
      <c r="AS692" s="68"/>
      <c r="AT692" s="68"/>
      <c r="AU692" s="68"/>
      <c r="AV692" s="68"/>
      <c r="AW692" s="68"/>
      <c r="AX692" s="68"/>
      <c r="AY692" s="68"/>
      <c r="AZ692" s="68"/>
      <c r="BA692" s="68"/>
      <c r="BB692" s="68"/>
      <c r="BC692" s="68"/>
      <c r="BD692" s="68"/>
      <c r="BE692" s="68"/>
      <c r="BF692" s="68"/>
      <c r="BG692" s="68"/>
      <c r="BH692" s="68"/>
      <c r="BI692" s="68"/>
      <c r="BJ692" s="68"/>
      <c r="BK692" s="68"/>
      <c r="BL692" s="68"/>
      <c r="BM692" s="68"/>
      <c r="BN692" s="68"/>
    </row>
    <row r="693" spans="1:66" ht="17">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68"/>
      <c r="AG693" s="68"/>
      <c r="AH693" s="68"/>
      <c r="AI693" s="68"/>
      <c r="AJ693" s="68"/>
      <c r="AK693" s="68"/>
      <c r="AL693" s="68"/>
      <c r="AM693" s="68"/>
      <c r="AN693" s="68"/>
      <c r="AO693" s="68"/>
      <c r="AP693" s="68"/>
      <c r="AQ693" s="68"/>
      <c r="AR693" s="68"/>
      <c r="AS693" s="68"/>
      <c r="AT693" s="68"/>
      <c r="AU693" s="68"/>
      <c r="AV693" s="68"/>
      <c r="AW693" s="68"/>
      <c r="AX693" s="68"/>
      <c r="AY693" s="68"/>
      <c r="AZ693" s="68"/>
      <c r="BA693" s="68"/>
      <c r="BB693" s="68"/>
      <c r="BC693" s="68"/>
      <c r="BD693" s="68"/>
      <c r="BE693" s="68"/>
      <c r="BF693" s="68"/>
      <c r="BG693" s="68"/>
      <c r="BH693" s="68"/>
      <c r="BI693" s="68"/>
      <c r="BJ693" s="68"/>
      <c r="BK693" s="68"/>
      <c r="BL693" s="68"/>
      <c r="BM693" s="68"/>
      <c r="BN693" s="68"/>
    </row>
    <row r="694" spans="1:66" ht="17">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68"/>
      <c r="AG694" s="68"/>
      <c r="AH694" s="68"/>
      <c r="AI694" s="68"/>
      <c r="AJ694" s="68"/>
      <c r="AK694" s="68"/>
      <c r="AL694" s="68"/>
      <c r="AM694" s="68"/>
      <c r="AN694" s="68"/>
      <c r="AO694" s="68"/>
      <c r="AP694" s="68"/>
      <c r="AQ694" s="68"/>
      <c r="AR694" s="68"/>
      <c r="AS694" s="68"/>
      <c r="AT694" s="68"/>
      <c r="AU694" s="68"/>
      <c r="AV694" s="68"/>
      <c r="AW694" s="68"/>
      <c r="AX694" s="68"/>
      <c r="AY694" s="68"/>
      <c r="AZ694" s="68"/>
      <c r="BA694" s="68"/>
      <c r="BB694" s="68"/>
      <c r="BC694" s="68"/>
      <c r="BD694" s="68"/>
      <c r="BE694" s="68"/>
      <c r="BF694" s="68"/>
      <c r="BG694" s="68"/>
      <c r="BH694" s="68"/>
      <c r="BI694" s="68"/>
      <c r="BJ694" s="68"/>
      <c r="BK694" s="68"/>
      <c r="BL694" s="68"/>
      <c r="BM694" s="68"/>
      <c r="BN694" s="68"/>
    </row>
    <row r="695" spans="1:66" ht="17">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68"/>
      <c r="AG695" s="68"/>
      <c r="AH695" s="68"/>
      <c r="AI695" s="68"/>
      <c r="AJ695" s="68"/>
      <c r="AK695" s="68"/>
      <c r="AL695" s="68"/>
      <c r="AM695" s="68"/>
      <c r="AN695" s="68"/>
      <c r="AO695" s="68"/>
      <c r="AP695" s="68"/>
      <c r="AQ695" s="68"/>
      <c r="AR695" s="68"/>
      <c r="AS695" s="68"/>
      <c r="AT695" s="68"/>
      <c r="AU695" s="68"/>
      <c r="AV695" s="68"/>
      <c r="AW695" s="68"/>
      <c r="AX695" s="68"/>
      <c r="AY695" s="68"/>
      <c r="AZ695" s="68"/>
      <c r="BA695" s="68"/>
      <c r="BB695" s="68"/>
      <c r="BC695" s="68"/>
      <c r="BD695" s="68"/>
      <c r="BE695" s="68"/>
      <c r="BF695" s="68"/>
      <c r="BG695" s="68"/>
      <c r="BH695" s="68"/>
      <c r="BI695" s="68"/>
      <c r="BJ695" s="68"/>
      <c r="BK695" s="68"/>
      <c r="BL695" s="68"/>
      <c r="BM695" s="68"/>
      <c r="BN695" s="68"/>
    </row>
    <row r="696" spans="1:66" ht="17">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68"/>
      <c r="AG696" s="68"/>
      <c r="AH696" s="68"/>
      <c r="AI696" s="68"/>
      <c r="AJ696" s="68"/>
      <c r="AK696" s="68"/>
      <c r="AL696" s="68"/>
      <c r="AM696" s="68"/>
      <c r="AN696" s="68"/>
      <c r="AO696" s="68"/>
      <c r="AP696" s="68"/>
      <c r="AQ696" s="68"/>
      <c r="AR696" s="68"/>
      <c r="AS696" s="68"/>
      <c r="AT696" s="68"/>
      <c r="AU696" s="68"/>
      <c r="AV696" s="68"/>
      <c r="AW696" s="68"/>
      <c r="AX696" s="68"/>
      <c r="AY696" s="68"/>
      <c r="AZ696" s="68"/>
      <c r="BA696" s="68"/>
      <c r="BB696" s="68"/>
      <c r="BC696" s="68"/>
      <c r="BD696" s="68"/>
      <c r="BE696" s="68"/>
      <c r="BF696" s="68"/>
      <c r="BG696" s="68"/>
      <c r="BH696" s="68"/>
      <c r="BI696" s="68"/>
      <c r="BJ696" s="68"/>
      <c r="BK696" s="68"/>
      <c r="BL696" s="68"/>
      <c r="BM696" s="68"/>
      <c r="BN696" s="68"/>
    </row>
    <row r="697" spans="1:66" ht="1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68"/>
      <c r="AG697" s="68"/>
      <c r="AH697" s="68"/>
      <c r="AI697" s="68"/>
      <c r="AJ697" s="68"/>
      <c r="AK697" s="68"/>
      <c r="AL697" s="68"/>
      <c r="AM697" s="68"/>
      <c r="AN697" s="68"/>
      <c r="AO697" s="68"/>
      <c r="AP697" s="68"/>
      <c r="AQ697" s="68"/>
      <c r="AR697" s="68"/>
      <c r="AS697" s="68"/>
      <c r="AT697" s="68"/>
      <c r="AU697" s="68"/>
      <c r="AV697" s="68"/>
      <c r="AW697" s="68"/>
      <c r="AX697" s="68"/>
      <c r="AY697" s="68"/>
      <c r="AZ697" s="68"/>
      <c r="BA697" s="68"/>
      <c r="BB697" s="68"/>
      <c r="BC697" s="68"/>
      <c r="BD697" s="68"/>
      <c r="BE697" s="68"/>
      <c r="BF697" s="68"/>
      <c r="BG697" s="68"/>
      <c r="BH697" s="68"/>
      <c r="BI697" s="68"/>
      <c r="BJ697" s="68"/>
      <c r="BK697" s="68"/>
      <c r="BL697" s="68"/>
      <c r="BM697" s="68"/>
      <c r="BN697" s="68"/>
    </row>
    <row r="698" spans="1:66" ht="17">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68"/>
      <c r="AG698" s="68"/>
      <c r="AH698" s="68"/>
      <c r="AI698" s="68"/>
      <c r="AJ698" s="68"/>
      <c r="AK698" s="68"/>
      <c r="AL698" s="68"/>
      <c r="AM698" s="68"/>
      <c r="AN698" s="68"/>
      <c r="AO698" s="68"/>
      <c r="AP698" s="68"/>
      <c r="AQ698" s="68"/>
      <c r="AR698" s="68"/>
      <c r="AS698" s="68"/>
      <c r="AT698" s="68"/>
      <c r="AU698" s="68"/>
      <c r="AV698" s="68"/>
      <c r="AW698" s="68"/>
      <c r="AX698" s="68"/>
      <c r="AY698" s="68"/>
      <c r="AZ698" s="68"/>
      <c r="BA698" s="68"/>
      <c r="BB698" s="68"/>
      <c r="BC698" s="68"/>
      <c r="BD698" s="68"/>
      <c r="BE698" s="68"/>
      <c r="BF698" s="68"/>
      <c r="BG698" s="68"/>
      <c r="BH698" s="68"/>
      <c r="BI698" s="68"/>
      <c r="BJ698" s="68"/>
      <c r="BK698" s="68"/>
      <c r="BL698" s="68"/>
      <c r="BM698" s="68"/>
      <c r="BN698" s="68"/>
    </row>
    <row r="699" spans="1:66" ht="17">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68"/>
      <c r="AG699" s="68"/>
      <c r="AH699" s="68"/>
      <c r="AI699" s="68"/>
      <c r="AJ699" s="68"/>
      <c r="AK699" s="68"/>
      <c r="AL699" s="68"/>
      <c r="AM699" s="68"/>
      <c r="AN699" s="68"/>
      <c r="AO699" s="68"/>
      <c r="AP699" s="68"/>
      <c r="AQ699" s="68"/>
      <c r="AR699" s="68"/>
      <c r="AS699" s="68"/>
      <c r="AT699" s="68"/>
      <c r="AU699" s="68"/>
      <c r="AV699" s="68"/>
      <c r="AW699" s="68"/>
      <c r="AX699" s="68"/>
      <c r="AY699" s="68"/>
      <c r="AZ699" s="68"/>
      <c r="BA699" s="68"/>
      <c r="BB699" s="68"/>
      <c r="BC699" s="68"/>
      <c r="BD699" s="68"/>
      <c r="BE699" s="68"/>
      <c r="BF699" s="68"/>
      <c r="BG699" s="68"/>
      <c r="BH699" s="68"/>
      <c r="BI699" s="68"/>
      <c r="BJ699" s="68"/>
      <c r="BK699" s="68"/>
      <c r="BL699" s="68"/>
      <c r="BM699" s="68"/>
      <c r="BN699" s="68"/>
    </row>
    <row r="700" spans="1:66" ht="17">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68"/>
      <c r="AG700" s="68"/>
      <c r="AH700" s="68"/>
      <c r="AI700" s="68"/>
      <c r="AJ700" s="68"/>
      <c r="AK700" s="68"/>
      <c r="AL700" s="68"/>
      <c r="AM700" s="68"/>
      <c r="AN700" s="68"/>
      <c r="AO700" s="68"/>
      <c r="AP700" s="68"/>
      <c r="AQ700" s="68"/>
      <c r="AR700" s="68"/>
      <c r="AS700" s="68"/>
      <c r="AT700" s="68"/>
      <c r="AU700" s="68"/>
      <c r="AV700" s="68"/>
      <c r="AW700" s="68"/>
      <c r="AX700" s="68"/>
      <c r="AY700" s="68"/>
      <c r="AZ700" s="68"/>
      <c r="BA700" s="68"/>
      <c r="BB700" s="68"/>
      <c r="BC700" s="68"/>
      <c r="BD700" s="68"/>
      <c r="BE700" s="68"/>
      <c r="BF700" s="68"/>
      <c r="BG700" s="68"/>
      <c r="BH700" s="68"/>
      <c r="BI700" s="68"/>
      <c r="BJ700" s="68"/>
      <c r="BK700" s="68"/>
      <c r="BL700" s="68"/>
      <c r="BM700" s="68"/>
      <c r="BN700" s="68"/>
    </row>
    <row r="701" spans="1:66" ht="17">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68"/>
      <c r="AG701" s="68"/>
      <c r="AH701" s="68"/>
      <c r="AI701" s="68"/>
      <c r="AJ701" s="68"/>
      <c r="AK701" s="68"/>
      <c r="AL701" s="68"/>
      <c r="AM701" s="68"/>
      <c r="AN701" s="68"/>
      <c r="AO701" s="68"/>
      <c r="AP701" s="68"/>
      <c r="AQ701" s="68"/>
      <c r="AR701" s="68"/>
      <c r="AS701" s="68"/>
      <c r="AT701" s="68"/>
      <c r="AU701" s="68"/>
      <c r="AV701" s="68"/>
      <c r="AW701" s="68"/>
      <c r="AX701" s="68"/>
      <c r="AY701" s="68"/>
      <c r="AZ701" s="68"/>
      <c r="BA701" s="68"/>
      <c r="BB701" s="68"/>
      <c r="BC701" s="68"/>
      <c r="BD701" s="68"/>
      <c r="BE701" s="68"/>
      <c r="BF701" s="68"/>
      <c r="BG701" s="68"/>
      <c r="BH701" s="68"/>
      <c r="BI701" s="68"/>
      <c r="BJ701" s="68"/>
      <c r="BK701" s="68"/>
      <c r="BL701" s="68"/>
      <c r="BM701" s="68"/>
      <c r="BN701" s="68"/>
    </row>
    <row r="702" spans="1:66" ht="17">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68"/>
      <c r="AG702" s="68"/>
      <c r="AH702" s="68"/>
      <c r="AI702" s="68"/>
      <c r="AJ702" s="68"/>
      <c r="AK702" s="68"/>
      <c r="AL702" s="68"/>
      <c r="AM702" s="68"/>
      <c r="AN702" s="68"/>
      <c r="AO702" s="68"/>
      <c r="AP702" s="68"/>
      <c r="AQ702" s="68"/>
      <c r="AR702" s="68"/>
      <c r="AS702" s="68"/>
      <c r="AT702" s="68"/>
      <c r="AU702" s="68"/>
      <c r="AV702" s="68"/>
      <c r="AW702" s="68"/>
      <c r="AX702" s="68"/>
      <c r="AY702" s="68"/>
      <c r="AZ702" s="68"/>
      <c r="BA702" s="68"/>
      <c r="BB702" s="68"/>
      <c r="BC702" s="68"/>
      <c r="BD702" s="68"/>
      <c r="BE702" s="68"/>
      <c r="BF702" s="68"/>
      <c r="BG702" s="68"/>
      <c r="BH702" s="68"/>
      <c r="BI702" s="68"/>
      <c r="BJ702" s="68"/>
      <c r="BK702" s="68"/>
      <c r="BL702" s="68"/>
      <c r="BM702" s="68"/>
      <c r="BN702" s="68"/>
    </row>
    <row r="703" spans="1:66" ht="17">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68"/>
      <c r="AG703" s="68"/>
      <c r="AH703" s="68"/>
      <c r="AI703" s="68"/>
      <c r="AJ703" s="68"/>
      <c r="AK703" s="68"/>
      <c r="AL703" s="68"/>
      <c r="AM703" s="68"/>
      <c r="AN703" s="68"/>
      <c r="AO703" s="68"/>
      <c r="AP703" s="68"/>
      <c r="AQ703" s="68"/>
      <c r="AR703" s="68"/>
      <c r="AS703" s="68"/>
      <c r="AT703" s="68"/>
      <c r="AU703" s="68"/>
      <c r="AV703" s="68"/>
      <c r="AW703" s="68"/>
      <c r="AX703" s="68"/>
      <c r="AY703" s="68"/>
      <c r="AZ703" s="68"/>
      <c r="BA703" s="68"/>
      <c r="BB703" s="68"/>
      <c r="BC703" s="68"/>
      <c r="BD703" s="68"/>
      <c r="BE703" s="68"/>
      <c r="BF703" s="68"/>
      <c r="BG703" s="68"/>
      <c r="BH703" s="68"/>
      <c r="BI703" s="68"/>
      <c r="BJ703" s="68"/>
      <c r="BK703" s="68"/>
      <c r="BL703" s="68"/>
      <c r="BM703" s="68"/>
      <c r="BN703" s="68"/>
    </row>
    <row r="704" spans="1:66" ht="17">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68"/>
      <c r="AG704" s="68"/>
      <c r="AH704" s="68"/>
      <c r="AI704" s="68"/>
      <c r="AJ704" s="68"/>
      <c r="AK704" s="68"/>
      <c r="AL704" s="68"/>
      <c r="AM704" s="68"/>
      <c r="AN704" s="68"/>
      <c r="AO704" s="68"/>
      <c r="AP704" s="68"/>
      <c r="AQ704" s="68"/>
      <c r="AR704" s="68"/>
      <c r="AS704" s="68"/>
      <c r="AT704" s="68"/>
      <c r="AU704" s="68"/>
      <c r="AV704" s="68"/>
      <c r="AW704" s="68"/>
      <c r="AX704" s="68"/>
      <c r="AY704" s="68"/>
      <c r="AZ704" s="68"/>
      <c r="BA704" s="68"/>
      <c r="BB704" s="68"/>
      <c r="BC704" s="68"/>
      <c r="BD704" s="68"/>
      <c r="BE704" s="68"/>
      <c r="BF704" s="68"/>
      <c r="BG704" s="68"/>
      <c r="BH704" s="68"/>
      <c r="BI704" s="68"/>
      <c r="BJ704" s="68"/>
      <c r="BK704" s="68"/>
      <c r="BL704" s="68"/>
      <c r="BM704" s="68"/>
      <c r="BN704" s="68"/>
    </row>
    <row r="705" spans="1:66" ht="17">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68"/>
      <c r="AG705" s="68"/>
      <c r="AH705" s="68"/>
      <c r="AI705" s="68"/>
      <c r="AJ705" s="68"/>
      <c r="AK705" s="68"/>
      <c r="AL705" s="68"/>
      <c r="AM705" s="68"/>
      <c r="AN705" s="68"/>
      <c r="AO705" s="68"/>
      <c r="AP705" s="68"/>
      <c r="AQ705" s="68"/>
      <c r="AR705" s="68"/>
      <c r="AS705" s="68"/>
      <c r="AT705" s="68"/>
      <c r="AU705" s="68"/>
      <c r="AV705" s="68"/>
      <c r="AW705" s="68"/>
      <c r="AX705" s="68"/>
      <c r="AY705" s="68"/>
      <c r="AZ705" s="68"/>
      <c r="BA705" s="68"/>
      <c r="BB705" s="68"/>
      <c r="BC705" s="68"/>
      <c r="BD705" s="68"/>
      <c r="BE705" s="68"/>
      <c r="BF705" s="68"/>
      <c r="BG705" s="68"/>
      <c r="BH705" s="68"/>
      <c r="BI705" s="68"/>
      <c r="BJ705" s="68"/>
      <c r="BK705" s="68"/>
      <c r="BL705" s="68"/>
      <c r="BM705" s="68"/>
      <c r="BN705" s="68"/>
    </row>
    <row r="706" spans="1:66" ht="17">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68"/>
      <c r="AG706" s="68"/>
      <c r="AH706" s="68"/>
      <c r="AI706" s="68"/>
      <c r="AJ706" s="68"/>
      <c r="AK706" s="68"/>
      <c r="AL706" s="68"/>
      <c r="AM706" s="68"/>
      <c r="AN706" s="68"/>
      <c r="AO706" s="68"/>
      <c r="AP706" s="68"/>
      <c r="AQ706" s="68"/>
      <c r="AR706" s="68"/>
      <c r="AS706" s="68"/>
      <c r="AT706" s="68"/>
      <c r="AU706" s="68"/>
      <c r="AV706" s="68"/>
      <c r="AW706" s="68"/>
      <c r="AX706" s="68"/>
      <c r="AY706" s="68"/>
      <c r="AZ706" s="68"/>
      <c r="BA706" s="68"/>
      <c r="BB706" s="68"/>
      <c r="BC706" s="68"/>
      <c r="BD706" s="68"/>
      <c r="BE706" s="68"/>
      <c r="BF706" s="68"/>
      <c r="BG706" s="68"/>
      <c r="BH706" s="68"/>
      <c r="BI706" s="68"/>
      <c r="BJ706" s="68"/>
      <c r="BK706" s="68"/>
      <c r="BL706" s="68"/>
      <c r="BM706" s="68"/>
      <c r="BN706" s="68"/>
    </row>
    <row r="707" spans="1:66" ht="1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68"/>
      <c r="AG707" s="68"/>
      <c r="AH707" s="68"/>
      <c r="AI707" s="68"/>
      <c r="AJ707" s="68"/>
      <c r="AK707" s="68"/>
      <c r="AL707" s="68"/>
      <c r="AM707" s="68"/>
      <c r="AN707" s="68"/>
      <c r="AO707" s="68"/>
      <c r="AP707" s="68"/>
      <c r="AQ707" s="68"/>
      <c r="AR707" s="68"/>
      <c r="AS707" s="68"/>
      <c r="AT707" s="68"/>
      <c r="AU707" s="68"/>
      <c r="AV707" s="68"/>
      <c r="AW707" s="68"/>
      <c r="AX707" s="68"/>
      <c r="AY707" s="68"/>
      <c r="AZ707" s="68"/>
      <c r="BA707" s="68"/>
      <c r="BB707" s="68"/>
      <c r="BC707" s="68"/>
      <c r="BD707" s="68"/>
      <c r="BE707" s="68"/>
      <c r="BF707" s="68"/>
      <c r="BG707" s="68"/>
      <c r="BH707" s="68"/>
      <c r="BI707" s="68"/>
      <c r="BJ707" s="68"/>
      <c r="BK707" s="68"/>
      <c r="BL707" s="68"/>
      <c r="BM707" s="68"/>
      <c r="BN707" s="68"/>
    </row>
    <row r="708" spans="1:66" ht="17">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68"/>
      <c r="AG708" s="68"/>
      <c r="AH708" s="68"/>
      <c r="AI708" s="68"/>
      <c r="AJ708" s="68"/>
      <c r="AK708" s="68"/>
      <c r="AL708" s="68"/>
      <c r="AM708" s="68"/>
      <c r="AN708" s="68"/>
      <c r="AO708" s="68"/>
      <c r="AP708" s="68"/>
      <c r="AQ708" s="68"/>
      <c r="AR708" s="68"/>
      <c r="AS708" s="68"/>
      <c r="AT708" s="68"/>
      <c r="AU708" s="68"/>
      <c r="AV708" s="68"/>
      <c r="AW708" s="68"/>
      <c r="AX708" s="68"/>
      <c r="AY708" s="68"/>
      <c r="AZ708" s="68"/>
      <c r="BA708" s="68"/>
      <c r="BB708" s="68"/>
      <c r="BC708" s="68"/>
      <c r="BD708" s="68"/>
      <c r="BE708" s="68"/>
      <c r="BF708" s="68"/>
      <c r="BG708" s="68"/>
      <c r="BH708" s="68"/>
      <c r="BI708" s="68"/>
      <c r="BJ708" s="68"/>
      <c r="BK708" s="68"/>
      <c r="BL708" s="68"/>
      <c r="BM708" s="68"/>
      <c r="BN708" s="68"/>
    </row>
    <row r="709" spans="1:66" ht="17">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c r="AG709" s="68"/>
      <c r="AH709" s="68"/>
      <c r="AI709" s="68"/>
      <c r="AJ709" s="68"/>
      <c r="AK709" s="68"/>
      <c r="AL709" s="68"/>
      <c r="AM709" s="68"/>
      <c r="AN709" s="68"/>
      <c r="AO709" s="68"/>
      <c r="AP709" s="68"/>
      <c r="AQ709" s="68"/>
      <c r="AR709" s="68"/>
      <c r="AS709" s="68"/>
      <c r="AT709" s="68"/>
      <c r="AU709" s="68"/>
      <c r="AV709" s="68"/>
      <c r="AW709" s="68"/>
      <c r="AX709" s="68"/>
      <c r="AY709" s="68"/>
      <c r="AZ709" s="68"/>
      <c r="BA709" s="68"/>
      <c r="BB709" s="68"/>
      <c r="BC709" s="68"/>
      <c r="BD709" s="68"/>
      <c r="BE709" s="68"/>
      <c r="BF709" s="68"/>
      <c r="BG709" s="68"/>
      <c r="BH709" s="68"/>
      <c r="BI709" s="68"/>
      <c r="BJ709" s="68"/>
      <c r="BK709" s="68"/>
      <c r="BL709" s="68"/>
      <c r="BM709" s="68"/>
      <c r="BN709" s="68"/>
    </row>
    <row r="710" spans="1:66" ht="17">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68"/>
      <c r="AG710" s="68"/>
      <c r="AH710" s="68"/>
      <c r="AI710" s="68"/>
      <c r="AJ710" s="68"/>
      <c r="AK710" s="68"/>
      <c r="AL710" s="68"/>
      <c r="AM710" s="68"/>
      <c r="AN710" s="68"/>
      <c r="AO710" s="68"/>
      <c r="AP710" s="68"/>
      <c r="AQ710" s="68"/>
      <c r="AR710" s="68"/>
      <c r="AS710" s="68"/>
      <c r="AT710" s="68"/>
      <c r="AU710" s="68"/>
      <c r="AV710" s="68"/>
      <c r="AW710" s="68"/>
      <c r="AX710" s="68"/>
      <c r="AY710" s="68"/>
      <c r="AZ710" s="68"/>
      <c r="BA710" s="68"/>
      <c r="BB710" s="68"/>
      <c r="BC710" s="68"/>
      <c r="BD710" s="68"/>
      <c r="BE710" s="68"/>
      <c r="BF710" s="68"/>
      <c r="BG710" s="68"/>
      <c r="BH710" s="68"/>
      <c r="BI710" s="68"/>
      <c r="BJ710" s="68"/>
      <c r="BK710" s="68"/>
      <c r="BL710" s="68"/>
      <c r="BM710" s="68"/>
      <c r="BN710" s="68"/>
    </row>
    <row r="711" spans="1:66" ht="17">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68"/>
      <c r="AG711" s="68"/>
      <c r="AH711" s="68"/>
      <c r="AI711" s="68"/>
      <c r="AJ711" s="68"/>
      <c r="AK711" s="68"/>
      <c r="AL711" s="68"/>
      <c r="AM711" s="68"/>
      <c r="AN711" s="68"/>
      <c r="AO711" s="68"/>
      <c r="AP711" s="68"/>
      <c r="AQ711" s="68"/>
      <c r="AR711" s="68"/>
      <c r="AS711" s="68"/>
      <c r="AT711" s="68"/>
      <c r="AU711" s="68"/>
      <c r="AV711" s="68"/>
      <c r="AW711" s="68"/>
      <c r="AX711" s="68"/>
      <c r="AY711" s="68"/>
      <c r="AZ711" s="68"/>
      <c r="BA711" s="68"/>
      <c r="BB711" s="68"/>
      <c r="BC711" s="68"/>
      <c r="BD711" s="68"/>
      <c r="BE711" s="68"/>
      <c r="BF711" s="68"/>
      <c r="BG711" s="68"/>
      <c r="BH711" s="68"/>
      <c r="BI711" s="68"/>
      <c r="BJ711" s="68"/>
      <c r="BK711" s="68"/>
      <c r="BL711" s="68"/>
      <c r="BM711" s="68"/>
      <c r="BN711" s="68"/>
    </row>
    <row r="712" spans="1:66" ht="17">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68"/>
      <c r="AG712" s="68"/>
      <c r="AH712" s="68"/>
      <c r="AI712" s="68"/>
      <c r="AJ712" s="68"/>
      <c r="AK712" s="68"/>
      <c r="AL712" s="68"/>
      <c r="AM712" s="68"/>
      <c r="AN712" s="68"/>
      <c r="AO712" s="68"/>
      <c r="AP712" s="68"/>
      <c r="AQ712" s="68"/>
      <c r="AR712" s="68"/>
      <c r="AS712" s="68"/>
      <c r="AT712" s="68"/>
      <c r="AU712" s="68"/>
      <c r="AV712" s="68"/>
      <c r="AW712" s="68"/>
      <c r="AX712" s="68"/>
      <c r="AY712" s="68"/>
      <c r="AZ712" s="68"/>
      <c r="BA712" s="68"/>
      <c r="BB712" s="68"/>
      <c r="BC712" s="68"/>
      <c r="BD712" s="68"/>
      <c r="BE712" s="68"/>
      <c r="BF712" s="68"/>
      <c r="BG712" s="68"/>
      <c r="BH712" s="68"/>
      <c r="BI712" s="68"/>
      <c r="BJ712" s="68"/>
      <c r="BK712" s="68"/>
      <c r="BL712" s="68"/>
      <c r="BM712" s="68"/>
      <c r="BN712" s="68"/>
    </row>
    <row r="713" spans="1:66" ht="17">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68"/>
      <c r="AG713" s="68"/>
      <c r="AH713" s="68"/>
      <c r="AI713" s="68"/>
      <c r="AJ713" s="68"/>
      <c r="AK713" s="68"/>
      <c r="AL713" s="68"/>
      <c r="AM713" s="68"/>
      <c r="AN713" s="68"/>
      <c r="AO713" s="68"/>
      <c r="AP713" s="68"/>
      <c r="AQ713" s="68"/>
      <c r="AR713" s="68"/>
      <c r="AS713" s="68"/>
      <c r="AT713" s="68"/>
      <c r="AU713" s="68"/>
      <c r="AV713" s="68"/>
      <c r="AW713" s="68"/>
      <c r="AX713" s="68"/>
      <c r="AY713" s="68"/>
      <c r="AZ713" s="68"/>
      <c r="BA713" s="68"/>
      <c r="BB713" s="68"/>
      <c r="BC713" s="68"/>
      <c r="BD713" s="68"/>
      <c r="BE713" s="68"/>
      <c r="BF713" s="68"/>
      <c r="BG713" s="68"/>
      <c r="BH713" s="68"/>
      <c r="BI713" s="68"/>
      <c r="BJ713" s="68"/>
      <c r="BK713" s="68"/>
      <c r="BL713" s="68"/>
      <c r="BM713" s="68"/>
      <c r="BN713" s="68"/>
    </row>
    <row r="714" spans="1:66" ht="17">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68"/>
      <c r="AG714" s="68"/>
      <c r="AH714" s="68"/>
      <c r="AI714" s="68"/>
      <c r="AJ714" s="68"/>
      <c r="AK714" s="68"/>
      <c r="AL714" s="68"/>
      <c r="AM714" s="68"/>
      <c r="AN714" s="68"/>
      <c r="AO714" s="68"/>
      <c r="AP714" s="68"/>
      <c r="AQ714" s="68"/>
      <c r="AR714" s="68"/>
      <c r="AS714" s="68"/>
      <c r="AT714" s="68"/>
      <c r="AU714" s="68"/>
      <c r="AV714" s="68"/>
      <c r="AW714" s="68"/>
      <c r="AX714" s="68"/>
      <c r="AY714" s="68"/>
      <c r="AZ714" s="68"/>
      <c r="BA714" s="68"/>
      <c r="BB714" s="68"/>
      <c r="BC714" s="68"/>
      <c r="BD714" s="68"/>
      <c r="BE714" s="68"/>
      <c r="BF714" s="68"/>
      <c r="BG714" s="68"/>
      <c r="BH714" s="68"/>
      <c r="BI714" s="68"/>
      <c r="BJ714" s="68"/>
      <c r="BK714" s="68"/>
      <c r="BL714" s="68"/>
      <c r="BM714" s="68"/>
      <c r="BN714" s="68"/>
    </row>
    <row r="715" spans="1:66" ht="17">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68"/>
      <c r="AG715" s="68"/>
      <c r="AH715" s="68"/>
      <c r="AI715" s="68"/>
      <c r="AJ715" s="68"/>
      <c r="AK715" s="68"/>
      <c r="AL715" s="68"/>
      <c r="AM715" s="68"/>
      <c r="AN715" s="68"/>
      <c r="AO715" s="68"/>
      <c r="AP715" s="68"/>
      <c r="AQ715" s="68"/>
      <c r="AR715" s="68"/>
      <c r="AS715" s="68"/>
      <c r="AT715" s="68"/>
      <c r="AU715" s="68"/>
      <c r="AV715" s="68"/>
      <c r="AW715" s="68"/>
      <c r="AX715" s="68"/>
      <c r="AY715" s="68"/>
      <c r="AZ715" s="68"/>
      <c r="BA715" s="68"/>
      <c r="BB715" s="68"/>
      <c r="BC715" s="68"/>
      <c r="BD715" s="68"/>
      <c r="BE715" s="68"/>
      <c r="BF715" s="68"/>
      <c r="BG715" s="68"/>
      <c r="BH715" s="68"/>
      <c r="BI715" s="68"/>
      <c r="BJ715" s="68"/>
      <c r="BK715" s="68"/>
      <c r="BL715" s="68"/>
      <c r="BM715" s="68"/>
      <c r="BN715" s="68"/>
    </row>
    <row r="716" spans="1:66" ht="17">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68"/>
      <c r="AG716" s="68"/>
      <c r="AH716" s="68"/>
      <c r="AI716" s="68"/>
      <c r="AJ716" s="68"/>
      <c r="AK716" s="68"/>
      <c r="AL716" s="68"/>
      <c r="AM716" s="68"/>
      <c r="AN716" s="68"/>
      <c r="AO716" s="68"/>
      <c r="AP716" s="68"/>
      <c r="AQ716" s="68"/>
      <c r="AR716" s="68"/>
      <c r="AS716" s="68"/>
      <c r="AT716" s="68"/>
      <c r="AU716" s="68"/>
      <c r="AV716" s="68"/>
      <c r="AW716" s="68"/>
      <c r="AX716" s="68"/>
      <c r="AY716" s="68"/>
      <c r="AZ716" s="68"/>
      <c r="BA716" s="68"/>
      <c r="BB716" s="68"/>
      <c r="BC716" s="68"/>
      <c r="BD716" s="68"/>
      <c r="BE716" s="68"/>
      <c r="BF716" s="68"/>
      <c r="BG716" s="68"/>
      <c r="BH716" s="68"/>
      <c r="BI716" s="68"/>
      <c r="BJ716" s="68"/>
      <c r="BK716" s="68"/>
      <c r="BL716" s="68"/>
      <c r="BM716" s="68"/>
      <c r="BN716" s="68"/>
    </row>
    <row r="717" spans="1:66" ht="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68"/>
      <c r="AG717" s="68"/>
      <c r="AH717" s="68"/>
      <c r="AI717" s="68"/>
      <c r="AJ717" s="68"/>
      <c r="AK717" s="68"/>
      <c r="AL717" s="68"/>
      <c r="AM717" s="68"/>
      <c r="AN717" s="68"/>
      <c r="AO717" s="68"/>
      <c r="AP717" s="68"/>
      <c r="AQ717" s="68"/>
      <c r="AR717" s="68"/>
      <c r="AS717" s="68"/>
      <c r="AT717" s="68"/>
      <c r="AU717" s="68"/>
      <c r="AV717" s="68"/>
      <c r="AW717" s="68"/>
      <c r="AX717" s="68"/>
      <c r="AY717" s="68"/>
      <c r="AZ717" s="68"/>
      <c r="BA717" s="68"/>
      <c r="BB717" s="68"/>
      <c r="BC717" s="68"/>
      <c r="BD717" s="68"/>
      <c r="BE717" s="68"/>
      <c r="BF717" s="68"/>
      <c r="BG717" s="68"/>
      <c r="BH717" s="68"/>
      <c r="BI717" s="68"/>
      <c r="BJ717" s="68"/>
      <c r="BK717" s="68"/>
      <c r="BL717" s="68"/>
      <c r="BM717" s="68"/>
      <c r="BN717" s="68"/>
    </row>
    <row r="718" spans="1:66" ht="17">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68"/>
      <c r="AG718" s="68"/>
      <c r="AH718" s="68"/>
      <c r="AI718" s="68"/>
      <c r="AJ718" s="68"/>
      <c r="AK718" s="68"/>
      <c r="AL718" s="68"/>
      <c r="AM718" s="68"/>
      <c r="AN718" s="68"/>
      <c r="AO718" s="68"/>
      <c r="AP718" s="68"/>
      <c r="AQ718" s="68"/>
      <c r="AR718" s="68"/>
      <c r="AS718" s="68"/>
      <c r="AT718" s="68"/>
      <c r="AU718" s="68"/>
      <c r="AV718" s="68"/>
      <c r="AW718" s="68"/>
      <c r="AX718" s="68"/>
      <c r="AY718" s="68"/>
      <c r="AZ718" s="68"/>
      <c r="BA718" s="68"/>
      <c r="BB718" s="68"/>
      <c r="BC718" s="68"/>
      <c r="BD718" s="68"/>
      <c r="BE718" s="68"/>
      <c r="BF718" s="68"/>
      <c r="BG718" s="68"/>
      <c r="BH718" s="68"/>
      <c r="BI718" s="68"/>
      <c r="BJ718" s="68"/>
      <c r="BK718" s="68"/>
      <c r="BL718" s="68"/>
      <c r="BM718" s="68"/>
      <c r="BN718" s="68"/>
    </row>
    <row r="719" spans="1:66" ht="17">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68"/>
      <c r="AG719" s="68"/>
      <c r="AH719" s="68"/>
      <c r="AI719" s="68"/>
      <c r="AJ719" s="68"/>
      <c r="AK719" s="68"/>
      <c r="AL719" s="68"/>
      <c r="AM719" s="68"/>
      <c r="AN719" s="68"/>
      <c r="AO719" s="68"/>
      <c r="AP719" s="68"/>
      <c r="AQ719" s="68"/>
      <c r="AR719" s="68"/>
      <c r="AS719" s="68"/>
      <c r="AT719" s="68"/>
      <c r="AU719" s="68"/>
      <c r="AV719" s="68"/>
      <c r="AW719" s="68"/>
      <c r="AX719" s="68"/>
      <c r="AY719" s="68"/>
      <c r="AZ719" s="68"/>
      <c r="BA719" s="68"/>
      <c r="BB719" s="68"/>
      <c r="BC719" s="68"/>
      <c r="BD719" s="68"/>
      <c r="BE719" s="68"/>
      <c r="BF719" s="68"/>
      <c r="BG719" s="68"/>
      <c r="BH719" s="68"/>
      <c r="BI719" s="68"/>
      <c r="BJ719" s="68"/>
      <c r="BK719" s="68"/>
      <c r="BL719" s="68"/>
      <c r="BM719" s="68"/>
      <c r="BN719" s="68"/>
    </row>
    <row r="720" spans="1:66" ht="17">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68"/>
      <c r="AG720" s="68"/>
      <c r="AH720" s="68"/>
      <c r="AI720" s="68"/>
      <c r="AJ720" s="68"/>
      <c r="AK720" s="68"/>
      <c r="AL720" s="68"/>
      <c r="AM720" s="68"/>
      <c r="AN720" s="68"/>
      <c r="AO720" s="68"/>
      <c r="AP720" s="68"/>
      <c r="AQ720" s="68"/>
      <c r="AR720" s="68"/>
      <c r="AS720" s="68"/>
      <c r="AT720" s="68"/>
      <c r="AU720" s="68"/>
      <c r="AV720" s="68"/>
      <c r="AW720" s="68"/>
      <c r="AX720" s="68"/>
      <c r="AY720" s="68"/>
      <c r="AZ720" s="68"/>
      <c r="BA720" s="68"/>
      <c r="BB720" s="68"/>
      <c r="BC720" s="68"/>
      <c r="BD720" s="68"/>
      <c r="BE720" s="68"/>
      <c r="BF720" s="68"/>
      <c r="BG720" s="68"/>
      <c r="BH720" s="68"/>
      <c r="BI720" s="68"/>
      <c r="BJ720" s="68"/>
      <c r="BK720" s="68"/>
      <c r="BL720" s="68"/>
      <c r="BM720" s="68"/>
      <c r="BN720" s="68"/>
    </row>
    <row r="721" spans="1:66" ht="17">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68"/>
      <c r="AG721" s="68"/>
      <c r="AH721" s="68"/>
      <c r="AI721" s="68"/>
      <c r="AJ721" s="68"/>
      <c r="AK721" s="68"/>
      <c r="AL721" s="68"/>
      <c r="AM721" s="68"/>
      <c r="AN721" s="68"/>
      <c r="AO721" s="68"/>
      <c r="AP721" s="68"/>
      <c r="AQ721" s="68"/>
      <c r="AR721" s="68"/>
      <c r="AS721" s="68"/>
      <c r="AT721" s="68"/>
      <c r="AU721" s="68"/>
      <c r="AV721" s="68"/>
      <c r="AW721" s="68"/>
      <c r="AX721" s="68"/>
      <c r="AY721" s="68"/>
      <c r="AZ721" s="68"/>
      <c r="BA721" s="68"/>
      <c r="BB721" s="68"/>
      <c r="BC721" s="68"/>
      <c r="BD721" s="68"/>
      <c r="BE721" s="68"/>
      <c r="BF721" s="68"/>
      <c r="BG721" s="68"/>
      <c r="BH721" s="68"/>
      <c r="BI721" s="68"/>
      <c r="BJ721" s="68"/>
      <c r="BK721" s="68"/>
      <c r="BL721" s="68"/>
      <c r="BM721" s="68"/>
      <c r="BN721" s="68"/>
    </row>
    <row r="722" spans="1:66" ht="17">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8"/>
      <c r="AG722" s="68"/>
      <c r="AH722" s="68"/>
      <c r="AI722" s="68"/>
      <c r="AJ722" s="68"/>
      <c r="AK722" s="68"/>
      <c r="AL722" s="68"/>
      <c r="AM722" s="68"/>
      <c r="AN722" s="68"/>
      <c r="AO722" s="68"/>
      <c r="AP722" s="68"/>
      <c r="AQ722" s="68"/>
      <c r="AR722" s="68"/>
      <c r="AS722" s="68"/>
      <c r="AT722" s="68"/>
      <c r="AU722" s="68"/>
      <c r="AV722" s="68"/>
      <c r="AW722" s="68"/>
      <c r="AX722" s="68"/>
      <c r="AY722" s="68"/>
      <c r="AZ722" s="68"/>
      <c r="BA722" s="68"/>
      <c r="BB722" s="68"/>
      <c r="BC722" s="68"/>
      <c r="BD722" s="68"/>
      <c r="BE722" s="68"/>
      <c r="BF722" s="68"/>
      <c r="BG722" s="68"/>
      <c r="BH722" s="68"/>
      <c r="BI722" s="68"/>
      <c r="BJ722" s="68"/>
      <c r="BK722" s="68"/>
      <c r="BL722" s="68"/>
      <c r="BM722" s="68"/>
      <c r="BN722" s="68"/>
    </row>
    <row r="723" spans="1:66" ht="17">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8"/>
      <c r="AG723" s="68"/>
      <c r="AH723" s="68"/>
      <c r="AI723" s="68"/>
      <c r="AJ723" s="68"/>
      <c r="AK723" s="68"/>
      <c r="AL723" s="68"/>
      <c r="AM723" s="68"/>
      <c r="AN723" s="68"/>
      <c r="AO723" s="68"/>
      <c r="AP723" s="68"/>
      <c r="AQ723" s="68"/>
      <c r="AR723" s="68"/>
      <c r="AS723" s="68"/>
      <c r="AT723" s="68"/>
      <c r="AU723" s="68"/>
      <c r="AV723" s="68"/>
      <c r="AW723" s="68"/>
      <c r="AX723" s="68"/>
      <c r="AY723" s="68"/>
      <c r="AZ723" s="68"/>
      <c r="BA723" s="68"/>
      <c r="BB723" s="68"/>
      <c r="BC723" s="68"/>
      <c r="BD723" s="68"/>
      <c r="BE723" s="68"/>
      <c r="BF723" s="68"/>
      <c r="BG723" s="68"/>
      <c r="BH723" s="68"/>
      <c r="BI723" s="68"/>
      <c r="BJ723" s="68"/>
      <c r="BK723" s="68"/>
      <c r="BL723" s="68"/>
      <c r="BM723" s="68"/>
      <c r="BN723" s="68"/>
    </row>
    <row r="724" spans="1:66" ht="17">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8"/>
      <c r="AG724" s="68"/>
      <c r="AH724" s="68"/>
      <c r="AI724" s="68"/>
      <c r="AJ724" s="68"/>
      <c r="AK724" s="68"/>
      <c r="AL724" s="68"/>
      <c r="AM724" s="68"/>
      <c r="AN724" s="68"/>
      <c r="AO724" s="68"/>
      <c r="AP724" s="68"/>
      <c r="AQ724" s="68"/>
      <c r="AR724" s="68"/>
      <c r="AS724" s="68"/>
      <c r="AT724" s="68"/>
      <c r="AU724" s="68"/>
      <c r="AV724" s="68"/>
      <c r="AW724" s="68"/>
      <c r="AX724" s="68"/>
      <c r="AY724" s="68"/>
      <c r="AZ724" s="68"/>
      <c r="BA724" s="68"/>
      <c r="BB724" s="68"/>
      <c r="BC724" s="68"/>
      <c r="BD724" s="68"/>
      <c r="BE724" s="68"/>
      <c r="BF724" s="68"/>
      <c r="BG724" s="68"/>
      <c r="BH724" s="68"/>
      <c r="BI724" s="68"/>
      <c r="BJ724" s="68"/>
      <c r="BK724" s="68"/>
      <c r="BL724" s="68"/>
      <c r="BM724" s="68"/>
      <c r="BN724" s="68"/>
    </row>
    <row r="725" spans="1:66" ht="17">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8"/>
      <c r="AG725" s="68"/>
      <c r="AH725" s="68"/>
      <c r="AI725" s="68"/>
      <c r="AJ725" s="68"/>
      <c r="AK725" s="68"/>
      <c r="AL725" s="68"/>
      <c r="AM725" s="68"/>
      <c r="AN725" s="68"/>
      <c r="AO725" s="68"/>
      <c r="AP725" s="68"/>
      <c r="AQ725" s="68"/>
      <c r="AR725" s="68"/>
      <c r="AS725" s="68"/>
      <c r="AT725" s="68"/>
      <c r="AU725" s="68"/>
      <c r="AV725" s="68"/>
      <c r="AW725" s="68"/>
      <c r="AX725" s="68"/>
      <c r="AY725" s="68"/>
      <c r="AZ725" s="68"/>
      <c r="BA725" s="68"/>
      <c r="BB725" s="68"/>
      <c r="BC725" s="68"/>
      <c r="BD725" s="68"/>
      <c r="BE725" s="68"/>
      <c r="BF725" s="68"/>
      <c r="BG725" s="68"/>
      <c r="BH725" s="68"/>
      <c r="BI725" s="68"/>
      <c r="BJ725" s="68"/>
      <c r="BK725" s="68"/>
      <c r="BL725" s="68"/>
      <c r="BM725" s="68"/>
      <c r="BN725" s="68"/>
    </row>
    <row r="726" spans="1:66" ht="17">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8"/>
      <c r="AG726" s="68"/>
      <c r="AH726" s="68"/>
      <c r="AI726" s="68"/>
      <c r="AJ726" s="68"/>
      <c r="AK726" s="68"/>
      <c r="AL726" s="68"/>
      <c r="AM726" s="68"/>
      <c r="AN726" s="68"/>
      <c r="AO726" s="68"/>
      <c r="AP726" s="68"/>
      <c r="AQ726" s="68"/>
      <c r="AR726" s="68"/>
      <c r="AS726" s="68"/>
      <c r="AT726" s="68"/>
      <c r="AU726" s="68"/>
      <c r="AV726" s="68"/>
      <c r="AW726" s="68"/>
      <c r="AX726" s="68"/>
      <c r="AY726" s="68"/>
      <c r="AZ726" s="68"/>
      <c r="BA726" s="68"/>
      <c r="BB726" s="68"/>
      <c r="BC726" s="68"/>
      <c r="BD726" s="68"/>
      <c r="BE726" s="68"/>
      <c r="BF726" s="68"/>
      <c r="BG726" s="68"/>
      <c r="BH726" s="68"/>
      <c r="BI726" s="68"/>
      <c r="BJ726" s="68"/>
      <c r="BK726" s="68"/>
      <c r="BL726" s="68"/>
      <c r="BM726" s="68"/>
      <c r="BN726" s="68"/>
    </row>
    <row r="727" spans="1:66" ht="1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8"/>
      <c r="AG727" s="68"/>
      <c r="AH727" s="68"/>
      <c r="AI727" s="68"/>
      <c r="AJ727" s="68"/>
      <c r="AK727" s="68"/>
      <c r="AL727" s="68"/>
      <c r="AM727" s="68"/>
      <c r="AN727" s="68"/>
      <c r="AO727" s="68"/>
      <c r="AP727" s="68"/>
      <c r="AQ727" s="68"/>
      <c r="AR727" s="68"/>
      <c r="AS727" s="68"/>
      <c r="AT727" s="68"/>
      <c r="AU727" s="68"/>
      <c r="AV727" s="68"/>
      <c r="AW727" s="68"/>
      <c r="AX727" s="68"/>
      <c r="AY727" s="68"/>
      <c r="AZ727" s="68"/>
      <c r="BA727" s="68"/>
      <c r="BB727" s="68"/>
      <c r="BC727" s="68"/>
      <c r="BD727" s="68"/>
      <c r="BE727" s="68"/>
      <c r="BF727" s="68"/>
      <c r="BG727" s="68"/>
      <c r="BH727" s="68"/>
      <c r="BI727" s="68"/>
      <c r="BJ727" s="68"/>
      <c r="BK727" s="68"/>
      <c r="BL727" s="68"/>
      <c r="BM727" s="68"/>
      <c r="BN727" s="68"/>
    </row>
    <row r="728" spans="1:66" ht="17">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8"/>
      <c r="AG728" s="68"/>
      <c r="AH728" s="68"/>
      <c r="AI728" s="68"/>
      <c r="AJ728" s="68"/>
      <c r="AK728" s="68"/>
      <c r="AL728" s="68"/>
      <c r="AM728" s="68"/>
      <c r="AN728" s="68"/>
      <c r="AO728" s="68"/>
      <c r="AP728" s="68"/>
      <c r="AQ728" s="68"/>
      <c r="AR728" s="68"/>
      <c r="AS728" s="68"/>
      <c r="AT728" s="68"/>
      <c r="AU728" s="68"/>
      <c r="AV728" s="68"/>
      <c r="AW728" s="68"/>
      <c r="AX728" s="68"/>
      <c r="AY728" s="68"/>
      <c r="AZ728" s="68"/>
      <c r="BA728" s="68"/>
      <c r="BB728" s="68"/>
      <c r="BC728" s="68"/>
      <c r="BD728" s="68"/>
      <c r="BE728" s="68"/>
      <c r="BF728" s="68"/>
      <c r="BG728" s="68"/>
      <c r="BH728" s="68"/>
      <c r="BI728" s="68"/>
      <c r="BJ728" s="68"/>
      <c r="BK728" s="68"/>
      <c r="BL728" s="68"/>
      <c r="BM728" s="68"/>
      <c r="BN728" s="68"/>
    </row>
    <row r="729" spans="1:66" ht="17">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c r="AG729" s="68"/>
      <c r="AH729" s="68"/>
      <c r="AI729" s="68"/>
      <c r="AJ729" s="68"/>
      <c r="AK729" s="68"/>
      <c r="AL729" s="68"/>
      <c r="AM729" s="68"/>
      <c r="AN729" s="68"/>
      <c r="AO729" s="68"/>
      <c r="AP729" s="68"/>
      <c r="AQ729" s="68"/>
      <c r="AR729" s="68"/>
      <c r="AS729" s="68"/>
      <c r="AT729" s="68"/>
      <c r="AU729" s="68"/>
      <c r="AV729" s="68"/>
      <c r="AW729" s="68"/>
      <c r="AX729" s="68"/>
      <c r="AY729" s="68"/>
      <c r="AZ729" s="68"/>
      <c r="BA729" s="68"/>
      <c r="BB729" s="68"/>
      <c r="BC729" s="68"/>
      <c r="BD729" s="68"/>
      <c r="BE729" s="68"/>
      <c r="BF729" s="68"/>
      <c r="BG729" s="68"/>
      <c r="BH729" s="68"/>
      <c r="BI729" s="68"/>
      <c r="BJ729" s="68"/>
      <c r="BK729" s="68"/>
      <c r="BL729" s="68"/>
      <c r="BM729" s="68"/>
      <c r="BN729" s="68"/>
    </row>
    <row r="730" spans="1:66" ht="17">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c r="AG730" s="68"/>
      <c r="AH730" s="68"/>
      <c r="AI730" s="68"/>
      <c r="AJ730" s="68"/>
      <c r="AK730" s="68"/>
      <c r="AL730" s="68"/>
      <c r="AM730" s="68"/>
      <c r="AN730" s="68"/>
      <c r="AO730" s="68"/>
      <c r="AP730" s="68"/>
      <c r="AQ730" s="68"/>
      <c r="AR730" s="68"/>
      <c r="AS730" s="68"/>
      <c r="AT730" s="68"/>
      <c r="AU730" s="68"/>
      <c r="AV730" s="68"/>
      <c r="AW730" s="68"/>
      <c r="AX730" s="68"/>
      <c r="AY730" s="68"/>
      <c r="AZ730" s="68"/>
      <c r="BA730" s="68"/>
      <c r="BB730" s="68"/>
      <c r="BC730" s="68"/>
      <c r="BD730" s="68"/>
      <c r="BE730" s="68"/>
      <c r="BF730" s="68"/>
      <c r="BG730" s="68"/>
      <c r="BH730" s="68"/>
      <c r="BI730" s="68"/>
      <c r="BJ730" s="68"/>
      <c r="BK730" s="68"/>
      <c r="BL730" s="68"/>
      <c r="BM730" s="68"/>
      <c r="BN730" s="68"/>
    </row>
    <row r="731" spans="1:66" ht="17">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c r="AG731" s="68"/>
      <c r="AH731" s="68"/>
      <c r="AI731" s="68"/>
      <c r="AJ731" s="68"/>
      <c r="AK731" s="68"/>
      <c r="AL731" s="68"/>
      <c r="AM731" s="68"/>
      <c r="AN731" s="68"/>
      <c r="AO731" s="68"/>
      <c r="AP731" s="68"/>
      <c r="AQ731" s="68"/>
      <c r="AR731" s="68"/>
      <c r="AS731" s="68"/>
      <c r="AT731" s="68"/>
      <c r="AU731" s="68"/>
      <c r="AV731" s="68"/>
      <c r="AW731" s="68"/>
      <c r="AX731" s="68"/>
      <c r="AY731" s="68"/>
      <c r="AZ731" s="68"/>
      <c r="BA731" s="68"/>
      <c r="BB731" s="68"/>
      <c r="BC731" s="68"/>
      <c r="BD731" s="68"/>
      <c r="BE731" s="68"/>
      <c r="BF731" s="68"/>
      <c r="BG731" s="68"/>
      <c r="BH731" s="68"/>
      <c r="BI731" s="68"/>
      <c r="BJ731" s="68"/>
      <c r="BK731" s="68"/>
      <c r="BL731" s="68"/>
      <c r="BM731" s="68"/>
      <c r="BN731" s="68"/>
    </row>
    <row r="732" spans="1:66" ht="17">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c r="AG732" s="68"/>
      <c r="AH732" s="68"/>
      <c r="AI732" s="68"/>
      <c r="AJ732" s="68"/>
      <c r="AK732" s="68"/>
      <c r="AL732" s="68"/>
      <c r="AM732" s="68"/>
      <c r="AN732" s="68"/>
      <c r="AO732" s="68"/>
      <c r="AP732" s="68"/>
      <c r="AQ732" s="68"/>
      <c r="AR732" s="68"/>
      <c r="AS732" s="68"/>
      <c r="AT732" s="68"/>
      <c r="AU732" s="68"/>
      <c r="AV732" s="68"/>
      <c r="AW732" s="68"/>
      <c r="AX732" s="68"/>
      <c r="AY732" s="68"/>
      <c r="AZ732" s="68"/>
      <c r="BA732" s="68"/>
      <c r="BB732" s="68"/>
      <c r="BC732" s="68"/>
      <c r="BD732" s="68"/>
      <c r="BE732" s="68"/>
      <c r="BF732" s="68"/>
      <c r="BG732" s="68"/>
      <c r="BH732" s="68"/>
      <c r="BI732" s="68"/>
      <c r="BJ732" s="68"/>
      <c r="BK732" s="68"/>
      <c r="BL732" s="68"/>
      <c r="BM732" s="68"/>
      <c r="BN732" s="68"/>
    </row>
    <row r="733" spans="1:66" ht="17">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c r="AG733" s="68"/>
      <c r="AH733" s="68"/>
      <c r="AI733" s="68"/>
      <c r="AJ733" s="68"/>
      <c r="AK733" s="68"/>
      <c r="AL733" s="68"/>
      <c r="AM733" s="68"/>
      <c r="AN733" s="68"/>
      <c r="AO733" s="68"/>
      <c r="AP733" s="68"/>
      <c r="AQ733" s="68"/>
      <c r="AR733" s="68"/>
      <c r="AS733" s="68"/>
      <c r="AT733" s="68"/>
      <c r="AU733" s="68"/>
      <c r="AV733" s="68"/>
      <c r="AW733" s="68"/>
      <c r="AX733" s="68"/>
      <c r="AY733" s="68"/>
      <c r="AZ733" s="68"/>
      <c r="BA733" s="68"/>
      <c r="BB733" s="68"/>
      <c r="BC733" s="68"/>
      <c r="BD733" s="68"/>
      <c r="BE733" s="68"/>
      <c r="BF733" s="68"/>
      <c r="BG733" s="68"/>
      <c r="BH733" s="68"/>
      <c r="BI733" s="68"/>
      <c r="BJ733" s="68"/>
      <c r="BK733" s="68"/>
      <c r="BL733" s="68"/>
      <c r="BM733" s="68"/>
      <c r="BN733" s="68"/>
    </row>
    <row r="734" spans="1:66" ht="17">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c r="AG734" s="68"/>
      <c r="AH734" s="68"/>
      <c r="AI734" s="68"/>
      <c r="AJ734" s="68"/>
      <c r="AK734" s="68"/>
      <c r="AL734" s="68"/>
      <c r="AM734" s="68"/>
      <c r="AN734" s="68"/>
      <c r="AO734" s="68"/>
      <c r="AP734" s="68"/>
      <c r="AQ734" s="68"/>
      <c r="AR734" s="68"/>
      <c r="AS734" s="68"/>
      <c r="AT734" s="68"/>
      <c r="AU734" s="68"/>
      <c r="AV734" s="68"/>
      <c r="AW734" s="68"/>
      <c r="AX734" s="68"/>
      <c r="AY734" s="68"/>
      <c r="AZ734" s="68"/>
      <c r="BA734" s="68"/>
      <c r="BB734" s="68"/>
      <c r="BC734" s="68"/>
      <c r="BD734" s="68"/>
      <c r="BE734" s="68"/>
      <c r="BF734" s="68"/>
      <c r="BG734" s="68"/>
      <c r="BH734" s="68"/>
      <c r="BI734" s="68"/>
      <c r="BJ734" s="68"/>
      <c r="BK734" s="68"/>
      <c r="BL734" s="68"/>
      <c r="BM734" s="68"/>
      <c r="BN734" s="68"/>
    </row>
    <row r="735" spans="1:66" ht="17">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c r="AG735" s="68"/>
      <c r="AH735" s="68"/>
      <c r="AI735" s="68"/>
      <c r="AJ735" s="68"/>
      <c r="AK735" s="68"/>
      <c r="AL735" s="68"/>
      <c r="AM735" s="68"/>
      <c r="AN735" s="68"/>
      <c r="AO735" s="68"/>
      <c r="AP735" s="68"/>
      <c r="AQ735" s="68"/>
      <c r="AR735" s="68"/>
      <c r="AS735" s="68"/>
      <c r="AT735" s="68"/>
      <c r="AU735" s="68"/>
      <c r="AV735" s="68"/>
      <c r="AW735" s="68"/>
      <c r="AX735" s="68"/>
      <c r="AY735" s="68"/>
      <c r="AZ735" s="68"/>
      <c r="BA735" s="68"/>
      <c r="BB735" s="68"/>
      <c r="BC735" s="68"/>
      <c r="BD735" s="68"/>
      <c r="BE735" s="68"/>
      <c r="BF735" s="68"/>
      <c r="BG735" s="68"/>
      <c r="BH735" s="68"/>
      <c r="BI735" s="68"/>
      <c r="BJ735" s="68"/>
      <c r="BK735" s="68"/>
      <c r="BL735" s="68"/>
      <c r="BM735" s="68"/>
      <c r="BN735" s="68"/>
    </row>
    <row r="736" spans="1:66" ht="17">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c r="AG736" s="68"/>
      <c r="AH736" s="68"/>
      <c r="AI736" s="68"/>
      <c r="AJ736" s="68"/>
      <c r="AK736" s="68"/>
      <c r="AL736" s="68"/>
      <c r="AM736" s="68"/>
      <c r="AN736" s="68"/>
      <c r="AO736" s="68"/>
      <c r="AP736" s="68"/>
      <c r="AQ736" s="68"/>
      <c r="AR736" s="68"/>
      <c r="AS736" s="68"/>
      <c r="AT736" s="68"/>
      <c r="AU736" s="68"/>
      <c r="AV736" s="68"/>
      <c r="AW736" s="68"/>
      <c r="AX736" s="68"/>
      <c r="AY736" s="68"/>
      <c r="AZ736" s="68"/>
      <c r="BA736" s="68"/>
      <c r="BB736" s="68"/>
      <c r="BC736" s="68"/>
      <c r="BD736" s="68"/>
      <c r="BE736" s="68"/>
      <c r="BF736" s="68"/>
      <c r="BG736" s="68"/>
      <c r="BH736" s="68"/>
      <c r="BI736" s="68"/>
      <c r="BJ736" s="68"/>
      <c r="BK736" s="68"/>
      <c r="BL736" s="68"/>
      <c r="BM736" s="68"/>
      <c r="BN736" s="68"/>
    </row>
    <row r="737" spans="1:66" ht="1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c r="AG737" s="68"/>
      <c r="AH737" s="68"/>
      <c r="AI737" s="68"/>
      <c r="AJ737" s="68"/>
      <c r="AK737" s="68"/>
      <c r="AL737" s="68"/>
      <c r="AM737" s="68"/>
      <c r="AN737" s="68"/>
      <c r="AO737" s="68"/>
      <c r="AP737" s="68"/>
      <c r="AQ737" s="68"/>
      <c r="AR737" s="68"/>
      <c r="AS737" s="68"/>
      <c r="AT737" s="68"/>
      <c r="AU737" s="68"/>
      <c r="AV737" s="68"/>
      <c r="AW737" s="68"/>
      <c r="AX737" s="68"/>
      <c r="AY737" s="68"/>
      <c r="AZ737" s="68"/>
      <c r="BA737" s="68"/>
      <c r="BB737" s="68"/>
      <c r="BC737" s="68"/>
      <c r="BD737" s="68"/>
      <c r="BE737" s="68"/>
      <c r="BF737" s="68"/>
      <c r="BG737" s="68"/>
      <c r="BH737" s="68"/>
      <c r="BI737" s="68"/>
      <c r="BJ737" s="68"/>
      <c r="BK737" s="68"/>
      <c r="BL737" s="68"/>
      <c r="BM737" s="68"/>
      <c r="BN737" s="68"/>
    </row>
    <row r="738" spans="1:66" ht="17">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c r="AG738" s="68"/>
      <c r="AH738" s="68"/>
      <c r="AI738" s="68"/>
      <c r="AJ738" s="68"/>
      <c r="AK738" s="68"/>
      <c r="AL738" s="68"/>
      <c r="AM738" s="68"/>
      <c r="AN738" s="68"/>
      <c r="AO738" s="68"/>
      <c r="AP738" s="68"/>
      <c r="AQ738" s="68"/>
      <c r="AR738" s="68"/>
      <c r="AS738" s="68"/>
      <c r="AT738" s="68"/>
      <c r="AU738" s="68"/>
      <c r="AV738" s="68"/>
      <c r="AW738" s="68"/>
      <c r="AX738" s="68"/>
      <c r="AY738" s="68"/>
      <c r="AZ738" s="68"/>
      <c r="BA738" s="68"/>
      <c r="BB738" s="68"/>
      <c r="BC738" s="68"/>
      <c r="BD738" s="68"/>
      <c r="BE738" s="68"/>
      <c r="BF738" s="68"/>
      <c r="BG738" s="68"/>
      <c r="BH738" s="68"/>
      <c r="BI738" s="68"/>
      <c r="BJ738" s="68"/>
      <c r="BK738" s="68"/>
      <c r="BL738" s="68"/>
      <c r="BM738" s="68"/>
      <c r="BN738" s="68"/>
    </row>
    <row r="739" spans="1:66" ht="17">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c r="AG739" s="68"/>
      <c r="AH739" s="68"/>
      <c r="AI739" s="68"/>
      <c r="AJ739" s="68"/>
      <c r="AK739" s="68"/>
      <c r="AL739" s="68"/>
      <c r="AM739" s="68"/>
      <c r="AN739" s="68"/>
      <c r="AO739" s="68"/>
      <c r="AP739" s="68"/>
      <c r="AQ739" s="68"/>
      <c r="AR739" s="68"/>
      <c r="AS739" s="68"/>
      <c r="AT739" s="68"/>
      <c r="AU739" s="68"/>
      <c r="AV739" s="68"/>
      <c r="AW739" s="68"/>
      <c r="AX739" s="68"/>
      <c r="AY739" s="68"/>
      <c r="AZ739" s="68"/>
      <c r="BA739" s="68"/>
      <c r="BB739" s="68"/>
      <c r="BC739" s="68"/>
      <c r="BD739" s="68"/>
      <c r="BE739" s="68"/>
      <c r="BF739" s="68"/>
      <c r="BG739" s="68"/>
      <c r="BH739" s="68"/>
      <c r="BI739" s="68"/>
      <c r="BJ739" s="68"/>
      <c r="BK739" s="68"/>
      <c r="BL739" s="68"/>
      <c r="BM739" s="68"/>
      <c r="BN739" s="68"/>
    </row>
    <row r="740" spans="1:66" ht="17">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8"/>
      <c r="AG740" s="68"/>
      <c r="AH740" s="68"/>
      <c r="AI740" s="68"/>
      <c r="AJ740" s="68"/>
      <c r="AK740" s="68"/>
      <c r="AL740" s="68"/>
      <c r="AM740" s="68"/>
      <c r="AN740" s="68"/>
      <c r="AO740" s="68"/>
      <c r="AP740" s="68"/>
      <c r="AQ740" s="68"/>
      <c r="AR740" s="68"/>
      <c r="AS740" s="68"/>
      <c r="AT740" s="68"/>
      <c r="AU740" s="68"/>
      <c r="AV740" s="68"/>
      <c r="AW740" s="68"/>
      <c r="AX740" s="68"/>
      <c r="AY740" s="68"/>
      <c r="AZ740" s="68"/>
      <c r="BA740" s="68"/>
      <c r="BB740" s="68"/>
      <c r="BC740" s="68"/>
      <c r="BD740" s="68"/>
      <c r="BE740" s="68"/>
      <c r="BF740" s="68"/>
      <c r="BG740" s="68"/>
      <c r="BH740" s="68"/>
      <c r="BI740" s="68"/>
      <c r="BJ740" s="68"/>
      <c r="BK740" s="68"/>
      <c r="BL740" s="68"/>
      <c r="BM740" s="68"/>
      <c r="BN740" s="68"/>
    </row>
    <row r="741" spans="1:66" ht="17">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8"/>
      <c r="AG741" s="68"/>
      <c r="AH741" s="68"/>
      <c r="AI741" s="68"/>
      <c r="AJ741" s="68"/>
      <c r="AK741" s="68"/>
      <c r="AL741" s="68"/>
      <c r="AM741" s="68"/>
      <c r="AN741" s="68"/>
      <c r="AO741" s="68"/>
      <c r="AP741" s="68"/>
      <c r="AQ741" s="68"/>
      <c r="AR741" s="68"/>
      <c r="AS741" s="68"/>
      <c r="AT741" s="68"/>
      <c r="AU741" s="68"/>
      <c r="AV741" s="68"/>
      <c r="AW741" s="68"/>
      <c r="AX741" s="68"/>
      <c r="AY741" s="68"/>
      <c r="AZ741" s="68"/>
      <c r="BA741" s="68"/>
      <c r="BB741" s="68"/>
      <c r="BC741" s="68"/>
      <c r="BD741" s="68"/>
      <c r="BE741" s="68"/>
      <c r="BF741" s="68"/>
      <c r="BG741" s="68"/>
      <c r="BH741" s="68"/>
      <c r="BI741" s="68"/>
      <c r="BJ741" s="68"/>
      <c r="BK741" s="68"/>
      <c r="BL741" s="68"/>
      <c r="BM741" s="68"/>
      <c r="BN741" s="68"/>
    </row>
    <row r="742" spans="1:66" ht="17">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8"/>
      <c r="AG742" s="68"/>
      <c r="AH742" s="68"/>
      <c r="AI742" s="68"/>
      <c r="AJ742" s="68"/>
      <c r="AK742" s="68"/>
      <c r="AL742" s="68"/>
      <c r="AM742" s="68"/>
      <c r="AN742" s="68"/>
      <c r="AO742" s="68"/>
      <c r="AP742" s="68"/>
      <c r="AQ742" s="68"/>
      <c r="AR742" s="68"/>
      <c r="AS742" s="68"/>
      <c r="AT742" s="68"/>
      <c r="AU742" s="68"/>
      <c r="AV742" s="68"/>
      <c r="AW742" s="68"/>
      <c r="AX742" s="68"/>
      <c r="AY742" s="68"/>
      <c r="AZ742" s="68"/>
      <c r="BA742" s="68"/>
      <c r="BB742" s="68"/>
      <c r="BC742" s="68"/>
      <c r="BD742" s="68"/>
      <c r="BE742" s="68"/>
      <c r="BF742" s="68"/>
      <c r="BG742" s="68"/>
      <c r="BH742" s="68"/>
      <c r="BI742" s="68"/>
      <c r="BJ742" s="68"/>
      <c r="BK742" s="68"/>
      <c r="BL742" s="68"/>
      <c r="BM742" s="68"/>
      <c r="BN742" s="68"/>
    </row>
    <row r="743" spans="1:66" ht="17">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8"/>
      <c r="AG743" s="68"/>
      <c r="AH743" s="68"/>
      <c r="AI743" s="68"/>
      <c r="AJ743" s="68"/>
      <c r="AK743" s="68"/>
      <c r="AL743" s="68"/>
      <c r="AM743" s="68"/>
      <c r="AN743" s="68"/>
      <c r="AO743" s="68"/>
      <c r="AP743" s="68"/>
      <c r="AQ743" s="68"/>
      <c r="AR743" s="68"/>
      <c r="AS743" s="68"/>
      <c r="AT743" s="68"/>
      <c r="AU743" s="68"/>
      <c r="AV743" s="68"/>
      <c r="AW743" s="68"/>
      <c r="AX743" s="68"/>
      <c r="AY743" s="68"/>
      <c r="AZ743" s="68"/>
      <c r="BA743" s="68"/>
      <c r="BB743" s="68"/>
      <c r="BC743" s="68"/>
      <c r="BD743" s="68"/>
      <c r="BE743" s="68"/>
      <c r="BF743" s="68"/>
      <c r="BG743" s="68"/>
      <c r="BH743" s="68"/>
      <c r="BI743" s="68"/>
      <c r="BJ743" s="68"/>
      <c r="BK743" s="68"/>
      <c r="BL743" s="68"/>
      <c r="BM743" s="68"/>
      <c r="BN743" s="68"/>
    </row>
    <row r="744" spans="1:66" ht="17">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8"/>
      <c r="AG744" s="68"/>
      <c r="AH744" s="68"/>
      <c r="AI744" s="68"/>
      <c r="AJ744" s="68"/>
      <c r="AK744" s="68"/>
      <c r="AL744" s="68"/>
      <c r="AM744" s="68"/>
      <c r="AN744" s="68"/>
      <c r="AO744" s="68"/>
      <c r="AP744" s="68"/>
      <c r="AQ744" s="68"/>
      <c r="AR744" s="68"/>
      <c r="AS744" s="68"/>
      <c r="AT744" s="68"/>
      <c r="AU744" s="68"/>
      <c r="AV744" s="68"/>
      <c r="AW744" s="68"/>
      <c r="AX744" s="68"/>
      <c r="AY744" s="68"/>
      <c r="AZ744" s="68"/>
      <c r="BA744" s="68"/>
      <c r="BB744" s="68"/>
      <c r="BC744" s="68"/>
      <c r="BD744" s="68"/>
      <c r="BE744" s="68"/>
      <c r="BF744" s="68"/>
      <c r="BG744" s="68"/>
      <c r="BH744" s="68"/>
      <c r="BI744" s="68"/>
      <c r="BJ744" s="68"/>
      <c r="BK744" s="68"/>
      <c r="BL744" s="68"/>
      <c r="BM744" s="68"/>
      <c r="BN744" s="68"/>
    </row>
    <row r="745" spans="1:66" ht="17">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8"/>
      <c r="AG745" s="68"/>
      <c r="AH745" s="68"/>
      <c r="AI745" s="68"/>
      <c r="AJ745" s="68"/>
      <c r="AK745" s="68"/>
      <c r="AL745" s="68"/>
      <c r="AM745" s="68"/>
      <c r="AN745" s="68"/>
      <c r="AO745" s="68"/>
      <c r="AP745" s="68"/>
      <c r="AQ745" s="68"/>
      <c r="AR745" s="68"/>
      <c r="AS745" s="68"/>
      <c r="AT745" s="68"/>
      <c r="AU745" s="68"/>
      <c r="AV745" s="68"/>
      <c r="AW745" s="68"/>
      <c r="AX745" s="68"/>
      <c r="AY745" s="68"/>
      <c r="AZ745" s="68"/>
      <c r="BA745" s="68"/>
      <c r="BB745" s="68"/>
      <c r="BC745" s="68"/>
      <c r="BD745" s="68"/>
      <c r="BE745" s="68"/>
      <c r="BF745" s="68"/>
      <c r="BG745" s="68"/>
      <c r="BH745" s="68"/>
      <c r="BI745" s="68"/>
      <c r="BJ745" s="68"/>
      <c r="BK745" s="68"/>
      <c r="BL745" s="68"/>
      <c r="BM745" s="68"/>
      <c r="BN745" s="68"/>
    </row>
    <row r="746" spans="1:66" ht="17">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8"/>
      <c r="AG746" s="68"/>
      <c r="AH746" s="68"/>
      <c r="AI746" s="68"/>
      <c r="AJ746" s="68"/>
      <c r="AK746" s="68"/>
      <c r="AL746" s="68"/>
      <c r="AM746" s="68"/>
      <c r="AN746" s="68"/>
      <c r="AO746" s="68"/>
      <c r="AP746" s="68"/>
      <c r="AQ746" s="68"/>
      <c r="AR746" s="68"/>
      <c r="AS746" s="68"/>
      <c r="AT746" s="68"/>
      <c r="AU746" s="68"/>
      <c r="AV746" s="68"/>
      <c r="AW746" s="68"/>
      <c r="AX746" s="68"/>
      <c r="AY746" s="68"/>
      <c r="AZ746" s="68"/>
      <c r="BA746" s="68"/>
      <c r="BB746" s="68"/>
      <c r="BC746" s="68"/>
      <c r="BD746" s="68"/>
      <c r="BE746" s="68"/>
      <c r="BF746" s="68"/>
      <c r="BG746" s="68"/>
      <c r="BH746" s="68"/>
      <c r="BI746" s="68"/>
      <c r="BJ746" s="68"/>
      <c r="BK746" s="68"/>
      <c r="BL746" s="68"/>
      <c r="BM746" s="68"/>
      <c r="BN746" s="68"/>
    </row>
    <row r="747" spans="1:66" ht="1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8"/>
      <c r="AG747" s="68"/>
      <c r="AH747" s="68"/>
      <c r="AI747" s="68"/>
      <c r="AJ747" s="68"/>
      <c r="AK747" s="68"/>
      <c r="AL747" s="68"/>
      <c r="AM747" s="68"/>
      <c r="AN747" s="68"/>
      <c r="AO747" s="68"/>
      <c r="AP747" s="68"/>
      <c r="AQ747" s="68"/>
      <c r="AR747" s="68"/>
      <c r="AS747" s="68"/>
      <c r="AT747" s="68"/>
      <c r="AU747" s="68"/>
      <c r="AV747" s="68"/>
      <c r="AW747" s="68"/>
      <c r="AX747" s="68"/>
      <c r="AY747" s="68"/>
      <c r="AZ747" s="68"/>
      <c r="BA747" s="68"/>
      <c r="BB747" s="68"/>
      <c r="BC747" s="68"/>
      <c r="BD747" s="68"/>
      <c r="BE747" s="68"/>
      <c r="BF747" s="68"/>
      <c r="BG747" s="68"/>
      <c r="BH747" s="68"/>
      <c r="BI747" s="68"/>
      <c r="BJ747" s="68"/>
      <c r="BK747" s="68"/>
      <c r="BL747" s="68"/>
      <c r="BM747" s="68"/>
      <c r="BN747" s="68"/>
    </row>
    <row r="748" spans="1:66" ht="17">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8"/>
      <c r="AG748" s="68"/>
      <c r="AH748" s="68"/>
      <c r="AI748" s="68"/>
      <c r="AJ748" s="68"/>
      <c r="AK748" s="68"/>
      <c r="AL748" s="68"/>
      <c r="AM748" s="68"/>
      <c r="AN748" s="68"/>
      <c r="AO748" s="68"/>
      <c r="AP748" s="68"/>
      <c r="AQ748" s="68"/>
      <c r="AR748" s="68"/>
      <c r="AS748" s="68"/>
      <c r="AT748" s="68"/>
      <c r="AU748" s="68"/>
      <c r="AV748" s="68"/>
      <c r="AW748" s="68"/>
      <c r="AX748" s="68"/>
      <c r="AY748" s="68"/>
      <c r="AZ748" s="68"/>
      <c r="BA748" s="68"/>
      <c r="BB748" s="68"/>
      <c r="BC748" s="68"/>
      <c r="BD748" s="68"/>
      <c r="BE748" s="68"/>
      <c r="BF748" s="68"/>
      <c r="BG748" s="68"/>
      <c r="BH748" s="68"/>
      <c r="BI748" s="68"/>
      <c r="BJ748" s="68"/>
      <c r="BK748" s="68"/>
      <c r="BL748" s="68"/>
      <c r="BM748" s="68"/>
      <c r="BN748" s="68"/>
    </row>
    <row r="749" spans="1:66" ht="17">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8"/>
      <c r="AG749" s="68"/>
      <c r="AH749" s="68"/>
      <c r="AI749" s="68"/>
      <c r="AJ749" s="68"/>
      <c r="AK749" s="68"/>
      <c r="AL749" s="68"/>
      <c r="AM749" s="68"/>
      <c r="AN749" s="68"/>
      <c r="AO749" s="68"/>
      <c r="AP749" s="68"/>
      <c r="AQ749" s="68"/>
      <c r="AR749" s="68"/>
      <c r="AS749" s="68"/>
      <c r="AT749" s="68"/>
      <c r="AU749" s="68"/>
      <c r="AV749" s="68"/>
      <c r="AW749" s="68"/>
      <c r="AX749" s="68"/>
      <c r="AY749" s="68"/>
      <c r="AZ749" s="68"/>
      <c r="BA749" s="68"/>
      <c r="BB749" s="68"/>
      <c r="BC749" s="68"/>
      <c r="BD749" s="68"/>
      <c r="BE749" s="68"/>
      <c r="BF749" s="68"/>
      <c r="BG749" s="68"/>
      <c r="BH749" s="68"/>
      <c r="BI749" s="68"/>
      <c r="BJ749" s="68"/>
      <c r="BK749" s="68"/>
      <c r="BL749" s="68"/>
      <c r="BM749" s="68"/>
      <c r="BN749" s="68"/>
    </row>
    <row r="750" spans="1:66" ht="17">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68"/>
      <c r="AG750" s="68"/>
      <c r="AH750" s="68"/>
      <c r="AI750" s="68"/>
      <c r="AJ750" s="68"/>
      <c r="AK750" s="68"/>
      <c r="AL750" s="68"/>
      <c r="AM750" s="68"/>
      <c r="AN750" s="68"/>
      <c r="AO750" s="68"/>
      <c r="AP750" s="68"/>
      <c r="AQ750" s="68"/>
      <c r="AR750" s="68"/>
      <c r="AS750" s="68"/>
      <c r="AT750" s="68"/>
      <c r="AU750" s="68"/>
      <c r="AV750" s="68"/>
      <c r="AW750" s="68"/>
      <c r="AX750" s="68"/>
      <c r="AY750" s="68"/>
      <c r="AZ750" s="68"/>
      <c r="BA750" s="68"/>
      <c r="BB750" s="68"/>
      <c r="BC750" s="68"/>
      <c r="BD750" s="68"/>
      <c r="BE750" s="68"/>
      <c r="BF750" s="68"/>
      <c r="BG750" s="68"/>
      <c r="BH750" s="68"/>
      <c r="BI750" s="68"/>
      <c r="BJ750" s="68"/>
      <c r="BK750" s="68"/>
      <c r="BL750" s="68"/>
      <c r="BM750" s="68"/>
      <c r="BN750" s="68"/>
    </row>
    <row r="751" spans="1:66" ht="17">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8"/>
      <c r="AG751" s="68"/>
      <c r="AH751" s="68"/>
      <c r="AI751" s="68"/>
      <c r="AJ751" s="68"/>
      <c r="AK751" s="68"/>
      <c r="AL751" s="68"/>
      <c r="AM751" s="68"/>
      <c r="AN751" s="68"/>
      <c r="AO751" s="68"/>
      <c r="AP751" s="68"/>
      <c r="AQ751" s="68"/>
      <c r="AR751" s="68"/>
      <c r="AS751" s="68"/>
      <c r="AT751" s="68"/>
      <c r="AU751" s="68"/>
      <c r="AV751" s="68"/>
      <c r="AW751" s="68"/>
      <c r="AX751" s="68"/>
      <c r="AY751" s="68"/>
      <c r="AZ751" s="68"/>
      <c r="BA751" s="68"/>
      <c r="BB751" s="68"/>
      <c r="BC751" s="68"/>
      <c r="BD751" s="68"/>
      <c r="BE751" s="68"/>
      <c r="BF751" s="68"/>
      <c r="BG751" s="68"/>
      <c r="BH751" s="68"/>
      <c r="BI751" s="68"/>
      <c r="BJ751" s="68"/>
      <c r="BK751" s="68"/>
      <c r="BL751" s="68"/>
      <c r="BM751" s="68"/>
      <c r="BN751" s="68"/>
    </row>
    <row r="752" spans="1:66" ht="17">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8"/>
      <c r="AG752" s="68"/>
      <c r="AH752" s="68"/>
      <c r="AI752" s="68"/>
      <c r="AJ752" s="68"/>
      <c r="AK752" s="68"/>
      <c r="AL752" s="68"/>
      <c r="AM752" s="68"/>
      <c r="AN752" s="68"/>
      <c r="AO752" s="68"/>
      <c r="AP752" s="68"/>
      <c r="AQ752" s="68"/>
      <c r="AR752" s="68"/>
      <c r="AS752" s="68"/>
      <c r="AT752" s="68"/>
      <c r="AU752" s="68"/>
      <c r="AV752" s="68"/>
      <c r="AW752" s="68"/>
      <c r="AX752" s="68"/>
      <c r="AY752" s="68"/>
      <c r="AZ752" s="68"/>
      <c r="BA752" s="68"/>
      <c r="BB752" s="68"/>
      <c r="BC752" s="68"/>
      <c r="BD752" s="68"/>
      <c r="BE752" s="68"/>
      <c r="BF752" s="68"/>
      <c r="BG752" s="68"/>
      <c r="BH752" s="68"/>
      <c r="BI752" s="68"/>
      <c r="BJ752" s="68"/>
      <c r="BK752" s="68"/>
      <c r="BL752" s="68"/>
      <c r="BM752" s="68"/>
      <c r="BN752" s="68"/>
    </row>
    <row r="753" spans="1:66" ht="17">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8"/>
      <c r="AG753" s="68"/>
      <c r="AH753" s="68"/>
      <c r="AI753" s="68"/>
      <c r="AJ753" s="68"/>
      <c r="AK753" s="68"/>
      <c r="AL753" s="68"/>
      <c r="AM753" s="68"/>
      <c r="AN753" s="68"/>
      <c r="AO753" s="68"/>
      <c r="AP753" s="68"/>
      <c r="AQ753" s="68"/>
      <c r="AR753" s="68"/>
      <c r="AS753" s="68"/>
      <c r="AT753" s="68"/>
      <c r="AU753" s="68"/>
      <c r="AV753" s="68"/>
      <c r="AW753" s="68"/>
      <c r="AX753" s="68"/>
      <c r="AY753" s="68"/>
      <c r="AZ753" s="68"/>
      <c r="BA753" s="68"/>
      <c r="BB753" s="68"/>
      <c r="BC753" s="68"/>
      <c r="BD753" s="68"/>
      <c r="BE753" s="68"/>
      <c r="BF753" s="68"/>
      <c r="BG753" s="68"/>
      <c r="BH753" s="68"/>
      <c r="BI753" s="68"/>
      <c r="BJ753" s="68"/>
      <c r="BK753" s="68"/>
      <c r="BL753" s="68"/>
      <c r="BM753" s="68"/>
      <c r="BN753" s="68"/>
    </row>
    <row r="754" spans="1:66" ht="17">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68"/>
      <c r="AG754" s="68"/>
      <c r="AH754" s="68"/>
      <c r="AI754" s="68"/>
      <c r="AJ754" s="68"/>
      <c r="AK754" s="68"/>
      <c r="AL754" s="68"/>
      <c r="AM754" s="68"/>
      <c r="AN754" s="68"/>
      <c r="AO754" s="68"/>
      <c r="AP754" s="68"/>
      <c r="AQ754" s="68"/>
      <c r="AR754" s="68"/>
      <c r="AS754" s="68"/>
      <c r="AT754" s="68"/>
      <c r="AU754" s="68"/>
      <c r="AV754" s="68"/>
      <c r="AW754" s="68"/>
      <c r="AX754" s="68"/>
      <c r="AY754" s="68"/>
      <c r="AZ754" s="68"/>
      <c r="BA754" s="68"/>
      <c r="BB754" s="68"/>
      <c r="BC754" s="68"/>
      <c r="BD754" s="68"/>
      <c r="BE754" s="68"/>
      <c r="BF754" s="68"/>
      <c r="BG754" s="68"/>
      <c r="BH754" s="68"/>
      <c r="BI754" s="68"/>
      <c r="BJ754" s="68"/>
      <c r="BK754" s="68"/>
      <c r="BL754" s="68"/>
      <c r="BM754" s="68"/>
      <c r="BN754" s="68"/>
    </row>
    <row r="755" spans="1:66" ht="17">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8"/>
      <c r="AG755" s="68"/>
      <c r="AH755" s="68"/>
      <c r="AI755" s="68"/>
      <c r="AJ755" s="68"/>
      <c r="AK755" s="68"/>
      <c r="AL755" s="68"/>
      <c r="AM755" s="68"/>
      <c r="AN755" s="68"/>
      <c r="AO755" s="68"/>
      <c r="AP755" s="68"/>
      <c r="AQ755" s="68"/>
      <c r="AR755" s="68"/>
      <c r="AS755" s="68"/>
      <c r="AT755" s="68"/>
      <c r="AU755" s="68"/>
      <c r="AV755" s="68"/>
      <c r="AW755" s="68"/>
      <c r="AX755" s="68"/>
      <c r="AY755" s="68"/>
      <c r="AZ755" s="68"/>
      <c r="BA755" s="68"/>
      <c r="BB755" s="68"/>
      <c r="BC755" s="68"/>
      <c r="BD755" s="68"/>
      <c r="BE755" s="68"/>
      <c r="BF755" s="68"/>
      <c r="BG755" s="68"/>
      <c r="BH755" s="68"/>
      <c r="BI755" s="68"/>
      <c r="BJ755" s="68"/>
      <c r="BK755" s="68"/>
      <c r="BL755" s="68"/>
      <c r="BM755" s="68"/>
      <c r="BN755" s="68"/>
    </row>
    <row r="756" spans="1:66" ht="17">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68"/>
      <c r="AG756" s="68"/>
      <c r="AH756" s="68"/>
      <c r="AI756" s="68"/>
      <c r="AJ756" s="68"/>
      <c r="AK756" s="68"/>
      <c r="AL756" s="68"/>
      <c r="AM756" s="68"/>
      <c r="AN756" s="68"/>
      <c r="AO756" s="68"/>
      <c r="AP756" s="68"/>
      <c r="AQ756" s="68"/>
      <c r="AR756" s="68"/>
      <c r="AS756" s="68"/>
      <c r="AT756" s="68"/>
      <c r="AU756" s="68"/>
      <c r="AV756" s="68"/>
      <c r="AW756" s="68"/>
      <c r="AX756" s="68"/>
      <c r="AY756" s="68"/>
      <c r="AZ756" s="68"/>
      <c r="BA756" s="68"/>
      <c r="BB756" s="68"/>
      <c r="BC756" s="68"/>
      <c r="BD756" s="68"/>
      <c r="BE756" s="68"/>
      <c r="BF756" s="68"/>
      <c r="BG756" s="68"/>
      <c r="BH756" s="68"/>
      <c r="BI756" s="68"/>
      <c r="BJ756" s="68"/>
      <c r="BK756" s="68"/>
      <c r="BL756" s="68"/>
      <c r="BM756" s="68"/>
      <c r="BN756" s="68"/>
    </row>
    <row r="757" spans="1:66" ht="1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8"/>
      <c r="AG757" s="68"/>
      <c r="AH757" s="68"/>
      <c r="AI757" s="68"/>
      <c r="AJ757" s="68"/>
      <c r="AK757" s="68"/>
      <c r="AL757" s="68"/>
      <c r="AM757" s="68"/>
      <c r="AN757" s="68"/>
      <c r="AO757" s="68"/>
      <c r="AP757" s="68"/>
      <c r="AQ757" s="68"/>
      <c r="AR757" s="68"/>
      <c r="AS757" s="68"/>
      <c r="AT757" s="68"/>
      <c r="AU757" s="68"/>
      <c r="AV757" s="68"/>
      <c r="AW757" s="68"/>
      <c r="AX757" s="68"/>
      <c r="AY757" s="68"/>
      <c r="AZ757" s="68"/>
      <c r="BA757" s="68"/>
      <c r="BB757" s="68"/>
      <c r="BC757" s="68"/>
      <c r="BD757" s="68"/>
      <c r="BE757" s="68"/>
      <c r="BF757" s="68"/>
      <c r="BG757" s="68"/>
      <c r="BH757" s="68"/>
      <c r="BI757" s="68"/>
      <c r="BJ757" s="68"/>
      <c r="BK757" s="68"/>
      <c r="BL757" s="68"/>
      <c r="BM757" s="68"/>
      <c r="BN757" s="68"/>
    </row>
    <row r="758" spans="1:66" ht="17">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68"/>
      <c r="AG758" s="68"/>
      <c r="AH758" s="68"/>
      <c r="AI758" s="68"/>
      <c r="AJ758" s="68"/>
      <c r="AK758" s="68"/>
      <c r="AL758" s="68"/>
      <c r="AM758" s="68"/>
      <c r="AN758" s="68"/>
      <c r="AO758" s="68"/>
      <c r="AP758" s="68"/>
      <c r="AQ758" s="68"/>
      <c r="AR758" s="68"/>
      <c r="AS758" s="68"/>
      <c r="AT758" s="68"/>
      <c r="AU758" s="68"/>
      <c r="AV758" s="68"/>
      <c r="AW758" s="68"/>
      <c r="AX758" s="68"/>
      <c r="AY758" s="68"/>
      <c r="AZ758" s="68"/>
      <c r="BA758" s="68"/>
      <c r="BB758" s="68"/>
      <c r="BC758" s="68"/>
      <c r="BD758" s="68"/>
      <c r="BE758" s="68"/>
      <c r="BF758" s="68"/>
      <c r="BG758" s="68"/>
      <c r="BH758" s="68"/>
      <c r="BI758" s="68"/>
      <c r="BJ758" s="68"/>
      <c r="BK758" s="68"/>
      <c r="BL758" s="68"/>
      <c r="BM758" s="68"/>
      <c r="BN758" s="68"/>
    </row>
    <row r="759" spans="1:66" ht="17">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68"/>
      <c r="AG759" s="68"/>
      <c r="AH759" s="68"/>
      <c r="AI759" s="68"/>
      <c r="AJ759" s="68"/>
      <c r="AK759" s="68"/>
      <c r="AL759" s="68"/>
      <c r="AM759" s="68"/>
      <c r="AN759" s="68"/>
      <c r="AO759" s="68"/>
      <c r="AP759" s="68"/>
      <c r="AQ759" s="68"/>
      <c r="AR759" s="68"/>
      <c r="AS759" s="68"/>
      <c r="AT759" s="68"/>
      <c r="AU759" s="68"/>
      <c r="AV759" s="68"/>
      <c r="AW759" s="68"/>
      <c r="AX759" s="68"/>
      <c r="AY759" s="68"/>
      <c r="AZ759" s="68"/>
      <c r="BA759" s="68"/>
      <c r="BB759" s="68"/>
      <c r="BC759" s="68"/>
      <c r="BD759" s="68"/>
      <c r="BE759" s="68"/>
      <c r="BF759" s="68"/>
      <c r="BG759" s="68"/>
      <c r="BH759" s="68"/>
      <c r="BI759" s="68"/>
      <c r="BJ759" s="68"/>
      <c r="BK759" s="68"/>
      <c r="BL759" s="68"/>
      <c r="BM759" s="68"/>
      <c r="BN759" s="68"/>
    </row>
    <row r="760" spans="1:66" ht="17">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8"/>
      <c r="AG760" s="68"/>
      <c r="AH760" s="68"/>
      <c r="AI760" s="68"/>
      <c r="AJ760" s="68"/>
      <c r="AK760" s="68"/>
      <c r="AL760" s="68"/>
      <c r="AM760" s="68"/>
      <c r="AN760" s="68"/>
      <c r="AO760" s="68"/>
      <c r="AP760" s="68"/>
      <c r="AQ760" s="68"/>
      <c r="AR760" s="68"/>
      <c r="AS760" s="68"/>
      <c r="AT760" s="68"/>
      <c r="AU760" s="68"/>
      <c r="AV760" s="68"/>
      <c r="AW760" s="68"/>
      <c r="AX760" s="68"/>
      <c r="AY760" s="68"/>
      <c r="AZ760" s="68"/>
      <c r="BA760" s="68"/>
      <c r="BB760" s="68"/>
      <c r="BC760" s="68"/>
      <c r="BD760" s="68"/>
      <c r="BE760" s="68"/>
      <c r="BF760" s="68"/>
      <c r="BG760" s="68"/>
      <c r="BH760" s="68"/>
      <c r="BI760" s="68"/>
      <c r="BJ760" s="68"/>
      <c r="BK760" s="68"/>
      <c r="BL760" s="68"/>
      <c r="BM760" s="68"/>
      <c r="BN760" s="68"/>
    </row>
    <row r="761" spans="1:66" ht="17">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68"/>
      <c r="AG761" s="68"/>
      <c r="AH761" s="68"/>
      <c r="AI761" s="68"/>
      <c r="AJ761" s="68"/>
      <c r="AK761" s="68"/>
      <c r="AL761" s="68"/>
      <c r="AM761" s="68"/>
      <c r="AN761" s="68"/>
      <c r="AO761" s="68"/>
      <c r="AP761" s="68"/>
      <c r="AQ761" s="68"/>
      <c r="AR761" s="68"/>
      <c r="AS761" s="68"/>
      <c r="AT761" s="68"/>
      <c r="AU761" s="68"/>
      <c r="AV761" s="68"/>
      <c r="AW761" s="68"/>
      <c r="AX761" s="68"/>
      <c r="AY761" s="68"/>
      <c r="AZ761" s="68"/>
      <c r="BA761" s="68"/>
      <c r="BB761" s="68"/>
      <c r="BC761" s="68"/>
      <c r="BD761" s="68"/>
      <c r="BE761" s="68"/>
      <c r="BF761" s="68"/>
      <c r="BG761" s="68"/>
      <c r="BH761" s="68"/>
      <c r="BI761" s="68"/>
      <c r="BJ761" s="68"/>
      <c r="BK761" s="68"/>
      <c r="BL761" s="68"/>
      <c r="BM761" s="68"/>
      <c r="BN761" s="68"/>
    </row>
    <row r="762" spans="1:66" ht="17">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8"/>
      <c r="AG762" s="68"/>
      <c r="AH762" s="68"/>
      <c r="AI762" s="68"/>
      <c r="AJ762" s="68"/>
      <c r="AK762" s="68"/>
      <c r="AL762" s="68"/>
      <c r="AM762" s="68"/>
      <c r="AN762" s="68"/>
      <c r="AO762" s="68"/>
      <c r="AP762" s="68"/>
      <c r="AQ762" s="68"/>
      <c r="AR762" s="68"/>
      <c r="AS762" s="68"/>
      <c r="AT762" s="68"/>
      <c r="AU762" s="68"/>
      <c r="AV762" s="68"/>
      <c r="AW762" s="68"/>
      <c r="AX762" s="68"/>
      <c r="AY762" s="68"/>
      <c r="AZ762" s="68"/>
      <c r="BA762" s="68"/>
      <c r="BB762" s="68"/>
      <c r="BC762" s="68"/>
      <c r="BD762" s="68"/>
      <c r="BE762" s="68"/>
      <c r="BF762" s="68"/>
      <c r="BG762" s="68"/>
      <c r="BH762" s="68"/>
      <c r="BI762" s="68"/>
      <c r="BJ762" s="68"/>
      <c r="BK762" s="68"/>
      <c r="BL762" s="68"/>
      <c r="BM762" s="68"/>
      <c r="BN762" s="68"/>
    </row>
    <row r="763" spans="1:66" ht="17">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8"/>
      <c r="AG763" s="68"/>
      <c r="AH763" s="68"/>
      <c r="AI763" s="68"/>
      <c r="AJ763" s="68"/>
      <c r="AK763" s="68"/>
      <c r="AL763" s="68"/>
      <c r="AM763" s="68"/>
      <c r="AN763" s="68"/>
      <c r="AO763" s="68"/>
      <c r="AP763" s="68"/>
      <c r="AQ763" s="68"/>
      <c r="AR763" s="68"/>
      <c r="AS763" s="68"/>
      <c r="AT763" s="68"/>
      <c r="AU763" s="68"/>
      <c r="AV763" s="68"/>
      <c r="AW763" s="68"/>
      <c r="AX763" s="68"/>
      <c r="AY763" s="68"/>
      <c r="AZ763" s="68"/>
      <c r="BA763" s="68"/>
      <c r="BB763" s="68"/>
      <c r="BC763" s="68"/>
      <c r="BD763" s="68"/>
      <c r="BE763" s="68"/>
      <c r="BF763" s="68"/>
      <c r="BG763" s="68"/>
      <c r="BH763" s="68"/>
      <c r="BI763" s="68"/>
      <c r="BJ763" s="68"/>
      <c r="BK763" s="68"/>
      <c r="BL763" s="68"/>
      <c r="BM763" s="68"/>
      <c r="BN763" s="68"/>
    </row>
    <row r="764" spans="1:66" ht="17">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68"/>
      <c r="AG764" s="68"/>
      <c r="AH764" s="68"/>
      <c r="AI764" s="68"/>
      <c r="AJ764" s="68"/>
      <c r="AK764" s="68"/>
      <c r="AL764" s="68"/>
      <c r="AM764" s="68"/>
      <c r="AN764" s="68"/>
      <c r="AO764" s="68"/>
      <c r="AP764" s="68"/>
      <c r="AQ764" s="68"/>
      <c r="AR764" s="68"/>
      <c r="AS764" s="68"/>
      <c r="AT764" s="68"/>
      <c r="AU764" s="68"/>
      <c r="AV764" s="68"/>
      <c r="AW764" s="68"/>
      <c r="AX764" s="68"/>
      <c r="AY764" s="68"/>
      <c r="AZ764" s="68"/>
      <c r="BA764" s="68"/>
      <c r="BB764" s="68"/>
      <c r="BC764" s="68"/>
      <c r="BD764" s="68"/>
      <c r="BE764" s="68"/>
      <c r="BF764" s="68"/>
      <c r="BG764" s="68"/>
      <c r="BH764" s="68"/>
      <c r="BI764" s="68"/>
      <c r="BJ764" s="68"/>
      <c r="BK764" s="68"/>
      <c r="BL764" s="68"/>
      <c r="BM764" s="68"/>
      <c r="BN764" s="68"/>
    </row>
    <row r="765" spans="1:66" ht="17">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8"/>
      <c r="AG765" s="68"/>
      <c r="AH765" s="68"/>
      <c r="AI765" s="68"/>
      <c r="AJ765" s="68"/>
      <c r="AK765" s="68"/>
      <c r="AL765" s="68"/>
      <c r="AM765" s="68"/>
      <c r="AN765" s="68"/>
      <c r="AO765" s="68"/>
      <c r="AP765" s="68"/>
      <c r="AQ765" s="68"/>
      <c r="AR765" s="68"/>
      <c r="AS765" s="68"/>
      <c r="AT765" s="68"/>
      <c r="AU765" s="68"/>
      <c r="AV765" s="68"/>
      <c r="AW765" s="68"/>
      <c r="AX765" s="68"/>
      <c r="AY765" s="68"/>
      <c r="AZ765" s="68"/>
      <c r="BA765" s="68"/>
      <c r="BB765" s="68"/>
      <c r="BC765" s="68"/>
      <c r="BD765" s="68"/>
      <c r="BE765" s="68"/>
      <c r="BF765" s="68"/>
      <c r="BG765" s="68"/>
      <c r="BH765" s="68"/>
      <c r="BI765" s="68"/>
      <c r="BJ765" s="68"/>
      <c r="BK765" s="68"/>
      <c r="BL765" s="68"/>
      <c r="BM765" s="68"/>
      <c r="BN765" s="68"/>
    </row>
    <row r="766" spans="1:66" ht="17">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8"/>
      <c r="AG766" s="68"/>
      <c r="AH766" s="68"/>
      <c r="AI766" s="68"/>
      <c r="AJ766" s="68"/>
      <c r="AK766" s="68"/>
      <c r="AL766" s="68"/>
      <c r="AM766" s="68"/>
      <c r="AN766" s="68"/>
      <c r="AO766" s="68"/>
      <c r="AP766" s="68"/>
      <c r="AQ766" s="68"/>
      <c r="AR766" s="68"/>
      <c r="AS766" s="68"/>
      <c r="AT766" s="68"/>
      <c r="AU766" s="68"/>
      <c r="AV766" s="68"/>
      <c r="AW766" s="68"/>
      <c r="AX766" s="68"/>
      <c r="AY766" s="68"/>
      <c r="AZ766" s="68"/>
      <c r="BA766" s="68"/>
      <c r="BB766" s="68"/>
      <c r="BC766" s="68"/>
      <c r="BD766" s="68"/>
      <c r="BE766" s="68"/>
      <c r="BF766" s="68"/>
      <c r="BG766" s="68"/>
      <c r="BH766" s="68"/>
      <c r="BI766" s="68"/>
      <c r="BJ766" s="68"/>
      <c r="BK766" s="68"/>
      <c r="BL766" s="68"/>
      <c r="BM766" s="68"/>
      <c r="BN766" s="68"/>
    </row>
    <row r="767" spans="1:66" ht="1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68"/>
      <c r="AG767" s="68"/>
      <c r="AH767" s="68"/>
      <c r="AI767" s="68"/>
      <c r="AJ767" s="68"/>
      <c r="AK767" s="68"/>
      <c r="AL767" s="68"/>
      <c r="AM767" s="68"/>
      <c r="AN767" s="68"/>
      <c r="AO767" s="68"/>
      <c r="AP767" s="68"/>
      <c r="AQ767" s="68"/>
      <c r="AR767" s="68"/>
      <c r="AS767" s="68"/>
      <c r="AT767" s="68"/>
      <c r="AU767" s="68"/>
      <c r="AV767" s="68"/>
      <c r="AW767" s="68"/>
      <c r="AX767" s="68"/>
      <c r="AY767" s="68"/>
      <c r="AZ767" s="68"/>
      <c r="BA767" s="68"/>
      <c r="BB767" s="68"/>
      <c r="BC767" s="68"/>
      <c r="BD767" s="68"/>
      <c r="BE767" s="68"/>
      <c r="BF767" s="68"/>
      <c r="BG767" s="68"/>
      <c r="BH767" s="68"/>
      <c r="BI767" s="68"/>
      <c r="BJ767" s="68"/>
      <c r="BK767" s="68"/>
      <c r="BL767" s="68"/>
      <c r="BM767" s="68"/>
      <c r="BN767" s="68"/>
    </row>
    <row r="768" spans="1:66" ht="17">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8"/>
      <c r="AG768" s="68"/>
      <c r="AH768" s="68"/>
      <c r="AI768" s="68"/>
      <c r="AJ768" s="68"/>
      <c r="AK768" s="68"/>
      <c r="AL768" s="68"/>
      <c r="AM768" s="68"/>
      <c r="AN768" s="68"/>
      <c r="AO768" s="68"/>
      <c r="AP768" s="68"/>
      <c r="AQ768" s="68"/>
      <c r="AR768" s="68"/>
      <c r="AS768" s="68"/>
      <c r="AT768" s="68"/>
      <c r="AU768" s="68"/>
      <c r="AV768" s="68"/>
      <c r="AW768" s="68"/>
      <c r="AX768" s="68"/>
      <c r="AY768" s="68"/>
      <c r="AZ768" s="68"/>
      <c r="BA768" s="68"/>
      <c r="BB768" s="68"/>
      <c r="BC768" s="68"/>
      <c r="BD768" s="68"/>
      <c r="BE768" s="68"/>
      <c r="BF768" s="68"/>
      <c r="BG768" s="68"/>
      <c r="BH768" s="68"/>
      <c r="BI768" s="68"/>
      <c r="BJ768" s="68"/>
      <c r="BK768" s="68"/>
      <c r="BL768" s="68"/>
      <c r="BM768" s="68"/>
      <c r="BN768" s="68"/>
    </row>
    <row r="769" spans="1:66" ht="17">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68"/>
      <c r="AG769" s="68"/>
      <c r="AH769" s="68"/>
      <c r="AI769" s="68"/>
      <c r="AJ769" s="68"/>
      <c r="AK769" s="68"/>
      <c r="AL769" s="68"/>
      <c r="AM769" s="68"/>
      <c r="AN769" s="68"/>
      <c r="AO769" s="68"/>
      <c r="AP769" s="68"/>
      <c r="AQ769" s="68"/>
      <c r="AR769" s="68"/>
      <c r="AS769" s="68"/>
      <c r="AT769" s="68"/>
      <c r="AU769" s="68"/>
      <c r="AV769" s="68"/>
      <c r="AW769" s="68"/>
      <c r="AX769" s="68"/>
      <c r="AY769" s="68"/>
      <c r="AZ769" s="68"/>
      <c r="BA769" s="68"/>
      <c r="BB769" s="68"/>
      <c r="BC769" s="68"/>
      <c r="BD769" s="68"/>
      <c r="BE769" s="68"/>
      <c r="BF769" s="68"/>
      <c r="BG769" s="68"/>
      <c r="BH769" s="68"/>
      <c r="BI769" s="68"/>
      <c r="BJ769" s="68"/>
      <c r="BK769" s="68"/>
      <c r="BL769" s="68"/>
      <c r="BM769" s="68"/>
      <c r="BN769" s="68"/>
    </row>
    <row r="770" spans="1:66" ht="17">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68"/>
      <c r="AG770" s="68"/>
      <c r="AH770" s="68"/>
      <c r="AI770" s="68"/>
      <c r="AJ770" s="68"/>
      <c r="AK770" s="68"/>
      <c r="AL770" s="68"/>
      <c r="AM770" s="68"/>
      <c r="AN770" s="68"/>
      <c r="AO770" s="68"/>
      <c r="AP770" s="68"/>
      <c r="AQ770" s="68"/>
      <c r="AR770" s="68"/>
      <c r="AS770" s="68"/>
      <c r="AT770" s="68"/>
      <c r="AU770" s="68"/>
      <c r="AV770" s="68"/>
      <c r="AW770" s="68"/>
      <c r="AX770" s="68"/>
      <c r="AY770" s="68"/>
      <c r="AZ770" s="68"/>
      <c r="BA770" s="68"/>
      <c r="BB770" s="68"/>
      <c r="BC770" s="68"/>
      <c r="BD770" s="68"/>
      <c r="BE770" s="68"/>
      <c r="BF770" s="68"/>
      <c r="BG770" s="68"/>
      <c r="BH770" s="68"/>
      <c r="BI770" s="68"/>
      <c r="BJ770" s="68"/>
      <c r="BK770" s="68"/>
      <c r="BL770" s="68"/>
      <c r="BM770" s="68"/>
      <c r="BN770" s="68"/>
    </row>
    <row r="771" spans="1:66" ht="17">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8"/>
      <c r="AG771" s="68"/>
      <c r="AH771" s="68"/>
      <c r="AI771" s="68"/>
      <c r="AJ771" s="68"/>
      <c r="AK771" s="68"/>
      <c r="AL771" s="68"/>
      <c r="AM771" s="68"/>
      <c r="AN771" s="68"/>
      <c r="AO771" s="68"/>
      <c r="AP771" s="68"/>
      <c r="AQ771" s="68"/>
      <c r="AR771" s="68"/>
      <c r="AS771" s="68"/>
      <c r="AT771" s="68"/>
      <c r="AU771" s="68"/>
      <c r="AV771" s="68"/>
      <c r="AW771" s="68"/>
      <c r="AX771" s="68"/>
      <c r="AY771" s="68"/>
      <c r="AZ771" s="68"/>
      <c r="BA771" s="68"/>
      <c r="BB771" s="68"/>
      <c r="BC771" s="68"/>
      <c r="BD771" s="68"/>
      <c r="BE771" s="68"/>
      <c r="BF771" s="68"/>
      <c r="BG771" s="68"/>
      <c r="BH771" s="68"/>
      <c r="BI771" s="68"/>
      <c r="BJ771" s="68"/>
      <c r="BK771" s="68"/>
      <c r="BL771" s="68"/>
      <c r="BM771" s="68"/>
      <c r="BN771" s="68"/>
    </row>
    <row r="772" spans="1:66" ht="17">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68"/>
      <c r="AG772" s="68"/>
      <c r="AH772" s="68"/>
      <c r="AI772" s="68"/>
      <c r="AJ772" s="68"/>
      <c r="AK772" s="68"/>
      <c r="AL772" s="68"/>
      <c r="AM772" s="68"/>
      <c r="AN772" s="68"/>
      <c r="AO772" s="68"/>
      <c r="AP772" s="68"/>
      <c r="AQ772" s="68"/>
      <c r="AR772" s="68"/>
      <c r="AS772" s="68"/>
      <c r="AT772" s="68"/>
      <c r="AU772" s="68"/>
      <c r="AV772" s="68"/>
      <c r="AW772" s="68"/>
      <c r="AX772" s="68"/>
      <c r="AY772" s="68"/>
      <c r="AZ772" s="68"/>
      <c r="BA772" s="68"/>
      <c r="BB772" s="68"/>
      <c r="BC772" s="68"/>
      <c r="BD772" s="68"/>
      <c r="BE772" s="68"/>
      <c r="BF772" s="68"/>
      <c r="BG772" s="68"/>
      <c r="BH772" s="68"/>
      <c r="BI772" s="68"/>
      <c r="BJ772" s="68"/>
      <c r="BK772" s="68"/>
      <c r="BL772" s="68"/>
      <c r="BM772" s="68"/>
      <c r="BN772" s="68"/>
    </row>
    <row r="773" spans="1:66" ht="17">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8"/>
      <c r="AG773" s="68"/>
      <c r="AH773" s="68"/>
      <c r="AI773" s="68"/>
      <c r="AJ773" s="68"/>
      <c r="AK773" s="68"/>
      <c r="AL773" s="68"/>
      <c r="AM773" s="68"/>
      <c r="AN773" s="68"/>
      <c r="AO773" s="68"/>
      <c r="AP773" s="68"/>
      <c r="AQ773" s="68"/>
      <c r="AR773" s="68"/>
      <c r="AS773" s="68"/>
      <c r="AT773" s="68"/>
      <c r="AU773" s="68"/>
      <c r="AV773" s="68"/>
      <c r="AW773" s="68"/>
      <c r="AX773" s="68"/>
      <c r="AY773" s="68"/>
      <c r="AZ773" s="68"/>
      <c r="BA773" s="68"/>
      <c r="BB773" s="68"/>
      <c r="BC773" s="68"/>
      <c r="BD773" s="68"/>
      <c r="BE773" s="68"/>
      <c r="BF773" s="68"/>
      <c r="BG773" s="68"/>
      <c r="BH773" s="68"/>
      <c r="BI773" s="68"/>
      <c r="BJ773" s="68"/>
      <c r="BK773" s="68"/>
      <c r="BL773" s="68"/>
      <c r="BM773" s="68"/>
      <c r="BN773" s="68"/>
    </row>
    <row r="774" spans="1:66" ht="17">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68"/>
      <c r="AG774" s="68"/>
      <c r="AH774" s="68"/>
      <c r="AI774" s="68"/>
      <c r="AJ774" s="68"/>
      <c r="AK774" s="68"/>
      <c r="AL774" s="68"/>
      <c r="AM774" s="68"/>
      <c r="AN774" s="68"/>
      <c r="AO774" s="68"/>
      <c r="AP774" s="68"/>
      <c r="AQ774" s="68"/>
      <c r="AR774" s="68"/>
      <c r="AS774" s="68"/>
      <c r="AT774" s="68"/>
      <c r="AU774" s="68"/>
      <c r="AV774" s="68"/>
      <c r="AW774" s="68"/>
      <c r="AX774" s="68"/>
      <c r="AY774" s="68"/>
      <c r="AZ774" s="68"/>
      <c r="BA774" s="68"/>
      <c r="BB774" s="68"/>
      <c r="BC774" s="68"/>
      <c r="BD774" s="68"/>
      <c r="BE774" s="68"/>
      <c r="BF774" s="68"/>
      <c r="BG774" s="68"/>
      <c r="BH774" s="68"/>
      <c r="BI774" s="68"/>
      <c r="BJ774" s="68"/>
      <c r="BK774" s="68"/>
      <c r="BL774" s="68"/>
      <c r="BM774" s="68"/>
      <c r="BN774" s="68"/>
    </row>
    <row r="775" spans="1:66" ht="17">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68"/>
      <c r="AG775" s="68"/>
      <c r="AH775" s="68"/>
      <c r="AI775" s="68"/>
      <c r="AJ775" s="68"/>
      <c r="AK775" s="68"/>
      <c r="AL775" s="68"/>
      <c r="AM775" s="68"/>
      <c r="AN775" s="68"/>
      <c r="AO775" s="68"/>
      <c r="AP775" s="68"/>
      <c r="AQ775" s="68"/>
      <c r="AR775" s="68"/>
      <c r="AS775" s="68"/>
      <c r="AT775" s="68"/>
      <c r="AU775" s="68"/>
      <c r="AV775" s="68"/>
      <c r="AW775" s="68"/>
      <c r="AX775" s="68"/>
      <c r="AY775" s="68"/>
      <c r="AZ775" s="68"/>
      <c r="BA775" s="68"/>
      <c r="BB775" s="68"/>
      <c r="BC775" s="68"/>
      <c r="BD775" s="68"/>
      <c r="BE775" s="68"/>
      <c r="BF775" s="68"/>
      <c r="BG775" s="68"/>
      <c r="BH775" s="68"/>
      <c r="BI775" s="68"/>
      <c r="BJ775" s="68"/>
      <c r="BK775" s="68"/>
      <c r="BL775" s="68"/>
      <c r="BM775" s="68"/>
      <c r="BN775" s="68"/>
    </row>
    <row r="776" spans="1:66" ht="17">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68"/>
      <c r="AG776" s="68"/>
      <c r="AH776" s="68"/>
      <c r="AI776" s="68"/>
      <c r="AJ776" s="68"/>
      <c r="AK776" s="68"/>
      <c r="AL776" s="68"/>
      <c r="AM776" s="68"/>
      <c r="AN776" s="68"/>
      <c r="AO776" s="68"/>
      <c r="AP776" s="68"/>
      <c r="AQ776" s="68"/>
      <c r="AR776" s="68"/>
      <c r="AS776" s="68"/>
      <c r="AT776" s="68"/>
      <c r="AU776" s="68"/>
      <c r="AV776" s="68"/>
      <c r="AW776" s="68"/>
      <c r="AX776" s="68"/>
      <c r="AY776" s="68"/>
      <c r="AZ776" s="68"/>
      <c r="BA776" s="68"/>
      <c r="BB776" s="68"/>
      <c r="BC776" s="68"/>
      <c r="BD776" s="68"/>
      <c r="BE776" s="68"/>
      <c r="BF776" s="68"/>
      <c r="BG776" s="68"/>
      <c r="BH776" s="68"/>
      <c r="BI776" s="68"/>
      <c r="BJ776" s="68"/>
      <c r="BK776" s="68"/>
      <c r="BL776" s="68"/>
      <c r="BM776" s="68"/>
      <c r="BN776" s="68"/>
    </row>
    <row r="777" spans="1:66" ht="1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8"/>
      <c r="AG777" s="68"/>
      <c r="AH777" s="68"/>
      <c r="AI777" s="68"/>
      <c r="AJ777" s="68"/>
      <c r="AK777" s="68"/>
      <c r="AL777" s="68"/>
      <c r="AM777" s="68"/>
      <c r="AN777" s="68"/>
      <c r="AO777" s="68"/>
      <c r="AP777" s="68"/>
      <c r="AQ777" s="68"/>
      <c r="AR777" s="68"/>
      <c r="AS777" s="68"/>
      <c r="AT777" s="68"/>
      <c r="AU777" s="68"/>
      <c r="AV777" s="68"/>
      <c r="AW777" s="68"/>
      <c r="AX777" s="68"/>
      <c r="AY777" s="68"/>
      <c r="AZ777" s="68"/>
      <c r="BA777" s="68"/>
      <c r="BB777" s="68"/>
      <c r="BC777" s="68"/>
      <c r="BD777" s="68"/>
      <c r="BE777" s="68"/>
      <c r="BF777" s="68"/>
      <c r="BG777" s="68"/>
      <c r="BH777" s="68"/>
      <c r="BI777" s="68"/>
      <c r="BJ777" s="68"/>
      <c r="BK777" s="68"/>
      <c r="BL777" s="68"/>
      <c r="BM777" s="68"/>
      <c r="BN777" s="68"/>
    </row>
    <row r="778" spans="1:66" ht="17">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8"/>
      <c r="AG778" s="68"/>
      <c r="AH778" s="68"/>
      <c r="AI778" s="68"/>
      <c r="AJ778" s="68"/>
      <c r="AK778" s="68"/>
      <c r="AL778" s="68"/>
      <c r="AM778" s="68"/>
      <c r="AN778" s="68"/>
      <c r="AO778" s="68"/>
      <c r="AP778" s="68"/>
      <c r="AQ778" s="68"/>
      <c r="AR778" s="68"/>
      <c r="AS778" s="68"/>
      <c r="AT778" s="68"/>
      <c r="AU778" s="68"/>
      <c r="AV778" s="68"/>
      <c r="AW778" s="68"/>
      <c r="AX778" s="68"/>
      <c r="AY778" s="68"/>
      <c r="AZ778" s="68"/>
      <c r="BA778" s="68"/>
      <c r="BB778" s="68"/>
      <c r="BC778" s="68"/>
      <c r="BD778" s="68"/>
      <c r="BE778" s="68"/>
      <c r="BF778" s="68"/>
      <c r="BG778" s="68"/>
      <c r="BH778" s="68"/>
      <c r="BI778" s="68"/>
      <c r="BJ778" s="68"/>
      <c r="BK778" s="68"/>
      <c r="BL778" s="68"/>
      <c r="BM778" s="68"/>
      <c r="BN778" s="68"/>
    </row>
    <row r="779" spans="1:66" ht="17">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8"/>
      <c r="AG779" s="68"/>
      <c r="AH779" s="68"/>
      <c r="AI779" s="68"/>
      <c r="AJ779" s="68"/>
      <c r="AK779" s="68"/>
      <c r="AL779" s="68"/>
      <c r="AM779" s="68"/>
      <c r="AN779" s="68"/>
      <c r="AO779" s="68"/>
      <c r="AP779" s="68"/>
      <c r="AQ779" s="68"/>
      <c r="AR779" s="68"/>
      <c r="AS779" s="68"/>
      <c r="AT779" s="68"/>
      <c r="AU779" s="68"/>
      <c r="AV779" s="68"/>
      <c r="AW779" s="68"/>
      <c r="AX779" s="68"/>
      <c r="AY779" s="68"/>
      <c r="AZ779" s="68"/>
      <c r="BA779" s="68"/>
      <c r="BB779" s="68"/>
      <c r="BC779" s="68"/>
      <c r="BD779" s="68"/>
      <c r="BE779" s="68"/>
      <c r="BF779" s="68"/>
      <c r="BG779" s="68"/>
      <c r="BH779" s="68"/>
      <c r="BI779" s="68"/>
      <c r="BJ779" s="68"/>
      <c r="BK779" s="68"/>
      <c r="BL779" s="68"/>
      <c r="BM779" s="68"/>
      <c r="BN779" s="68"/>
    </row>
    <row r="780" spans="1:66" ht="17">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8"/>
      <c r="AG780" s="68"/>
      <c r="AH780" s="68"/>
      <c r="AI780" s="68"/>
      <c r="AJ780" s="68"/>
      <c r="AK780" s="68"/>
      <c r="AL780" s="68"/>
      <c r="AM780" s="68"/>
      <c r="AN780" s="68"/>
      <c r="AO780" s="68"/>
      <c r="AP780" s="68"/>
      <c r="AQ780" s="68"/>
      <c r="AR780" s="68"/>
      <c r="AS780" s="68"/>
      <c r="AT780" s="68"/>
      <c r="AU780" s="68"/>
      <c r="AV780" s="68"/>
      <c r="AW780" s="68"/>
      <c r="AX780" s="68"/>
      <c r="AY780" s="68"/>
      <c r="AZ780" s="68"/>
      <c r="BA780" s="68"/>
      <c r="BB780" s="68"/>
      <c r="BC780" s="68"/>
      <c r="BD780" s="68"/>
      <c r="BE780" s="68"/>
      <c r="BF780" s="68"/>
      <c r="BG780" s="68"/>
      <c r="BH780" s="68"/>
      <c r="BI780" s="68"/>
      <c r="BJ780" s="68"/>
      <c r="BK780" s="68"/>
      <c r="BL780" s="68"/>
      <c r="BM780" s="68"/>
      <c r="BN780" s="68"/>
    </row>
    <row r="781" spans="1:66" ht="17">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8"/>
      <c r="AG781" s="68"/>
      <c r="AH781" s="68"/>
      <c r="AI781" s="68"/>
      <c r="AJ781" s="68"/>
      <c r="AK781" s="68"/>
      <c r="AL781" s="68"/>
      <c r="AM781" s="68"/>
      <c r="AN781" s="68"/>
      <c r="AO781" s="68"/>
      <c r="AP781" s="68"/>
      <c r="AQ781" s="68"/>
      <c r="AR781" s="68"/>
      <c r="AS781" s="68"/>
      <c r="AT781" s="68"/>
      <c r="AU781" s="68"/>
      <c r="AV781" s="68"/>
      <c r="AW781" s="68"/>
      <c r="AX781" s="68"/>
      <c r="AY781" s="68"/>
      <c r="AZ781" s="68"/>
      <c r="BA781" s="68"/>
      <c r="BB781" s="68"/>
      <c r="BC781" s="68"/>
      <c r="BD781" s="68"/>
      <c r="BE781" s="68"/>
      <c r="BF781" s="68"/>
      <c r="BG781" s="68"/>
      <c r="BH781" s="68"/>
      <c r="BI781" s="68"/>
      <c r="BJ781" s="68"/>
      <c r="BK781" s="68"/>
      <c r="BL781" s="68"/>
      <c r="BM781" s="68"/>
      <c r="BN781" s="68"/>
    </row>
    <row r="782" spans="1:66" ht="17">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8"/>
      <c r="AG782" s="68"/>
      <c r="AH782" s="68"/>
      <c r="AI782" s="68"/>
      <c r="AJ782" s="68"/>
      <c r="AK782" s="68"/>
      <c r="AL782" s="68"/>
      <c r="AM782" s="68"/>
      <c r="AN782" s="68"/>
      <c r="AO782" s="68"/>
      <c r="AP782" s="68"/>
      <c r="AQ782" s="68"/>
      <c r="AR782" s="68"/>
      <c r="AS782" s="68"/>
      <c r="AT782" s="68"/>
      <c r="AU782" s="68"/>
      <c r="AV782" s="68"/>
      <c r="AW782" s="68"/>
      <c r="AX782" s="68"/>
      <c r="AY782" s="68"/>
      <c r="AZ782" s="68"/>
      <c r="BA782" s="68"/>
      <c r="BB782" s="68"/>
      <c r="BC782" s="68"/>
      <c r="BD782" s="68"/>
      <c r="BE782" s="68"/>
      <c r="BF782" s="68"/>
      <c r="BG782" s="68"/>
      <c r="BH782" s="68"/>
      <c r="BI782" s="68"/>
      <c r="BJ782" s="68"/>
      <c r="BK782" s="68"/>
      <c r="BL782" s="68"/>
      <c r="BM782" s="68"/>
      <c r="BN782" s="68"/>
    </row>
    <row r="783" spans="1:66" ht="17">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8"/>
      <c r="AG783" s="68"/>
      <c r="AH783" s="68"/>
      <c r="AI783" s="68"/>
      <c r="AJ783" s="68"/>
      <c r="AK783" s="68"/>
      <c r="AL783" s="68"/>
      <c r="AM783" s="68"/>
      <c r="AN783" s="68"/>
      <c r="AO783" s="68"/>
      <c r="AP783" s="68"/>
      <c r="AQ783" s="68"/>
      <c r="AR783" s="68"/>
      <c r="AS783" s="68"/>
      <c r="AT783" s="68"/>
      <c r="AU783" s="68"/>
      <c r="AV783" s="68"/>
      <c r="AW783" s="68"/>
      <c r="AX783" s="68"/>
      <c r="AY783" s="68"/>
      <c r="AZ783" s="68"/>
      <c r="BA783" s="68"/>
      <c r="BB783" s="68"/>
      <c r="BC783" s="68"/>
      <c r="BD783" s="68"/>
      <c r="BE783" s="68"/>
      <c r="BF783" s="68"/>
      <c r="BG783" s="68"/>
      <c r="BH783" s="68"/>
      <c r="BI783" s="68"/>
      <c r="BJ783" s="68"/>
      <c r="BK783" s="68"/>
      <c r="BL783" s="68"/>
      <c r="BM783" s="68"/>
      <c r="BN783" s="68"/>
    </row>
    <row r="784" spans="1:66" ht="17">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8"/>
      <c r="AG784" s="68"/>
      <c r="AH784" s="68"/>
      <c r="AI784" s="68"/>
      <c r="AJ784" s="68"/>
      <c r="AK784" s="68"/>
      <c r="AL784" s="68"/>
      <c r="AM784" s="68"/>
      <c r="AN784" s="68"/>
      <c r="AO784" s="68"/>
      <c r="AP784" s="68"/>
      <c r="AQ784" s="68"/>
      <c r="AR784" s="68"/>
      <c r="AS784" s="68"/>
      <c r="AT784" s="68"/>
      <c r="AU784" s="68"/>
      <c r="AV784" s="68"/>
      <c r="AW784" s="68"/>
      <c r="AX784" s="68"/>
      <c r="AY784" s="68"/>
      <c r="AZ784" s="68"/>
      <c r="BA784" s="68"/>
      <c r="BB784" s="68"/>
      <c r="BC784" s="68"/>
      <c r="BD784" s="68"/>
      <c r="BE784" s="68"/>
      <c r="BF784" s="68"/>
      <c r="BG784" s="68"/>
      <c r="BH784" s="68"/>
      <c r="BI784" s="68"/>
      <c r="BJ784" s="68"/>
      <c r="BK784" s="68"/>
      <c r="BL784" s="68"/>
      <c r="BM784" s="68"/>
      <c r="BN784" s="68"/>
    </row>
    <row r="785" spans="1:66" ht="17">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8"/>
      <c r="AG785" s="68"/>
      <c r="AH785" s="68"/>
      <c r="AI785" s="68"/>
      <c r="AJ785" s="68"/>
      <c r="AK785" s="68"/>
      <c r="AL785" s="68"/>
      <c r="AM785" s="68"/>
      <c r="AN785" s="68"/>
      <c r="AO785" s="68"/>
      <c r="AP785" s="68"/>
      <c r="AQ785" s="68"/>
      <c r="AR785" s="68"/>
      <c r="AS785" s="68"/>
      <c r="AT785" s="68"/>
      <c r="AU785" s="68"/>
      <c r="AV785" s="68"/>
      <c r="AW785" s="68"/>
      <c r="AX785" s="68"/>
      <c r="AY785" s="68"/>
      <c r="AZ785" s="68"/>
      <c r="BA785" s="68"/>
      <c r="BB785" s="68"/>
      <c r="BC785" s="68"/>
      <c r="BD785" s="68"/>
      <c r="BE785" s="68"/>
      <c r="BF785" s="68"/>
      <c r="BG785" s="68"/>
      <c r="BH785" s="68"/>
      <c r="BI785" s="68"/>
      <c r="BJ785" s="68"/>
      <c r="BK785" s="68"/>
      <c r="BL785" s="68"/>
      <c r="BM785" s="68"/>
      <c r="BN785" s="68"/>
    </row>
    <row r="786" spans="1:66" ht="17">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8"/>
      <c r="AG786" s="68"/>
      <c r="AH786" s="68"/>
      <c r="AI786" s="68"/>
      <c r="AJ786" s="68"/>
      <c r="AK786" s="68"/>
      <c r="AL786" s="68"/>
      <c r="AM786" s="68"/>
      <c r="AN786" s="68"/>
      <c r="AO786" s="68"/>
      <c r="AP786" s="68"/>
      <c r="AQ786" s="68"/>
      <c r="AR786" s="68"/>
      <c r="AS786" s="68"/>
      <c r="AT786" s="68"/>
      <c r="AU786" s="68"/>
      <c r="AV786" s="68"/>
      <c r="AW786" s="68"/>
      <c r="AX786" s="68"/>
      <c r="AY786" s="68"/>
      <c r="AZ786" s="68"/>
      <c r="BA786" s="68"/>
      <c r="BB786" s="68"/>
      <c r="BC786" s="68"/>
      <c r="BD786" s="68"/>
      <c r="BE786" s="68"/>
      <c r="BF786" s="68"/>
      <c r="BG786" s="68"/>
      <c r="BH786" s="68"/>
      <c r="BI786" s="68"/>
      <c r="BJ786" s="68"/>
      <c r="BK786" s="68"/>
      <c r="BL786" s="68"/>
      <c r="BM786" s="68"/>
      <c r="BN786" s="68"/>
    </row>
    <row r="787" spans="1:66" ht="1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8"/>
      <c r="AG787" s="68"/>
      <c r="AH787" s="68"/>
      <c r="AI787" s="68"/>
      <c r="AJ787" s="68"/>
      <c r="AK787" s="68"/>
      <c r="AL787" s="68"/>
      <c r="AM787" s="68"/>
      <c r="AN787" s="68"/>
      <c r="AO787" s="68"/>
      <c r="AP787" s="68"/>
      <c r="AQ787" s="68"/>
      <c r="AR787" s="68"/>
      <c r="AS787" s="68"/>
      <c r="AT787" s="68"/>
      <c r="AU787" s="68"/>
      <c r="AV787" s="68"/>
      <c r="AW787" s="68"/>
      <c r="AX787" s="68"/>
      <c r="AY787" s="68"/>
      <c r="AZ787" s="68"/>
      <c r="BA787" s="68"/>
      <c r="BB787" s="68"/>
      <c r="BC787" s="68"/>
      <c r="BD787" s="68"/>
      <c r="BE787" s="68"/>
      <c r="BF787" s="68"/>
      <c r="BG787" s="68"/>
      <c r="BH787" s="68"/>
      <c r="BI787" s="68"/>
      <c r="BJ787" s="68"/>
      <c r="BK787" s="68"/>
      <c r="BL787" s="68"/>
      <c r="BM787" s="68"/>
      <c r="BN787" s="68"/>
    </row>
    <row r="788" spans="1:66" ht="17">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8"/>
      <c r="AG788" s="68"/>
      <c r="AH788" s="68"/>
      <c r="AI788" s="68"/>
      <c r="AJ788" s="68"/>
      <c r="AK788" s="68"/>
      <c r="AL788" s="68"/>
      <c r="AM788" s="68"/>
      <c r="AN788" s="68"/>
      <c r="AO788" s="68"/>
      <c r="AP788" s="68"/>
      <c r="AQ788" s="68"/>
      <c r="AR788" s="68"/>
      <c r="AS788" s="68"/>
      <c r="AT788" s="68"/>
      <c r="AU788" s="68"/>
      <c r="AV788" s="68"/>
      <c r="AW788" s="68"/>
      <c r="AX788" s="68"/>
      <c r="AY788" s="68"/>
      <c r="AZ788" s="68"/>
      <c r="BA788" s="68"/>
      <c r="BB788" s="68"/>
      <c r="BC788" s="68"/>
      <c r="BD788" s="68"/>
      <c r="BE788" s="68"/>
      <c r="BF788" s="68"/>
      <c r="BG788" s="68"/>
      <c r="BH788" s="68"/>
      <c r="BI788" s="68"/>
      <c r="BJ788" s="68"/>
      <c r="BK788" s="68"/>
      <c r="BL788" s="68"/>
      <c r="BM788" s="68"/>
      <c r="BN788" s="68"/>
    </row>
    <row r="789" spans="1:66" ht="17">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8"/>
      <c r="AG789" s="68"/>
      <c r="AH789" s="68"/>
      <c r="AI789" s="68"/>
      <c r="AJ789" s="68"/>
      <c r="AK789" s="68"/>
      <c r="AL789" s="68"/>
      <c r="AM789" s="68"/>
      <c r="AN789" s="68"/>
      <c r="AO789" s="68"/>
      <c r="AP789" s="68"/>
      <c r="AQ789" s="68"/>
      <c r="AR789" s="68"/>
      <c r="AS789" s="68"/>
      <c r="AT789" s="68"/>
      <c r="AU789" s="68"/>
      <c r="AV789" s="68"/>
      <c r="AW789" s="68"/>
      <c r="AX789" s="68"/>
      <c r="AY789" s="68"/>
      <c r="AZ789" s="68"/>
      <c r="BA789" s="68"/>
      <c r="BB789" s="68"/>
      <c r="BC789" s="68"/>
      <c r="BD789" s="68"/>
      <c r="BE789" s="68"/>
      <c r="BF789" s="68"/>
      <c r="BG789" s="68"/>
      <c r="BH789" s="68"/>
      <c r="BI789" s="68"/>
      <c r="BJ789" s="68"/>
      <c r="BK789" s="68"/>
      <c r="BL789" s="68"/>
      <c r="BM789" s="68"/>
      <c r="BN789" s="68"/>
    </row>
    <row r="790" spans="1:66" ht="17">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8"/>
      <c r="AG790" s="68"/>
      <c r="AH790" s="68"/>
      <c r="AI790" s="68"/>
      <c r="AJ790" s="68"/>
      <c r="AK790" s="68"/>
      <c r="AL790" s="68"/>
      <c r="AM790" s="68"/>
      <c r="AN790" s="68"/>
      <c r="AO790" s="68"/>
      <c r="AP790" s="68"/>
      <c r="AQ790" s="68"/>
      <c r="AR790" s="68"/>
      <c r="AS790" s="68"/>
      <c r="AT790" s="68"/>
      <c r="AU790" s="68"/>
      <c r="AV790" s="68"/>
      <c r="AW790" s="68"/>
      <c r="AX790" s="68"/>
      <c r="AY790" s="68"/>
      <c r="AZ790" s="68"/>
      <c r="BA790" s="68"/>
      <c r="BB790" s="68"/>
      <c r="BC790" s="68"/>
      <c r="BD790" s="68"/>
      <c r="BE790" s="68"/>
      <c r="BF790" s="68"/>
      <c r="BG790" s="68"/>
      <c r="BH790" s="68"/>
      <c r="BI790" s="68"/>
      <c r="BJ790" s="68"/>
      <c r="BK790" s="68"/>
      <c r="BL790" s="68"/>
      <c r="BM790" s="68"/>
      <c r="BN790" s="68"/>
    </row>
    <row r="791" spans="1:66" ht="17">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8"/>
      <c r="AG791" s="68"/>
      <c r="AH791" s="68"/>
      <c r="AI791" s="68"/>
      <c r="AJ791" s="68"/>
      <c r="AK791" s="68"/>
      <c r="AL791" s="68"/>
      <c r="AM791" s="68"/>
      <c r="AN791" s="68"/>
      <c r="AO791" s="68"/>
      <c r="AP791" s="68"/>
      <c r="AQ791" s="68"/>
      <c r="AR791" s="68"/>
      <c r="AS791" s="68"/>
      <c r="AT791" s="68"/>
      <c r="AU791" s="68"/>
      <c r="AV791" s="68"/>
      <c r="AW791" s="68"/>
      <c r="AX791" s="68"/>
      <c r="AY791" s="68"/>
      <c r="AZ791" s="68"/>
      <c r="BA791" s="68"/>
      <c r="BB791" s="68"/>
      <c r="BC791" s="68"/>
      <c r="BD791" s="68"/>
      <c r="BE791" s="68"/>
      <c r="BF791" s="68"/>
      <c r="BG791" s="68"/>
      <c r="BH791" s="68"/>
      <c r="BI791" s="68"/>
      <c r="BJ791" s="68"/>
      <c r="BK791" s="68"/>
      <c r="BL791" s="68"/>
      <c r="BM791" s="68"/>
      <c r="BN791" s="68"/>
    </row>
    <row r="792" spans="1:66" ht="17">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8"/>
      <c r="AG792" s="68"/>
      <c r="AH792" s="68"/>
      <c r="AI792" s="68"/>
      <c r="AJ792" s="68"/>
      <c r="AK792" s="68"/>
      <c r="AL792" s="68"/>
      <c r="AM792" s="68"/>
      <c r="AN792" s="68"/>
      <c r="AO792" s="68"/>
      <c r="AP792" s="68"/>
      <c r="AQ792" s="68"/>
      <c r="AR792" s="68"/>
      <c r="AS792" s="68"/>
      <c r="AT792" s="68"/>
      <c r="AU792" s="68"/>
      <c r="AV792" s="68"/>
      <c r="AW792" s="68"/>
      <c r="AX792" s="68"/>
      <c r="AY792" s="68"/>
      <c r="AZ792" s="68"/>
      <c r="BA792" s="68"/>
      <c r="BB792" s="68"/>
      <c r="BC792" s="68"/>
      <c r="BD792" s="68"/>
      <c r="BE792" s="68"/>
      <c r="BF792" s="68"/>
      <c r="BG792" s="68"/>
      <c r="BH792" s="68"/>
      <c r="BI792" s="68"/>
      <c r="BJ792" s="68"/>
      <c r="BK792" s="68"/>
      <c r="BL792" s="68"/>
      <c r="BM792" s="68"/>
      <c r="BN792" s="68"/>
    </row>
    <row r="793" spans="1:66" ht="17">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8"/>
      <c r="AG793" s="68"/>
      <c r="AH793" s="68"/>
      <c r="AI793" s="68"/>
      <c r="AJ793" s="68"/>
      <c r="AK793" s="68"/>
      <c r="AL793" s="68"/>
      <c r="AM793" s="68"/>
      <c r="AN793" s="68"/>
      <c r="AO793" s="68"/>
      <c r="AP793" s="68"/>
      <c r="AQ793" s="68"/>
      <c r="AR793" s="68"/>
      <c r="AS793" s="68"/>
      <c r="AT793" s="68"/>
      <c r="AU793" s="68"/>
      <c r="AV793" s="68"/>
      <c r="AW793" s="68"/>
      <c r="AX793" s="68"/>
      <c r="AY793" s="68"/>
      <c r="AZ793" s="68"/>
      <c r="BA793" s="68"/>
      <c r="BB793" s="68"/>
      <c r="BC793" s="68"/>
      <c r="BD793" s="68"/>
      <c r="BE793" s="68"/>
      <c r="BF793" s="68"/>
      <c r="BG793" s="68"/>
      <c r="BH793" s="68"/>
      <c r="BI793" s="68"/>
      <c r="BJ793" s="68"/>
      <c r="BK793" s="68"/>
      <c r="BL793" s="68"/>
      <c r="BM793" s="68"/>
      <c r="BN793" s="68"/>
    </row>
    <row r="794" spans="1:66" ht="17">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8"/>
      <c r="AG794" s="68"/>
      <c r="AH794" s="68"/>
      <c r="AI794" s="68"/>
      <c r="AJ794" s="68"/>
      <c r="AK794" s="68"/>
      <c r="AL794" s="68"/>
      <c r="AM794" s="68"/>
      <c r="AN794" s="68"/>
      <c r="AO794" s="68"/>
      <c r="AP794" s="68"/>
      <c r="AQ794" s="68"/>
      <c r="AR794" s="68"/>
      <c r="AS794" s="68"/>
      <c r="AT794" s="68"/>
      <c r="AU794" s="68"/>
      <c r="AV794" s="68"/>
      <c r="AW794" s="68"/>
      <c r="AX794" s="68"/>
      <c r="AY794" s="68"/>
      <c r="AZ794" s="68"/>
      <c r="BA794" s="68"/>
      <c r="BB794" s="68"/>
      <c r="BC794" s="68"/>
      <c r="BD794" s="68"/>
      <c r="BE794" s="68"/>
      <c r="BF794" s="68"/>
      <c r="BG794" s="68"/>
      <c r="BH794" s="68"/>
      <c r="BI794" s="68"/>
      <c r="BJ794" s="68"/>
      <c r="BK794" s="68"/>
      <c r="BL794" s="68"/>
      <c r="BM794" s="68"/>
      <c r="BN794" s="68"/>
    </row>
    <row r="795" spans="1:66" ht="17">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8"/>
      <c r="AG795" s="68"/>
      <c r="AH795" s="68"/>
      <c r="AI795" s="68"/>
      <c r="AJ795" s="68"/>
      <c r="AK795" s="68"/>
      <c r="AL795" s="68"/>
      <c r="AM795" s="68"/>
      <c r="AN795" s="68"/>
      <c r="AO795" s="68"/>
      <c r="AP795" s="68"/>
      <c r="AQ795" s="68"/>
      <c r="AR795" s="68"/>
      <c r="AS795" s="68"/>
      <c r="AT795" s="68"/>
      <c r="AU795" s="68"/>
      <c r="AV795" s="68"/>
      <c r="AW795" s="68"/>
      <c r="AX795" s="68"/>
      <c r="AY795" s="68"/>
      <c r="AZ795" s="68"/>
      <c r="BA795" s="68"/>
      <c r="BB795" s="68"/>
      <c r="BC795" s="68"/>
      <c r="BD795" s="68"/>
      <c r="BE795" s="68"/>
      <c r="BF795" s="68"/>
      <c r="BG795" s="68"/>
      <c r="BH795" s="68"/>
      <c r="BI795" s="68"/>
      <c r="BJ795" s="68"/>
      <c r="BK795" s="68"/>
      <c r="BL795" s="68"/>
      <c r="BM795" s="68"/>
      <c r="BN795" s="68"/>
    </row>
    <row r="796" spans="1:66" ht="17">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8"/>
      <c r="AG796" s="68"/>
      <c r="AH796" s="68"/>
      <c r="AI796" s="68"/>
      <c r="AJ796" s="68"/>
      <c r="AK796" s="68"/>
      <c r="AL796" s="68"/>
      <c r="AM796" s="68"/>
      <c r="AN796" s="68"/>
      <c r="AO796" s="68"/>
      <c r="AP796" s="68"/>
      <c r="AQ796" s="68"/>
      <c r="AR796" s="68"/>
      <c r="AS796" s="68"/>
      <c r="AT796" s="68"/>
      <c r="AU796" s="68"/>
      <c r="AV796" s="68"/>
      <c r="AW796" s="68"/>
      <c r="AX796" s="68"/>
      <c r="AY796" s="68"/>
      <c r="AZ796" s="68"/>
      <c r="BA796" s="68"/>
      <c r="BB796" s="68"/>
      <c r="BC796" s="68"/>
      <c r="BD796" s="68"/>
      <c r="BE796" s="68"/>
      <c r="BF796" s="68"/>
      <c r="BG796" s="68"/>
      <c r="BH796" s="68"/>
      <c r="BI796" s="68"/>
      <c r="BJ796" s="68"/>
      <c r="BK796" s="68"/>
      <c r="BL796" s="68"/>
      <c r="BM796" s="68"/>
      <c r="BN796" s="68"/>
    </row>
    <row r="797" spans="1:66" ht="1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8"/>
      <c r="AG797" s="68"/>
      <c r="AH797" s="68"/>
      <c r="AI797" s="68"/>
      <c r="AJ797" s="68"/>
      <c r="AK797" s="68"/>
      <c r="AL797" s="68"/>
      <c r="AM797" s="68"/>
      <c r="AN797" s="68"/>
      <c r="AO797" s="68"/>
      <c r="AP797" s="68"/>
      <c r="AQ797" s="68"/>
      <c r="AR797" s="68"/>
      <c r="AS797" s="68"/>
      <c r="AT797" s="68"/>
      <c r="AU797" s="68"/>
      <c r="AV797" s="68"/>
      <c r="AW797" s="68"/>
      <c r="AX797" s="68"/>
      <c r="AY797" s="68"/>
      <c r="AZ797" s="68"/>
      <c r="BA797" s="68"/>
      <c r="BB797" s="68"/>
      <c r="BC797" s="68"/>
      <c r="BD797" s="68"/>
      <c r="BE797" s="68"/>
      <c r="BF797" s="68"/>
      <c r="BG797" s="68"/>
      <c r="BH797" s="68"/>
      <c r="BI797" s="68"/>
      <c r="BJ797" s="68"/>
      <c r="BK797" s="68"/>
      <c r="BL797" s="68"/>
      <c r="BM797" s="68"/>
      <c r="BN797" s="68"/>
    </row>
    <row r="798" spans="1:66" ht="17">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8"/>
      <c r="AG798" s="68"/>
      <c r="AH798" s="68"/>
      <c r="AI798" s="68"/>
      <c r="AJ798" s="68"/>
      <c r="AK798" s="68"/>
      <c r="AL798" s="68"/>
      <c r="AM798" s="68"/>
      <c r="AN798" s="68"/>
      <c r="AO798" s="68"/>
      <c r="AP798" s="68"/>
      <c r="AQ798" s="68"/>
      <c r="AR798" s="68"/>
      <c r="AS798" s="68"/>
      <c r="AT798" s="68"/>
      <c r="AU798" s="68"/>
      <c r="AV798" s="68"/>
      <c r="AW798" s="68"/>
      <c r="AX798" s="68"/>
      <c r="AY798" s="68"/>
      <c r="AZ798" s="68"/>
      <c r="BA798" s="68"/>
      <c r="BB798" s="68"/>
      <c r="BC798" s="68"/>
      <c r="BD798" s="68"/>
      <c r="BE798" s="68"/>
      <c r="BF798" s="68"/>
      <c r="BG798" s="68"/>
      <c r="BH798" s="68"/>
      <c r="BI798" s="68"/>
      <c r="BJ798" s="68"/>
      <c r="BK798" s="68"/>
      <c r="BL798" s="68"/>
      <c r="BM798" s="68"/>
      <c r="BN798" s="68"/>
    </row>
    <row r="799" spans="1:66" ht="17">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8"/>
      <c r="AG799" s="68"/>
      <c r="AH799" s="68"/>
      <c r="AI799" s="68"/>
      <c r="AJ799" s="68"/>
      <c r="AK799" s="68"/>
      <c r="AL799" s="68"/>
      <c r="AM799" s="68"/>
      <c r="AN799" s="68"/>
      <c r="AO799" s="68"/>
      <c r="AP799" s="68"/>
      <c r="AQ799" s="68"/>
      <c r="AR799" s="68"/>
      <c r="AS799" s="68"/>
      <c r="AT799" s="68"/>
      <c r="AU799" s="68"/>
      <c r="AV799" s="68"/>
      <c r="AW799" s="68"/>
      <c r="AX799" s="68"/>
      <c r="AY799" s="68"/>
      <c r="AZ799" s="68"/>
      <c r="BA799" s="68"/>
      <c r="BB799" s="68"/>
      <c r="BC799" s="68"/>
      <c r="BD799" s="68"/>
      <c r="BE799" s="68"/>
      <c r="BF799" s="68"/>
      <c r="BG799" s="68"/>
      <c r="BH799" s="68"/>
      <c r="BI799" s="68"/>
      <c r="BJ799" s="68"/>
      <c r="BK799" s="68"/>
      <c r="BL799" s="68"/>
      <c r="BM799" s="68"/>
      <c r="BN799" s="68"/>
    </row>
    <row r="800" spans="1:66" ht="17">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8"/>
      <c r="AG800" s="68"/>
      <c r="AH800" s="68"/>
      <c r="AI800" s="68"/>
      <c r="AJ800" s="68"/>
      <c r="AK800" s="68"/>
      <c r="AL800" s="68"/>
      <c r="AM800" s="68"/>
      <c r="AN800" s="68"/>
      <c r="AO800" s="68"/>
      <c r="AP800" s="68"/>
      <c r="AQ800" s="68"/>
      <c r="AR800" s="68"/>
      <c r="AS800" s="68"/>
      <c r="AT800" s="68"/>
      <c r="AU800" s="68"/>
      <c r="AV800" s="68"/>
      <c r="AW800" s="68"/>
      <c r="AX800" s="68"/>
      <c r="AY800" s="68"/>
      <c r="AZ800" s="68"/>
      <c r="BA800" s="68"/>
      <c r="BB800" s="68"/>
      <c r="BC800" s="68"/>
      <c r="BD800" s="68"/>
      <c r="BE800" s="68"/>
      <c r="BF800" s="68"/>
      <c r="BG800" s="68"/>
      <c r="BH800" s="68"/>
      <c r="BI800" s="68"/>
      <c r="BJ800" s="68"/>
      <c r="BK800" s="68"/>
      <c r="BL800" s="68"/>
      <c r="BM800" s="68"/>
      <c r="BN800" s="68"/>
    </row>
    <row r="801" spans="1:66" ht="17">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8"/>
      <c r="AG801" s="68"/>
      <c r="AH801" s="68"/>
      <c r="AI801" s="68"/>
      <c r="AJ801" s="68"/>
      <c r="AK801" s="68"/>
      <c r="AL801" s="68"/>
      <c r="AM801" s="68"/>
      <c r="AN801" s="68"/>
      <c r="AO801" s="68"/>
      <c r="AP801" s="68"/>
      <c r="AQ801" s="68"/>
      <c r="AR801" s="68"/>
      <c r="AS801" s="68"/>
      <c r="AT801" s="68"/>
      <c r="AU801" s="68"/>
      <c r="AV801" s="68"/>
      <c r="AW801" s="68"/>
      <c r="AX801" s="68"/>
      <c r="AY801" s="68"/>
      <c r="AZ801" s="68"/>
      <c r="BA801" s="68"/>
      <c r="BB801" s="68"/>
      <c r="BC801" s="68"/>
      <c r="BD801" s="68"/>
      <c r="BE801" s="68"/>
      <c r="BF801" s="68"/>
      <c r="BG801" s="68"/>
      <c r="BH801" s="68"/>
      <c r="BI801" s="68"/>
      <c r="BJ801" s="68"/>
      <c r="BK801" s="68"/>
      <c r="BL801" s="68"/>
      <c r="BM801" s="68"/>
      <c r="BN801" s="68"/>
    </row>
    <row r="802" spans="1:66" ht="17">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8"/>
      <c r="AG802" s="68"/>
      <c r="AH802" s="68"/>
      <c r="AI802" s="68"/>
      <c r="AJ802" s="68"/>
      <c r="AK802" s="68"/>
      <c r="AL802" s="68"/>
      <c r="AM802" s="68"/>
      <c r="AN802" s="68"/>
      <c r="AO802" s="68"/>
      <c r="AP802" s="68"/>
      <c r="AQ802" s="68"/>
      <c r="AR802" s="68"/>
      <c r="AS802" s="68"/>
      <c r="AT802" s="68"/>
      <c r="AU802" s="68"/>
      <c r="AV802" s="68"/>
      <c r="AW802" s="68"/>
      <c r="AX802" s="68"/>
      <c r="AY802" s="68"/>
      <c r="AZ802" s="68"/>
      <c r="BA802" s="68"/>
      <c r="BB802" s="68"/>
      <c r="BC802" s="68"/>
      <c r="BD802" s="68"/>
      <c r="BE802" s="68"/>
      <c r="BF802" s="68"/>
      <c r="BG802" s="68"/>
      <c r="BH802" s="68"/>
      <c r="BI802" s="68"/>
      <c r="BJ802" s="68"/>
      <c r="BK802" s="68"/>
      <c r="BL802" s="68"/>
      <c r="BM802" s="68"/>
      <c r="BN802" s="68"/>
    </row>
    <row r="803" spans="1:66" ht="17">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8"/>
      <c r="AG803" s="68"/>
      <c r="AH803" s="68"/>
      <c r="AI803" s="68"/>
      <c r="AJ803" s="68"/>
      <c r="AK803" s="68"/>
      <c r="AL803" s="68"/>
      <c r="AM803" s="68"/>
      <c r="AN803" s="68"/>
      <c r="AO803" s="68"/>
      <c r="AP803" s="68"/>
      <c r="AQ803" s="68"/>
      <c r="AR803" s="68"/>
      <c r="AS803" s="68"/>
      <c r="AT803" s="68"/>
      <c r="AU803" s="68"/>
      <c r="AV803" s="68"/>
      <c r="AW803" s="68"/>
      <c r="AX803" s="68"/>
      <c r="AY803" s="68"/>
      <c r="AZ803" s="68"/>
      <c r="BA803" s="68"/>
      <c r="BB803" s="68"/>
      <c r="BC803" s="68"/>
      <c r="BD803" s="68"/>
      <c r="BE803" s="68"/>
      <c r="BF803" s="68"/>
      <c r="BG803" s="68"/>
      <c r="BH803" s="68"/>
      <c r="BI803" s="68"/>
      <c r="BJ803" s="68"/>
      <c r="BK803" s="68"/>
      <c r="BL803" s="68"/>
      <c r="BM803" s="68"/>
      <c r="BN803" s="68"/>
    </row>
    <row r="804" spans="1:66" ht="17">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8"/>
      <c r="AG804" s="68"/>
      <c r="AH804" s="68"/>
      <c r="AI804" s="68"/>
      <c r="AJ804" s="68"/>
      <c r="AK804" s="68"/>
      <c r="AL804" s="68"/>
      <c r="AM804" s="68"/>
      <c r="AN804" s="68"/>
      <c r="AO804" s="68"/>
      <c r="AP804" s="68"/>
      <c r="AQ804" s="68"/>
      <c r="AR804" s="68"/>
      <c r="AS804" s="68"/>
      <c r="AT804" s="68"/>
      <c r="AU804" s="68"/>
      <c r="AV804" s="68"/>
      <c r="AW804" s="68"/>
      <c r="AX804" s="68"/>
      <c r="AY804" s="68"/>
      <c r="AZ804" s="68"/>
      <c r="BA804" s="68"/>
      <c r="BB804" s="68"/>
      <c r="BC804" s="68"/>
      <c r="BD804" s="68"/>
      <c r="BE804" s="68"/>
      <c r="BF804" s="68"/>
      <c r="BG804" s="68"/>
      <c r="BH804" s="68"/>
      <c r="BI804" s="68"/>
      <c r="BJ804" s="68"/>
      <c r="BK804" s="68"/>
      <c r="BL804" s="68"/>
      <c r="BM804" s="68"/>
      <c r="BN804" s="68"/>
    </row>
    <row r="805" spans="1:66" ht="17">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8"/>
      <c r="AG805" s="68"/>
      <c r="AH805" s="68"/>
      <c r="AI805" s="68"/>
      <c r="AJ805" s="68"/>
      <c r="AK805" s="68"/>
      <c r="AL805" s="68"/>
      <c r="AM805" s="68"/>
      <c r="AN805" s="68"/>
      <c r="AO805" s="68"/>
      <c r="AP805" s="68"/>
      <c r="AQ805" s="68"/>
      <c r="AR805" s="68"/>
      <c r="AS805" s="68"/>
      <c r="AT805" s="68"/>
      <c r="AU805" s="68"/>
      <c r="AV805" s="68"/>
      <c r="AW805" s="68"/>
      <c r="AX805" s="68"/>
      <c r="AY805" s="68"/>
      <c r="AZ805" s="68"/>
      <c r="BA805" s="68"/>
      <c r="BB805" s="68"/>
      <c r="BC805" s="68"/>
      <c r="BD805" s="68"/>
      <c r="BE805" s="68"/>
      <c r="BF805" s="68"/>
      <c r="BG805" s="68"/>
      <c r="BH805" s="68"/>
      <c r="BI805" s="68"/>
      <c r="BJ805" s="68"/>
      <c r="BK805" s="68"/>
      <c r="BL805" s="68"/>
      <c r="BM805" s="68"/>
      <c r="BN805" s="68"/>
    </row>
    <row r="806" spans="1:66" ht="17">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8"/>
      <c r="AG806" s="68"/>
      <c r="AH806" s="68"/>
      <c r="AI806" s="68"/>
      <c r="AJ806" s="68"/>
      <c r="AK806" s="68"/>
      <c r="AL806" s="68"/>
      <c r="AM806" s="68"/>
      <c r="AN806" s="68"/>
      <c r="AO806" s="68"/>
      <c r="AP806" s="68"/>
      <c r="AQ806" s="68"/>
      <c r="AR806" s="68"/>
      <c r="AS806" s="68"/>
      <c r="AT806" s="68"/>
      <c r="AU806" s="68"/>
      <c r="AV806" s="68"/>
      <c r="AW806" s="68"/>
      <c r="AX806" s="68"/>
      <c r="AY806" s="68"/>
      <c r="AZ806" s="68"/>
      <c r="BA806" s="68"/>
      <c r="BB806" s="68"/>
      <c r="BC806" s="68"/>
      <c r="BD806" s="68"/>
      <c r="BE806" s="68"/>
      <c r="BF806" s="68"/>
      <c r="BG806" s="68"/>
      <c r="BH806" s="68"/>
      <c r="BI806" s="68"/>
      <c r="BJ806" s="68"/>
      <c r="BK806" s="68"/>
      <c r="BL806" s="68"/>
      <c r="BM806" s="68"/>
      <c r="BN806" s="68"/>
    </row>
    <row r="807" spans="1:66" ht="1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8"/>
      <c r="AG807" s="68"/>
      <c r="AH807" s="68"/>
      <c r="AI807" s="68"/>
      <c r="AJ807" s="68"/>
      <c r="AK807" s="68"/>
      <c r="AL807" s="68"/>
      <c r="AM807" s="68"/>
      <c r="AN807" s="68"/>
      <c r="AO807" s="68"/>
      <c r="AP807" s="68"/>
      <c r="AQ807" s="68"/>
      <c r="AR807" s="68"/>
      <c r="AS807" s="68"/>
      <c r="AT807" s="68"/>
      <c r="AU807" s="68"/>
      <c r="AV807" s="68"/>
      <c r="AW807" s="68"/>
      <c r="AX807" s="68"/>
      <c r="AY807" s="68"/>
      <c r="AZ807" s="68"/>
      <c r="BA807" s="68"/>
      <c r="BB807" s="68"/>
      <c r="BC807" s="68"/>
      <c r="BD807" s="68"/>
      <c r="BE807" s="68"/>
      <c r="BF807" s="68"/>
      <c r="BG807" s="68"/>
      <c r="BH807" s="68"/>
      <c r="BI807" s="68"/>
      <c r="BJ807" s="68"/>
      <c r="BK807" s="68"/>
      <c r="BL807" s="68"/>
      <c r="BM807" s="68"/>
      <c r="BN807" s="68"/>
    </row>
    <row r="808" spans="1:66" ht="17">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8"/>
      <c r="AG808" s="68"/>
      <c r="AH808" s="68"/>
      <c r="AI808" s="68"/>
      <c r="AJ808" s="68"/>
      <c r="AK808" s="68"/>
      <c r="AL808" s="68"/>
      <c r="AM808" s="68"/>
      <c r="AN808" s="68"/>
      <c r="AO808" s="68"/>
      <c r="AP808" s="68"/>
      <c r="AQ808" s="68"/>
      <c r="AR808" s="68"/>
      <c r="AS808" s="68"/>
      <c r="AT808" s="68"/>
      <c r="AU808" s="68"/>
      <c r="AV808" s="68"/>
      <c r="AW808" s="68"/>
      <c r="AX808" s="68"/>
      <c r="AY808" s="68"/>
      <c r="AZ808" s="68"/>
      <c r="BA808" s="68"/>
      <c r="BB808" s="68"/>
      <c r="BC808" s="68"/>
      <c r="BD808" s="68"/>
      <c r="BE808" s="68"/>
      <c r="BF808" s="68"/>
      <c r="BG808" s="68"/>
      <c r="BH808" s="68"/>
      <c r="BI808" s="68"/>
      <c r="BJ808" s="68"/>
      <c r="BK808" s="68"/>
      <c r="BL808" s="68"/>
      <c r="BM808" s="68"/>
      <c r="BN808" s="68"/>
    </row>
    <row r="809" spans="1:66" ht="17">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8"/>
      <c r="AG809" s="68"/>
      <c r="AH809" s="68"/>
      <c r="AI809" s="68"/>
      <c r="AJ809" s="68"/>
      <c r="AK809" s="68"/>
      <c r="AL809" s="68"/>
      <c r="AM809" s="68"/>
      <c r="AN809" s="68"/>
      <c r="AO809" s="68"/>
      <c r="AP809" s="68"/>
      <c r="AQ809" s="68"/>
      <c r="AR809" s="68"/>
      <c r="AS809" s="68"/>
      <c r="AT809" s="68"/>
      <c r="AU809" s="68"/>
      <c r="AV809" s="68"/>
      <c r="AW809" s="68"/>
      <c r="AX809" s="68"/>
      <c r="AY809" s="68"/>
      <c r="AZ809" s="68"/>
      <c r="BA809" s="68"/>
      <c r="BB809" s="68"/>
      <c r="BC809" s="68"/>
      <c r="BD809" s="68"/>
      <c r="BE809" s="68"/>
      <c r="BF809" s="68"/>
      <c r="BG809" s="68"/>
      <c r="BH809" s="68"/>
      <c r="BI809" s="68"/>
      <c r="BJ809" s="68"/>
      <c r="BK809" s="68"/>
      <c r="BL809" s="68"/>
      <c r="BM809" s="68"/>
      <c r="BN809" s="68"/>
    </row>
    <row r="810" spans="1:66" ht="17">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8"/>
      <c r="AG810" s="68"/>
      <c r="AH810" s="68"/>
      <c r="AI810" s="68"/>
      <c r="AJ810" s="68"/>
      <c r="AK810" s="68"/>
      <c r="AL810" s="68"/>
      <c r="AM810" s="68"/>
      <c r="AN810" s="68"/>
      <c r="AO810" s="68"/>
      <c r="AP810" s="68"/>
      <c r="AQ810" s="68"/>
      <c r="AR810" s="68"/>
      <c r="AS810" s="68"/>
      <c r="AT810" s="68"/>
      <c r="AU810" s="68"/>
      <c r="AV810" s="68"/>
      <c r="AW810" s="68"/>
      <c r="AX810" s="68"/>
      <c r="AY810" s="68"/>
      <c r="AZ810" s="68"/>
      <c r="BA810" s="68"/>
      <c r="BB810" s="68"/>
      <c r="BC810" s="68"/>
      <c r="BD810" s="68"/>
      <c r="BE810" s="68"/>
      <c r="BF810" s="68"/>
      <c r="BG810" s="68"/>
      <c r="BH810" s="68"/>
      <c r="BI810" s="68"/>
      <c r="BJ810" s="68"/>
      <c r="BK810" s="68"/>
      <c r="BL810" s="68"/>
      <c r="BM810" s="68"/>
      <c r="BN810" s="68"/>
    </row>
    <row r="811" spans="1:66" ht="17">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8"/>
      <c r="AG811" s="68"/>
      <c r="AH811" s="68"/>
      <c r="AI811" s="68"/>
      <c r="AJ811" s="68"/>
      <c r="AK811" s="68"/>
      <c r="AL811" s="68"/>
      <c r="AM811" s="68"/>
      <c r="AN811" s="68"/>
      <c r="AO811" s="68"/>
      <c r="AP811" s="68"/>
      <c r="AQ811" s="68"/>
      <c r="AR811" s="68"/>
      <c r="AS811" s="68"/>
      <c r="AT811" s="68"/>
      <c r="AU811" s="68"/>
      <c r="AV811" s="68"/>
      <c r="AW811" s="68"/>
      <c r="AX811" s="68"/>
      <c r="AY811" s="68"/>
      <c r="AZ811" s="68"/>
      <c r="BA811" s="68"/>
      <c r="BB811" s="68"/>
      <c r="BC811" s="68"/>
      <c r="BD811" s="68"/>
      <c r="BE811" s="68"/>
      <c r="BF811" s="68"/>
      <c r="BG811" s="68"/>
      <c r="BH811" s="68"/>
      <c r="BI811" s="68"/>
      <c r="BJ811" s="68"/>
      <c r="BK811" s="68"/>
      <c r="BL811" s="68"/>
      <c r="BM811" s="68"/>
      <c r="BN811" s="68"/>
    </row>
    <row r="812" spans="1:66" ht="17">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8"/>
      <c r="AG812" s="68"/>
      <c r="AH812" s="68"/>
      <c r="AI812" s="68"/>
      <c r="AJ812" s="68"/>
      <c r="AK812" s="68"/>
      <c r="AL812" s="68"/>
      <c r="AM812" s="68"/>
      <c r="AN812" s="68"/>
      <c r="AO812" s="68"/>
      <c r="AP812" s="68"/>
      <c r="AQ812" s="68"/>
      <c r="AR812" s="68"/>
      <c r="AS812" s="68"/>
      <c r="AT812" s="68"/>
      <c r="AU812" s="68"/>
      <c r="AV812" s="68"/>
      <c r="AW812" s="68"/>
      <c r="AX812" s="68"/>
      <c r="AY812" s="68"/>
      <c r="AZ812" s="68"/>
      <c r="BA812" s="68"/>
      <c r="BB812" s="68"/>
      <c r="BC812" s="68"/>
      <c r="BD812" s="68"/>
      <c r="BE812" s="68"/>
      <c r="BF812" s="68"/>
      <c r="BG812" s="68"/>
      <c r="BH812" s="68"/>
      <c r="BI812" s="68"/>
      <c r="BJ812" s="68"/>
      <c r="BK812" s="68"/>
      <c r="BL812" s="68"/>
      <c r="BM812" s="68"/>
      <c r="BN812" s="68"/>
    </row>
    <row r="813" spans="1:66" ht="17">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8"/>
      <c r="AG813" s="68"/>
      <c r="AH813" s="68"/>
      <c r="AI813" s="68"/>
      <c r="AJ813" s="68"/>
      <c r="AK813" s="68"/>
      <c r="AL813" s="68"/>
      <c r="AM813" s="68"/>
      <c r="AN813" s="68"/>
      <c r="AO813" s="68"/>
      <c r="AP813" s="68"/>
      <c r="AQ813" s="68"/>
      <c r="AR813" s="68"/>
      <c r="AS813" s="68"/>
      <c r="AT813" s="68"/>
      <c r="AU813" s="68"/>
      <c r="AV813" s="68"/>
      <c r="AW813" s="68"/>
      <c r="AX813" s="68"/>
      <c r="AY813" s="68"/>
      <c r="AZ813" s="68"/>
      <c r="BA813" s="68"/>
      <c r="BB813" s="68"/>
      <c r="BC813" s="68"/>
      <c r="BD813" s="68"/>
      <c r="BE813" s="68"/>
      <c r="BF813" s="68"/>
      <c r="BG813" s="68"/>
      <c r="BH813" s="68"/>
      <c r="BI813" s="68"/>
      <c r="BJ813" s="68"/>
      <c r="BK813" s="68"/>
      <c r="BL813" s="68"/>
      <c r="BM813" s="68"/>
      <c r="BN813" s="68"/>
    </row>
    <row r="814" spans="1:66" ht="17">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8"/>
      <c r="AG814" s="68"/>
      <c r="AH814" s="68"/>
      <c r="AI814" s="68"/>
      <c r="AJ814" s="68"/>
      <c r="AK814" s="68"/>
      <c r="AL814" s="68"/>
      <c r="AM814" s="68"/>
      <c r="AN814" s="68"/>
      <c r="AO814" s="68"/>
      <c r="AP814" s="68"/>
      <c r="AQ814" s="68"/>
      <c r="AR814" s="68"/>
      <c r="AS814" s="68"/>
      <c r="AT814" s="68"/>
      <c r="AU814" s="68"/>
      <c r="AV814" s="68"/>
      <c r="AW814" s="68"/>
      <c r="AX814" s="68"/>
      <c r="AY814" s="68"/>
      <c r="AZ814" s="68"/>
      <c r="BA814" s="68"/>
      <c r="BB814" s="68"/>
      <c r="BC814" s="68"/>
      <c r="BD814" s="68"/>
      <c r="BE814" s="68"/>
      <c r="BF814" s="68"/>
      <c r="BG814" s="68"/>
      <c r="BH814" s="68"/>
      <c r="BI814" s="68"/>
      <c r="BJ814" s="68"/>
      <c r="BK814" s="68"/>
      <c r="BL814" s="68"/>
      <c r="BM814" s="68"/>
      <c r="BN814" s="68"/>
    </row>
    <row r="815" spans="1:66" ht="17">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8"/>
      <c r="AG815" s="68"/>
      <c r="AH815" s="68"/>
      <c r="AI815" s="68"/>
      <c r="AJ815" s="68"/>
      <c r="AK815" s="68"/>
      <c r="AL815" s="68"/>
      <c r="AM815" s="68"/>
      <c r="AN815" s="68"/>
      <c r="AO815" s="68"/>
      <c r="AP815" s="68"/>
      <c r="AQ815" s="68"/>
      <c r="AR815" s="68"/>
      <c r="AS815" s="68"/>
      <c r="AT815" s="68"/>
      <c r="AU815" s="68"/>
      <c r="AV815" s="68"/>
      <c r="AW815" s="68"/>
      <c r="AX815" s="68"/>
      <c r="AY815" s="68"/>
      <c r="AZ815" s="68"/>
      <c r="BA815" s="68"/>
      <c r="BB815" s="68"/>
      <c r="BC815" s="68"/>
      <c r="BD815" s="68"/>
      <c r="BE815" s="68"/>
      <c r="BF815" s="68"/>
      <c r="BG815" s="68"/>
      <c r="BH815" s="68"/>
      <c r="BI815" s="68"/>
      <c r="BJ815" s="68"/>
      <c r="BK815" s="68"/>
      <c r="BL815" s="68"/>
      <c r="BM815" s="68"/>
      <c r="BN815" s="68"/>
    </row>
    <row r="816" spans="1:66" ht="17">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8"/>
      <c r="AG816" s="68"/>
      <c r="AH816" s="68"/>
      <c r="AI816" s="68"/>
      <c r="AJ816" s="68"/>
      <c r="AK816" s="68"/>
      <c r="AL816" s="68"/>
      <c r="AM816" s="68"/>
      <c r="AN816" s="68"/>
      <c r="AO816" s="68"/>
      <c r="AP816" s="68"/>
      <c r="AQ816" s="68"/>
      <c r="AR816" s="68"/>
      <c r="AS816" s="68"/>
      <c r="AT816" s="68"/>
      <c r="AU816" s="68"/>
      <c r="AV816" s="68"/>
      <c r="AW816" s="68"/>
      <c r="AX816" s="68"/>
      <c r="AY816" s="68"/>
      <c r="AZ816" s="68"/>
      <c r="BA816" s="68"/>
      <c r="BB816" s="68"/>
      <c r="BC816" s="68"/>
      <c r="BD816" s="68"/>
      <c r="BE816" s="68"/>
      <c r="BF816" s="68"/>
      <c r="BG816" s="68"/>
      <c r="BH816" s="68"/>
      <c r="BI816" s="68"/>
      <c r="BJ816" s="68"/>
      <c r="BK816" s="68"/>
      <c r="BL816" s="68"/>
      <c r="BM816" s="68"/>
      <c r="BN816" s="68"/>
    </row>
    <row r="817" spans="1:66" ht="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8"/>
      <c r="AG817" s="68"/>
      <c r="AH817" s="68"/>
      <c r="AI817" s="68"/>
      <c r="AJ817" s="68"/>
      <c r="AK817" s="68"/>
      <c r="AL817" s="68"/>
      <c r="AM817" s="68"/>
      <c r="AN817" s="68"/>
      <c r="AO817" s="68"/>
      <c r="AP817" s="68"/>
      <c r="AQ817" s="68"/>
      <c r="AR817" s="68"/>
      <c r="AS817" s="68"/>
      <c r="AT817" s="68"/>
      <c r="AU817" s="68"/>
      <c r="AV817" s="68"/>
      <c r="AW817" s="68"/>
      <c r="AX817" s="68"/>
      <c r="AY817" s="68"/>
      <c r="AZ817" s="68"/>
      <c r="BA817" s="68"/>
      <c r="BB817" s="68"/>
      <c r="BC817" s="68"/>
      <c r="BD817" s="68"/>
      <c r="BE817" s="68"/>
      <c r="BF817" s="68"/>
      <c r="BG817" s="68"/>
      <c r="BH817" s="68"/>
      <c r="BI817" s="68"/>
      <c r="BJ817" s="68"/>
      <c r="BK817" s="68"/>
      <c r="BL817" s="68"/>
      <c r="BM817" s="68"/>
      <c r="BN817" s="68"/>
    </row>
    <row r="818" spans="1:66" ht="17">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8"/>
      <c r="AG818" s="68"/>
      <c r="AH818" s="68"/>
      <c r="AI818" s="68"/>
      <c r="AJ818" s="68"/>
      <c r="AK818" s="68"/>
      <c r="AL818" s="68"/>
      <c r="AM818" s="68"/>
      <c r="AN818" s="68"/>
      <c r="AO818" s="68"/>
      <c r="AP818" s="68"/>
      <c r="AQ818" s="68"/>
      <c r="AR818" s="68"/>
      <c r="AS818" s="68"/>
      <c r="AT818" s="68"/>
      <c r="AU818" s="68"/>
      <c r="AV818" s="68"/>
      <c r="AW818" s="68"/>
      <c r="AX818" s="68"/>
      <c r="AY818" s="68"/>
      <c r="AZ818" s="68"/>
      <c r="BA818" s="68"/>
      <c r="BB818" s="68"/>
      <c r="BC818" s="68"/>
      <c r="BD818" s="68"/>
      <c r="BE818" s="68"/>
      <c r="BF818" s="68"/>
      <c r="BG818" s="68"/>
      <c r="BH818" s="68"/>
      <c r="BI818" s="68"/>
      <c r="BJ818" s="68"/>
      <c r="BK818" s="68"/>
      <c r="BL818" s="68"/>
      <c r="BM818" s="68"/>
      <c r="BN818" s="68"/>
    </row>
    <row r="819" spans="1:66" ht="17">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8"/>
      <c r="AG819" s="68"/>
      <c r="AH819" s="68"/>
      <c r="AI819" s="68"/>
      <c r="AJ819" s="68"/>
      <c r="AK819" s="68"/>
      <c r="AL819" s="68"/>
      <c r="AM819" s="68"/>
      <c r="AN819" s="68"/>
      <c r="AO819" s="68"/>
      <c r="AP819" s="68"/>
      <c r="AQ819" s="68"/>
      <c r="AR819" s="68"/>
      <c r="AS819" s="68"/>
      <c r="AT819" s="68"/>
      <c r="AU819" s="68"/>
      <c r="AV819" s="68"/>
      <c r="AW819" s="68"/>
      <c r="AX819" s="68"/>
      <c r="AY819" s="68"/>
      <c r="AZ819" s="68"/>
      <c r="BA819" s="68"/>
      <c r="BB819" s="68"/>
      <c r="BC819" s="68"/>
      <c r="BD819" s="68"/>
      <c r="BE819" s="68"/>
      <c r="BF819" s="68"/>
      <c r="BG819" s="68"/>
      <c r="BH819" s="68"/>
      <c r="BI819" s="68"/>
      <c r="BJ819" s="68"/>
      <c r="BK819" s="68"/>
      <c r="BL819" s="68"/>
      <c r="BM819" s="68"/>
      <c r="BN819" s="68"/>
    </row>
    <row r="820" spans="1:66" ht="17">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8"/>
      <c r="AG820" s="68"/>
      <c r="AH820" s="68"/>
      <c r="AI820" s="68"/>
      <c r="AJ820" s="68"/>
      <c r="AK820" s="68"/>
      <c r="AL820" s="68"/>
      <c r="AM820" s="68"/>
      <c r="AN820" s="68"/>
      <c r="AO820" s="68"/>
      <c r="AP820" s="68"/>
      <c r="AQ820" s="68"/>
      <c r="AR820" s="68"/>
      <c r="AS820" s="68"/>
      <c r="AT820" s="68"/>
      <c r="AU820" s="68"/>
      <c r="AV820" s="68"/>
      <c r="AW820" s="68"/>
      <c r="AX820" s="68"/>
      <c r="AY820" s="68"/>
      <c r="AZ820" s="68"/>
      <c r="BA820" s="68"/>
      <c r="BB820" s="68"/>
      <c r="BC820" s="68"/>
      <c r="BD820" s="68"/>
      <c r="BE820" s="68"/>
      <c r="BF820" s="68"/>
      <c r="BG820" s="68"/>
      <c r="BH820" s="68"/>
      <c r="BI820" s="68"/>
      <c r="BJ820" s="68"/>
      <c r="BK820" s="68"/>
      <c r="BL820" s="68"/>
      <c r="BM820" s="68"/>
      <c r="BN820" s="68"/>
    </row>
    <row r="821" spans="1:66" ht="17">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8"/>
      <c r="AG821" s="68"/>
      <c r="AH821" s="68"/>
      <c r="AI821" s="68"/>
      <c r="AJ821" s="68"/>
      <c r="AK821" s="68"/>
      <c r="AL821" s="68"/>
      <c r="AM821" s="68"/>
      <c r="AN821" s="68"/>
      <c r="AO821" s="68"/>
      <c r="AP821" s="68"/>
      <c r="AQ821" s="68"/>
      <c r="AR821" s="68"/>
      <c r="AS821" s="68"/>
      <c r="AT821" s="68"/>
      <c r="AU821" s="68"/>
      <c r="AV821" s="68"/>
      <c r="AW821" s="68"/>
      <c r="AX821" s="68"/>
      <c r="AY821" s="68"/>
      <c r="AZ821" s="68"/>
      <c r="BA821" s="68"/>
      <c r="BB821" s="68"/>
      <c r="BC821" s="68"/>
      <c r="BD821" s="68"/>
      <c r="BE821" s="68"/>
      <c r="BF821" s="68"/>
      <c r="BG821" s="68"/>
      <c r="BH821" s="68"/>
      <c r="BI821" s="68"/>
      <c r="BJ821" s="68"/>
      <c r="BK821" s="68"/>
      <c r="BL821" s="68"/>
      <c r="BM821" s="68"/>
      <c r="BN821" s="68"/>
    </row>
    <row r="822" spans="1:66" ht="17">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8"/>
      <c r="AG822" s="68"/>
      <c r="AH822" s="68"/>
      <c r="AI822" s="68"/>
      <c r="AJ822" s="68"/>
      <c r="AK822" s="68"/>
      <c r="AL822" s="68"/>
      <c r="AM822" s="68"/>
      <c r="AN822" s="68"/>
      <c r="AO822" s="68"/>
      <c r="AP822" s="68"/>
      <c r="AQ822" s="68"/>
      <c r="AR822" s="68"/>
      <c r="AS822" s="68"/>
      <c r="AT822" s="68"/>
      <c r="AU822" s="68"/>
      <c r="AV822" s="68"/>
      <c r="AW822" s="68"/>
      <c r="AX822" s="68"/>
      <c r="AY822" s="68"/>
      <c r="AZ822" s="68"/>
      <c r="BA822" s="68"/>
      <c r="BB822" s="68"/>
      <c r="BC822" s="68"/>
      <c r="BD822" s="68"/>
      <c r="BE822" s="68"/>
      <c r="BF822" s="68"/>
      <c r="BG822" s="68"/>
      <c r="BH822" s="68"/>
      <c r="BI822" s="68"/>
      <c r="BJ822" s="68"/>
      <c r="BK822" s="68"/>
      <c r="BL822" s="68"/>
      <c r="BM822" s="68"/>
      <c r="BN822" s="68"/>
    </row>
    <row r="823" spans="1:66" ht="17">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8"/>
      <c r="AG823" s="68"/>
      <c r="AH823" s="68"/>
      <c r="AI823" s="68"/>
      <c r="AJ823" s="68"/>
      <c r="AK823" s="68"/>
      <c r="AL823" s="68"/>
      <c r="AM823" s="68"/>
      <c r="AN823" s="68"/>
      <c r="AO823" s="68"/>
      <c r="AP823" s="68"/>
      <c r="AQ823" s="68"/>
      <c r="AR823" s="68"/>
      <c r="AS823" s="68"/>
      <c r="AT823" s="68"/>
      <c r="AU823" s="68"/>
      <c r="AV823" s="68"/>
      <c r="AW823" s="68"/>
      <c r="AX823" s="68"/>
      <c r="AY823" s="68"/>
      <c r="AZ823" s="68"/>
      <c r="BA823" s="68"/>
      <c r="BB823" s="68"/>
      <c r="BC823" s="68"/>
      <c r="BD823" s="68"/>
      <c r="BE823" s="68"/>
      <c r="BF823" s="68"/>
      <c r="BG823" s="68"/>
      <c r="BH823" s="68"/>
      <c r="BI823" s="68"/>
      <c r="BJ823" s="68"/>
      <c r="BK823" s="68"/>
      <c r="BL823" s="68"/>
      <c r="BM823" s="68"/>
      <c r="BN823" s="68"/>
    </row>
    <row r="824" spans="1:66" ht="17">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8"/>
      <c r="AG824" s="68"/>
      <c r="AH824" s="68"/>
      <c r="AI824" s="68"/>
      <c r="AJ824" s="68"/>
      <c r="AK824" s="68"/>
      <c r="AL824" s="68"/>
      <c r="AM824" s="68"/>
      <c r="AN824" s="68"/>
      <c r="AO824" s="68"/>
      <c r="AP824" s="68"/>
      <c r="AQ824" s="68"/>
      <c r="AR824" s="68"/>
      <c r="AS824" s="68"/>
      <c r="AT824" s="68"/>
      <c r="AU824" s="68"/>
      <c r="AV824" s="68"/>
      <c r="AW824" s="68"/>
      <c r="AX824" s="68"/>
      <c r="AY824" s="68"/>
      <c r="AZ824" s="68"/>
      <c r="BA824" s="68"/>
      <c r="BB824" s="68"/>
      <c r="BC824" s="68"/>
      <c r="BD824" s="68"/>
      <c r="BE824" s="68"/>
      <c r="BF824" s="68"/>
      <c r="BG824" s="68"/>
      <c r="BH824" s="68"/>
      <c r="BI824" s="68"/>
      <c r="BJ824" s="68"/>
      <c r="BK824" s="68"/>
      <c r="BL824" s="68"/>
      <c r="BM824" s="68"/>
      <c r="BN824" s="68"/>
    </row>
    <row r="825" spans="1:66" ht="17">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8"/>
      <c r="AG825" s="68"/>
      <c r="AH825" s="68"/>
      <c r="AI825" s="68"/>
      <c r="AJ825" s="68"/>
      <c r="AK825" s="68"/>
      <c r="AL825" s="68"/>
      <c r="AM825" s="68"/>
      <c r="AN825" s="68"/>
      <c r="AO825" s="68"/>
      <c r="AP825" s="68"/>
      <c r="AQ825" s="68"/>
      <c r="AR825" s="68"/>
      <c r="AS825" s="68"/>
      <c r="AT825" s="68"/>
      <c r="AU825" s="68"/>
      <c r="AV825" s="68"/>
      <c r="AW825" s="68"/>
      <c r="AX825" s="68"/>
      <c r="AY825" s="68"/>
      <c r="AZ825" s="68"/>
      <c r="BA825" s="68"/>
      <c r="BB825" s="68"/>
      <c r="BC825" s="68"/>
      <c r="BD825" s="68"/>
      <c r="BE825" s="68"/>
      <c r="BF825" s="68"/>
      <c r="BG825" s="68"/>
      <c r="BH825" s="68"/>
      <c r="BI825" s="68"/>
      <c r="BJ825" s="68"/>
      <c r="BK825" s="68"/>
      <c r="BL825" s="68"/>
      <c r="BM825" s="68"/>
      <c r="BN825" s="68"/>
    </row>
    <row r="826" spans="1:66" ht="17">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8"/>
      <c r="AG826" s="68"/>
      <c r="AH826" s="68"/>
      <c r="AI826" s="68"/>
      <c r="AJ826" s="68"/>
      <c r="AK826" s="68"/>
      <c r="AL826" s="68"/>
      <c r="AM826" s="68"/>
      <c r="AN826" s="68"/>
      <c r="AO826" s="68"/>
      <c r="AP826" s="68"/>
      <c r="AQ826" s="68"/>
      <c r="AR826" s="68"/>
      <c r="AS826" s="68"/>
      <c r="AT826" s="68"/>
      <c r="AU826" s="68"/>
      <c r="AV826" s="68"/>
      <c r="AW826" s="68"/>
      <c r="AX826" s="68"/>
      <c r="AY826" s="68"/>
      <c r="AZ826" s="68"/>
      <c r="BA826" s="68"/>
      <c r="BB826" s="68"/>
      <c r="BC826" s="68"/>
      <c r="BD826" s="68"/>
      <c r="BE826" s="68"/>
      <c r="BF826" s="68"/>
      <c r="BG826" s="68"/>
      <c r="BH826" s="68"/>
      <c r="BI826" s="68"/>
      <c r="BJ826" s="68"/>
      <c r="BK826" s="68"/>
      <c r="BL826" s="68"/>
      <c r="BM826" s="68"/>
      <c r="BN826" s="68"/>
    </row>
    <row r="827" spans="1:66" ht="1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8"/>
      <c r="AG827" s="68"/>
      <c r="AH827" s="68"/>
      <c r="AI827" s="68"/>
      <c r="AJ827" s="68"/>
      <c r="AK827" s="68"/>
      <c r="AL827" s="68"/>
      <c r="AM827" s="68"/>
      <c r="AN827" s="68"/>
      <c r="AO827" s="68"/>
      <c r="AP827" s="68"/>
      <c r="AQ827" s="68"/>
      <c r="AR827" s="68"/>
      <c r="AS827" s="68"/>
      <c r="AT827" s="68"/>
      <c r="AU827" s="68"/>
      <c r="AV827" s="68"/>
      <c r="AW827" s="68"/>
      <c r="AX827" s="68"/>
      <c r="AY827" s="68"/>
      <c r="AZ827" s="68"/>
      <c r="BA827" s="68"/>
      <c r="BB827" s="68"/>
      <c r="BC827" s="68"/>
      <c r="BD827" s="68"/>
      <c r="BE827" s="68"/>
      <c r="BF827" s="68"/>
      <c r="BG827" s="68"/>
      <c r="BH827" s="68"/>
      <c r="BI827" s="68"/>
      <c r="BJ827" s="68"/>
      <c r="BK827" s="68"/>
      <c r="BL827" s="68"/>
      <c r="BM827" s="68"/>
      <c r="BN827" s="68"/>
    </row>
    <row r="828" spans="1:66" ht="17">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8"/>
      <c r="AG828" s="68"/>
      <c r="AH828" s="68"/>
      <c r="AI828" s="68"/>
      <c r="AJ828" s="68"/>
      <c r="AK828" s="68"/>
      <c r="AL828" s="68"/>
      <c r="AM828" s="68"/>
      <c r="AN828" s="68"/>
      <c r="AO828" s="68"/>
      <c r="AP828" s="68"/>
      <c r="AQ828" s="68"/>
      <c r="AR828" s="68"/>
      <c r="AS828" s="68"/>
      <c r="AT828" s="68"/>
      <c r="AU828" s="68"/>
      <c r="AV828" s="68"/>
      <c r="AW828" s="68"/>
      <c r="AX828" s="68"/>
      <c r="AY828" s="68"/>
      <c r="AZ828" s="68"/>
      <c r="BA828" s="68"/>
      <c r="BB828" s="68"/>
      <c r="BC828" s="68"/>
      <c r="BD828" s="68"/>
      <c r="BE828" s="68"/>
      <c r="BF828" s="68"/>
      <c r="BG828" s="68"/>
      <c r="BH828" s="68"/>
      <c r="BI828" s="68"/>
      <c r="BJ828" s="68"/>
      <c r="BK828" s="68"/>
      <c r="BL828" s="68"/>
      <c r="BM828" s="68"/>
      <c r="BN828" s="68"/>
    </row>
    <row r="829" spans="1:66" ht="17">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8"/>
      <c r="AG829" s="68"/>
      <c r="AH829" s="68"/>
      <c r="AI829" s="68"/>
      <c r="AJ829" s="68"/>
      <c r="AK829" s="68"/>
      <c r="AL829" s="68"/>
      <c r="AM829" s="68"/>
      <c r="AN829" s="68"/>
      <c r="AO829" s="68"/>
      <c r="AP829" s="68"/>
      <c r="AQ829" s="68"/>
      <c r="AR829" s="68"/>
      <c r="AS829" s="68"/>
      <c r="AT829" s="68"/>
      <c r="AU829" s="68"/>
      <c r="AV829" s="68"/>
      <c r="AW829" s="68"/>
      <c r="AX829" s="68"/>
      <c r="AY829" s="68"/>
      <c r="AZ829" s="68"/>
      <c r="BA829" s="68"/>
      <c r="BB829" s="68"/>
      <c r="BC829" s="68"/>
      <c r="BD829" s="68"/>
      <c r="BE829" s="68"/>
      <c r="BF829" s="68"/>
      <c r="BG829" s="68"/>
      <c r="BH829" s="68"/>
      <c r="BI829" s="68"/>
      <c r="BJ829" s="68"/>
      <c r="BK829" s="68"/>
      <c r="BL829" s="68"/>
      <c r="BM829" s="68"/>
      <c r="BN829" s="68"/>
    </row>
    <row r="830" spans="1:66" ht="17">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8"/>
      <c r="AG830" s="68"/>
      <c r="AH830" s="68"/>
      <c r="AI830" s="68"/>
      <c r="AJ830" s="68"/>
      <c r="AK830" s="68"/>
      <c r="AL830" s="68"/>
      <c r="AM830" s="68"/>
      <c r="AN830" s="68"/>
      <c r="AO830" s="68"/>
      <c r="AP830" s="68"/>
      <c r="AQ830" s="68"/>
      <c r="AR830" s="68"/>
      <c r="AS830" s="68"/>
      <c r="AT830" s="68"/>
      <c r="AU830" s="68"/>
      <c r="AV830" s="68"/>
      <c r="AW830" s="68"/>
      <c r="AX830" s="68"/>
      <c r="AY830" s="68"/>
      <c r="AZ830" s="68"/>
      <c r="BA830" s="68"/>
      <c r="BB830" s="68"/>
      <c r="BC830" s="68"/>
      <c r="BD830" s="68"/>
      <c r="BE830" s="68"/>
      <c r="BF830" s="68"/>
      <c r="BG830" s="68"/>
      <c r="BH830" s="68"/>
      <c r="BI830" s="68"/>
      <c r="BJ830" s="68"/>
      <c r="BK830" s="68"/>
      <c r="BL830" s="68"/>
      <c r="BM830" s="68"/>
      <c r="BN830" s="68"/>
    </row>
    <row r="831" spans="1:66" ht="17">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8"/>
      <c r="AG831" s="68"/>
      <c r="AH831" s="68"/>
      <c r="AI831" s="68"/>
      <c r="AJ831" s="68"/>
      <c r="AK831" s="68"/>
      <c r="AL831" s="68"/>
      <c r="AM831" s="68"/>
      <c r="AN831" s="68"/>
      <c r="AO831" s="68"/>
      <c r="AP831" s="68"/>
      <c r="AQ831" s="68"/>
      <c r="AR831" s="68"/>
      <c r="AS831" s="68"/>
      <c r="AT831" s="68"/>
      <c r="AU831" s="68"/>
      <c r="AV831" s="68"/>
      <c r="AW831" s="68"/>
      <c r="AX831" s="68"/>
      <c r="AY831" s="68"/>
      <c r="AZ831" s="68"/>
      <c r="BA831" s="68"/>
      <c r="BB831" s="68"/>
      <c r="BC831" s="68"/>
      <c r="BD831" s="68"/>
      <c r="BE831" s="68"/>
      <c r="BF831" s="68"/>
      <c r="BG831" s="68"/>
      <c r="BH831" s="68"/>
      <c r="BI831" s="68"/>
      <c r="BJ831" s="68"/>
      <c r="BK831" s="68"/>
      <c r="BL831" s="68"/>
      <c r="BM831" s="68"/>
      <c r="BN831" s="68"/>
    </row>
    <row r="832" spans="1:66" ht="17">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8"/>
      <c r="AG832" s="68"/>
      <c r="AH832" s="68"/>
      <c r="AI832" s="68"/>
      <c r="AJ832" s="68"/>
      <c r="AK832" s="68"/>
      <c r="AL832" s="68"/>
      <c r="AM832" s="68"/>
      <c r="AN832" s="68"/>
      <c r="AO832" s="68"/>
      <c r="AP832" s="68"/>
      <c r="AQ832" s="68"/>
      <c r="AR832" s="68"/>
      <c r="AS832" s="68"/>
      <c r="AT832" s="68"/>
      <c r="AU832" s="68"/>
      <c r="AV832" s="68"/>
      <c r="AW832" s="68"/>
      <c r="AX832" s="68"/>
      <c r="AY832" s="68"/>
      <c r="AZ832" s="68"/>
      <c r="BA832" s="68"/>
      <c r="BB832" s="68"/>
      <c r="BC832" s="68"/>
      <c r="BD832" s="68"/>
      <c r="BE832" s="68"/>
      <c r="BF832" s="68"/>
      <c r="BG832" s="68"/>
      <c r="BH832" s="68"/>
      <c r="BI832" s="68"/>
      <c r="BJ832" s="68"/>
      <c r="BK832" s="68"/>
      <c r="BL832" s="68"/>
      <c r="BM832" s="68"/>
      <c r="BN832" s="68"/>
    </row>
    <row r="833" spans="1:66" ht="17">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8"/>
      <c r="AG833" s="68"/>
      <c r="AH833" s="68"/>
      <c r="AI833" s="68"/>
      <c r="AJ833" s="68"/>
      <c r="AK833" s="68"/>
      <c r="AL833" s="68"/>
      <c r="AM833" s="68"/>
      <c r="AN833" s="68"/>
      <c r="AO833" s="68"/>
      <c r="AP833" s="68"/>
      <c r="AQ833" s="68"/>
      <c r="AR833" s="68"/>
      <c r="AS833" s="68"/>
      <c r="AT833" s="68"/>
      <c r="AU833" s="68"/>
      <c r="AV833" s="68"/>
      <c r="AW833" s="68"/>
      <c r="AX833" s="68"/>
      <c r="AY833" s="68"/>
      <c r="AZ833" s="68"/>
      <c r="BA833" s="68"/>
      <c r="BB833" s="68"/>
      <c r="BC833" s="68"/>
      <c r="BD833" s="68"/>
      <c r="BE833" s="68"/>
      <c r="BF833" s="68"/>
      <c r="BG833" s="68"/>
      <c r="BH833" s="68"/>
      <c r="BI833" s="68"/>
      <c r="BJ833" s="68"/>
      <c r="BK833" s="68"/>
      <c r="BL833" s="68"/>
      <c r="BM833" s="68"/>
      <c r="BN833" s="68"/>
    </row>
    <row r="834" spans="1:66" ht="17">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8"/>
      <c r="AG834" s="68"/>
      <c r="AH834" s="68"/>
      <c r="AI834" s="68"/>
      <c r="AJ834" s="68"/>
      <c r="AK834" s="68"/>
      <c r="AL834" s="68"/>
      <c r="AM834" s="68"/>
      <c r="AN834" s="68"/>
      <c r="AO834" s="68"/>
      <c r="AP834" s="68"/>
      <c r="AQ834" s="68"/>
      <c r="AR834" s="68"/>
      <c r="AS834" s="68"/>
      <c r="AT834" s="68"/>
      <c r="AU834" s="68"/>
      <c r="AV834" s="68"/>
      <c r="AW834" s="68"/>
      <c r="AX834" s="68"/>
      <c r="AY834" s="68"/>
      <c r="AZ834" s="68"/>
      <c r="BA834" s="68"/>
      <c r="BB834" s="68"/>
      <c r="BC834" s="68"/>
      <c r="BD834" s="68"/>
      <c r="BE834" s="68"/>
      <c r="BF834" s="68"/>
      <c r="BG834" s="68"/>
      <c r="BH834" s="68"/>
      <c r="BI834" s="68"/>
      <c r="BJ834" s="68"/>
      <c r="BK834" s="68"/>
      <c r="BL834" s="68"/>
      <c r="BM834" s="68"/>
      <c r="BN834" s="68"/>
    </row>
    <row r="835" spans="1:66" ht="17">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8"/>
      <c r="AG835" s="68"/>
      <c r="AH835" s="68"/>
      <c r="AI835" s="68"/>
      <c r="AJ835" s="68"/>
      <c r="AK835" s="68"/>
      <c r="AL835" s="68"/>
      <c r="AM835" s="68"/>
      <c r="AN835" s="68"/>
      <c r="AO835" s="68"/>
      <c r="AP835" s="68"/>
      <c r="AQ835" s="68"/>
      <c r="AR835" s="68"/>
      <c r="AS835" s="68"/>
      <c r="AT835" s="68"/>
      <c r="AU835" s="68"/>
      <c r="AV835" s="68"/>
      <c r="AW835" s="68"/>
      <c r="AX835" s="68"/>
      <c r="AY835" s="68"/>
      <c r="AZ835" s="68"/>
      <c r="BA835" s="68"/>
      <c r="BB835" s="68"/>
      <c r="BC835" s="68"/>
      <c r="BD835" s="68"/>
      <c r="BE835" s="68"/>
      <c r="BF835" s="68"/>
      <c r="BG835" s="68"/>
      <c r="BH835" s="68"/>
      <c r="BI835" s="68"/>
      <c r="BJ835" s="68"/>
      <c r="BK835" s="68"/>
      <c r="BL835" s="68"/>
      <c r="BM835" s="68"/>
      <c r="BN835" s="68"/>
    </row>
    <row r="836" spans="1:66" ht="17">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8"/>
      <c r="AG836" s="68"/>
      <c r="AH836" s="68"/>
      <c r="AI836" s="68"/>
      <c r="AJ836" s="68"/>
      <c r="AK836" s="68"/>
      <c r="AL836" s="68"/>
      <c r="AM836" s="68"/>
      <c r="AN836" s="68"/>
      <c r="AO836" s="68"/>
      <c r="AP836" s="68"/>
      <c r="AQ836" s="68"/>
      <c r="AR836" s="68"/>
      <c r="AS836" s="68"/>
      <c r="AT836" s="68"/>
      <c r="AU836" s="68"/>
      <c r="AV836" s="68"/>
      <c r="AW836" s="68"/>
      <c r="AX836" s="68"/>
      <c r="AY836" s="68"/>
      <c r="AZ836" s="68"/>
      <c r="BA836" s="68"/>
      <c r="BB836" s="68"/>
      <c r="BC836" s="68"/>
      <c r="BD836" s="68"/>
      <c r="BE836" s="68"/>
      <c r="BF836" s="68"/>
      <c r="BG836" s="68"/>
      <c r="BH836" s="68"/>
      <c r="BI836" s="68"/>
      <c r="BJ836" s="68"/>
      <c r="BK836" s="68"/>
      <c r="BL836" s="68"/>
      <c r="BM836" s="68"/>
      <c r="BN836" s="68"/>
    </row>
    <row r="837" spans="1:66" ht="1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8"/>
      <c r="AG837" s="68"/>
      <c r="AH837" s="68"/>
      <c r="AI837" s="68"/>
      <c r="AJ837" s="68"/>
      <c r="AK837" s="68"/>
      <c r="AL837" s="68"/>
      <c r="AM837" s="68"/>
      <c r="AN837" s="68"/>
      <c r="AO837" s="68"/>
      <c r="AP837" s="68"/>
      <c r="AQ837" s="68"/>
      <c r="AR837" s="68"/>
      <c r="AS837" s="68"/>
      <c r="AT837" s="68"/>
      <c r="AU837" s="68"/>
      <c r="AV837" s="68"/>
      <c r="AW837" s="68"/>
      <c r="AX837" s="68"/>
      <c r="AY837" s="68"/>
      <c r="AZ837" s="68"/>
      <c r="BA837" s="68"/>
      <c r="BB837" s="68"/>
      <c r="BC837" s="68"/>
      <c r="BD837" s="68"/>
      <c r="BE837" s="68"/>
      <c r="BF837" s="68"/>
      <c r="BG837" s="68"/>
      <c r="BH837" s="68"/>
      <c r="BI837" s="68"/>
      <c r="BJ837" s="68"/>
      <c r="BK837" s="68"/>
      <c r="BL837" s="68"/>
      <c r="BM837" s="68"/>
      <c r="BN837" s="68"/>
    </row>
    <row r="838" spans="1:66" ht="17">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8"/>
      <c r="AG838" s="68"/>
      <c r="AH838" s="68"/>
      <c r="AI838" s="68"/>
      <c r="AJ838" s="68"/>
      <c r="AK838" s="68"/>
      <c r="AL838" s="68"/>
      <c r="AM838" s="68"/>
      <c r="AN838" s="68"/>
      <c r="AO838" s="68"/>
      <c r="AP838" s="68"/>
      <c r="AQ838" s="68"/>
      <c r="AR838" s="68"/>
      <c r="AS838" s="68"/>
      <c r="AT838" s="68"/>
      <c r="AU838" s="68"/>
      <c r="AV838" s="68"/>
      <c r="AW838" s="68"/>
      <c r="AX838" s="68"/>
      <c r="AY838" s="68"/>
      <c r="AZ838" s="68"/>
      <c r="BA838" s="68"/>
      <c r="BB838" s="68"/>
      <c r="BC838" s="68"/>
      <c r="BD838" s="68"/>
      <c r="BE838" s="68"/>
      <c r="BF838" s="68"/>
      <c r="BG838" s="68"/>
      <c r="BH838" s="68"/>
      <c r="BI838" s="68"/>
      <c r="BJ838" s="68"/>
      <c r="BK838" s="68"/>
      <c r="BL838" s="68"/>
      <c r="BM838" s="68"/>
      <c r="BN838" s="68"/>
    </row>
    <row r="839" spans="1:66" ht="17">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8"/>
      <c r="AG839" s="68"/>
      <c r="AH839" s="68"/>
      <c r="AI839" s="68"/>
      <c r="AJ839" s="68"/>
      <c r="AK839" s="68"/>
      <c r="AL839" s="68"/>
      <c r="AM839" s="68"/>
      <c r="AN839" s="68"/>
      <c r="AO839" s="68"/>
      <c r="AP839" s="68"/>
      <c r="AQ839" s="68"/>
      <c r="AR839" s="68"/>
      <c r="AS839" s="68"/>
      <c r="AT839" s="68"/>
      <c r="AU839" s="68"/>
      <c r="AV839" s="68"/>
      <c r="AW839" s="68"/>
      <c r="AX839" s="68"/>
      <c r="AY839" s="68"/>
      <c r="AZ839" s="68"/>
      <c r="BA839" s="68"/>
      <c r="BB839" s="68"/>
      <c r="BC839" s="68"/>
      <c r="BD839" s="68"/>
      <c r="BE839" s="68"/>
      <c r="BF839" s="68"/>
      <c r="BG839" s="68"/>
      <c r="BH839" s="68"/>
      <c r="BI839" s="68"/>
      <c r="BJ839" s="68"/>
      <c r="BK839" s="68"/>
      <c r="BL839" s="68"/>
      <c r="BM839" s="68"/>
      <c r="BN839" s="68"/>
    </row>
    <row r="840" spans="1:66" ht="17">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8"/>
      <c r="AG840" s="68"/>
      <c r="AH840" s="68"/>
      <c r="AI840" s="68"/>
      <c r="AJ840" s="68"/>
      <c r="AK840" s="68"/>
      <c r="AL840" s="68"/>
      <c r="AM840" s="68"/>
      <c r="AN840" s="68"/>
      <c r="AO840" s="68"/>
      <c r="AP840" s="68"/>
      <c r="AQ840" s="68"/>
      <c r="AR840" s="68"/>
      <c r="AS840" s="68"/>
      <c r="AT840" s="68"/>
      <c r="AU840" s="68"/>
      <c r="AV840" s="68"/>
      <c r="AW840" s="68"/>
      <c r="AX840" s="68"/>
      <c r="AY840" s="68"/>
      <c r="AZ840" s="68"/>
      <c r="BA840" s="68"/>
      <c r="BB840" s="68"/>
      <c r="BC840" s="68"/>
      <c r="BD840" s="68"/>
      <c r="BE840" s="68"/>
      <c r="BF840" s="68"/>
      <c r="BG840" s="68"/>
      <c r="BH840" s="68"/>
      <c r="BI840" s="68"/>
      <c r="BJ840" s="68"/>
      <c r="BK840" s="68"/>
      <c r="BL840" s="68"/>
      <c r="BM840" s="68"/>
      <c r="BN840" s="68"/>
    </row>
    <row r="841" spans="1:66" ht="17">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8"/>
      <c r="AG841" s="68"/>
      <c r="AH841" s="68"/>
      <c r="AI841" s="68"/>
      <c r="AJ841" s="68"/>
      <c r="AK841" s="68"/>
      <c r="AL841" s="68"/>
      <c r="AM841" s="68"/>
      <c r="AN841" s="68"/>
      <c r="AO841" s="68"/>
      <c r="AP841" s="68"/>
      <c r="AQ841" s="68"/>
      <c r="AR841" s="68"/>
      <c r="AS841" s="68"/>
      <c r="AT841" s="68"/>
      <c r="AU841" s="68"/>
      <c r="AV841" s="68"/>
      <c r="AW841" s="68"/>
      <c r="AX841" s="68"/>
      <c r="AY841" s="68"/>
      <c r="AZ841" s="68"/>
      <c r="BA841" s="68"/>
      <c r="BB841" s="68"/>
      <c r="BC841" s="68"/>
      <c r="BD841" s="68"/>
      <c r="BE841" s="68"/>
      <c r="BF841" s="68"/>
      <c r="BG841" s="68"/>
      <c r="BH841" s="68"/>
      <c r="BI841" s="68"/>
      <c r="BJ841" s="68"/>
      <c r="BK841" s="68"/>
      <c r="BL841" s="68"/>
      <c r="BM841" s="68"/>
      <c r="BN841" s="68"/>
    </row>
    <row r="842" spans="1:66" ht="17">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8"/>
      <c r="AG842" s="68"/>
      <c r="AH842" s="68"/>
      <c r="AI842" s="68"/>
      <c r="AJ842" s="68"/>
      <c r="AK842" s="68"/>
      <c r="AL842" s="68"/>
      <c r="AM842" s="68"/>
      <c r="AN842" s="68"/>
      <c r="AO842" s="68"/>
      <c r="AP842" s="68"/>
      <c r="AQ842" s="68"/>
      <c r="AR842" s="68"/>
      <c r="AS842" s="68"/>
      <c r="AT842" s="68"/>
      <c r="AU842" s="68"/>
      <c r="AV842" s="68"/>
      <c r="AW842" s="68"/>
      <c r="AX842" s="68"/>
      <c r="AY842" s="68"/>
      <c r="AZ842" s="68"/>
      <c r="BA842" s="68"/>
      <c r="BB842" s="68"/>
      <c r="BC842" s="68"/>
      <c r="BD842" s="68"/>
      <c r="BE842" s="68"/>
      <c r="BF842" s="68"/>
      <c r="BG842" s="68"/>
      <c r="BH842" s="68"/>
      <c r="BI842" s="68"/>
      <c r="BJ842" s="68"/>
      <c r="BK842" s="68"/>
      <c r="BL842" s="68"/>
      <c r="BM842" s="68"/>
      <c r="BN842" s="68"/>
    </row>
    <row r="843" spans="1:66" ht="17">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8"/>
      <c r="AG843" s="68"/>
      <c r="AH843" s="68"/>
      <c r="AI843" s="68"/>
      <c r="AJ843" s="68"/>
      <c r="AK843" s="68"/>
      <c r="AL843" s="68"/>
      <c r="AM843" s="68"/>
      <c r="AN843" s="68"/>
      <c r="AO843" s="68"/>
      <c r="AP843" s="68"/>
      <c r="AQ843" s="68"/>
      <c r="AR843" s="68"/>
      <c r="AS843" s="68"/>
      <c r="AT843" s="68"/>
      <c r="AU843" s="68"/>
      <c r="AV843" s="68"/>
      <c r="AW843" s="68"/>
      <c r="AX843" s="68"/>
      <c r="AY843" s="68"/>
      <c r="AZ843" s="68"/>
      <c r="BA843" s="68"/>
      <c r="BB843" s="68"/>
      <c r="BC843" s="68"/>
      <c r="BD843" s="68"/>
      <c r="BE843" s="68"/>
      <c r="BF843" s="68"/>
      <c r="BG843" s="68"/>
      <c r="BH843" s="68"/>
      <c r="BI843" s="68"/>
      <c r="BJ843" s="68"/>
      <c r="BK843" s="68"/>
      <c r="BL843" s="68"/>
      <c r="BM843" s="68"/>
      <c r="BN843" s="68"/>
    </row>
    <row r="844" spans="1:66" ht="17">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8"/>
      <c r="AG844" s="68"/>
      <c r="AH844" s="68"/>
      <c r="AI844" s="68"/>
      <c r="AJ844" s="68"/>
      <c r="AK844" s="68"/>
      <c r="AL844" s="68"/>
      <c r="AM844" s="68"/>
      <c r="AN844" s="68"/>
      <c r="AO844" s="68"/>
      <c r="AP844" s="68"/>
      <c r="AQ844" s="68"/>
      <c r="AR844" s="68"/>
      <c r="AS844" s="68"/>
      <c r="AT844" s="68"/>
      <c r="AU844" s="68"/>
      <c r="AV844" s="68"/>
      <c r="AW844" s="68"/>
      <c r="AX844" s="68"/>
      <c r="AY844" s="68"/>
      <c r="AZ844" s="68"/>
      <c r="BA844" s="68"/>
      <c r="BB844" s="68"/>
      <c r="BC844" s="68"/>
      <c r="BD844" s="68"/>
      <c r="BE844" s="68"/>
      <c r="BF844" s="68"/>
      <c r="BG844" s="68"/>
      <c r="BH844" s="68"/>
      <c r="BI844" s="68"/>
      <c r="BJ844" s="68"/>
      <c r="BK844" s="68"/>
      <c r="BL844" s="68"/>
      <c r="BM844" s="68"/>
      <c r="BN844" s="68"/>
    </row>
    <row r="845" spans="1:66" ht="17">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8"/>
      <c r="AG845" s="68"/>
      <c r="AH845" s="68"/>
      <c r="AI845" s="68"/>
      <c r="AJ845" s="68"/>
      <c r="AK845" s="68"/>
      <c r="AL845" s="68"/>
      <c r="AM845" s="68"/>
      <c r="AN845" s="68"/>
      <c r="AO845" s="68"/>
      <c r="AP845" s="68"/>
      <c r="AQ845" s="68"/>
      <c r="AR845" s="68"/>
      <c r="AS845" s="68"/>
      <c r="AT845" s="68"/>
      <c r="AU845" s="68"/>
      <c r="AV845" s="68"/>
      <c r="AW845" s="68"/>
      <c r="AX845" s="68"/>
      <c r="AY845" s="68"/>
      <c r="AZ845" s="68"/>
      <c r="BA845" s="68"/>
      <c r="BB845" s="68"/>
      <c r="BC845" s="68"/>
      <c r="BD845" s="68"/>
      <c r="BE845" s="68"/>
      <c r="BF845" s="68"/>
      <c r="BG845" s="68"/>
      <c r="BH845" s="68"/>
      <c r="BI845" s="68"/>
      <c r="BJ845" s="68"/>
      <c r="BK845" s="68"/>
      <c r="BL845" s="68"/>
      <c r="BM845" s="68"/>
      <c r="BN845" s="68"/>
    </row>
    <row r="846" spans="1:66" ht="17">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8"/>
      <c r="AG846" s="68"/>
      <c r="AH846" s="68"/>
      <c r="AI846" s="68"/>
      <c r="AJ846" s="68"/>
      <c r="AK846" s="68"/>
      <c r="AL846" s="68"/>
      <c r="AM846" s="68"/>
      <c r="AN846" s="68"/>
      <c r="AO846" s="68"/>
      <c r="AP846" s="68"/>
      <c r="AQ846" s="68"/>
      <c r="AR846" s="68"/>
      <c r="AS846" s="68"/>
      <c r="AT846" s="68"/>
      <c r="AU846" s="68"/>
      <c r="AV846" s="68"/>
      <c r="AW846" s="68"/>
      <c r="AX846" s="68"/>
      <c r="AY846" s="68"/>
      <c r="AZ846" s="68"/>
      <c r="BA846" s="68"/>
      <c r="BB846" s="68"/>
      <c r="BC846" s="68"/>
      <c r="BD846" s="68"/>
      <c r="BE846" s="68"/>
      <c r="BF846" s="68"/>
      <c r="BG846" s="68"/>
      <c r="BH846" s="68"/>
      <c r="BI846" s="68"/>
      <c r="BJ846" s="68"/>
      <c r="BK846" s="68"/>
      <c r="BL846" s="68"/>
      <c r="BM846" s="68"/>
      <c r="BN846" s="68"/>
    </row>
    <row r="847" spans="1:66" ht="1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8"/>
      <c r="AG847" s="68"/>
      <c r="AH847" s="68"/>
      <c r="AI847" s="68"/>
      <c r="AJ847" s="68"/>
      <c r="AK847" s="68"/>
      <c r="AL847" s="68"/>
      <c r="AM847" s="68"/>
      <c r="AN847" s="68"/>
      <c r="AO847" s="68"/>
      <c r="AP847" s="68"/>
      <c r="AQ847" s="68"/>
      <c r="AR847" s="68"/>
      <c r="AS847" s="68"/>
      <c r="AT847" s="68"/>
      <c r="AU847" s="68"/>
      <c r="AV847" s="68"/>
      <c r="AW847" s="68"/>
      <c r="AX847" s="68"/>
      <c r="AY847" s="68"/>
      <c r="AZ847" s="68"/>
      <c r="BA847" s="68"/>
      <c r="BB847" s="68"/>
      <c r="BC847" s="68"/>
      <c r="BD847" s="68"/>
      <c r="BE847" s="68"/>
      <c r="BF847" s="68"/>
      <c r="BG847" s="68"/>
      <c r="BH847" s="68"/>
      <c r="BI847" s="68"/>
      <c r="BJ847" s="68"/>
      <c r="BK847" s="68"/>
      <c r="BL847" s="68"/>
      <c r="BM847" s="68"/>
      <c r="BN847" s="68"/>
    </row>
    <row r="848" spans="1:66" ht="17">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8"/>
      <c r="AG848" s="68"/>
      <c r="AH848" s="68"/>
      <c r="AI848" s="68"/>
      <c r="AJ848" s="68"/>
      <c r="AK848" s="68"/>
      <c r="AL848" s="68"/>
      <c r="AM848" s="68"/>
      <c r="AN848" s="68"/>
      <c r="AO848" s="68"/>
      <c r="AP848" s="68"/>
      <c r="AQ848" s="68"/>
      <c r="AR848" s="68"/>
      <c r="AS848" s="68"/>
      <c r="AT848" s="68"/>
      <c r="AU848" s="68"/>
      <c r="AV848" s="68"/>
      <c r="AW848" s="68"/>
      <c r="AX848" s="68"/>
      <c r="AY848" s="68"/>
      <c r="AZ848" s="68"/>
      <c r="BA848" s="68"/>
      <c r="BB848" s="68"/>
      <c r="BC848" s="68"/>
      <c r="BD848" s="68"/>
      <c r="BE848" s="68"/>
      <c r="BF848" s="68"/>
      <c r="BG848" s="68"/>
      <c r="BH848" s="68"/>
      <c r="BI848" s="68"/>
      <c r="BJ848" s="68"/>
      <c r="BK848" s="68"/>
      <c r="BL848" s="68"/>
      <c r="BM848" s="68"/>
      <c r="BN848" s="68"/>
    </row>
    <row r="849" spans="1:66" ht="17">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8"/>
      <c r="AG849" s="68"/>
      <c r="AH849" s="68"/>
      <c r="AI849" s="68"/>
      <c r="AJ849" s="68"/>
      <c r="AK849" s="68"/>
      <c r="AL849" s="68"/>
      <c r="AM849" s="68"/>
      <c r="AN849" s="68"/>
      <c r="AO849" s="68"/>
      <c r="AP849" s="68"/>
      <c r="AQ849" s="68"/>
      <c r="AR849" s="68"/>
      <c r="AS849" s="68"/>
      <c r="AT849" s="68"/>
      <c r="AU849" s="68"/>
      <c r="AV849" s="68"/>
      <c r="AW849" s="68"/>
      <c r="AX849" s="68"/>
      <c r="AY849" s="68"/>
      <c r="AZ849" s="68"/>
      <c r="BA849" s="68"/>
      <c r="BB849" s="68"/>
      <c r="BC849" s="68"/>
      <c r="BD849" s="68"/>
      <c r="BE849" s="68"/>
      <c r="BF849" s="68"/>
      <c r="BG849" s="68"/>
      <c r="BH849" s="68"/>
      <c r="BI849" s="68"/>
      <c r="BJ849" s="68"/>
      <c r="BK849" s="68"/>
      <c r="BL849" s="68"/>
      <c r="BM849" s="68"/>
      <c r="BN849" s="68"/>
    </row>
    <row r="850" spans="1:66" ht="17">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8"/>
      <c r="AG850" s="68"/>
      <c r="AH850" s="68"/>
      <c r="AI850" s="68"/>
      <c r="AJ850" s="68"/>
      <c r="AK850" s="68"/>
      <c r="AL850" s="68"/>
      <c r="AM850" s="68"/>
      <c r="AN850" s="68"/>
      <c r="AO850" s="68"/>
      <c r="AP850" s="68"/>
      <c r="AQ850" s="68"/>
      <c r="AR850" s="68"/>
      <c r="AS850" s="68"/>
      <c r="AT850" s="68"/>
      <c r="AU850" s="68"/>
      <c r="AV850" s="68"/>
      <c r="AW850" s="68"/>
      <c r="AX850" s="68"/>
      <c r="AY850" s="68"/>
      <c r="AZ850" s="68"/>
      <c r="BA850" s="68"/>
      <c r="BB850" s="68"/>
      <c r="BC850" s="68"/>
      <c r="BD850" s="68"/>
      <c r="BE850" s="68"/>
      <c r="BF850" s="68"/>
      <c r="BG850" s="68"/>
      <c r="BH850" s="68"/>
      <c r="BI850" s="68"/>
      <c r="BJ850" s="68"/>
      <c r="BK850" s="68"/>
      <c r="BL850" s="68"/>
      <c r="BM850" s="68"/>
      <c r="BN850" s="68"/>
    </row>
    <row r="851" spans="1:66" ht="17">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8"/>
      <c r="AG851" s="68"/>
      <c r="AH851" s="68"/>
      <c r="AI851" s="68"/>
      <c r="AJ851" s="68"/>
      <c r="AK851" s="68"/>
      <c r="AL851" s="68"/>
      <c r="AM851" s="68"/>
      <c r="AN851" s="68"/>
      <c r="AO851" s="68"/>
      <c r="AP851" s="68"/>
      <c r="AQ851" s="68"/>
      <c r="AR851" s="68"/>
      <c r="AS851" s="68"/>
      <c r="AT851" s="68"/>
      <c r="AU851" s="68"/>
      <c r="AV851" s="68"/>
      <c r="AW851" s="68"/>
      <c r="AX851" s="68"/>
      <c r="AY851" s="68"/>
      <c r="AZ851" s="68"/>
      <c r="BA851" s="68"/>
      <c r="BB851" s="68"/>
      <c r="BC851" s="68"/>
      <c r="BD851" s="68"/>
      <c r="BE851" s="68"/>
      <c r="BF851" s="68"/>
      <c r="BG851" s="68"/>
      <c r="BH851" s="68"/>
      <c r="BI851" s="68"/>
      <c r="BJ851" s="68"/>
      <c r="BK851" s="68"/>
      <c r="BL851" s="68"/>
      <c r="BM851" s="68"/>
      <c r="BN851" s="68"/>
    </row>
    <row r="852" spans="1:66" ht="17">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8"/>
      <c r="AG852" s="68"/>
      <c r="AH852" s="68"/>
      <c r="AI852" s="68"/>
      <c r="AJ852" s="68"/>
      <c r="AK852" s="68"/>
      <c r="AL852" s="68"/>
      <c r="AM852" s="68"/>
      <c r="AN852" s="68"/>
      <c r="AO852" s="68"/>
      <c r="AP852" s="68"/>
      <c r="AQ852" s="68"/>
      <c r="AR852" s="68"/>
      <c r="AS852" s="68"/>
      <c r="AT852" s="68"/>
      <c r="AU852" s="68"/>
      <c r="AV852" s="68"/>
      <c r="AW852" s="68"/>
      <c r="AX852" s="68"/>
      <c r="AY852" s="68"/>
      <c r="AZ852" s="68"/>
      <c r="BA852" s="68"/>
      <c r="BB852" s="68"/>
      <c r="BC852" s="68"/>
      <c r="BD852" s="68"/>
      <c r="BE852" s="68"/>
      <c r="BF852" s="68"/>
      <c r="BG852" s="68"/>
      <c r="BH852" s="68"/>
      <c r="BI852" s="68"/>
      <c r="BJ852" s="68"/>
      <c r="BK852" s="68"/>
      <c r="BL852" s="68"/>
      <c r="BM852" s="68"/>
      <c r="BN852" s="68"/>
    </row>
    <row r="853" spans="1:66" ht="17">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8"/>
      <c r="AG853" s="68"/>
      <c r="AH853" s="68"/>
      <c r="AI853" s="68"/>
      <c r="AJ853" s="68"/>
      <c r="AK853" s="68"/>
      <c r="AL853" s="68"/>
      <c r="AM853" s="68"/>
      <c r="AN853" s="68"/>
      <c r="AO853" s="68"/>
      <c r="AP853" s="68"/>
      <c r="AQ853" s="68"/>
      <c r="AR853" s="68"/>
      <c r="AS853" s="68"/>
      <c r="AT853" s="68"/>
      <c r="AU853" s="68"/>
      <c r="AV853" s="68"/>
      <c r="AW853" s="68"/>
      <c r="AX853" s="68"/>
      <c r="AY853" s="68"/>
      <c r="AZ853" s="68"/>
      <c r="BA853" s="68"/>
      <c r="BB853" s="68"/>
      <c r="BC853" s="68"/>
      <c r="BD853" s="68"/>
      <c r="BE853" s="68"/>
      <c r="BF853" s="68"/>
      <c r="BG853" s="68"/>
      <c r="BH853" s="68"/>
      <c r="BI853" s="68"/>
      <c r="BJ853" s="68"/>
      <c r="BK853" s="68"/>
      <c r="BL853" s="68"/>
      <c r="BM853" s="68"/>
      <c r="BN853" s="68"/>
    </row>
    <row r="854" spans="1:66" ht="17">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8"/>
      <c r="AG854" s="68"/>
      <c r="AH854" s="68"/>
      <c r="AI854" s="68"/>
      <c r="AJ854" s="68"/>
      <c r="AK854" s="68"/>
      <c r="AL854" s="68"/>
      <c r="AM854" s="68"/>
      <c r="AN854" s="68"/>
      <c r="AO854" s="68"/>
      <c r="AP854" s="68"/>
      <c r="AQ854" s="68"/>
      <c r="AR854" s="68"/>
      <c r="AS854" s="68"/>
      <c r="AT854" s="68"/>
      <c r="AU854" s="68"/>
      <c r="AV854" s="68"/>
      <c r="AW854" s="68"/>
      <c r="AX854" s="68"/>
      <c r="AY854" s="68"/>
      <c r="AZ854" s="68"/>
      <c r="BA854" s="68"/>
      <c r="BB854" s="68"/>
      <c r="BC854" s="68"/>
      <c r="BD854" s="68"/>
      <c r="BE854" s="68"/>
      <c r="BF854" s="68"/>
      <c r="BG854" s="68"/>
      <c r="BH854" s="68"/>
      <c r="BI854" s="68"/>
      <c r="BJ854" s="68"/>
      <c r="BK854" s="68"/>
      <c r="BL854" s="68"/>
      <c r="BM854" s="68"/>
      <c r="BN854" s="68"/>
    </row>
    <row r="855" spans="1:66" ht="17">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8"/>
      <c r="AG855" s="68"/>
      <c r="AH855" s="68"/>
      <c r="AI855" s="68"/>
      <c r="AJ855" s="68"/>
      <c r="AK855" s="68"/>
      <c r="AL855" s="68"/>
      <c r="AM855" s="68"/>
      <c r="AN855" s="68"/>
      <c r="AO855" s="68"/>
      <c r="AP855" s="68"/>
      <c r="AQ855" s="68"/>
      <c r="AR855" s="68"/>
      <c r="AS855" s="68"/>
      <c r="AT855" s="68"/>
      <c r="AU855" s="68"/>
      <c r="AV855" s="68"/>
      <c r="AW855" s="68"/>
      <c r="AX855" s="68"/>
      <c r="AY855" s="68"/>
      <c r="AZ855" s="68"/>
      <c r="BA855" s="68"/>
      <c r="BB855" s="68"/>
      <c r="BC855" s="68"/>
      <c r="BD855" s="68"/>
      <c r="BE855" s="68"/>
      <c r="BF855" s="68"/>
      <c r="BG855" s="68"/>
      <c r="BH855" s="68"/>
      <c r="BI855" s="68"/>
      <c r="BJ855" s="68"/>
      <c r="BK855" s="68"/>
      <c r="BL855" s="68"/>
      <c r="BM855" s="68"/>
      <c r="BN855" s="68"/>
    </row>
    <row r="856" spans="1:66" ht="17">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8"/>
      <c r="AG856" s="68"/>
      <c r="AH856" s="68"/>
      <c r="AI856" s="68"/>
      <c r="AJ856" s="68"/>
      <c r="AK856" s="68"/>
      <c r="AL856" s="68"/>
      <c r="AM856" s="68"/>
      <c r="AN856" s="68"/>
      <c r="AO856" s="68"/>
      <c r="AP856" s="68"/>
      <c r="AQ856" s="68"/>
      <c r="AR856" s="68"/>
      <c r="AS856" s="68"/>
      <c r="AT856" s="68"/>
      <c r="AU856" s="68"/>
      <c r="AV856" s="68"/>
      <c r="AW856" s="68"/>
      <c r="AX856" s="68"/>
      <c r="AY856" s="68"/>
      <c r="AZ856" s="68"/>
      <c r="BA856" s="68"/>
      <c r="BB856" s="68"/>
      <c r="BC856" s="68"/>
      <c r="BD856" s="68"/>
      <c r="BE856" s="68"/>
      <c r="BF856" s="68"/>
      <c r="BG856" s="68"/>
      <c r="BH856" s="68"/>
      <c r="BI856" s="68"/>
      <c r="BJ856" s="68"/>
      <c r="BK856" s="68"/>
      <c r="BL856" s="68"/>
      <c r="BM856" s="68"/>
      <c r="BN856" s="68"/>
    </row>
    <row r="857" spans="1:66" ht="1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8"/>
      <c r="AG857" s="68"/>
      <c r="AH857" s="68"/>
      <c r="AI857" s="68"/>
      <c r="AJ857" s="68"/>
      <c r="AK857" s="68"/>
      <c r="AL857" s="68"/>
      <c r="AM857" s="68"/>
      <c r="AN857" s="68"/>
      <c r="AO857" s="68"/>
      <c r="AP857" s="68"/>
      <c r="AQ857" s="68"/>
      <c r="AR857" s="68"/>
      <c r="AS857" s="68"/>
      <c r="AT857" s="68"/>
      <c r="AU857" s="68"/>
      <c r="AV857" s="68"/>
      <c r="AW857" s="68"/>
      <c r="AX857" s="68"/>
      <c r="AY857" s="68"/>
      <c r="AZ857" s="68"/>
      <c r="BA857" s="68"/>
      <c r="BB857" s="68"/>
      <c r="BC857" s="68"/>
      <c r="BD857" s="68"/>
      <c r="BE857" s="68"/>
      <c r="BF857" s="68"/>
      <c r="BG857" s="68"/>
      <c r="BH857" s="68"/>
      <c r="BI857" s="68"/>
      <c r="BJ857" s="68"/>
      <c r="BK857" s="68"/>
      <c r="BL857" s="68"/>
      <c r="BM857" s="68"/>
      <c r="BN857" s="68"/>
    </row>
    <row r="858" spans="1:66" ht="17">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8"/>
      <c r="AG858" s="68"/>
      <c r="AH858" s="68"/>
      <c r="AI858" s="68"/>
      <c r="AJ858" s="68"/>
      <c r="AK858" s="68"/>
      <c r="AL858" s="68"/>
      <c r="AM858" s="68"/>
      <c r="AN858" s="68"/>
      <c r="AO858" s="68"/>
      <c r="AP858" s="68"/>
      <c r="AQ858" s="68"/>
      <c r="AR858" s="68"/>
      <c r="AS858" s="68"/>
      <c r="AT858" s="68"/>
      <c r="AU858" s="68"/>
      <c r="AV858" s="68"/>
      <c r="AW858" s="68"/>
      <c r="AX858" s="68"/>
      <c r="AY858" s="68"/>
      <c r="AZ858" s="68"/>
      <c r="BA858" s="68"/>
      <c r="BB858" s="68"/>
      <c r="BC858" s="68"/>
      <c r="BD858" s="68"/>
      <c r="BE858" s="68"/>
      <c r="BF858" s="68"/>
      <c r="BG858" s="68"/>
      <c r="BH858" s="68"/>
      <c r="BI858" s="68"/>
      <c r="BJ858" s="68"/>
      <c r="BK858" s="68"/>
      <c r="BL858" s="68"/>
      <c r="BM858" s="68"/>
      <c r="BN858" s="68"/>
    </row>
    <row r="859" spans="1:66" ht="17">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8"/>
      <c r="AG859" s="68"/>
      <c r="AH859" s="68"/>
      <c r="AI859" s="68"/>
      <c r="AJ859" s="68"/>
      <c r="AK859" s="68"/>
      <c r="AL859" s="68"/>
      <c r="AM859" s="68"/>
      <c r="AN859" s="68"/>
      <c r="AO859" s="68"/>
      <c r="AP859" s="68"/>
      <c r="AQ859" s="68"/>
      <c r="AR859" s="68"/>
      <c r="AS859" s="68"/>
      <c r="AT859" s="68"/>
      <c r="AU859" s="68"/>
      <c r="AV859" s="68"/>
      <c r="AW859" s="68"/>
      <c r="AX859" s="68"/>
      <c r="AY859" s="68"/>
      <c r="AZ859" s="68"/>
      <c r="BA859" s="68"/>
      <c r="BB859" s="68"/>
      <c r="BC859" s="68"/>
      <c r="BD859" s="68"/>
      <c r="BE859" s="68"/>
      <c r="BF859" s="68"/>
      <c r="BG859" s="68"/>
      <c r="BH859" s="68"/>
      <c r="BI859" s="68"/>
      <c r="BJ859" s="68"/>
      <c r="BK859" s="68"/>
      <c r="BL859" s="68"/>
      <c r="BM859" s="68"/>
      <c r="BN859" s="68"/>
    </row>
    <row r="860" spans="1:66" ht="17">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8"/>
      <c r="AG860" s="68"/>
      <c r="AH860" s="68"/>
      <c r="AI860" s="68"/>
      <c r="AJ860" s="68"/>
      <c r="AK860" s="68"/>
      <c r="AL860" s="68"/>
      <c r="AM860" s="68"/>
      <c r="AN860" s="68"/>
      <c r="AO860" s="68"/>
      <c r="AP860" s="68"/>
      <c r="AQ860" s="68"/>
      <c r="AR860" s="68"/>
      <c r="AS860" s="68"/>
      <c r="AT860" s="68"/>
      <c r="AU860" s="68"/>
      <c r="AV860" s="68"/>
      <c r="AW860" s="68"/>
      <c r="AX860" s="68"/>
      <c r="AY860" s="68"/>
      <c r="AZ860" s="68"/>
      <c r="BA860" s="68"/>
      <c r="BB860" s="68"/>
      <c r="BC860" s="68"/>
      <c r="BD860" s="68"/>
      <c r="BE860" s="68"/>
      <c r="BF860" s="68"/>
      <c r="BG860" s="68"/>
      <c r="BH860" s="68"/>
      <c r="BI860" s="68"/>
      <c r="BJ860" s="68"/>
      <c r="BK860" s="68"/>
      <c r="BL860" s="68"/>
      <c r="BM860" s="68"/>
      <c r="BN860" s="68"/>
    </row>
    <row r="861" spans="1:66" ht="17">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8"/>
      <c r="AG861" s="68"/>
      <c r="AH861" s="68"/>
      <c r="AI861" s="68"/>
      <c r="AJ861" s="68"/>
      <c r="AK861" s="68"/>
      <c r="AL861" s="68"/>
      <c r="AM861" s="68"/>
      <c r="AN861" s="68"/>
      <c r="AO861" s="68"/>
      <c r="AP861" s="68"/>
      <c r="AQ861" s="68"/>
      <c r="AR861" s="68"/>
      <c r="AS861" s="68"/>
      <c r="AT861" s="68"/>
      <c r="AU861" s="68"/>
      <c r="AV861" s="68"/>
      <c r="AW861" s="68"/>
      <c r="AX861" s="68"/>
      <c r="AY861" s="68"/>
      <c r="AZ861" s="68"/>
      <c r="BA861" s="68"/>
      <c r="BB861" s="68"/>
      <c r="BC861" s="68"/>
      <c r="BD861" s="68"/>
      <c r="BE861" s="68"/>
      <c r="BF861" s="68"/>
      <c r="BG861" s="68"/>
      <c r="BH861" s="68"/>
      <c r="BI861" s="68"/>
      <c r="BJ861" s="68"/>
      <c r="BK861" s="68"/>
      <c r="BL861" s="68"/>
      <c r="BM861" s="68"/>
      <c r="BN861" s="68"/>
    </row>
    <row r="862" spans="1:66" ht="17">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8"/>
      <c r="AG862" s="68"/>
      <c r="AH862" s="68"/>
      <c r="AI862" s="68"/>
      <c r="AJ862" s="68"/>
      <c r="AK862" s="68"/>
      <c r="AL862" s="68"/>
      <c r="AM862" s="68"/>
      <c r="AN862" s="68"/>
      <c r="AO862" s="68"/>
      <c r="AP862" s="68"/>
      <c r="AQ862" s="68"/>
      <c r="AR862" s="68"/>
      <c r="AS862" s="68"/>
      <c r="AT862" s="68"/>
      <c r="AU862" s="68"/>
      <c r="AV862" s="68"/>
      <c r="AW862" s="68"/>
      <c r="AX862" s="68"/>
      <c r="AY862" s="68"/>
      <c r="AZ862" s="68"/>
      <c r="BA862" s="68"/>
      <c r="BB862" s="68"/>
      <c r="BC862" s="68"/>
      <c r="BD862" s="68"/>
      <c r="BE862" s="68"/>
      <c r="BF862" s="68"/>
      <c r="BG862" s="68"/>
      <c r="BH862" s="68"/>
      <c r="BI862" s="68"/>
      <c r="BJ862" s="68"/>
      <c r="BK862" s="68"/>
      <c r="BL862" s="68"/>
      <c r="BM862" s="68"/>
      <c r="BN862" s="68"/>
    </row>
    <row r="863" spans="1:66" ht="17">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8"/>
      <c r="AG863" s="68"/>
      <c r="AH863" s="68"/>
      <c r="AI863" s="68"/>
      <c r="AJ863" s="68"/>
      <c r="AK863" s="68"/>
      <c r="AL863" s="68"/>
      <c r="AM863" s="68"/>
      <c r="AN863" s="68"/>
      <c r="AO863" s="68"/>
      <c r="AP863" s="68"/>
      <c r="AQ863" s="68"/>
      <c r="AR863" s="68"/>
      <c r="AS863" s="68"/>
      <c r="AT863" s="68"/>
      <c r="AU863" s="68"/>
      <c r="AV863" s="68"/>
      <c r="AW863" s="68"/>
      <c r="AX863" s="68"/>
      <c r="AY863" s="68"/>
      <c r="AZ863" s="68"/>
      <c r="BA863" s="68"/>
      <c r="BB863" s="68"/>
      <c r="BC863" s="68"/>
      <c r="BD863" s="68"/>
      <c r="BE863" s="68"/>
      <c r="BF863" s="68"/>
      <c r="BG863" s="68"/>
      <c r="BH863" s="68"/>
      <c r="BI863" s="68"/>
      <c r="BJ863" s="68"/>
      <c r="BK863" s="68"/>
      <c r="BL863" s="68"/>
      <c r="BM863" s="68"/>
      <c r="BN863" s="68"/>
    </row>
    <row r="864" spans="1:66" ht="17">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8"/>
      <c r="AG864" s="68"/>
      <c r="AH864" s="68"/>
      <c r="AI864" s="68"/>
      <c r="AJ864" s="68"/>
      <c r="AK864" s="68"/>
      <c r="AL864" s="68"/>
      <c r="AM864" s="68"/>
      <c r="AN864" s="68"/>
      <c r="AO864" s="68"/>
      <c r="AP864" s="68"/>
      <c r="AQ864" s="68"/>
      <c r="AR864" s="68"/>
      <c r="AS864" s="68"/>
      <c r="AT864" s="68"/>
      <c r="AU864" s="68"/>
      <c r="AV864" s="68"/>
      <c r="AW864" s="68"/>
      <c r="AX864" s="68"/>
      <c r="AY864" s="68"/>
      <c r="AZ864" s="68"/>
      <c r="BA864" s="68"/>
      <c r="BB864" s="68"/>
      <c r="BC864" s="68"/>
      <c r="BD864" s="68"/>
      <c r="BE864" s="68"/>
      <c r="BF864" s="68"/>
      <c r="BG864" s="68"/>
      <c r="BH864" s="68"/>
      <c r="BI864" s="68"/>
      <c r="BJ864" s="68"/>
      <c r="BK864" s="68"/>
      <c r="BL864" s="68"/>
      <c r="BM864" s="68"/>
      <c r="BN864" s="68"/>
    </row>
    <row r="865" spans="1:66" ht="17">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8"/>
      <c r="AG865" s="68"/>
      <c r="AH865" s="68"/>
      <c r="AI865" s="68"/>
      <c r="AJ865" s="68"/>
      <c r="AK865" s="68"/>
      <c r="AL865" s="68"/>
      <c r="AM865" s="68"/>
      <c r="AN865" s="68"/>
      <c r="AO865" s="68"/>
      <c r="AP865" s="68"/>
      <c r="AQ865" s="68"/>
      <c r="AR865" s="68"/>
      <c r="AS865" s="68"/>
      <c r="AT865" s="68"/>
      <c r="AU865" s="68"/>
      <c r="AV865" s="68"/>
      <c r="AW865" s="68"/>
      <c r="AX865" s="68"/>
      <c r="AY865" s="68"/>
      <c r="AZ865" s="68"/>
      <c r="BA865" s="68"/>
      <c r="BB865" s="68"/>
      <c r="BC865" s="68"/>
      <c r="BD865" s="68"/>
      <c r="BE865" s="68"/>
      <c r="BF865" s="68"/>
      <c r="BG865" s="68"/>
      <c r="BH865" s="68"/>
      <c r="BI865" s="68"/>
      <c r="BJ865" s="68"/>
      <c r="BK865" s="68"/>
      <c r="BL865" s="68"/>
      <c r="BM865" s="68"/>
      <c r="BN865" s="68"/>
    </row>
    <row r="866" spans="1:66" ht="17">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8"/>
      <c r="AG866" s="68"/>
      <c r="AH866" s="68"/>
      <c r="AI866" s="68"/>
      <c r="AJ866" s="68"/>
      <c r="AK866" s="68"/>
      <c r="AL866" s="68"/>
      <c r="AM866" s="68"/>
      <c r="AN866" s="68"/>
      <c r="AO866" s="68"/>
      <c r="AP866" s="68"/>
      <c r="AQ866" s="68"/>
      <c r="AR866" s="68"/>
      <c r="AS866" s="68"/>
      <c r="AT866" s="68"/>
      <c r="AU866" s="68"/>
      <c r="AV866" s="68"/>
      <c r="AW866" s="68"/>
      <c r="AX866" s="68"/>
      <c r="AY866" s="68"/>
      <c r="AZ866" s="68"/>
      <c r="BA866" s="68"/>
      <c r="BB866" s="68"/>
      <c r="BC866" s="68"/>
      <c r="BD866" s="68"/>
      <c r="BE866" s="68"/>
      <c r="BF866" s="68"/>
      <c r="BG866" s="68"/>
      <c r="BH866" s="68"/>
      <c r="BI866" s="68"/>
      <c r="BJ866" s="68"/>
      <c r="BK866" s="68"/>
      <c r="BL866" s="68"/>
      <c r="BM866" s="68"/>
      <c r="BN866" s="68"/>
    </row>
    <row r="867" spans="1:66" ht="1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8"/>
      <c r="AG867" s="68"/>
      <c r="AH867" s="68"/>
      <c r="AI867" s="68"/>
      <c r="AJ867" s="68"/>
      <c r="AK867" s="68"/>
      <c r="AL867" s="68"/>
      <c r="AM867" s="68"/>
      <c r="AN867" s="68"/>
      <c r="AO867" s="68"/>
      <c r="AP867" s="68"/>
      <c r="AQ867" s="68"/>
      <c r="AR867" s="68"/>
      <c r="AS867" s="68"/>
      <c r="AT867" s="68"/>
      <c r="AU867" s="68"/>
      <c r="AV867" s="68"/>
      <c r="AW867" s="68"/>
      <c r="AX867" s="68"/>
      <c r="AY867" s="68"/>
      <c r="AZ867" s="68"/>
      <c r="BA867" s="68"/>
      <c r="BB867" s="68"/>
      <c r="BC867" s="68"/>
      <c r="BD867" s="68"/>
      <c r="BE867" s="68"/>
      <c r="BF867" s="68"/>
      <c r="BG867" s="68"/>
      <c r="BH867" s="68"/>
      <c r="BI867" s="68"/>
      <c r="BJ867" s="68"/>
      <c r="BK867" s="68"/>
      <c r="BL867" s="68"/>
      <c r="BM867" s="68"/>
      <c r="BN867" s="68"/>
    </row>
    <row r="868" spans="1:66" ht="17">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8"/>
      <c r="AG868" s="68"/>
      <c r="AH868" s="68"/>
      <c r="AI868" s="68"/>
      <c r="AJ868" s="68"/>
      <c r="AK868" s="68"/>
      <c r="AL868" s="68"/>
      <c r="AM868" s="68"/>
      <c r="AN868" s="68"/>
      <c r="AO868" s="68"/>
      <c r="AP868" s="68"/>
      <c r="AQ868" s="68"/>
      <c r="AR868" s="68"/>
      <c r="AS868" s="68"/>
      <c r="AT868" s="68"/>
      <c r="AU868" s="68"/>
      <c r="AV868" s="68"/>
      <c r="AW868" s="68"/>
      <c r="AX868" s="68"/>
      <c r="AY868" s="68"/>
      <c r="AZ868" s="68"/>
      <c r="BA868" s="68"/>
      <c r="BB868" s="68"/>
      <c r="BC868" s="68"/>
      <c r="BD868" s="68"/>
      <c r="BE868" s="68"/>
      <c r="BF868" s="68"/>
      <c r="BG868" s="68"/>
      <c r="BH868" s="68"/>
      <c r="BI868" s="68"/>
      <c r="BJ868" s="68"/>
      <c r="BK868" s="68"/>
      <c r="BL868" s="68"/>
      <c r="BM868" s="68"/>
      <c r="BN868" s="68"/>
    </row>
    <row r="869" spans="1:66" ht="17">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8"/>
      <c r="AG869" s="68"/>
      <c r="AH869" s="68"/>
      <c r="AI869" s="68"/>
      <c r="AJ869" s="68"/>
      <c r="AK869" s="68"/>
      <c r="AL869" s="68"/>
      <c r="AM869" s="68"/>
      <c r="AN869" s="68"/>
      <c r="AO869" s="68"/>
      <c r="AP869" s="68"/>
      <c r="AQ869" s="68"/>
      <c r="AR869" s="68"/>
      <c r="AS869" s="68"/>
      <c r="AT869" s="68"/>
      <c r="AU869" s="68"/>
      <c r="AV869" s="68"/>
      <c r="AW869" s="68"/>
      <c r="AX869" s="68"/>
      <c r="AY869" s="68"/>
      <c r="AZ869" s="68"/>
      <c r="BA869" s="68"/>
      <c r="BB869" s="68"/>
      <c r="BC869" s="68"/>
      <c r="BD869" s="68"/>
      <c r="BE869" s="68"/>
      <c r="BF869" s="68"/>
      <c r="BG869" s="68"/>
      <c r="BH869" s="68"/>
      <c r="BI869" s="68"/>
      <c r="BJ869" s="68"/>
      <c r="BK869" s="68"/>
      <c r="BL869" s="68"/>
      <c r="BM869" s="68"/>
      <c r="BN869" s="68"/>
    </row>
    <row r="870" spans="1:66" ht="17">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8"/>
      <c r="AG870" s="68"/>
      <c r="AH870" s="68"/>
      <c r="AI870" s="68"/>
      <c r="AJ870" s="68"/>
      <c r="AK870" s="68"/>
      <c r="AL870" s="68"/>
      <c r="AM870" s="68"/>
      <c r="AN870" s="68"/>
      <c r="AO870" s="68"/>
      <c r="AP870" s="68"/>
      <c r="AQ870" s="68"/>
      <c r="AR870" s="68"/>
      <c r="AS870" s="68"/>
      <c r="AT870" s="68"/>
      <c r="AU870" s="68"/>
      <c r="AV870" s="68"/>
      <c r="AW870" s="68"/>
      <c r="AX870" s="68"/>
      <c r="AY870" s="68"/>
      <c r="AZ870" s="68"/>
      <c r="BA870" s="68"/>
      <c r="BB870" s="68"/>
      <c r="BC870" s="68"/>
      <c r="BD870" s="68"/>
      <c r="BE870" s="68"/>
      <c r="BF870" s="68"/>
      <c r="BG870" s="68"/>
      <c r="BH870" s="68"/>
      <c r="BI870" s="68"/>
      <c r="BJ870" s="68"/>
      <c r="BK870" s="68"/>
      <c r="BL870" s="68"/>
      <c r="BM870" s="68"/>
      <c r="BN870" s="68"/>
    </row>
    <row r="871" spans="1:66" ht="17">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8"/>
      <c r="AG871" s="68"/>
      <c r="AH871" s="68"/>
      <c r="AI871" s="68"/>
      <c r="AJ871" s="68"/>
      <c r="AK871" s="68"/>
      <c r="AL871" s="68"/>
      <c r="AM871" s="68"/>
      <c r="AN871" s="68"/>
      <c r="AO871" s="68"/>
      <c r="AP871" s="68"/>
      <c r="AQ871" s="68"/>
      <c r="AR871" s="68"/>
      <c r="AS871" s="68"/>
      <c r="AT871" s="68"/>
      <c r="AU871" s="68"/>
      <c r="AV871" s="68"/>
      <c r="AW871" s="68"/>
      <c r="AX871" s="68"/>
      <c r="AY871" s="68"/>
      <c r="AZ871" s="68"/>
      <c r="BA871" s="68"/>
      <c r="BB871" s="68"/>
      <c r="BC871" s="68"/>
      <c r="BD871" s="68"/>
      <c r="BE871" s="68"/>
      <c r="BF871" s="68"/>
      <c r="BG871" s="68"/>
      <c r="BH871" s="68"/>
      <c r="BI871" s="68"/>
      <c r="BJ871" s="68"/>
      <c r="BK871" s="68"/>
      <c r="BL871" s="68"/>
      <c r="BM871" s="68"/>
      <c r="BN871" s="68"/>
    </row>
    <row r="872" spans="1:66" ht="17">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8"/>
      <c r="AG872" s="68"/>
      <c r="AH872" s="68"/>
      <c r="AI872" s="68"/>
      <c r="AJ872" s="68"/>
      <c r="AK872" s="68"/>
      <c r="AL872" s="68"/>
      <c r="AM872" s="68"/>
      <c r="AN872" s="68"/>
      <c r="AO872" s="68"/>
      <c r="AP872" s="68"/>
      <c r="AQ872" s="68"/>
      <c r="AR872" s="68"/>
      <c r="AS872" s="68"/>
      <c r="AT872" s="68"/>
      <c r="AU872" s="68"/>
      <c r="AV872" s="68"/>
      <c r="AW872" s="68"/>
      <c r="AX872" s="68"/>
      <c r="AY872" s="68"/>
      <c r="AZ872" s="68"/>
      <c r="BA872" s="68"/>
      <c r="BB872" s="68"/>
      <c r="BC872" s="68"/>
      <c r="BD872" s="68"/>
      <c r="BE872" s="68"/>
      <c r="BF872" s="68"/>
      <c r="BG872" s="68"/>
      <c r="BH872" s="68"/>
      <c r="BI872" s="68"/>
      <c r="BJ872" s="68"/>
      <c r="BK872" s="68"/>
      <c r="BL872" s="68"/>
      <c r="BM872" s="68"/>
      <c r="BN872" s="68"/>
    </row>
    <row r="873" spans="1:66" ht="17">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8"/>
      <c r="AG873" s="68"/>
      <c r="AH873" s="68"/>
      <c r="AI873" s="68"/>
      <c r="AJ873" s="68"/>
      <c r="AK873" s="68"/>
      <c r="AL873" s="68"/>
      <c r="AM873" s="68"/>
      <c r="AN873" s="68"/>
      <c r="AO873" s="68"/>
      <c r="AP873" s="68"/>
      <c r="AQ873" s="68"/>
      <c r="AR873" s="68"/>
      <c r="AS873" s="68"/>
      <c r="AT873" s="68"/>
      <c r="AU873" s="68"/>
      <c r="AV873" s="68"/>
      <c r="AW873" s="68"/>
      <c r="AX873" s="68"/>
      <c r="AY873" s="68"/>
      <c r="AZ873" s="68"/>
      <c r="BA873" s="68"/>
      <c r="BB873" s="68"/>
      <c r="BC873" s="68"/>
      <c r="BD873" s="68"/>
      <c r="BE873" s="68"/>
      <c r="BF873" s="68"/>
      <c r="BG873" s="68"/>
      <c r="BH873" s="68"/>
      <c r="BI873" s="68"/>
      <c r="BJ873" s="68"/>
      <c r="BK873" s="68"/>
      <c r="BL873" s="68"/>
      <c r="BM873" s="68"/>
      <c r="BN873" s="68"/>
    </row>
    <row r="874" spans="1:66" ht="17">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8"/>
      <c r="AG874" s="68"/>
      <c r="AH874" s="68"/>
      <c r="AI874" s="68"/>
      <c r="AJ874" s="68"/>
      <c r="AK874" s="68"/>
      <c r="AL874" s="68"/>
      <c r="AM874" s="68"/>
      <c r="AN874" s="68"/>
      <c r="AO874" s="68"/>
      <c r="AP874" s="68"/>
      <c r="AQ874" s="68"/>
      <c r="AR874" s="68"/>
      <c r="AS874" s="68"/>
      <c r="AT874" s="68"/>
      <c r="AU874" s="68"/>
      <c r="AV874" s="68"/>
      <c r="AW874" s="68"/>
      <c r="AX874" s="68"/>
      <c r="AY874" s="68"/>
      <c r="AZ874" s="68"/>
      <c r="BA874" s="68"/>
      <c r="BB874" s="68"/>
      <c r="BC874" s="68"/>
      <c r="BD874" s="68"/>
      <c r="BE874" s="68"/>
      <c r="BF874" s="68"/>
      <c r="BG874" s="68"/>
      <c r="BH874" s="68"/>
      <c r="BI874" s="68"/>
      <c r="BJ874" s="68"/>
      <c r="BK874" s="68"/>
      <c r="BL874" s="68"/>
      <c r="BM874" s="68"/>
      <c r="BN874" s="68"/>
    </row>
    <row r="875" spans="1:66" ht="17">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8"/>
      <c r="AG875" s="68"/>
      <c r="AH875" s="68"/>
      <c r="AI875" s="68"/>
      <c r="AJ875" s="68"/>
      <c r="AK875" s="68"/>
      <c r="AL875" s="68"/>
      <c r="AM875" s="68"/>
      <c r="AN875" s="68"/>
      <c r="AO875" s="68"/>
      <c r="AP875" s="68"/>
      <c r="AQ875" s="68"/>
      <c r="AR875" s="68"/>
      <c r="AS875" s="68"/>
      <c r="AT875" s="68"/>
      <c r="AU875" s="68"/>
      <c r="AV875" s="68"/>
      <c r="AW875" s="68"/>
      <c r="AX875" s="68"/>
      <c r="AY875" s="68"/>
      <c r="AZ875" s="68"/>
      <c r="BA875" s="68"/>
      <c r="BB875" s="68"/>
      <c r="BC875" s="68"/>
      <c r="BD875" s="68"/>
      <c r="BE875" s="68"/>
      <c r="BF875" s="68"/>
      <c r="BG875" s="68"/>
      <c r="BH875" s="68"/>
      <c r="BI875" s="68"/>
      <c r="BJ875" s="68"/>
      <c r="BK875" s="68"/>
      <c r="BL875" s="68"/>
      <c r="BM875" s="68"/>
      <c r="BN875" s="68"/>
    </row>
    <row r="876" spans="1:66" ht="17">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8"/>
      <c r="AG876" s="68"/>
      <c r="AH876" s="68"/>
      <c r="AI876" s="68"/>
      <c r="AJ876" s="68"/>
      <c r="AK876" s="68"/>
      <c r="AL876" s="68"/>
      <c r="AM876" s="68"/>
      <c r="AN876" s="68"/>
      <c r="AO876" s="68"/>
      <c r="AP876" s="68"/>
      <c r="AQ876" s="68"/>
      <c r="AR876" s="68"/>
      <c r="AS876" s="68"/>
      <c r="AT876" s="68"/>
      <c r="AU876" s="68"/>
      <c r="AV876" s="68"/>
      <c r="AW876" s="68"/>
      <c r="AX876" s="68"/>
      <c r="AY876" s="68"/>
      <c r="AZ876" s="68"/>
      <c r="BA876" s="68"/>
      <c r="BB876" s="68"/>
      <c r="BC876" s="68"/>
      <c r="BD876" s="68"/>
      <c r="BE876" s="68"/>
      <c r="BF876" s="68"/>
      <c r="BG876" s="68"/>
      <c r="BH876" s="68"/>
      <c r="BI876" s="68"/>
      <c r="BJ876" s="68"/>
      <c r="BK876" s="68"/>
      <c r="BL876" s="68"/>
      <c r="BM876" s="68"/>
      <c r="BN876" s="68"/>
    </row>
    <row r="877" spans="1:66" ht="1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8"/>
      <c r="AG877" s="68"/>
      <c r="AH877" s="68"/>
      <c r="AI877" s="68"/>
      <c r="AJ877" s="68"/>
      <c r="AK877" s="68"/>
      <c r="AL877" s="68"/>
      <c r="AM877" s="68"/>
      <c r="AN877" s="68"/>
      <c r="AO877" s="68"/>
      <c r="AP877" s="68"/>
      <c r="AQ877" s="68"/>
      <c r="AR877" s="68"/>
      <c r="AS877" s="68"/>
      <c r="AT877" s="68"/>
      <c r="AU877" s="68"/>
      <c r="AV877" s="68"/>
      <c r="AW877" s="68"/>
      <c r="AX877" s="68"/>
      <c r="AY877" s="68"/>
      <c r="AZ877" s="68"/>
      <c r="BA877" s="68"/>
      <c r="BB877" s="68"/>
      <c r="BC877" s="68"/>
      <c r="BD877" s="68"/>
      <c r="BE877" s="68"/>
      <c r="BF877" s="68"/>
      <c r="BG877" s="68"/>
      <c r="BH877" s="68"/>
      <c r="BI877" s="68"/>
      <c r="BJ877" s="68"/>
      <c r="BK877" s="68"/>
      <c r="BL877" s="68"/>
      <c r="BM877" s="68"/>
      <c r="BN877" s="68"/>
    </row>
    <row r="878" spans="1:66" ht="17">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8"/>
      <c r="AG878" s="68"/>
      <c r="AH878" s="68"/>
      <c r="AI878" s="68"/>
      <c r="AJ878" s="68"/>
      <c r="AK878" s="68"/>
      <c r="AL878" s="68"/>
      <c r="AM878" s="68"/>
      <c r="AN878" s="68"/>
      <c r="AO878" s="68"/>
      <c r="AP878" s="68"/>
      <c r="AQ878" s="68"/>
      <c r="AR878" s="68"/>
      <c r="AS878" s="68"/>
      <c r="AT878" s="68"/>
      <c r="AU878" s="68"/>
      <c r="AV878" s="68"/>
      <c r="AW878" s="68"/>
      <c r="AX878" s="68"/>
      <c r="AY878" s="68"/>
      <c r="AZ878" s="68"/>
      <c r="BA878" s="68"/>
      <c r="BB878" s="68"/>
      <c r="BC878" s="68"/>
      <c r="BD878" s="68"/>
      <c r="BE878" s="68"/>
      <c r="BF878" s="68"/>
      <c r="BG878" s="68"/>
      <c r="BH878" s="68"/>
      <c r="BI878" s="68"/>
      <c r="BJ878" s="68"/>
      <c r="BK878" s="68"/>
      <c r="BL878" s="68"/>
      <c r="BM878" s="68"/>
      <c r="BN878" s="68"/>
    </row>
    <row r="879" spans="1:66" ht="17">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8"/>
      <c r="AG879" s="68"/>
      <c r="AH879" s="68"/>
      <c r="AI879" s="68"/>
      <c r="AJ879" s="68"/>
      <c r="AK879" s="68"/>
      <c r="AL879" s="68"/>
      <c r="AM879" s="68"/>
      <c r="AN879" s="68"/>
      <c r="AO879" s="68"/>
      <c r="AP879" s="68"/>
      <c r="AQ879" s="68"/>
      <c r="AR879" s="68"/>
      <c r="AS879" s="68"/>
      <c r="AT879" s="68"/>
      <c r="AU879" s="68"/>
      <c r="AV879" s="68"/>
      <c r="AW879" s="68"/>
      <c r="AX879" s="68"/>
      <c r="AY879" s="68"/>
      <c r="AZ879" s="68"/>
      <c r="BA879" s="68"/>
      <c r="BB879" s="68"/>
      <c r="BC879" s="68"/>
      <c r="BD879" s="68"/>
      <c r="BE879" s="68"/>
      <c r="BF879" s="68"/>
      <c r="BG879" s="68"/>
      <c r="BH879" s="68"/>
      <c r="BI879" s="68"/>
      <c r="BJ879" s="68"/>
      <c r="BK879" s="68"/>
      <c r="BL879" s="68"/>
      <c r="BM879" s="68"/>
      <c r="BN879" s="68"/>
    </row>
    <row r="880" spans="1:66" ht="17">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8"/>
      <c r="AG880" s="68"/>
      <c r="AH880" s="68"/>
      <c r="AI880" s="68"/>
      <c r="AJ880" s="68"/>
      <c r="AK880" s="68"/>
      <c r="AL880" s="68"/>
      <c r="AM880" s="68"/>
      <c r="AN880" s="68"/>
      <c r="AO880" s="68"/>
      <c r="AP880" s="68"/>
      <c r="AQ880" s="68"/>
      <c r="AR880" s="68"/>
      <c r="AS880" s="68"/>
      <c r="AT880" s="68"/>
      <c r="AU880" s="68"/>
      <c r="AV880" s="68"/>
      <c r="AW880" s="68"/>
      <c r="AX880" s="68"/>
      <c r="AY880" s="68"/>
      <c r="AZ880" s="68"/>
      <c r="BA880" s="68"/>
      <c r="BB880" s="68"/>
      <c r="BC880" s="68"/>
      <c r="BD880" s="68"/>
      <c r="BE880" s="68"/>
      <c r="BF880" s="68"/>
      <c r="BG880" s="68"/>
      <c r="BH880" s="68"/>
      <c r="BI880" s="68"/>
      <c r="BJ880" s="68"/>
      <c r="BK880" s="68"/>
      <c r="BL880" s="68"/>
      <c r="BM880" s="68"/>
      <c r="BN880" s="68"/>
    </row>
    <row r="881" spans="1:66" ht="17">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8"/>
      <c r="AG881" s="68"/>
      <c r="AH881" s="68"/>
      <c r="AI881" s="68"/>
      <c r="AJ881" s="68"/>
      <c r="AK881" s="68"/>
      <c r="AL881" s="68"/>
      <c r="AM881" s="68"/>
      <c r="AN881" s="68"/>
      <c r="AO881" s="68"/>
      <c r="AP881" s="68"/>
      <c r="AQ881" s="68"/>
      <c r="AR881" s="68"/>
      <c r="AS881" s="68"/>
      <c r="AT881" s="68"/>
      <c r="AU881" s="68"/>
      <c r="AV881" s="68"/>
      <c r="AW881" s="68"/>
      <c r="AX881" s="68"/>
      <c r="AY881" s="68"/>
      <c r="AZ881" s="68"/>
      <c r="BA881" s="68"/>
      <c r="BB881" s="68"/>
      <c r="BC881" s="68"/>
      <c r="BD881" s="68"/>
      <c r="BE881" s="68"/>
      <c r="BF881" s="68"/>
      <c r="BG881" s="68"/>
      <c r="BH881" s="68"/>
      <c r="BI881" s="68"/>
      <c r="BJ881" s="68"/>
      <c r="BK881" s="68"/>
      <c r="BL881" s="68"/>
      <c r="BM881" s="68"/>
      <c r="BN881" s="68"/>
    </row>
    <row r="882" spans="1:66" ht="17">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8"/>
      <c r="AG882" s="68"/>
      <c r="AH882" s="68"/>
      <c r="AI882" s="68"/>
      <c r="AJ882" s="68"/>
      <c r="AK882" s="68"/>
      <c r="AL882" s="68"/>
      <c r="AM882" s="68"/>
      <c r="AN882" s="68"/>
      <c r="AO882" s="68"/>
      <c r="AP882" s="68"/>
      <c r="AQ882" s="68"/>
      <c r="AR882" s="68"/>
      <c r="AS882" s="68"/>
      <c r="AT882" s="68"/>
      <c r="AU882" s="68"/>
      <c r="AV882" s="68"/>
      <c r="AW882" s="68"/>
      <c r="AX882" s="68"/>
      <c r="AY882" s="68"/>
      <c r="AZ882" s="68"/>
      <c r="BA882" s="68"/>
      <c r="BB882" s="68"/>
      <c r="BC882" s="68"/>
      <c r="BD882" s="68"/>
      <c r="BE882" s="68"/>
      <c r="BF882" s="68"/>
      <c r="BG882" s="68"/>
      <c r="BH882" s="68"/>
      <c r="BI882" s="68"/>
      <c r="BJ882" s="68"/>
      <c r="BK882" s="68"/>
      <c r="BL882" s="68"/>
      <c r="BM882" s="68"/>
      <c r="BN882" s="68"/>
    </row>
    <row r="883" spans="1:66" ht="17">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8"/>
      <c r="AG883" s="68"/>
      <c r="AH883" s="68"/>
      <c r="AI883" s="68"/>
      <c r="AJ883" s="68"/>
      <c r="AK883" s="68"/>
      <c r="AL883" s="68"/>
      <c r="AM883" s="68"/>
      <c r="AN883" s="68"/>
      <c r="AO883" s="68"/>
      <c r="AP883" s="68"/>
      <c r="AQ883" s="68"/>
      <c r="AR883" s="68"/>
      <c r="AS883" s="68"/>
      <c r="AT883" s="68"/>
      <c r="AU883" s="68"/>
      <c r="AV883" s="68"/>
      <c r="AW883" s="68"/>
      <c r="AX883" s="68"/>
      <c r="AY883" s="68"/>
      <c r="AZ883" s="68"/>
      <c r="BA883" s="68"/>
      <c r="BB883" s="68"/>
      <c r="BC883" s="68"/>
      <c r="BD883" s="68"/>
      <c r="BE883" s="68"/>
      <c r="BF883" s="68"/>
      <c r="BG883" s="68"/>
      <c r="BH883" s="68"/>
      <c r="BI883" s="68"/>
      <c r="BJ883" s="68"/>
      <c r="BK883" s="68"/>
      <c r="BL883" s="68"/>
      <c r="BM883" s="68"/>
      <c r="BN883" s="68"/>
    </row>
    <row r="884" spans="1:66" ht="17">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8"/>
      <c r="AG884" s="68"/>
      <c r="AH884" s="68"/>
      <c r="AI884" s="68"/>
      <c r="AJ884" s="68"/>
      <c r="AK884" s="68"/>
      <c r="AL884" s="68"/>
      <c r="AM884" s="68"/>
      <c r="AN884" s="68"/>
      <c r="AO884" s="68"/>
      <c r="AP884" s="68"/>
      <c r="AQ884" s="68"/>
      <c r="AR884" s="68"/>
      <c r="AS884" s="68"/>
      <c r="AT884" s="68"/>
      <c r="AU884" s="68"/>
      <c r="AV884" s="68"/>
      <c r="AW884" s="68"/>
      <c r="AX884" s="68"/>
      <c r="AY884" s="68"/>
      <c r="AZ884" s="68"/>
      <c r="BA884" s="68"/>
      <c r="BB884" s="68"/>
      <c r="BC884" s="68"/>
      <c r="BD884" s="68"/>
      <c r="BE884" s="68"/>
      <c r="BF884" s="68"/>
      <c r="BG884" s="68"/>
      <c r="BH884" s="68"/>
      <c r="BI884" s="68"/>
      <c r="BJ884" s="68"/>
      <c r="BK884" s="68"/>
      <c r="BL884" s="68"/>
      <c r="BM884" s="68"/>
      <c r="BN884" s="68"/>
    </row>
    <row r="885" spans="1:66" ht="17">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c r="AG885" s="68"/>
      <c r="AH885" s="68"/>
      <c r="AI885" s="68"/>
      <c r="AJ885" s="68"/>
      <c r="AK885" s="68"/>
      <c r="AL885" s="68"/>
      <c r="AM885" s="68"/>
      <c r="AN885" s="68"/>
      <c r="AO885" s="68"/>
      <c r="AP885" s="68"/>
      <c r="AQ885" s="68"/>
      <c r="AR885" s="68"/>
      <c r="AS885" s="68"/>
      <c r="AT885" s="68"/>
      <c r="AU885" s="68"/>
      <c r="AV885" s="68"/>
      <c r="AW885" s="68"/>
      <c r="AX885" s="68"/>
      <c r="AY885" s="68"/>
      <c r="AZ885" s="68"/>
      <c r="BA885" s="68"/>
      <c r="BB885" s="68"/>
      <c r="BC885" s="68"/>
      <c r="BD885" s="68"/>
      <c r="BE885" s="68"/>
      <c r="BF885" s="68"/>
      <c r="BG885" s="68"/>
      <c r="BH885" s="68"/>
      <c r="BI885" s="68"/>
      <c r="BJ885" s="68"/>
      <c r="BK885" s="68"/>
      <c r="BL885" s="68"/>
      <c r="BM885" s="68"/>
      <c r="BN885" s="68"/>
    </row>
    <row r="886" spans="1:66" ht="17">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8"/>
      <c r="AG886" s="68"/>
      <c r="AH886" s="68"/>
      <c r="AI886" s="68"/>
      <c r="AJ886" s="68"/>
      <c r="AK886" s="68"/>
      <c r="AL886" s="68"/>
      <c r="AM886" s="68"/>
      <c r="AN886" s="68"/>
      <c r="AO886" s="68"/>
      <c r="AP886" s="68"/>
      <c r="AQ886" s="68"/>
      <c r="AR886" s="68"/>
      <c r="AS886" s="68"/>
      <c r="AT886" s="68"/>
      <c r="AU886" s="68"/>
      <c r="AV886" s="68"/>
      <c r="AW886" s="68"/>
      <c r="AX886" s="68"/>
      <c r="AY886" s="68"/>
      <c r="AZ886" s="68"/>
      <c r="BA886" s="68"/>
      <c r="BB886" s="68"/>
      <c r="BC886" s="68"/>
      <c r="BD886" s="68"/>
      <c r="BE886" s="68"/>
      <c r="BF886" s="68"/>
      <c r="BG886" s="68"/>
      <c r="BH886" s="68"/>
      <c r="BI886" s="68"/>
      <c r="BJ886" s="68"/>
      <c r="BK886" s="68"/>
      <c r="BL886" s="68"/>
      <c r="BM886" s="68"/>
      <c r="BN886" s="68"/>
    </row>
    <row r="887" spans="1:66" ht="1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8"/>
      <c r="AG887" s="68"/>
      <c r="AH887" s="68"/>
      <c r="AI887" s="68"/>
      <c r="AJ887" s="68"/>
      <c r="AK887" s="68"/>
      <c r="AL887" s="68"/>
      <c r="AM887" s="68"/>
      <c r="AN887" s="68"/>
      <c r="AO887" s="68"/>
      <c r="AP887" s="68"/>
      <c r="AQ887" s="68"/>
      <c r="AR887" s="68"/>
      <c r="AS887" s="68"/>
      <c r="AT887" s="68"/>
      <c r="AU887" s="68"/>
      <c r="AV887" s="68"/>
      <c r="AW887" s="68"/>
      <c r="AX887" s="68"/>
      <c r="AY887" s="68"/>
      <c r="AZ887" s="68"/>
      <c r="BA887" s="68"/>
      <c r="BB887" s="68"/>
      <c r="BC887" s="68"/>
      <c r="BD887" s="68"/>
      <c r="BE887" s="68"/>
      <c r="BF887" s="68"/>
      <c r="BG887" s="68"/>
      <c r="BH887" s="68"/>
      <c r="BI887" s="68"/>
      <c r="BJ887" s="68"/>
      <c r="BK887" s="68"/>
      <c r="BL887" s="68"/>
      <c r="BM887" s="68"/>
      <c r="BN887" s="68"/>
    </row>
    <row r="888" spans="1:66" ht="17">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8"/>
      <c r="AG888" s="68"/>
      <c r="AH888" s="68"/>
      <c r="AI888" s="68"/>
      <c r="AJ888" s="68"/>
      <c r="AK888" s="68"/>
      <c r="AL888" s="68"/>
      <c r="AM888" s="68"/>
      <c r="AN888" s="68"/>
      <c r="AO888" s="68"/>
      <c r="AP888" s="68"/>
      <c r="AQ888" s="68"/>
      <c r="AR888" s="68"/>
      <c r="AS888" s="68"/>
      <c r="AT888" s="68"/>
      <c r="AU888" s="68"/>
      <c r="AV888" s="68"/>
      <c r="AW888" s="68"/>
      <c r="AX888" s="68"/>
      <c r="AY888" s="68"/>
      <c r="AZ888" s="68"/>
      <c r="BA888" s="68"/>
      <c r="BB888" s="68"/>
      <c r="BC888" s="68"/>
      <c r="BD888" s="68"/>
      <c r="BE888" s="68"/>
      <c r="BF888" s="68"/>
      <c r="BG888" s="68"/>
      <c r="BH888" s="68"/>
      <c r="BI888" s="68"/>
      <c r="BJ888" s="68"/>
      <c r="BK888" s="68"/>
      <c r="BL888" s="68"/>
      <c r="BM888" s="68"/>
      <c r="BN888" s="68"/>
    </row>
    <row r="889" spans="1:66" ht="17">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8"/>
      <c r="AG889" s="68"/>
      <c r="AH889" s="68"/>
      <c r="AI889" s="68"/>
      <c r="AJ889" s="68"/>
      <c r="AK889" s="68"/>
      <c r="AL889" s="68"/>
      <c r="AM889" s="68"/>
      <c r="AN889" s="68"/>
      <c r="AO889" s="68"/>
      <c r="AP889" s="68"/>
      <c r="AQ889" s="68"/>
      <c r="AR889" s="68"/>
      <c r="AS889" s="68"/>
      <c r="AT889" s="68"/>
      <c r="AU889" s="68"/>
      <c r="AV889" s="68"/>
      <c r="AW889" s="68"/>
      <c r="AX889" s="68"/>
      <c r="AY889" s="68"/>
      <c r="AZ889" s="68"/>
      <c r="BA889" s="68"/>
      <c r="BB889" s="68"/>
      <c r="BC889" s="68"/>
      <c r="BD889" s="68"/>
      <c r="BE889" s="68"/>
      <c r="BF889" s="68"/>
      <c r="BG889" s="68"/>
      <c r="BH889" s="68"/>
      <c r="BI889" s="68"/>
      <c r="BJ889" s="68"/>
      <c r="BK889" s="68"/>
      <c r="BL889" s="68"/>
      <c r="BM889" s="68"/>
      <c r="BN889" s="68"/>
    </row>
    <row r="890" spans="1:66" ht="17">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8"/>
      <c r="AG890" s="68"/>
      <c r="AH890" s="68"/>
      <c r="AI890" s="68"/>
      <c r="AJ890" s="68"/>
      <c r="AK890" s="68"/>
      <c r="AL890" s="68"/>
      <c r="AM890" s="68"/>
      <c r="AN890" s="68"/>
      <c r="AO890" s="68"/>
      <c r="AP890" s="68"/>
      <c r="AQ890" s="68"/>
      <c r="AR890" s="68"/>
      <c r="AS890" s="68"/>
      <c r="AT890" s="68"/>
      <c r="AU890" s="68"/>
      <c r="AV890" s="68"/>
      <c r="AW890" s="68"/>
      <c r="AX890" s="68"/>
      <c r="AY890" s="68"/>
      <c r="AZ890" s="68"/>
      <c r="BA890" s="68"/>
      <c r="BB890" s="68"/>
      <c r="BC890" s="68"/>
      <c r="BD890" s="68"/>
      <c r="BE890" s="68"/>
      <c r="BF890" s="68"/>
      <c r="BG890" s="68"/>
      <c r="BH890" s="68"/>
      <c r="BI890" s="68"/>
      <c r="BJ890" s="68"/>
      <c r="BK890" s="68"/>
      <c r="BL890" s="68"/>
      <c r="BM890" s="68"/>
      <c r="BN890" s="68"/>
    </row>
    <row r="891" spans="1:66" ht="17">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8"/>
      <c r="AG891" s="68"/>
      <c r="AH891" s="68"/>
      <c r="AI891" s="68"/>
      <c r="AJ891" s="68"/>
      <c r="AK891" s="68"/>
      <c r="AL891" s="68"/>
      <c r="AM891" s="68"/>
      <c r="AN891" s="68"/>
      <c r="AO891" s="68"/>
      <c r="AP891" s="68"/>
      <c r="AQ891" s="68"/>
      <c r="AR891" s="68"/>
      <c r="AS891" s="68"/>
      <c r="AT891" s="68"/>
      <c r="AU891" s="68"/>
      <c r="AV891" s="68"/>
      <c r="AW891" s="68"/>
      <c r="AX891" s="68"/>
      <c r="AY891" s="68"/>
      <c r="AZ891" s="68"/>
      <c r="BA891" s="68"/>
      <c r="BB891" s="68"/>
      <c r="BC891" s="68"/>
      <c r="BD891" s="68"/>
      <c r="BE891" s="68"/>
      <c r="BF891" s="68"/>
      <c r="BG891" s="68"/>
      <c r="BH891" s="68"/>
      <c r="BI891" s="68"/>
      <c r="BJ891" s="68"/>
      <c r="BK891" s="68"/>
      <c r="BL891" s="68"/>
      <c r="BM891" s="68"/>
      <c r="BN891" s="68"/>
    </row>
    <row r="892" spans="1:66" ht="17">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8"/>
      <c r="AG892" s="68"/>
      <c r="AH892" s="68"/>
      <c r="AI892" s="68"/>
      <c r="AJ892" s="68"/>
      <c r="AK892" s="68"/>
      <c r="AL892" s="68"/>
      <c r="AM892" s="68"/>
      <c r="AN892" s="68"/>
      <c r="AO892" s="68"/>
      <c r="AP892" s="68"/>
      <c r="AQ892" s="68"/>
      <c r="AR892" s="68"/>
      <c r="AS892" s="68"/>
      <c r="AT892" s="68"/>
      <c r="AU892" s="68"/>
      <c r="AV892" s="68"/>
      <c r="AW892" s="68"/>
      <c r="AX892" s="68"/>
      <c r="AY892" s="68"/>
      <c r="AZ892" s="68"/>
      <c r="BA892" s="68"/>
      <c r="BB892" s="68"/>
      <c r="BC892" s="68"/>
      <c r="BD892" s="68"/>
      <c r="BE892" s="68"/>
      <c r="BF892" s="68"/>
      <c r="BG892" s="68"/>
      <c r="BH892" s="68"/>
      <c r="BI892" s="68"/>
      <c r="BJ892" s="68"/>
      <c r="BK892" s="68"/>
      <c r="BL892" s="68"/>
      <c r="BM892" s="68"/>
      <c r="BN892" s="68"/>
    </row>
    <row r="893" spans="1:66" ht="17">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8"/>
      <c r="AG893" s="68"/>
      <c r="AH893" s="68"/>
      <c r="AI893" s="68"/>
      <c r="AJ893" s="68"/>
      <c r="AK893" s="68"/>
      <c r="AL893" s="68"/>
      <c r="AM893" s="68"/>
      <c r="AN893" s="68"/>
      <c r="AO893" s="68"/>
      <c r="AP893" s="68"/>
      <c r="AQ893" s="68"/>
      <c r="AR893" s="68"/>
      <c r="AS893" s="68"/>
      <c r="AT893" s="68"/>
      <c r="AU893" s="68"/>
      <c r="AV893" s="68"/>
      <c r="AW893" s="68"/>
      <c r="AX893" s="68"/>
      <c r="AY893" s="68"/>
      <c r="AZ893" s="68"/>
      <c r="BA893" s="68"/>
      <c r="BB893" s="68"/>
      <c r="BC893" s="68"/>
      <c r="BD893" s="68"/>
      <c r="BE893" s="68"/>
      <c r="BF893" s="68"/>
      <c r="BG893" s="68"/>
      <c r="BH893" s="68"/>
      <c r="BI893" s="68"/>
      <c r="BJ893" s="68"/>
      <c r="BK893" s="68"/>
      <c r="BL893" s="68"/>
      <c r="BM893" s="68"/>
      <c r="BN893" s="68"/>
    </row>
    <row r="894" spans="1:66" ht="17">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8"/>
      <c r="AG894" s="68"/>
      <c r="AH894" s="68"/>
      <c r="AI894" s="68"/>
      <c r="AJ894" s="68"/>
      <c r="AK894" s="68"/>
      <c r="AL894" s="68"/>
      <c r="AM894" s="68"/>
      <c r="AN894" s="68"/>
      <c r="AO894" s="68"/>
      <c r="AP894" s="68"/>
      <c r="AQ894" s="68"/>
      <c r="AR894" s="68"/>
      <c r="AS894" s="68"/>
      <c r="AT894" s="68"/>
      <c r="AU894" s="68"/>
      <c r="AV894" s="68"/>
      <c r="AW894" s="68"/>
      <c r="AX894" s="68"/>
      <c r="AY894" s="68"/>
      <c r="AZ894" s="68"/>
      <c r="BA894" s="68"/>
      <c r="BB894" s="68"/>
      <c r="BC894" s="68"/>
      <c r="BD894" s="68"/>
      <c r="BE894" s="68"/>
      <c r="BF894" s="68"/>
      <c r="BG894" s="68"/>
      <c r="BH894" s="68"/>
      <c r="BI894" s="68"/>
      <c r="BJ894" s="68"/>
      <c r="BK894" s="68"/>
      <c r="BL894" s="68"/>
      <c r="BM894" s="68"/>
      <c r="BN894" s="68"/>
    </row>
    <row r="895" spans="1:66" ht="17">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8"/>
      <c r="AG895" s="68"/>
      <c r="AH895" s="68"/>
      <c r="AI895" s="68"/>
      <c r="AJ895" s="68"/>
      <c r="AK895" s="68"/>
      <c r="AL895" s="68"/>
      <c r="AM895" s="68"/>
      <c r="AN895" s="68"/>
      <c r="AO895" s="68"/>
      <c r="AP895" s="68"/>
      <c r="AQ895" s="68"/>
      <c r="AR895" s="68"/>
      <c r="AS895" s="68"/>
      <c r="AT895" s="68"/>
      <c r="AU895" s="68"/>
      <c r="AV895" s="68"/>
      <c r="AW895" s="68"/>
      <c r="AX895" s="68"/>
      <c r="AY895" s="68"/>
      <c r="AZ895" s="68"/>
      <c r="BA895" s="68"/>
      <c r="BB895" s="68"/>
      <c r="BC895" s="68"/>
      <c r="BD895" s="68"/>
      <c r="BE895" s="68"/>
      <c r="BF895" s="68"/>
      <c r="BG895" s="68"/>
      <c r="BH895" s="68"/>
      <c r="BI895" s="68"/>
      <c r="BJ895" s="68"/>
      <c r="BK895" s="68"/>
      <c r="BL895" s="68"/>
      <c r="BM895" s="68"/>
      <c r="BN895" s="68"/>
    </row>
    <row r="896" spans="1:66" ht="17">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8"/>
      <c r="AG896" s="68"/>
      <c r="AH896" s="68"/>
      <c r="AI896" s="68"/>
      <c r="AJ896" s="68"/>
      <c r="AK896" s="68"/>
      <c r="AL896" s="68"/>
      <c r="AM896" s="68"/>
      <c r="AN896" s="68"/>
      <c r="AO896" s="68"/>
      <c r="AP896" s="68"/>
      <c r="AQ896" s="68"/>
      <c r="AR896" s="68"/>
      <c r="AS896" s="68"/>
      <c r="AT896" s="68"/>
      <c r="AU896" s="68"/>
      <c r="AV896" s="68"/>
      <c r="AW896" s="68"/>
      <c r="AX896" s="68"/>
      <c r="AY896" s="68"/>
      <c r="AZ896" s="68"/>
      <c r="BA896" s="68"/>
      <c r="BB896" s="68"/>
      <c r="BC896" s="68"/>
      <c r="BD896" s="68"/>
      <c r="BE896" s="68"/>
      <c r="BF896" s="68"/>
      <c r="BG896" s="68"/>
      <c r="BH896" s="68"/>
      <c r="BI896" s="68"/>
      <c r="BJ896" s="68"/>
      <c r="BK896" s="68"/>
      <c r="BL896" s="68"/>
      <c r="BM896" s="68"/>
      <c r="BN896" s="68"/>
    </row>
    <row r="897" spans="1:66" ht="1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8"/>
      <c r="AG897" s="68"/>
      <c r="AH897" s="68"/>
      <c r="AI897" s="68"/>
      <c r="AJ897" s="68"/>
      <c r="AK897" s="68"/>
      <c r="AL897" s="68"/>
      <c r="AM897" s="68"/>
      <c r="AN897" s="68"/>
      <c r="AO897" s="68"/>
      <c r="AP897" s="68"/>
      <c r="AQ897" s="68"/>
      <c r="AR897" s="68"/>
      <c r="AS897" s="68"/>
      <c r="AT897" s="68"/>
      <c r="AU897" s="68"/>
      <c r="AV897" s="68"/>
      <c r="AW897" s="68"/>
      <c r="AX897" s="68"/>
      <c r="AY897" s="68"/>
      <c r="AZ897" s="68"/>
      <c r="BA897" s="68"/>
      <c r="BB897" s="68"/>
      <c r="BC897" s="68"/>
      <c r="BD897" s="68"/>
      <c r="BE897" s="68"/>
      <c r="BF897" s="68"/>
      <c r="BG897" s="68"/>
      <c r="BH897" s="68"/>
      <c r="BI897" s="68"/>
      <c r="BJ897" s="68"/>
      <c r="BK897" s="68"/>
      <c r="BL897" s="68"/>
      <c r="BM897" s="68"/>
      <c r="BN897" s="68"/>
    </row>
    <row r="898" spans="1:66" ht="17">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8"/>
      <c r="AG898" s="68"/>
      <c r="AH898" s="68"/>
      <c r="AI898" s="68"/>
      <c r="AJ898" s="68"/>
      <c r="AK898" s="68"/>
      <c r="AL898" s="68"/>
      <c r="AM898" s="68"/>
      <c r="AN898" s="68"/>
      <c r="AO898" s="68"/>
      <c r="AP898" s="68"/>
      <c r="AQ898" s="68"/>
      <c r="AR898" s="68"/>
      <c r="AS898" s="68"/>
      <c r="AT898" s="68"/>
      <c r="AU898" s="68"/>
      <c r="AV898" s="68"/>
      <c r="AW898" s="68"/>
      <c r="AX898" s="68"/>
      <c r="AY898" s="68"/>
      <c r="AZ898" s="68"/>
      <c r="BA898" s="68"/>
      <c r="BB898" s="68"/>
      <c r="BC898" s="68"/>
      <c r="BD898" s="68"/>
      <c r="BE898" s="68"/>
      <c r="BF898" s="68"/>
      <c r="BG898" s="68"/>
      <c r="BH898" s="68"/>
      <c r="BI898" s="68"/>
      <c r="BJ898" s="68"/>
      <c r="BK898" s="68"/>
      <c r="BL898" s="68"/>
      <c r="BM898" s="68"/>
      <c r="BN898" s="68"/>
    </row>
    <row r="899" spans="1:66" ht="17">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8"/>
      <c r="AG899" s="68"/>
      <c r="AH899" s="68"/>
      <c r="AI899" s="68"/>
      <c r="AJ899" s="68"/>
      <c r="AK899" s="68"/>
      <c r="AL899" s="68"/>
      <c r="AM899" s="68"/>
      <c r="AN899" s="68"/>
      <c r="AO899" s="68"/>
      <c r="AP899" s="68"/>
      <c r="AQ899" s="68"/>
      <c r="AR899" s="68"/>
      <c r="AS899" s="68"/>
      <c r="AT899" s="68"/>
      <c r="AU899" s="68"/>
      <c r="AV899" s="68"/>
      <c r="AW899" s="68"/>
      <c r="AX899" s="68"/>
      <c r="AY899" s="68"/>
      <c r="AZ899" s="68"/>
      <c r="BA899" s="68"/>
      <c r="BB899" s="68"/>
      <c r="BC899" s="68"/>
      <c r="BD899" s="68"/>
      <c r="BE899" s="68"/>
      <c r="BF899" s="68"/>
      <c r="BG899" s="68"/>
      <c r="BH899" s="68"/>
      <c r="BI899" s="68"/>
      <c r="BJ899" s="68"/>
      <c r="BK899" s="68"/>
      <c r="BL899" s="68"/>
      <c r="BM899" s="68"/>
      <c r="BN899" s="68"/>
    </row>
    <row r="900" spans="1:66" ht="17">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8"/>
      <c r="AG900" s="68"/>
      <c r="AH900" s="68"/>
      <c r="AI900" s="68"/>
      <c r="AJ900" s="68"/>
      <c r="AK900" s="68"/>
      <c r="AL900" s="68"/>
      <c r="AM900" s="68"/>
      <c r="AN900" s="68"/>
      <c r="AO900" s="68"/>
      <c r="AP900" s="68"/>
      <c r="AQ900" s="68"/>
      <c r="AR900" s="68"/>
      <c r="AS900" s="68"/>
      <c r="AT900" s="68"/>
      <c r="AU900" s="68"/>
      <c r="AV900" s="68"/>
      <c r="AW900" s="68"/>
      <c r="AX900" s="68"/>
      <c r="AY900" s="68"/>
      <c r="AZ900" s="68"/>
      <c r="BA900" s="68"/>
      <c r="BB900" s="68"/>
      <c r="BC900" s="68"/>
      <c r="BD900" s="68"/>
      <c r="BE900" s="68"/>
      <c r="BF900" s="68"/>
      <c r="BG900" s="68"/>
      <c r="BH900" s="68"/>
      <c r="BI900" s="68"/>
      <c r="BJ900" s="68"/>
      <c r="BK900" s="68"/>
      <c r="BL900" s="68"/>
      <c r="BM900" s="68"/>
      <c r="BN900" s="68"/>
    </row>
    <row r="901" spans="1:66" ht="17">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8"/>
      <c r="AG901" s="68"/>
      <c r="AH901" s="68"/>
      <c r="AI901" s="68"/>
      <c r="AJ901" s="68"/>
      <c r="AK901" s="68"/>
      <c r="AL901" s="68"/>
      <c r="AM901" s="68"/>
      <c r="AN901" s="68"/>
      <c r="AO901" s="68"/>
      <c r="AP901" s="68"/>
      <c r="AQ901" s="68"/>
      <c r="AR901" s="68"/>
      <c r="AS901" s="68"/>
      <c r="AT901" s="68"/>
      <c r="AU901" s="68"/>
      <c r="AV901" s="68"/>
      <c r="AW901" s="68"/>
      <c r="AX901" s="68"/>
      <c r="AY901" s="68"/>
      <c r="AZ901" s="68"/>
      <c r="BA901" s="68"/>
      <c r="BB901" s="68"/>
      <c r="BC901" s="68"/>
      <c r="BD901" s="68"/>
      <c r="BE901" s="68"/>
      <c r="BF901" s="68"/>
      <c r="BG901" s="68"/>
      <c r="BH901" s="68"/>
      <c r="BI901" s="68"/>
      <c r="BJ901" s="68"/>
      <c r="BK901" s="68"/>
      <c r="BL901" s="68"/>
      <c r="BM901" s="68"/>
      <c r="BN901" s="68"/>
    </row>
    <row r="902" spans="1:66" ht="17">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8"/>
      <c r="AG902" s="68"/>
      <c r="AH902" s="68"/>
      <c r="AI902" s="68"/>
      <c r="AJ902" s="68"/>
      <c r="AK902" s="68"/>
      <c r="AL902" s="68"/>
      <c r="AM902" s="68"/>
      <c r="AN902" s="68"/>
      <c r="AO902" s="68"/>
      <c r="AP902" s="68"/>
      <c r="AQ902" s="68"/>
      <c r="AR902" s="68"/>
      <c r="AS902" s="68"/>
      <c r="AT902" s="68"/>
      <c r="AU902" s="68"/>
      <c r="AV902" s="68"/>
      <c r="AW902" s="68"/>
      <c r="AX902" s="68"/>
      <c r="AY902" s="68"/>
      <c r="AZ902" s="68"/>
      <c r="BA902" s="68"/>
      <c r="BB902" s="68"/>
      <c r="BC902" s="68"/>
      <c r="BD902" s="68"/>
      <c r="BE902" s="68"/>
      <c r="BF902" s="68"/>
      <c r="BG902" s="68"/>
      <c r="BH902" s="68"/>
      <c r="BI902" s="68"/>
      <c r="BJ902" s="68"/>
      <c r="BK902" s="68"/>
      <c r="BL902" s="68"/>
      <c r="BM902" s="68"/>
      <c r="BN902" s="68"/>
    </row>
    <row r="903" spans="1:66" ht="17">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8"/>
      <c r="AG903" s="68"/>
      <c r="AH903" s="68"/>
      <c r="AI903" s="68"/>
      <c r="AJ903" s="68"/>
      <c r="AK903" s="68"/>
      <c r="AL903" s="68"/>
      <c r="AM903" s="68"/>
      <c r="AN903" s="68"/>
      <c r="AO903" s="68"/>
      <c r="AP903" s="68"/>
      <c r="AQ903" s="68"/>
      <c r="AR903" s="68"/>
      <c r="AS903" s="68"/>
      <c r="AT903" s="68"/>
      <c r="AU903" s="68"/>
      <c r="AV903" s="68"/>
      <c r="AW903" s="68"/>
      <c r="AX903" s="68"/>
      <c r="AY903" s="68"/>
      <c r="AZ903" s="68"/>
      <c r="BA903" s="68"/>
      <c r="BB903" s="68"/>
      <c r="BC903" s="68"/>
      <c r="BD903" s="68"/>
      <c r="BE903" s="68"/>
      <c r="BF903" s="68"/>
      <c r="BG903" s="68"/>
      <c r="BH903" s="68"/>
      <c r="BI903" s="68"/>
      <c r="BJ903" s="68"/>
      <c r="BK903" s="68"/>
      <c r="BL903" s="68"/>
      <c r="BM903" s="68"/>
      <c r="BN903" s="68"/>
    </row>
    <row r="904" spans="1:66" ht="17">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8"/>
      <c r="AG904" s="68"/>
      <c r="AH904" s="68"/>
      <c r="AI904" s="68"/>
      <c r="AJ904" s="68"/>
      <c r="AK904" s="68"/>
      <c r="AL904" s="68"/>
      <c r="AM904" s="68"/>
      <c r="AN904" s="68"/>
      <c r="AO904" s="68"/>
      <c r="AP904" s="68"/>
      <c r="AQ904" s="68"/>
      <c r="AR904" s="68"/>
      <c r="AS904" s="68"/>
      <c r="AT904" s="68"/>
      <c r="AU904" s="68"/>
      <c r="AV904" s="68"/>
      <c r="AW904" s="68"/>
      <c r="AX904" s="68"/>
      <c r="AY904" s="68"/>
      <c r="AZ904" s="68"/>
      <c r="BA904" s="68"/>
      <c r="BB904" s="68"/>
      <c r="BC904" s="68"/>
      <c r="BD904" s="68"/>
      <c r="BE904" s="68"/>
      <c r="BF904" s="68"/>
      <c r="BG904" s="68"/>
      <c r="BH904" s="68"/>
      <c r="BI904" s="68"/>
      <c r="BJ904" s="68"/>
      <c r="BK904" s="68"/>
      <c r="BL904" s="68"/>
      <c r="BM904" s="68"/>
      <c r="BN904" s="68"/>
    </row>
    <row r="905" spans="1:66" ht="17">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8"/>
      <c r="AG905" s="68"/>
      <c r="AH905" s="68"/>
      <c r="AI905" s="68"/>
      <c r="AJ905" s="68"/>
      <c r="AK905" s="68"/>
      <c r="AL905" s="68"/>
      <c r="AM905" s="68"/>
      <c r="AN905" s="68"/>
      <c r="AO905" s="68"/>
      <c r="AP905" s="68"/>
      <c r="AQ905" s="68"/>
      <c r="AR905" s="68"/>
      <c r="AS905" s="68"/>
      <c r="AT905" s="68"/>
      <c r="AU905" s="68"/>
      <c r="AV905" s="68"/>
      <c r="AW905" s="68"/>
      <c r="AX905" s="68"/>
      <c r="AY905" s="68"/>
      <c r="AZ905" s="68"/>
      <c r="BA905" s="68"/>
      <c r="BB905" s="68"/>
      <c r="BC905" s="68"/>
      <c r="BD905" s="68"/>
      <c r="BE905" s="68"/>
      <c r="BF905" s="68"/>
      <c r="BG905" s="68"/>
      <c r="BH905" s="68"/>
      <c r="BI905" s="68"/>
      <c r="BJ905" s="68"/>
      <c r="BK905" s="68"/>
      <c r="BL905" s="68"/>
      <c r="BM905" s="68"/>
      <c r="BN905" s="68"/>
    </row>
    <row r="906" spans="1:66" ht="17">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8"/>
      <c r="AG906" s="68"/>
      <c r="AH906" s="68"/>
      <c r="AI906" s="68"/>
      <c r="AJ906" s="68"/>
      <c r="AK906" s="68"/>
      <c r="AL906" s="68"/>
      <c r="AM906" s="68"/>
      <c r="AN906" s="68"/>
      <c r="AO906" s="68"/>
      <c r="AP906" s="68"/>
      <c r="AQ906" s="68"/>
      <c r="AR906" s="68"/>
      <c r="AS906" s="68"/>
      <c r="AT906" s="68"/>
      <c r="AU906" s="68"/>
      <c r="AV906" s="68"/>
      <c r="AW906" s="68"/>
      <c r="AX906" s="68"/>
      <c r="AY906" s="68"/>
      <c r="AZ906" s="68"/>
      <c r="BA906" s="68"/>
      <c r="BB906" s="68"/>
      <c r="BC906" s="68"/>
      <c r="BD906" s="68"/>
      <c r="BE906" s="68"/>
      <c r="BF906" s="68"/>
      <c r="BG906" s="68"/>
      <c r="BH906" s="68"/>
      <c r="BI906" s="68"/>
      <c r="BJ906" s="68"/>
      <c r="BK906" s="68"/>
      <c r="BL906" s="68"/>
      <c r="BM906" s="68"/>
      <c r="BN906" s="68"/>
    </row>
    <row r="907" spans="1:66" ht="1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8"/>
      <c r="AG907" s="68"/>
      <c r="AH907" s="68"/>
      <c r="AI907" s="68"/>
      <c r="AJ907" s="68"/>
      <c r="AK907" s="68"/>
      <c r="AL907" s="68"/>
      <c r="AM907" s="68"/>
      <c r="AN907" s="68"/>
      <c r="AO907" s="68"/>
      <c r="AP907" s="68"/>
      <c r="AQ907" s="68"/>
      <c r="AR907" s="68"/>
      <c r="AS907" s="68"/>
      <c r="AT907" s="68"/>
      <c r="AU907" s="68"/>
      <c r="AV907" s="68"/>
      <c r="AW907" s="68"/>
      <c r="AX907" s="68"/>
      <c r="AY907" s="68"/>
      <c r="AZ907" s="68"/>
      <c r="BA907" s="68"/>
      <c r="BB907" s="68"/>
      <c r="BC907" s="68"/>
      <c r="BD907" s="68"/>
      <c r="BE907" s="68"/>
      <c r="BF907" s="68"/>
      <c r="BG907" s="68"/>
      <c r="BH907" s="68"/>
      <c r="BI907" s="68"/>
      <c r="BJ907" s="68"/>
      <c r="BK907" s="68"/>
      <c r="BL907" s="68"/>
      <c r="BM907" s="68"/>
      <c r="BN907" s="68"/>
    </row>
    <row r="908" spans="1:66" ht="17">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8"/>
      <c r="AG908" s="68"/>
      <c r="AH908" s="68"/>
      <c r="AI908" s="68"/>
      <c r="AJ908" s="68"/>
      <c r="AK908" s="68"/>
      <c r="AL908" s="68"/>
      <c r="AM908" s="68"/>
      <c r="AN908" s="68"/>
      <c r="AO908" s="68"/>
      <c r="AP908" s="68"/>
      <c r="AQ908" s="68"/>
      <c r="AR908" s="68"/>
      <c r="AS908" s="68"/>
      <c r="AT908" s="68"/>
      <c r="AU908" s="68"/>
      <c r="AV908" s="68"/>
      <c r="AW908" s="68"/>
      <c r="AX908" s="68"/>
      <c r="AY908" s="68"/>
      <c r="AZ908" s="68"/>
      <c r="BA908" s="68"/>
      <c r="BB908" s="68"/>
      <c r="BC908" s="68"/>
      <c r="BD908" s="68"/>
      <c r="BE908" s="68"/>
      <c r="BF908" s="68"/>
      <c r="BG908" s="68"/>
      <c r="BH908" s="68"/>
      <c r="BI908" s="68"/>
      <c r="BJ908" s="68"/>
      <c r="BK908" s="68"/>
      <c r="BL908" s="68"/>
      <c r="BM908" s="68"/>
      <c r="BN908" s="68"/>
    </row>
    <row r="909" spans="1:66" ht="17">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8"/>
      <c r="AG909" s="68"/>
      <c r="AH909" s="68"/>
      <c r="AI909" s="68"/>
      <c r="AJ909" s="68"/>
      <c r="AK909" s="68"/>
      <c r="AL909" s="68"/>
      <c r="AM909" s="68"/>
      <c r="AN909" s="68"/>
      <c r="AO909" s="68"/>
      <c r="AP909" s="68"/>
      <c r="AQ909" s="68"/>
      <c r="AR909" s="68"/>
      <c r="AS909" s="68"/>
      <c r="AT909" s="68"/>
      <c r="AU909" s="68"/>
      <c r="AV909" s="68"/>
      <c r="AW909" s="68"/>
      <c r="AX909" s="68"/>
      <c r="AY909" s="68"/>
      <c r="AZ909" s="68"/>
      <c r="BA909" s="68"/>
      <c r="BB909" s="68"/>
      <c r="BC909" s="68"/>
      <c r="BD909" s="68"/>
      <c r="BE909" s="68"/>
      <c r="BF909" s="68"/>
      <c r="BG909" s="68"/>
      <c r="BH909" s="68"/>
      <c r="BI909" s="68"/>
      <c r="BJ909" s="68"/>
      <c r="BK909" s="68"/>
      <c r="BL909" s="68"/>
      <c r="BM909" s="68"/>
      <c r="BN909" s="68"/>
    </row>
    <row r="910" spans="1:66" ht="17">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8"/>
      <c r="AG910" s="68"/>
      <c r="AH910" s="68"/>
      <c r="AI910" s="68"/>
      <c r="AJ910" s="68"/>
      <c r="AK910" s="68"/>
      <c r="AL910" s="68"/>
      <c r="AM910" s="68"/>
      <c r="AN910" s="68"/>
      <c r="AO910" s="68"/>
      <c r="AP910" s="68"/>
      <c r="AQ910" s="68"/>
      <c r="AR910" s="68"/>
      <c r="AS910" s="68"/>
      <c r="AT910" s="68"/>
      <c r="AU910" s="68"/>
      <c r="AV910" s="68"/>
      <c r="AW910" s="68"/>
      <c r="AX910" s="68"/>
      <c r="AY910" s="68"/>
      <c r="AZ910" s="68"/>
      <c r="BA910" s="68"/>
      <c r="BB910" s="68"/>
      <c r="BC910" s="68"/>
      <c r="BD910" s="68"/>
      <c r="BE910" s="68"/>
      <c r="BF910" s="68"/>
      <c r="BG910" s="68"/>
      <c r="BH910" s="68"/>
      <c r="BI910" s="68"/>
      <c r="BJ910" s="68"/>
      <c r="BK910" s="68"/>
      <c r="BL910" s="68"/>
      <c r="BM910" s="68"/>
      <c r="BN910" s="68"/>
    </row>
    <row r="911" spans="1:66" ht="17">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8"/>
      <c r="AG911" s="68"/>
      <c r="AH911" s="68"/>
      <c r="AI911" s="68"/>
      <c r="AJ911" s="68"/>
      <c r="AK911" s="68"/>
      <c r="AL911" s="68"/>
      <c r="AM911" s="68"/>
      <c r="AN911" s="68"/>
      <c r="AO911" s="68"/>
      <c r="AP911" s="68"/>
      <c r="AQ911" s="68"/>
      <c r="AR911" s="68"/>
      <c r="AS911" s="68"/>
      <c r="AT911" s="68"/>
      <c r="AU911" s="68"/>
      <c r="AV911" s="68"/>
      <c r="AW911" s="68"/>
      <c r="AX911" s="68"/>
      <c r="AY911" s="68"/>
      <c r="AZ911" s="68"/>
      <c r="BA911" s="68"/>
      <c r="BB911" s="68"/>
      <c r="BC911" s="68"/>
      <c r="BD911" s="68"/>
      <c r="BE911" s="68"/>
      <c r="BF911" s="68"/>
      <c r="BG911" s="68"/>
      <c r="BH911" s="68"/>
      <c r="BI911" s="68"/>
      <c r="BJ911" s="68"/>
      <c r="BK911" s="68"/>
      <c r="BL911" s="68"/>
      <c r="BM911" s="68"/>
      <c r="BN911" s="68"/>
    </row>
    <row r="912" spans="1:66" ht="17">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8"/>
      <c r="AG912" s="68"/>
      <c r="AH912" s="68"/>
      <c r="AI912" s="68"/>
      <c r="AJ912" s="68"/>
      <c r="AK912" s="68"/>
      <c r="AL912" s="68"/>
      <c r="AM912" s="68"/>
      <c r="AN912" s="68"/>
      <c r="AO912" s="68"/>
      <c r="AP912" s="68"/>
      <c r="AQ912" s="68"/>
      <c r="AR912" s="68"/>
      <c r="AS912" s="68"/>
      <c r="AT912" s="68"/>
      <c r="AU912" s="68"/>
      <c r="AV912" s="68"/>
      <c r="AW912" s="68"/>
      <c r="AX912" s="68"/>
      <c r="AY912" s="68"/>
      <c r="AZ912" s="68"/>
      <c r="BA912" s="68"/>
      <c r="BB912" s="68"/>
      <c r="BC912" s="68"/>
      <c r="BD912" s="68"/>
      <c r="BE912" s="68"/>
      <c r="BF912" s="68"/>
      <c r="BG912" s="68"/>
      <c r="BH912" s="68"/>
      <c r="BI912" s="68"/>
      <c r="BJ912" s="68"/>
      <c r="BK912" s="68"/>
      <c r="BL912" s="68"/>
      <c r="BM912" s="68"/>
      <c r="BN912" s="68"/>
    </row>
    <row r="913" spans="1:66" ht="17">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8"/>
      <c r="AG913" s="68"/>
      <c r="AH913" s="68"/>
      <c r="AI913" s="68"/>
      <c r="AJ913" s="68"/>
      <c r="AK913" s="68"/>
      <c r="AL913" s="68"/>
      <c r="AM913" s="68"/>
      <c r="AN913" s="68"/>
      <c r="AO913" s="68"/>
      <c r="AP913" s="68"/>
      <c r="AQ913" s="68"/>
      <c r="AR913" s="68"/>
      <c r="AS913" s="68"/>
      <c r="AT913" s="68"/>
      <c r="AU913" s="68"/>
      <c r="AV913" s="68"/>
      <c r="AW913" s="68"/>
      <c r="AX913" s="68"/>
      <c r="AY913" s="68"/>
      <c r="AZ913" s="68"/>
      <c r="BA913" s="68"/>
      <c r="BB913" s="68"/>
      <c r="BC913" s="68"/>
      <c r="BD913" s="68"/>
      <c r="BE913" s="68"/>
      <c r="BF913" s="68"/>
      <c r="BG913" s="68"/>
      <c r="BH913" s="68"/>
      <c r="BI913" s="68"/>
      <c r="BJ913" s="68"/>
      <c r="BK913" s="68"/>
      <c r="BL913" s="68"/>
      <c r="BM913" s="68"/>
      <c r="BN913" s="68"/>
    </row>
    <row r="914" spans="1:66" ht="17">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8"/>
      <c r="AG914" s="68"/>
      <c r="AH914" s="68"/>
      <c r="AI914" s="68"/>
      <c r="AJ914" s="68"/>
      <c r="AK914" s="68"/>
      <c r="AL914" s="68"/>
      <c r="AM914" s="68"/>
      <c r="AN914" s="68"/>
      <c r="AO914" s="68"/>
      <c r="AP914" s="68"/>
      <c r="AQ914" s="68"/>
      <c r="AR914" s="68"/>
      <c r="AS914" s="68"/>
      <c r="AT914" s="68"/>
      <c r="AU914" s="68"/>
      <c r="AV914" s="68"/>
      <c r="AW914" s="68"/>
      <c r="AX914" s="68"/>
      <c r="AY914" s="68"/>
      <c r="AZ914" s="68"/>
      <c r="BA914" s="68"/>
      <c r="BB914" s="68"/>
      <c r="BC914" s="68"/>
      <c r="BD914" s="68"/>
      <c r="BE914" s="68"/>
      <c r="BF914" s="68"/>
      <c r="BG914" s="68"/>
      <c r="BH914" s="68"/>
      <c r="BI914" s="68"/>
      <c r="BJ914" s="68"/>
      <c r="BK914" s="68"/>
      <c r="BL914" s="68"/>
      <c r="BM914" s="68"/>
      <c r="BN914" s="68"/>
    </row>
    <row r="915" spans="1:66" ht="17">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8"/>
      <c r="AG915" s="68"/>
      <c r="AH915" s="68"/>
      <c r="AI915" s="68"/>
      <c r="AJ915" s="68"/>
      <c r="AK915" s="68"/>
      <c r="AL915" s="68"/>
      <c r="AM915" s="68"/>
      <c r="AN915" s="68"/>
      <c r="AO915" s="68"/>
      <c r="AP915" s="68"/>
      <c r="AQ915" s="68"/>
      <c r="AR915" s="68"/>
      <c r="AS915" s="68"/>
      <c r="AT915" s="68"/>
      <c r="AU915" s="68"/>
      <c r="AV915" s="68"/>
      <c r="AW915" s="68"/>
      <c r="AX915" s="68"/>
      <c r="AY915" s="68"/>
      <c r="AZ915" s="68"/>
      <c r="BA915" s="68"/>
      <c r="BB915" s="68"/>
      <c r="BC915" s="68"/>
      <c r="BD915" s="68"/>
      <c r="BE915" s="68"/>
      <c r="BF915" s="68"/>
      <c r="BG915" s="68"/>
      <c r="BH915" s="68"/>
      <c r="BI915" s="68"/>
      <c r="BJ915" s="68"/>
      <c r="BK915" s="68"/>
      <c r="BL915" s="68"/>
      <c r="BM915" s="68"/>
      <c r="BN915" s="68"/>
    </row>
    <row r="916" spans="1:66" ht="17">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8"/>
      <c r="AG916" s="68"/>
      <c r="AH916" s="68"/>
      <c r="AI916" s="68"/>
      <c r="AJ916" s="68"/>
      <c r="AK916" s="68"/>
      <c r="AL916" s="68"/>
      <c r="AM916" s="68"/>
      <c r="AN916" s="68"/>
      <c r="AO916" s="68"/>
      <c r="AP916" s="68"/>
      <c r="AQ916" s="68"/>
      <c r="AR916" s="68"/>
      <c r="AS916" s="68"/>
      <c r="AT916" s="68"/>
      <c r="AU916" s="68"/>
      <c r="AV916" s="68"/>
      <c r="AW916" s="68"/>
      <c r="AX916" s="68"/>
      <c r="AY916" s="68"/>
      <c r="AZ916" s="68"/>
      <c r="BA916" s="68"/>
      <c r="BB916" s="68"/>
      <c r="BC916" s="68"/>
      <c r="BD916" s="68"/>
      <c r="BE916" s="68"/>
      <c r="BF916" s="68"/>
      <c r="BG916" s="68"/>
      <c r="BH916" s="68"/>
      <c r="BI916" s="68"/>
      <c r="BJ916" s="68"/>
      <c r="BK916" s="68"/>
      <c r="BL916" s="68"/>
      <c r="BM916" s="68"/>
      <c r="BN916" s="68"/>
    </row>
    <row r="917" spans="1:66" ht="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8"/>
      <c r="AG917" s="68"/>
      <c r="AH917" s="68"/>
      <c r="AI917" s="68"/>
      <c r="AJ917" s="68"/>
      <c r="AK917" s="68"/>
      <c r="AL917" s="68"/>
      <c r="AM917" s="68"/>
      <c r="AN917" s="68"/>
      <c r="AO917" s="68"/>
      <c r="AP917" s="68"/>
      <c r="AQ917" s="68"/>
      <c r="AR917" s="68"/>
      <c r="AS917" s="68"/>
      <c r="AT917" s="68"/>
      <c r="AU917" s="68"/>
      <c r="AV917" s="68"/>
      <c r="AW917" s="68"/>
      <c r="AX917" s="68"/>
      <c r="AY917" s="68"/>
      <c r="AZ917" s="68"/>
      <c r="BA917" s="68"/>
      <c r="BB917" s="68"/>
      <c r="BC917" s="68"/>
      <c r="BD917" s="68"/>
      <c r="BE917" s="68"/>
      <c r="BF917" s="68"/>
      <c r="BG917" s="68"/>
      <c r="BH917" s="68"/>
      <c r="BI917" s="68"/>
      <c r="BJ917" s="68"/>
      <c r="BK917" s="68"/>
      <c r="BL917" s="68"/>
      <c r="BM917" s="68"/>
      <c r="BN917" s="68"/>
    </row>
    <row r="918" spans="1:66" ht="17">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8"/>
      <c r="AG918" s="68"/>
      <c r="AH918" s="68"/>
      <c r="AI918" s="68"/>
      <c r="AJ918" s="68"/>
      <c r="AK918" s="68"/>
      <c r="AL918" s="68"/>
      <c r="AM918" s="68"/>
      <c r="AN918" s="68"/>
      <c r="AO918" s="68"/>
      <c r="AP918" s="68"/>
      <c r="AQ918" s="68"/>
      <c r="AR918" s="68"/>
      <c r="AS918" s="68"/>
      <c r="AT918" s="68"/>
      <c r="AU918" s="68"/>
      <c r="AV918" s="68"/>
      <c r="AW918" s="68"/>
      <c r="AX918" s="68"/>
      <c r="AY918" s="68"/>
      <c r="AZ918" s="68"/>
      <c r="BA918" s="68"/>
      <c r="BB918" s="68"/>
      <c r="BC918" s="68"/>
      <c r="BD918" s="68"/>
      <c r="BE918" s="68"/>
      <c r="BF918" s="68"/>
      <c r="BG918" s="68"/>
      <c r="BH918" s="68"/>
      <c r="BI918" s="68"/>
      <c r="BJ918" s="68"/>
      <c r="BK918" s="68"/>
      <c r="BL918" s="68"/>
      <c r="BM918" s="68"/>
      <c r="BN918" s="68"/>
    </row>
    <row r="919" spans="1:66" ht="17">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8"/>
      <c r="AG919" s="68"/>
      <c r="AH919" s="68"/>
      <c r="AI919" s="68"/>
      <c r="AJ919" s="68"/>
      <c r="AK919" s="68"/>
      <c r="AL919" s="68"/>
      <c r="AM919" s="68"/>
      <c r="AN919" s="68"/>
      <c r="AO919" s="68"/>
      <c r="AP919" s="68"/>
      <c r="AQ919" s="68"/>
      <c r="AR919" s="68"/>
      <c r="AS919" s="68"/>
      <c r="AT919" s="68"/>
      <c r="AU919" s="68"/>
      <c r="AV919" s="68"/>
      <c r="AW919" s="68"/>
      <c r="AX919" s="68"/>
      <c r="AY919" s="68"/>
      <c r="AZ919" s="68"/>
      <c r="BA919" s="68"/>
      <c r="BB919" s="68"/>
      <c r="BC919" s="68"/>
      <c r="BD919" s="68"/>
      <c r="BE919" s="68"/>
      <c r="BF919" s="68"/>
      <c r="BG919" s="68"/>
      <c r="BH919" s="68"/>
      <c r="BI919" s="68"/>
      <c r="BJ919" s="68"/>
      <c r="BK919" s="68"/>
      <c r="BL919" s="68"/>
      <c r="BM919" s="68"/>
      <c r="BN919" s="68"/>
    </row>
    <row r="920" spans="1:66" ht="17">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8"/>
      <c r="AG920" s="68"/>
      <c r="AH920" s="68"/>
      <c r="AI920" s="68"/>
      <c r="AJ920" s="68"/>
      <c r="AK920" s="68"/>
      <c r="AL920" s="68"/>
      <c r="AM920" s="68"/>
      <c r="AN920" s="68"/>
      <c r="AO920" s="68"/>
      <c r="AP920" s="68"/>
      <c r="AQ920" s="68"/>
      <c r="AR920" s="68"/>
      <c r="AS920" s="68"/>
      <c r="AT920" s="68"/>
      <c r="AU920" s="68"/>
      <c r="AV920" s="68"/>
      <c r="AW920" s="68"/>
      <c r="AX920" s="68"/>
      <c r="AY920" s="68"/>
      <c r="AZ920" s="68"/>
      <c r="BA920" s="68"/>
      <c r="BB920" s="68"/>
      <c r="BC920" s="68"/>
      <c r="BD920" s="68"/>
      <c r="BE920" s="68"/>
      <c r="BF920" s="68"/>
      <c r="BG920" s="68"/>
      <c r="BH920" s="68"/>
      <c r="BI920" s="68"/>
      <c r="BJ920" s="68"/>
      <c r="BK920" s="68"/>
      <c r="BL920" s="68"/>
      <c r="BM920" s="68"/>
      <c r="BN920" s="68"/>
    </row>
    <row r="921" spans="1:66" ht="17">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8"/>
      <c r="AG921" s="68"/>
      <c r="AH921" s="68"/>
      <c r="AI921" s="68"/>
      <c r="AJ921" s="68"/>
      <c r="AK921" s="68"/>
      <c r="AL921" s="68"/>
      <c r="AM921" s="68"/>
      <c r="AN921" s="68"/>
      <c r="AO921" s="68"/>
      <c r="AP921" s="68"/>
      <c r="AQ921" s="68"/>
      <c r="AR921" s="68"/>
      <c r="AS921" s="68"/>
      <c r="AT921" s="68"/>
      <c r="AU921" s="68"/>
      <c r="AV921" s="68"/>
      <c r="AW921" s="68"/>
      <c r="AX921" s="68"/>
      <c r="AY921" s="68"/>
      <c r="AZ921" s="68"/>
      <c r="BA921" s="68"/>
      <c r="BB921" s="68"/>
      <c r="BC921" s="68"/>
      <c r="BD921" s="68"/>
      <c r="BE921" s="68"/>
      <c r="BF921" s="68"/>
      <c r="BG921" s="68"/>
      <c r="BH921" s="68"/>
      <c r="BI921" s="68"/>
      <c r="BJ921" s="68"/>
      <c r="BK921" s="68"/>
      <c r="BL921" s="68"/>
      <c r="BM921" s="68"/>
      <c r="BN921" s="68"/>
    </row>
    <row r="922" spans="1:66" ht="17">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8"/>
      <c r="AG922" s="68"/>
      <c r="AH922" s="68"/>
      <c r="AI922" s="68"/>
      <c r="AJ922" s="68"/>
      <c r="AK922" s="68"/>
      <c r="AL922" s="68"/>
      <c r="AM922" s="68"/>
      <c r="AN922" s="68"/>
      <c r="AO922" s="68"/>
      <c r="AP922" s="68"/>
      <c r="AQ922" s="68"/>
      <c r="AR922" s="68"/>
      <c r="AS922" s="68"/>
      <c r="AT922" s="68"/>
      <c r="AU922" s="68"/>
      <c r="AV922" s="68"/>
      <c r="AW922" s="68"/>
      <c r="AX922" s="68"/>
      <c r="AY922" s="68"/>
      <c r="AZ922" s="68"/>
      <c r="BA922" s="68"/>
      <c r="BB922" s="68"/>
      <c r="BC922" s="68"/>
      <c r="BD922" s="68"/>
      <c r="BE922" s="68"/>
      <c r="BF922" s="68"/>
      <c r="BG922" s="68"/>
      <c r="BH922" s="68"/>
      <c r="BI922" s="68"/>
      <c r="BJ922" s="68"/>
      <c r="BK922" s="68"/>
      <c r="BL922" s="68"/>
      <c r="BM922" s="68"/>
      <c r="BN922" s="68"/>
    </row>
    <row r="923" spans="1:66" ht="17">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8"/>
      <c r="AG923" s="68"/>
      <c r="AH923" s="68"/>
      <c r="AI923" s="68"/>
      <c r="AJ923" s="68"/>
      <c r="AK923" s="68"/>
      <c r="AL923" s="68"/>
      <c r="AM923" s="68"/>
      <c r="AN923" s="68"/>
      <c r="AO923" s="68"/>
      <c r="AP923" s="68"/>
      <c r="AQ923" s="68"/>
      <c r="AR923" s="68"/>
      <c r="AS923" s="68"/>
      <c r="AT923" s="68"/>
      <c r="AU923" s="68"/>
      <c r="AV923" s="68"/>
      <c r="AW923" s="68"/>
      <c r="AX923" s="68"/>
      <c r="AY923" s="68"/>
      <c r="AZ923" s="68"/>
      <c r="BA923" s="68"/>
      <c r="BB923" s="68"/>
      <c r="BC923" s="68"/>
      <c r="BD923" s="68"/>
      <c r="BE923" s="68"/>
      <c r="BF923" s="68"/>
      <c r="BG923" s="68"/>
      <c r="BH923" s="68"/>
      <c r="BI923" s="68"/>
      <c r="BJ923" s="68"/>
      <c r="BK923" s="68"/>
      <c r="BL923" s="68"/>
      <c r="BM923" s="68"/>
      <c r="BN923" s="68"/>
    </row>
    <row r="924" spans="1:66" ht="17">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8"/>
      <c r="AG924" s="68"/>
      <c r="AH924" s="68"/>
      <c r="AI924" s="68"/>
      <c r="AJ924" s="68"/>
      <c r="AK924" s="68"/>
      <c r="AL924" s="68"/>
      <c r="AM924" s="68"/>
      <c r="AN924" s="68"/>
      <c r="AO924" s="68"/>
      <c r="AP924" s="68"/>
      <c r="AQ924" s="68"/>
      <c r="AR924" s="68"/>
      <c r="AS924" s="68"/>
      <c r="AT924" s="68"/>
      <c r="AU924" s="68"/>
      <c r="AV924" s="68"/>
      <c r="AW924" s="68"/>
      <c r="AX924" s="68"/>
      <c r="AY924" s="68"/>
      <c r="AZ924" s="68"/>
      <c r="BA924" s="68"/>
      <c r="BB924" s="68"/>
      <c r="BC924" s="68"/>
      <c r="BD924" s="68"/>
      <c r="BE924" s="68"/>
      <c r="BF924" s="68"/>
      <c r="BG924" s="68"/>
      <c r="BH924" s="68"/>
      <c r="BI924" s="68"/>
      <c r="BJ924" s="68"/>
      <c r="BK924" s="68"/>
      <c r="BL924" s="68"/>
      <c r="BM924" s="68"/>
      <c r="BN924" s="68"/>
    </row>
    <row r="925" spans="1:66" ht="17">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8"/>
      <c r="AG925" s="68"/>
      <c r="AH925" s="68"/>
      <c r="AI925" s="68"/>
      <c r="AJ925" s="68"/>
      <c r="AK925" s="68"/>
      <c r="AL925" s="68"/>
      <c r="AM925" s="68"/>
      <c r="AN925" s="68"/>
      <c r="AO925" s="68"/>
      <c r="AP925" s="68"/>
      <c r="AQ925" s="68"/>
      <c r="AR925" s="68"/>
      <c r="AS925" s="68"/>
      <c r="AT925" s="68"/>
      <c r="AU925" s="68"/>
      <c r="AV925" s="68"/>
      <c r="AW925" s="68"/>
      <c r="AX925" s="68"/>
      <c r="AY925" s="68"/>
      <c r="AZ925" s="68"/>
      <c r="BA925" s="68"/>
      <c r="BB925" s="68"/>
      <c r="BC925" s="68"/>
      <c r="BD925" s="68"/>
      <c r="BE925" s="68"/>
      <c r="BF925" s="68"/>
      <c r="BG925" s="68"/>
      <c r="BH925" s="68"/>
      <c r="BI925" s="68"/>
      <c r="BJ925" s="68"/>
      <c r="BK925" s="68"/>
      <c r="BL925" s="68"/>
      <c r="BM925" s="68"/>
      <c r="BN925" s="68"/>
    </row>
    <row r="926" spans="1:66" ht="17">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c r="AG926" s="68"/>
      <c r="AH926" s="68"/>
      <c r="AI926" s="68"/>
      <c r="AJ926" s="68"/>
      <c r="AK926" s="68"/>
      <c r="AL926" s="68"/>
      <c r="AM926" s="68"/>
      <c r="AN926" s="68"/>
      <c r="AO926" s="68"/>
      <c r="AP926" s="68"/>
      <c r="AQ926" s="68"/>
      <c r="AR926" s="68"/>
      <c r="AS926" s="68"/>
      <c r="AT926" s="68"/>
      <c r="AU926" s="68"/>
      <c r="AV926" s="68"/>
      <c r="AW926" s="68"/>
      <c r="AX926" s="68"/>
      <c r="AY926" s="68"/>
      <c r="AZ926" s="68"/>
      <c r="BA926" s="68"/>
      <c r="BB926" s="68"/>
      <c r="BC926" s="68"/>
      <c r="BD926" s="68"/>
      <c r="BE926" s="68"/>
      <c r="BF926" s="68"/>
      <c r="BG926" s="68"/>
      <c r="BH926" s="68"/>
      <c r="BI926" s="68"/>
      <c r="BJ926" s="68"/>
      <c r="BK926" s="68"/>
      <c r="BL926" s="68"/>
      <c r="BM926" s="68"/>
      <c r="BN926" s="68"/>
    </row>
    <row r="927" spans="1:66" ht="1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8"/>
      <c r="AG927" s="68"/>
      <c r="AH927" s="68"/>
      <c r="AI927" s="68"/>
      <c r="AJ927" s="68"/>
      <c r="AK927" s="68"/>
      <c r="AL927" s="68"/>
      <c r="AM927" s="68"/>
      <c r="AN927" s="68"/>
      <c r="AO927" s="68"/>
      <c r="AP927" s="68"/>
      <c r="AQ927" s="68"/>
      <c r="AR927" s="68"/>
      <c r="AS927" s="68"/>
      <c r="AT927" s="68"/>
      <c r="AU927" s="68"/>
      <c r="AV927" s="68"/>
      <c r="AW927" s="68"/>
      <c r="AX927" s="68"/>
      <c r="AY927" s="68"/>
      <c r="AZ927" s="68"/>
      <c r="BA927" s="68"/>
      <c r="BB927" s="68"/>
      <c r="BC927" s="68"/>
      <c r="BD927" s="68"/>
      <c r="BE927" s="68"/>
      <c r="BF927" s="68"/>
      <c r="BG927" s="68"/>
      <c r="BH927" s="68"/>
      <c r="BI927" s="68"/>
      <c r="BJ927" s="68"/>
      <c r="BK927" s="68"/>
      <c r="BL927" s="68"/>
      <c r="BM927" s="68"/>
      <c r="BN927" s="68"/>
    </row>
    <row r="928" spans="1:66" ht="17">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8"/>
      <c r="AG928" s="68"/>
      <c r="AH928" s="68"/>
      <c r="AI928" s="68"/>
      <c r="AJ928" s="68"/>
      <c r="AK928" s="68"/>
      <c r="AL928" s="68"/>
      <c r="AM928" s="68"/>
      <c r="AN928" s="68"/>
      <c r="AO928" s="68"/>
      <c r="AP928" s="68"/>
      <c r="AQ928" s="68"/>
      <c r="AR928" s="68"/>
      <c r="AS928" s="68"/>
      <c r="AT928" s="68"/>
      <c r="AU928" s="68"/>
      <c r="AV928" s="68"/>
      <c r="AW928" s="68"/>
      <c r="AX928" s="68"/>
      <c r="AY928" s="68"/>
      <c r="AZ928" s="68"/>
      <c r="BA928" s="68"/>
      <c r="BB928" s="68"/>
      <c r="BC928" s="68"/>
      <c r="BD928" s="68"/>
      <c r="BE928" s="68"/>
      <c r="BF928" s="68"/>
      <c r="BG928" s="68"/>
      <c r="BH928" s="68"/>
      <c r="BI928" s="68"/>
      <c r="BJ928" s="68"/>
      <c r="BK928" s="68"/>
      <c r="BL928" s="68"/>
      <c r="BM928" s="68"/>
      <c r="BN928" s="68"/>
    </row>
    <row r="929" spans="1:66" ht="17">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8"/>
      <c r="AG929" s="68"/>
      <c r="AH929" s="68"/>
      <c r="AI929" s="68"/>
      <c r="AJ929" s="68"/>
      <c r="AK929" s="68"/>
      <c r="AL929" s="68"/>
      <c r="AM929" s="68"/>
      <c r="AN929" s="68"/>
      <c r="AO929" s="68"/>
      <c r="AP929" s="68"/>
      <c r="AQ929" s="68"/>
      <c r="AR929" s="68"/>
      <c r="AS929" s="68"/>
      <c r="AT929" s="68"/>
      <c r="AU929" s="68"/>
      <c r="AV929" s="68"/>
      <c r="AW929" s="68"/>
      <c r="AX929" s="68"/>
      <c r="AY929" s="68"/>
      <c r="AZ929" s="68"/>
      <c r="BA929" s="68"/>
      <c r="BB929" s="68"/>
      <c r="BC929" s="68"/>
      <c r="BD929" s="68"/>
      <c r="BE929" s="68"/>
      <c r="BF929" s="68"/>
      <c r="BG929" s="68"/>
      <c r="BH929" s="68"/>
      <c r="BI929" s="68"/>
      <c r="BJ929" s="68"/>
      <c r="BK929" s="68"/>
      <c r="BL929" s="68"/>
      <c r="BM929" s="68"/>
      <c r="BN929" s="68"/>
    </row>
    <row r="930" spans="1:66" ht="17">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8"/>
      <c r="AG930" s="68"/>
      <c r="AH930" s="68"/>
      <c r="AI930" s="68"/>
      <c r="AJ930" s="68"/>
      <c r="AK930" s="68"/>
      <c r="AL930" s="68"/>
      <c r="AM930" s="68"/>
      <c r="AN930" s="68"/>
      <c r="AO930" s="68"/>
      <c r="AP930" s="68"/>
      <c r="AQ930" s="68"/>
      <c r="AR930" s="68"/>
      <c r="AS930" s="68"/>
      <c r="AT930" s="68"/>
      <c r="AU930" s="68"/>
      <c r="AV930" s="68"/>
      <c r="AW930" s="68"/>
      <c r="AX930" s="68"/>
      <c r="AY930" s="68"/>
      <c r="AZ930" s="68"/>
      <c r="BA930" s="68"/>
      <c r="BB930" s="68"/>
      <c r="BC930" s="68"/>
      <c r="BD930" s="68"/>
      <c r="BE930" s="68"/>
      <c r="BF930" s="68"/>
      <c r="BG930" s="68"/>
      <c r="BH930" s="68"/>
      <c r="BI930" s="68"/>
      <c r="BJ930" s="68"/>
      <c r="BK930" s="68"/>
      <c r="BL930" s="68"/>
      <c r="BM930" s="68"/>
      <c r="BN930" s="68"/>
    </row>
    <row r="931" spans="1:66" ht="17">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8"/>
      <c r="AG931" s="68"/>
      <c r="AH931" s="68"/>
      <c r="AI931" s="68"/>
      <c r="AJ931" s="68"/>
      <c r="AK931" s="68"/>
      <c r="AL931" s="68"/>
      <c r="AM931" s="68"/>
      <c r="AN931" s="68"/>
      <c r="AO931" s="68"/>
      <c r="AP931" s="68"/>
      <c r="AQ931" s="68"/>
      <c r="AR931" s="68"/>
      <c r="AS931" s="68"/>
      <c r="AT931" s="68"/>
      <c r="AU931" s="68"/>
      <c r="AV931" s="68"/>
      <c r="AW931" s="68"/>
      <c r="AX931" s="68"/>
      <c r="AY931" s="68"/>
      <c r="AZ931" s="68"/>
      <c r="BA931" s="68"/>
      <c r="BB931" s="68"/>
      <c r="BC931" s="68"/>
      <c r="BD931" s="68"/>
      <c r="BE931" s="68"/>
      <c r="BF931" s="68"/>
      <c r="BG931" s="68"/>
      <c r="BH931" s="68"/>
      <c r="BI931" s="68"/>
      <c r="BJ931" s="68"/>
      <c r="BK931" s="68"/>
      <c r="BL931" s="68"/>
      <c r="BM931" s="68"/>
      <c r="BN931" s="68"/>
    </row>
    <row r="932" spans="1:66" ht="17">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8"/>
      <c r="AG932" s="68"/>
      <c r="AH932" s="68"/>
      <c r="AI932" s="68"/>
      <c r="AJ932" s="68"/>
      <c r="AK932" s="68"/>
      <c r="AL932" s="68"/>
      <c r="AM932" s="68"/>
      <c r="AN932" s="68"/>
      <c r="AO932" s="68"/>
      <c r="AP932" s="68"/>
      <c r="AQ932" s="68"/>
      <c r="AR932" s="68"/>
      <c r="AS932" s="68"/>
      <c r="AT932" s="68"/>
      <c r="AU932" s="68"/>
      <c r="AV932" s="68"/>
      <c r="AW932" s="68"/>
      <c r="AX932" s="68"/>
      <c r="AY932" s="68"/>
      <c r="AZ932" s="68"/>
      <c r="BA932" s="68"/>
      <c r="BB932" s="68"/>
      <c r="BC932" s="68"/>
      <c r="BD932" s="68"/>
      <c r="BE932" s="68"/>
      <c r="BF932" s="68"/>
      <c r="BG932" s="68"/>
      <c r="BH932" s="68"/>
      <c r="BI932" s="68"/>
      <c r="BJ932" s="68"/>
      <c r="BK932" s="68"/>
      <c r="BL932" s="68"/>
      <c r="BM932" s="68"/>
      <c r="BN932" s="68"/>
    </row>
    <row r="933" spans="1:66" ht="17">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8"/>
      <c r="AG933" s="68"/>
      <c r="AH933" s="68"/>
      <c r="AI933" s="68"/>
      <c r="AJ933" s="68"/>
      <c r="AK933" s="68"/>
      <c r="AL933" s="68"/>
      <c r="AM933" s="68"/>
      <c r="AN933" s="68"/>
      <c r="AO933" s="68"/>
      <c r="AP933" s="68"/>
      <c r="AQ933" s="68"/>
      <c r="AR933" s="68"/>
      <c r="AS933" s="68"/>
      <c r="AT933" s="68"/>
      <c r="AU933" s="68"/>
      <c r="AV933" s="68"/>
      <c r="AW933" s="68"/>
      <c r="AX933" s="68"/>
      <c r="AY933" s="68"/>
      <c r="AZ933" s="68"/>
      <c r="BA933" s="68"/>
      <c r="BB933" s="68"/>
      <c r="BC933" s="68"/>
      <c r="BD933" s="68"/>
      <c r="BE933" s="68"/>
      <c r="BF933" s="68"/>
      <c r="BG933" s="68"/>
      <c r="BH933" s="68"/>
      <c r="BI933" s="68"/>
      <c r="BJ933" s="68"/>
      <c r="BK933" s="68"/>
      <c r="BL933" s="68"/>
      <c r="BM933" s="68"/>
      <c r="BN933" s="68"/>
    </row>
    <row r="934" spans="1:66" ht="17">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8"/>
      <c r="AG934" s="68"/>
      <c r="AH934" s="68"/>
      <c r="AI934" s="68"/>
      <c r="AJ934" s="68"/>
      <c r="AK934" s="68"/>
      <c r="AL934" s="68"/>
      <c r="AM934" s="68"/>
      <c r="AN934" s="68"/>
      <c r="AO934" s="68"/>
      <c r="AP934" s="68"/>
      <c r="AQ934" s="68"/>
      <c r="AR934" s="68"/>
      <c r="AS934" s="68"/>
      <c r="AT934" s="68"/>
      <c r="AU934" s="68"/>
      <c r="AV934" s="68"/>
      <c r="AW934" s="68"/>
      <c r="AX934" s="68"/>
      <c r="AY934" s="68"/>
      <c r="AZ934" s="68"/>
      <c r="BA934" s="68"/>
      <c r="BB934" s="68"/>
      <c r="BC934" s="68"/>
      <c r="BD934" s="68"/>
      <c r="BE934" s="68"/>
      <c r="BF934" s="68"/>
      <c r="BG934" s="68"/>
      <c r="BH934" s="68"/>
      <c r="BI934" s="68"/>
      <c r="BJ934" s="68"/>
      <c r="BK934" s="68"/>
      <c r="BL934" s="68"/>
      <c r="BM934" s="68"/>
      <c r="BN934" s="68"/>
    </row>
    <row r="935" spans="1:66" ht="17">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8"/>
      <c r="AG935" s="68"/>
      <c r="AH935" s="68"/>
      <c r="AI935" s="68"/>
      <c r="AJ935" s="68"/>
      <c r="AK935" s="68"/>
      <c r="AL935" s="68"/>
      <c r="AM935" s="68"/>
      <c r="AN935" s="68"/>
      <c r="AO935" s="68"/>
      <c r="AP935" s="68"/>
      <c r="AQ935" s="68"/>
      <c r="AR935" s="68"/>
      <c r="AS935" s="68"/>
      <c r="AT935" s="68"/>
      <c r="AU935" s="68"/>
      <c r="AV935" s="68"/>
      <c r="AW935" s="68"/>
      <c r="AX935" s="68"/>
      <c r="AY935" s="68"/>
      <c r="AZ935" s="68"/>
      <c r="BA935" s="68"/>
      <c r="BB935" s="68"/>
      <c r="BC935" s="68"/>
      <c r="BD935" s="68"/>
      <c r="BE935" s="68"/>
      <c r="BF935" s="68"/>
      <c r="BG935" s="68"/>
      <c r="BH935" s="68"/>
      <c r="BI935" s="68"/>
      <c r="BJ935" s="68"/>
      <c r="BK935" s="68"/>
      <c r="BL935" s="68"/>
      <c r="BM935" s="68"/>
      <c r="BN935" s="68"/>
    </row>
    <row r="936" spans="1:66" ht="17">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8"/>
      <c r="AG936" s="68"/>
      <c r="AH936" s="68"/>
      <c r="AI936" s="68"/>
      <c r="AJ936" s="68"/>
      <c r="AK936" s="68"/>
      <c r="AL936" s="68"/>
      <c r="AM936" s="68"/>
      <c r="AN936" s="68"/>
      <c r="AO936" s="68"/>
      <c r="AP936" s="68"/>
      <c r="AQ936" s="68"/>
      <c r="AR936" s="68"/>
      <c r="AS936" s="68"/>
      <c r="AT936" s="68"/>
      <c r="AU936" s="68"/>
      <c r="AV936" s="68"/>
      <c r="AW936" s="68"/>
      <c r="AX936" s="68"/>
      <c r="AY936" s="68"/>
      <c r="AZ936" s="68"/>
      <c r="BA936" s="68"/>
      <c r="BB936" s="68"/>
      <c r="BC936" s="68"/>
      <c r="BD936" s="68"/>
      <c r="BE936" s="68"/>
      <c r="BF936" s="68"/>
      <c r="BG936" s="68"/>
      <c r="BH936" s="68"/>
      <c r="BI936" s="68"/>
      <c r="BJ936" s="68"/>
      <c r="BK936" s="68"/>
      <c r="BL936" s="68"/>
      <c r="BM936" s="68"/>
      <c r="BN936" s="68"/>
    </row>
    <row r="937" spans="1:66" ht="1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8"/>
      <c r="AG937" s="68"/>
      <c r="AH937" s="68"/>
      <c r="AI937" s="68"/>
      <c r="AJ937" s="68"/>
      <c r="AK937" s="68"/>
      <c r="AL937" s="68"/>
      <c r="AM937" s="68"/>
      <c r="AN937" s="68"/>
      <c r="AO937" s="68"/>
      <c r="AP937" s="68"/>
      <c r="AQ937" s="68"/>
      <c r="AR937" s="68"/>
      <c r="AS937" s="68"/>
      <c r="AT937" s="68"/>
      <c r="AU937" s="68"/>
      <c r="AV937" s="68"/>
      <c r="AW937" s="68"/>
      <c r="AX937" s="68"/>
      <c r="AY937" s="68"/>
      <c r="AZ937" s="68"/>
      <c r="BA937" s="68"/>
      <c r="BB937" s="68"/>
      <c r="BC937" s="68"/>
      <c r="BD937" s="68"/>
      <c r="BE937" s="68"/>
      <c r="BF937" s="68"/>
      <c r="BG937" s="68"/>
      <c r="BH937" s="68"/>
      <c r="BI937" s="68"/>
      <c r="BJ937" s="68"/>
      <c r="BK937" s="68"/>
      <c r="BL937" s="68"/>
      <c r="BM937" s="68"/>
      <c r="BN937" s="68"/>
    </row>
    <row r="938" spans="1:66" ht="17">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8"/>
      <c r="AG938" s="68"/>
      <c r="AH938" s="68"/>
      <c r="AI938" s="68"/>
      <c r="AJ938" s="68"/>
      <c r="AK938" s="68"/>
      <c r="AL938" s="68"/>
      <c r="AM938" s="68"/>
      <c r="AN938" s="68"/>
      <c r="AO938" s="68"/>
      <c r="AP938" s="68"/>
      <c r="AQ938" s="68"/>
      <c r="AR938" s="68"/>
      <c r="AS938" s="68"/>
      <c r="AT938" s="68"/>
      <c r="AU938" s="68"/>
      <c r="AV938" s="68"/>
      <c r="AW938" s="68"/>
      <c r="AX938" s="68"/>
      <c r="AY938" s="68"/>
      <c r="AZ938" s="68"/>
      <c r="BA938" s="68"/>
      <c r="BB938" s="68"/>
      <c r="BC938" s="68"/>
      <c r="BD938" s="68"/>
      <c r="BE938" s="68"/>
      <c r="BF938" s="68"/>
      <c r="BG938" s="68"/>
      <c r="BH938" s="68"/>
      <c r="BI938" s="68"/>
      <c r="BJ938" s="68"/>
      <c r="BK938" s="68"/>
      <c r="BL938" s="68"/>
      <c r="BM938" s="68"/>
      <c r="BN938" s="68"/>
    </row>
    <row r="939" spans="1:66" ht="17">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8"/>
      <c r="AG939" s="68"/>
      <c r="AH939" s="68"/>
      <c r="AI939" s="68"/>
      <c r="AJ939" s="68"/>
      <c r="AK939" s="68"/>
      <c r="AL939" s="68"/>
      <c r="AM939" s="68"/>
      <c r="AN939" s="68"/>
      <c r="AO939" s="68"/>
      <c r="AP939" s="68"/>
      <c r="AQ939" s="68"/>
      <c r="AR939" s="68"/>
      <c r="AS939" s="68"/>
      <c r="AT939" s="68"/>
      <c r="AU939" s="68"/>
      <c r="AV939" s="68"/>
      <c r="AW939" s="68"/>
      <c r="AX939" s="68"/>
      <c r="AY939" s="68"/>
      <c r="AZ939" s="68"/>
      <c r="BA939" s="68"/>
      <c r="BB939" s="68"/>
      <c r="BC939" s="68"/>
      <c r="BD939" s="68"/>
      <c r="BE939" s="68"/>
      <c r="BF939" s="68"/>
      <c r="BG939" s="68"/>
      <c r="BH939" s="68"/>
      <c r="BI939" s="68"/>
      <c r="BJ939" s="68"/>
      <c r="BK939" s="68"/>
      <c r="BL939" s="68"/>
      <c r="BM939" s="68"/>
      <c r="BN939" s="68"/>
    </row>
    <row r="940" spans="1:66" ht="17">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8"/>
      <c r="AG940" s="68"/>
      <c r="AH940" s="68"/>
      <c r="AI940" s="68"/>
      <c r="AJ940" s="68"/>
      <c r="AK940" s="68"/>
      <c r="AL940" s="68"/>
      <c r="AM940" s="68"/>
      <c r="AN940" s="68"/>
      <c r="AO940" s="68"/>
      <c r="AP940" s="68"/>
      <c r="AQ940" s="68"/>
      <c r="AR940" s="68"/>
      <c r="AS940" s="68"/>
      <c r="AT940" s="68"/>
      <c r="AU940" s="68"/>
      <c r="AV940" s="68"/>
      <c r="AW940" s="68"/>
      <c r="AX940" s="68"/>
      <c r="AY940" s="68"/>
      <c r="AZ940" s="68"/>
      <c r="BA940" s="68"/>
      <c r="BB940" s="68"/>
      <c r="BC940" s="68"/>
      <c r="BD940" s="68"/>
      <c r="BE940" s="68"/>
      <c r="BF940" s="68"/>
      <c r="BG940" s="68"/>
      <c r="BH940" s="68"/>
      <c r="BI940" s="68"/>
      <c r="BJ940" s="68"/>
      <c r="BK940" s="68"/>
      <c r="BL940" s="68"/>
      <c r="BM940" s="68"/>
      <c r="BN940" s="68"/>
    </row>
    <row r="941" spans="1:66" ht="17">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8"/>
      <c r="AG941" s="68"/>
      <c r="AH941" s="68"/>
      <c r="AI941" s="68"/>
      <c r="AJ941" s="68"/>
      <c r="AK941" s="68"/>
      <c r="AL941" s="68"/>
      <c r="AM941" s="68"/>
      <c r="AN941" s="68"/>
      <c r="AO941" s="68"/>
      <c r="AP941" s="68"/>
      <c r="AQ941" s="68"/>
      <c r="AR941" s="68"/>
      <c r="AS941" s="68"/>
      <c r="AT941" s="68"/>
      <c r="AU941" s="68"/>
      <c r="AV941" s="68"/>
      <c r="AW941" s="68"/>
      <c r="AX941" s="68"/>
      <c r="AY941" s="68"/>
      <c r="AZ941" s="68"/>
      <c r="BA941" s="68"/>
      <c r="BB941" s="68"/>
      <c r="BC941" s="68"/>
      <c r="BD941" s="68"/>
      <c r="BE941" s="68"/>
      <c r="BF941" s="68"/>
      <c r="BG941" s="68"/>
      <c r="BH941" s="68"/>
      <c r="BI941" s="68"/>
      <c r="BJ941" s="68"/>
      <c r="BK941" s="68"/>
      <c r="BL941" s="68"/>
      <c r="BM941" s="68"/>
      <c r="BN941" s="68"/>
    </row>
    <row r="942" spans="1:66" ht="17">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8"/>
      <c r="AG942" s="68"/>
      <c r="AH942" s="68"/>
      <c r="AI942" s="68"/>
      <c r="AJ942" s="68"/>
      <c r="AK942" s="68"/>
      <c r="AL942" s="68"/>
      <c r="AM942" s="68"/>
      <c r="AN942" s="68"/>
      <c r="AO942" s="68"/>
      <c r="AP942" s="68"/>
      <c r="AQ942" s="68"/>
      <c r="AR942" s="68"/>
      <c r="AS942" s="68"/>
      <c r="AT942" s="68"/>
      <c r="AU942" s="68"/>
      <c r="AV942" s="68"/>
      <c r="AW942" s="68"/>
      <c r="AX942" s="68"/>
      <c r="AY942" s="68"/>
      <c r="AZ942" s="68"/>
      <c r="BA942" s="68"/>
      <c r="BB942" s="68"/>
      <c r="BC942" s="68"/>
      <c r="BD942" s="68"/>
      <c r="BE942" s="68"/>
      <c r="BF942" s="68"/>
      <c r="BG942" s="68"/>
      <c r="BH942" s="68"/>
      <c r="BI942" s="68"/>
      <c r="BJ942" s="68"/>
      <c r="BK942" s="68"/>
      <c r="BL942" s="68"/>
      <c r="BM942" s="68"/>
      <c r="BN942" s="68"/>
    </row>
    <row r="943" spans="1:66" ht="17">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8"/>
      <c r="AG943" s="68"/>
      <c r="AH943" s="68"/>
      <c r="AI943" s="68"/>
      <c r="AJ943" s="68"/>
      <c r="AK943" s="68"/>
      <c r="AL943" s="68"/>
      <c r="AM943" s="68"/>
      <c r="AN943" s="68"/>
      <c r="AO943" s="68"/>
      <c r="AP943" s="68"/>
      <c r="AQ943" s="68"/>
      <c r="AR943" s="68"/>
      <c r="AS943" s="68"/>
      <c r="AT943" s="68"/>
      <c r="AU943" s="68"/>
      <c r="AV943" s="68"/>
      <c r="AW943" s="68"/>
      <c r="AX943" s="68"/>
      <c r="AY943" s="68"/>
      <c r="AZ943" s="68"/>
      <c r="BA943" s="68"/>
      <c r="BB943" s="68"/>
      <c r="BC943" s="68"/>
      <c r="BD943" s="68"/>
      <c r="BE943" s="68"/>
      <c r="BF943" s="68"/>
      <c r="BG943" s="68"/>
      <c r="BH943" s="68"/>
      <c r="BI943" s="68"/>
      <c r="BJ943" s="68"/>
      <c r="BK943" s="68"/>
      <c r="BL943" s="68"/>
      <c r="BM943" s="68"/>
      <c r="BN943" s="68"/>
    </row>
    <row r="944" spans="1:66" ht="17">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8"/>
      <c r="AG944" s="68"/>
      <c r="AH944" s="68"/>
      <c r="AI944" s="68"/>
      <c r="AJ944" s="68"/>
      <c r="AK944" s="68"/>
      <c r="AL944" s="68"/>
      <c r="AM944" s="68"/>
      <c r="AN944" s="68"/>
      <c r="AO944" s="68"/>
      <c r="AP944" s="68"/>
      <c r="AQ944" s="68"/>
      <c r="AR944" s="68"/>
      <c r="AS944" s="68"/>
      <c r="AT944" s="68"/>
      <c r="AU944" s="68"/>
      <c r="AV944" s="68"/>
      <c r="AW944" s="68"/>
      <c r="AX944" s="68"/>
      <c r="AY944" s="68"/>
      <c r="AZ944" s="68"/>
      <c r="BA944" s="68"/>
      <c r="BB944" s="68"/>
      <c r="BC944" s="68"/>
      <c r="BD944" s="68"/>
      <c r="BE944" s="68"/>
      <c r="BF944" s="68"/>
      <c r="BG944" s="68"/>
      <c r="BH944" s="68"/>
      <c r="BI944" s="68"/>
      <c r="BJ944" s="68"/>
      <c r="BK944" s="68"/>
      <c r="BL944" s="68"/>
      <c r="BM944" s="68"/>
      <c r="BN944" s="68"/>
    </row>
    <row r="945" spans="1:66" ht="17">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8"/>
      <c r="AG945" s="68"/>
      <c r="AH945" s="68"/>
      <c r="AI945" s="68"/>
      <c r="AJ945" s="68"/>
      <c r="AK945" s="68"/>
      <c r="AL945" s="68"/>
      <c r="AM945" s="68"/>
      <c r="AN945" s="68"/>
      <c r="AO945" s="68"/>
      <c r="AP945" s="68"/>
      <c r="AQ945" s="68"/>
      <c r="AR945" s="68"/>
      <c r="AS945" s="68"/>
      <c r="AT945" s="68"/>
      <c r="AU945" s="68"/>
      <c r="AV945" s="68"/>
      <c r="AW945" s="68"/>
      <c r="AX945" s="68"/>
      <c r="AY945" s="68"/>
      <c r="AZ945" s="68"/>
      <c r="BA945" s="68"/>
      <c r="BB945" s="68"/>
      <c r="BC945" s="68"/>
      <c r="BD945" s="68"/>
      <c r="BE945" s="68"/>
      <c r="BF945" s="68"/>
      <c r="BG945" s="68"/>
      <c r="BH945" s="68"/>
      <c r="BI945" s="68"/>
      <c r="BJ945" s="68"/>
      <c r="BK945" s="68"/>
      <c r="BL945" s="68"/>
      <c r="BM945" s="68"/>
      <c r="BN945" s="68"/>
    </row>
    <row r="946" spans="1:66" ht="17">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8"/>
      <c r="AG946" s="68"/>
      <c r="AH946" s="68"/>
      <c r="AI946" s="68"/>
      <c r="AJ946" s="68"/>
      <c r="AK946" s="68"/>
      <c r="AL946" s="68"/>
      <c r="AM946" s="68"/>
      <c r="AN946" s="68"/>
      <c r="AO946" s="68"/>
      <c r="AP946" s="68"/>
      <c r="AQ946" s="68"/>
      <c r="AR946" s="68"/>
      <c r="AS946" s="68"/>
      <c r="AT946" s="68"/>
      <c r="AU946" s="68"/>
      <c r="AV946" s="68"/>
      <c r="AW946" s="68"/>
      <c r="AX946" s="68"/>
      <c r="AY946" s="68"/>
      <c r="AZ946" s="68"/>
      <c r="BA946" s="68"/>
      <c r="BB946" s="68"/>
      <c r="BC946" s="68"/>
      <c r="BD946" s="68"/>
      <c r="BE946" s="68"/>
      <c r="BF946" s="68"/>
      <c r="BG946" s="68"/>
      <c r="BH946" s="68"/>
      <c r="BI946" s="68"/>
      <c r="BJ946" s="68"/>
      <c r="BK946" s="68"/>
      <c r="BL946" s="68"/>
      <c r="BM946" s="68"/>
      <c r="BN946" s="68"/>
    </row>
    <row r="947" spans="1:66" ht="1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8"/>
      <c r="AG947" s="68"/>
      <c r="AH947" s="68"/>
      <c r="AI947" s="68"/>
      <c r="AJ947" s="68"/>
      <c r="AK947" s="68"/>
      <c r="AL947" s="68"/>
      <c r="AM947" s="68"/>
      <c r="AN947" s="68"/>
      <c r="AO947" s="68"/>
      <c r="AP947" s="68"/>
      <c r="AQ947" s="68"/>
      <c r="AR947" s="68"/>
      <c r="AS947" s="68"/>
      <c r="AT947" s="68"/>
      <c r="AU947" s="68"/>
      <c r="AV947" s="68"/>
      <c r="AW947" s="68"/>
      <c r="AX947" s="68"/>
      <c r="AY947" s="68"/>
      <c r="AZ947" s="68"/>
      <c r="BA947" s="68"/>
      <c r="BB947" s="68"/>
      <c r="BC947" s="68"/>
      <c r="BD947" s="68"/>
      <c r="BE947" s="68"/>
      <c r="BF947" s="68"/>
      <c r="BG947" s="68"/>
      <c r="BH947" s="68"/>
      <c r="BI947" s="68"/>
      <c r="BJ947" s="68"/>
      <c r="BK947" s="68"/>
      <c r="BL947" s="68"/>
      <c r="BM947" s="68"/>
      <c r="BN947" s="68"/>
    </row>
    <row r="948" spans="1:66" ht="17">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8"/>
      <c r="AG948" s="68"/>
      <c r="AH948" s="68"/>
      <c r="AI948" s="68"/>
      <c r="AJ948" s="68"/>
      <c r="AK948" s="68"/>
      <c r="AL948" s="68"/>
      <c r="AM948" s="68"/>
      <c r="AN948" s="68"/>
      <c r="AO948" s="68"/>
      <c r="AP948" s="68"/>
      <c r="AQ948" s="68"/>
      <c r="AR948" s="68"/>
      <c r="AS948" s="68"/>
      <c r="AT948" s="68"/>
      <c r="AU948" s="68"/>
      <c r="AV948" s="68"/>
      <c r="AW948" s="68"/>
      <c r="AX948" s="68"/>
      <c r="AY948" s="68"/>
      <c r="AZ948" s="68"/>
      <c r="BA948" s="68"/>
      <c r="BB948" s="68"/>
      <c r="BC948" s="68"/>
      <c r="BD948" s="68"/>
      <c r="BE948" s="68"/>
      <c r="BF948" s="68"/>
      <c r="BG948" s="68"/>
      <c r="BH948" s="68"/>
      <c r="BI948" s="68"/>
      <c r="BJ948" s="68"/>
      <c r="BK948" s="68"/>
      <c r="BL948" s="68"/>
      <c r="BM948" s="68"/>
      <c r="BN948" s="68"/>
    </row>
    <row r="949" spans="1:66" ht="17">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68"/>
      <c r="AG949" s="68"/>
      <c r="AH949" s="68"/>
      <c r="AI949" s="68"/>
      <c r="AJ949" s="68"/>
      <c r="AK949" s="68"/>
      <c r="AL949" s="68"/>
      <c r="AM949" s="68"/>
      <c r="AN949" s="68"/>
      <c r="AO949" s="68"/>
      <c r="AP949" s="68"/>
      <c r="AQ949" s="68"/>
      <c r="AR949" s="68"/>
      <c r="AS949" s="68"/>
      <c r="AT949" s="68"/>
      <c r="AU949" s="68"/>
      <c r="AV949" s="68"/>
      <c r="AW949" s="68"/>
      <c r="AX949" s="68"/>
      <c r="AY949" s="68"/>
      <c r="AZ949" s="68"/>
      <c r="BA949" s="68"/>
      <c r="BB949" s="68"/>
      <c r="BC949" s="68"/>
      <c r="BD949" s="68"/>
      <c r="BE949" s="68"/>
      <c r="BF949" s="68"/>
      <c r="BG949" s="68"/>
      <c r="BH949" s="68"/>
      <c r="BI949" s="68"/>
      <c r="BJ949" s="68"/>
      <c r="BK949" s="68"/>
      <c r="BL949" s="68"/>
      <c r="BM949" s="68"/>
      <c r="BN949" s="68"/>
    </row>
    <row r="950" spans="1:66" ht="17">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68"/>
      <c r="AG950" s="68"/>
      <c r="AH950" s="68"/>
      <c r="AI950" s="68"/>
      <c r="AJ950" s="68"/>
      <c r="AK950" s="68"/>
      <c r="AL950" s="68"/>
      <c r="AM950" s="68"/>
      <c r="AN950" s="68"/>
      <c r="AO950" s="68"/>
      <c r="AP950" s="68"/>
      <c r="AQ950" s="68"/>
      <c r="AR950" s="68"/>
      <c r="AS950" s="68"/>
      <c r="AT950" s="68"/>
      <c r="AU950" s="68"/>
      <c r="AV950" s="68"/>
      <c r="AW950" s="68"/>
      <c r="AX950" s="68"/>
      <c r="AY950" s="68"/>
      <c r="AZ950" s="68"/>
      <c r="BA950" s="68"/>
      <c r="BB950" s="68"/>
      <c r="BC950" s="68"/>
      <c r="BD950" s="68"/>
      <c r="BE950" s="68"/>
      <c r="BF950" s="68"/>
      <c r="BG950" s="68"/>
      <c r="BH950" s="68"/>
      <c r="BI950" s="68"/>
      <c r="BJ950" s="68"/>
      <c r="BK950" s="68"/>
      <c r="BL950" s="68"/>
      <c r="BM950" s="68"/>
      <c r="BN950" s="68"/>
    </row>
    <row r="951" spans="1:66" ht="17">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68"/>
      <c r="AG951" s="68"/>
      <c r="AH951" s="68"/>
      <c r="AI951" s="68"/>
      <c r="AJ951" s="68"/>
      <c r="AK951" s="68"/>
      <c r="AL951" s="68"/>
      <c r="AM951" s="68"/>
      <c r="AN951" s="68"/>
      <c r="AO951" s="68"/>
      <c r="AP951" s="68"/>
      <c r="AQ951" s="68"/>
      <c r="AR951" s="68"/>
      <c r="AS951" s="68"/>
      <c r="AT951" s="68"/>
      <c r="AU951" s="68"/>
      <c r="AV951" s="68"/>
      <c r="AW951" s="68"/>
      <c r="AX951" s="68"/>
      <c r="AY951" s="68"/>
      <c r="AZ951" s="68"/>
      <c r="BA951" s="68"/>
      <c r="BB951" s="68"/>
      <c r="BC951" s="68"/>
      <c r="BD951" s="68"/>
      <c r="BE951" s="68"/>
      <c r="BF951" s="68"/>
      <c r="BG951" s="68"/>
      <c r="BH951" s="68"/>
      <c r="BI951" s="68"/>
      <c r="BJ951" s="68"/>
      <c r="BK951" s="68"/>
      <c r="BL951" s="68"/>
      <c r="BM951" s="68"/>
      <c r="BN951" s="68"/>
    </row>
    <row r="952" spans="1:66" ht="17">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68"/>
      <c r="AG952" s="68"/>
      <c r="AH952" s="68"/>
      <c r="AI952" s="68"/>
      <c r="AJ952" s="68"/>
      <c r="AK952" s="68"/>
      <c r="AL952" s="68"/>
      <c r="AM952" s="68"/>
      <c r="AN952" s="68"/>
      <c r="AO952" s="68"/>
      <c r="AP952" s="68"/>
      <c r="AQ952" s="68"/>
      <c r="AR952" s="68"/>
      <c r="AS952" s="68"/>
      <c r="AT952" s="68"/>
      <c r="AU952" s="68"/>
      <c r="AV952" s="68"/>
      <c r="AW952" s="68"/>
      <c r="AX952" s="68"/>
      <c r="AY952" s="68"/>
      <c r="AZ952" s="68"/>
      <c r="BA952" s="68"/>
      <c r="BB952" s="68"/>
      <c r="BC952" s="68"/>
      <c r="BD952" s="68"/>
      <c r="BE952" s="68"/>
      <c r="BF952" s="68"/>
      <c r="BG952" s="68"/>
      <c r="BH952" s="68"/>
      <c r="BI952" s="68"/>
      <c r="BJ952" s="68"/>
      <c r="BK952" s="68"/>
      <c r="BL952" s="68"/>
      <c r="BM952" s="68"/>
      <c r="BN952" s="68"/>
    </row>
    <row r="953" spans="1:66" ht="17">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68"/>
      <c r="AG953" s="68"/>
      <c r="AH953" s="68"/>
      <c r="AI953" s="68"/>
      <c r="AJ953" s="68"/>
      <c r="AK953" s="68"/>
      <c r="AL953" s="68"/>
      <c r="AM953" s="68"/>
      <c r="AN953" s="68"/>
      <c r="AO953" s="68"/>
      <c r="AP953" s="68"/>
      <c r="AQ953" s="68"/>
      <c r="AR953" s="68"/>
      <c r="AS953" s="68"/>
      <c r="AT953" s="68"/>
      <c r="AU953" s="68"/>
      <c r="AV953" s="68"/>
      <c r="AW953" s="68"/>
      <c r="AX953" s="68"/>
      <c r="AY953" s="68"/>
      <c r="AZ953" s="68"/>
      <c r="BA953" s="68"/>
      <c r="BB953" s="68"/>
      <c r="BC953" s="68"/>
      <c r="BD953" s="68"/>
      <c r="BE953" s="68"/>
      <c r="BF953" s="68"/>
      <c r="BG953" s="68"/>
      <c r="BH953" s="68"/>
      <c r="BI953" s="68"/>
      <c r="BJ953" s="68"/>
      <c r="BK953" s="68"/>
      <c r="BL953" s="68"/>
      <c r="BM953" s="68"/>
      <c r="BN953" s="68"/>
    </row>
    <row r="954" spans="1:66" ht="17">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68"/>
      <c r="AG954" s="68"/>
      <c r="AH954" s="68"/>
      <c r="AI954" s="68"/>
      <c r="AJ954" s="68"/>
      <c r="AK954" s="68"/>
      <c r="AL954" s="68"/>
      <c r="AM954" s="68"/>
      <c r="AN954" s="68"/>
      <c r="AO954" s="68"/>
      <c r="AP954" s="68"/>
      <c r="AQ954" s="68"/>
      <c r="AR954" s="68"/>
      <c r="AS954" s="68"/>
      <c r="AT954" s="68"/>
      <c r="AU954" s="68"/>
      <c r="AV954" s="68"/>
      <c r="AW954" s="68"/>
      <c r="AX954" s="68"/>
      <c r="AY954" s="68"/>
      <c r="AZ954" s="68"/>
      <c r="BA954" s="68"/>
      <c r="BB954" s="68"/>
      <c r="BC954" s="68"/>
      <c r="BD954" s="68"/>
      <c r="BE954" s="68"/>
      <c r="BF954" s="68"/>
      <c r="BG954" s="68"/>
      <c r="BH954" s="68"/>
      <c r="BI954" s="68"/>
      <c r="BJ954" s="68"/>
      <c r="BK954" s="68"/>
      <c r="BL954" s="68"/>
      <c r="BM954" s="68"/>
      <c r="BN954" s="68"/>
    </row>
    <row r="955" spans="1:66" ht="17">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68"/>
      <c r="AG955" s="68"/>
      <c r="AH955" s="68"/>
      <c r="AI955" s="68"/>
      <c r="AJ955" s="68"/>
      <c r="AK955" s="68"/>
      <c r="AL955" s="68"/>
      <c r="AM955" s="68"/>
      <c r="AN955" s="68"/>
      <c r="AO955" s="68"/>
      <c r="AP955" s="68"/>
      <c r="AQ955" s="68"/>
      <c r="AR955" s="68"/>
      <c r="AS955" s="68"/>
      <c r="AT955" s="68"/>
      <c r="AU955" s="68"/>
      <c r="AV955" s="68"/>
      <c r="AW955" s="68"/>
      <c r="AX955" s="68"/>
      <c r="AY955" s="68"/>
      <c r="AZ955" s="68"/>
      <c r="BA955" s="68"/>
      <c r="BB955" s="68"/>
      <c r="BC955" s="68"/>
      <c r="BD955" s="68"/>
      <c r="BE955" s="68"/>
      <c r="BF955" s="68"/>
      <c r="BG955" s="68"/>
      <c r="BH955" s="68"/>
      <c r="BI955" s="68"/>
      <c r="BJ955" s="68"/>
      <c r="BK955" s="68"/>
      <c r="BL955" s="68"/>
      <c r="BM955" s="68"/>
      <c r="BN955" s="68"/>
    </row>
    <row r="956" spans="1:66" ht="17">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68"/>
      <c r="AG956" s="68"/>
      <c r="AH956" s="68"/>
      <c r="AI956" s="68"/>
      <c r="AJ956" s="68"/>
      <c r="AK956" s="68"/>
      <c r="AL956" s="68"/>
      <c r="AM956" s="68"/>
      <c r="AN956" s="68"/>
      <c r="AO956" s="68"/>
      <c r="AP956" s="68"/>
      <c r="AQ956" s="68"/>
      <c r="AR956" s="68"/>
      <c r="AS956" s="68"/>
      <c r="AT956" s="68"/>
      <c r="AU956" s="68"/>
      <c r="AV956" s="68"/>
      <c r="AW956" s="68"/>
      <c r="AX956" s="68"/>
      <c r="AY956" s="68"/>
      <c r="AZ956" s="68"/>
      <c r="BA956" s="68"/>
      <c r="BB956" s="68"/>
      <c r="BC956" s="68"/>
      <c r="BD956" s="68"/>
      <c r="BE956" s="68"/>
      <c r="BF956" s="68"/>
      <c r="BG956" s="68"/>
      <c r="BH956" s="68"/>
      <c r="BI956" s="68"/>
      <c r="BJ956" s="68"/>
      <c r="BK956" s="68"/>
      <c r="BL956" s="68"/>
      <c r="BM956" s="68"/>
      <c r="BN956" s="68"/>
    </row>
    <row r="957" spans="1:66" ht="1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68"/>
      <c r="AG957" s="68"/>
      <c r="AH957" s="68"/>
      <c r="AI957" s="68"/>
      <c r="AJ957" s="68"/>
      <c r="AK957" s="68"/>
      <c r="AL957" s="68"/>
      <c r="AM957" s="68"/>
      <c r="AN957" s="68"/>
      <c r="AO957" s="68"/>
      <c r="AP957" s="68"/>
      <c r="AQ957" s="68"/>
      <c r="AR957" s="68"/>
      <c r="AS957" s="68"/>
      <c r="AT957" s="68"/>
      <c r="AU957" s="68"/>
      <c r="AV957" s="68"/>
      <c r="AW957" s="68"/>
      <c r="AX957" s="68"/>
      <c r="AY957" s="68"/>
      <c r="AZ957" s="68"/>
      <c r="BA957" s="68"/>
      <c r="BB957" s="68"/>
      <c r="BC957" s="68"/>
      <c r="BD957" s="68"/>
      <c r="BE957" s="68"/>
      <c r="BF957" s="68"/>
      <c r="BG957" s="68"/>
      <c r="BH957" s="68"/>
      <c r="BI957" s="68"/>
      <c r="BJ957" s="68"/>
      <c r="BK957" s="68"/>
      <c r="BL957" s="68"/>
      <c r="BM957" s="68"/>
      <c r="BN957" s="68"/>
    </row>
    <row r="958" spans="1:66" ht="17">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68"/>
      <c r="AG958" s="68"/>
      <c r="AH958" s="68"/>
      <c r="AI958" s="68"/>
      <c r="AJ958" s="68"/>
      <c r="AK958" s="68"/>
      <c r="AL958" s="68"/>
      <c r="AM958" s="68"/>
      <c r="AN958" s="68"/>
      <c r="AO958" s="68"/>
      <c r="AP958" s="68"/>
      <c r="AQ958" s="68"/>
      <c r="AR958" s="68"/>
      <c r="AS958" s="68"/>
      <c r="AT958" s="68"/>
      <c r="AU958" s="68"/>
      <c r="AV958" s="68"/>
      <c r="AW958" s="68"/>
      <c r="AX958" s="68"/>
      <c r="AY958" s="68"/>
      <c r="AZ958" s="68"/>
      <c r="BA958" s="68"/>
      <c r="BB958" s="68"/>
      <c r="BC958" s="68"/>
      <c r="BD958" s="68"/>
      <c r="BE958" s="68"/>
      <c r="BF958" s="68"/>
      <c r="BG958" s="68"/>
      <c r="BH958" s="68"/>
      <c r="BI958" s="68"/>
      <c r="BJ958" s="68"/>
      <c r="BK958" s="68"/>
      <c r="BL958" s="68"/>
      <c r="BM958" s="68"/>
      <c r="BN958" s="68"/>
    </row>
    <row r="959" spans="1:66" ht="17">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68"/>
      <c r="AG959" s="68"/>
      <c r="AH959" s="68"/>
      <c r="AI959" s="68"/>
      <c r="AJ959" s="68"/>
      <c r="AK959" s="68"/>
      <c r="AL959" s="68"/>
      <c r="AM959" s="68"/>
      <c r="AN959" s="68"/>
      <c r="AO959" s="68"/>
      <c r="AP959" s="68"/>
      <c r="AQ959" s="68"/>
      <c r="AR959" s="68"/>
      <c r="AS959" s="68"/>
      <c r="AT959" s="68"/>
      <c r="AU959" s="68"/>
      <c r="AV959" s="68"/>
      <c r="AW959" s="68"/>
      <c r="AX959" s="68"/>
      <c r="AY959" s="68"/>
      <c r="AZ959" s="68"/>
      <c r="BA959" s="68"/>
      <c r="BB959" s="68"/>
      <c r="BC959" s="68"/>
      <c r="BD959" s="68"/>
      <c r="BE959" s="68"/>
      <c r="BF959" s="68"/>
      <c r="BG959" s="68"/>
      <c r="BH959" s="68"/>
      <c r="BI959" s="68"/>
      <c r="BJ959" s="68"/>
      <c r="BK959" s="68"/>
      <c r="BL959" s="68"/>
      <c r="BM959" s="68"/>
      <c r="BN959" s="68"/>
    </row>
    <row r="960" spans="1:66" ht="17">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68"/>
      <c r="AG960" s="68"/>
      <c r="AH960" s="68"/>
      <c r="AI960" s="68"/>
      <c r="AJ960" s="68"/>
      <c r="AK960" s="68"/>
      <c r="AL960" s="68"/>
      <c r="AM960" s="68"/>
      <c r="AN960" s="68"/>
      <c r="AO960" s="68"/>
      <c r="AP960" s="68"/>
      <c r="AQ960" s="68"/>
      <c r="AR960" s="68"/>
      <c r="AS960" s="68"/>
      <c r="AT960" s="68"/>
      <c r="AU960" s="68"/>
      <c r="AV960" s="68"/>
      <c r="AW960" s="68"/>
      <c r="AX960" s="68"/>
      <c r="AY960" s="68"/>
      <c r="AZ960" s="68"/>
      <c r="BA960" s="68"/>
      <c r="BB960" s="68"/>
      <c r="BC960" s="68"/>
      <c r="BD960" s="68"/>
      <c r="BE960" s="68"/>
      <c r="BF960" s="68"/>
      <c r="BG960" s="68"/>
      <c r="BH960" s="68"/>
      <c r="BI960" s="68"/>
      <c r="BJ960" s="68"/>
      <c r="BK960" s="68"/>
      <c r="BL960" s="68"/>
      <c r="BM960" s="68"/>
      <c r="BN960" s="68"/>
    </row>
    <row r="961" spans="1:66" ht="17">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68"/>
      <c r="AG961" s="68"/>
      <c r="AH961" s="68"/>
      <c r="AI961" s="68"/>
      <c r="AJ961" s="68"/>
      <c r="AK961" s="68"/>
      <c r="AL961" s="68"/>
      <c r="AM961" s="68"/>
      <c r="AN961" s="68"/>
      <c r="AO961" s="68"/>
      <c r="AP961" s="68"/>
      <c r="AQ961" s="68"/>
      <c r="AR961" s="68"/>
      <c r="AS961" s="68"/>
      <c r="AT961" s="68"/>
      <c r="AU961" s="68"/>
      <c r="AV961" s="68"/>
      <c r="AW961" s="68"/>
      <c r="AX961" s="68"/>
      <c r="AY961" s="68"/>
      <c r="AZ961" s="68"/>
      <c r="BA961" s="68"/>
      <c r="BB961" s="68"/>
      <c r="BC961" s="68"/>
      <c r="BD961" s="68"/>
      <c r="BE961" s="68"/>
      <c r="BF961" s="68"/>
      <c r="BG961" s="68"/>
      <c r="BH961" s="68"/>
      <c r="BI961" s="68"/>
      <c r="BJ961" s="68"/>
      <c r="BK961" s="68"/>
      <c r="BL961" s="68"/>
      <c r="BM961" s="68"/>
      <c r="BN961" s="68"/>
    </row>
    <row r="962" spans="1:66" ht="17">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68"/>
      <c r="AG962" s="68"/>
      <c r="AH962" s="68"/>
      <c r="AI962" s="68"/>
      <c r="AJ962" s="68"/>
      <c r="AK962" s="68"/>
      <c r="AL962" s="68"/>
      <c r="AM962" s="68"/>
      <c r="AN962" s="68"/>
      <c r="AO962" s="68"/>
      <c r="AP962" s="68"/>
      <c r="AQ962" s="68"/>
      <c r="AR962" s="68"/>
      <c r="AS962" s="68"/>
      <c r="AT962" s="68"/>
      <c r="AU962" s="68"/>
      <c r="AV962" s="68"/>
      <c r="AW962" s="68"/>
      <c r="AX962" s="68"/>
      <c r="AY962" s="68"/>
      <c r="AZ962" s="68"/>
      <c r="BA962" s="68"/>
      <c r="BB962" s="68"/>
      <c r="BC962" s="68"/>
      <c r="BD962" s="68"/>
      <c r="BE962" s="68"/>
      <c r="BF962" s="68"/>
      <c r="BG962" s="68"/>
      <c r="BH962" s="68"/>
      <c r="BI962" s="68"/>
      <c r="BJ962" s="68"/>
      <c r="BK962" s="68"/>
      <c r="BL962" s="68"/>
      <c r="BM962" s="68"/>
      <c r="BN962" s="68"/>
    </row>
    <row r="963" spans="1:66" ht="17">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68"/>
      <c r="AG963" s="68"/>
      <c r="AH963" s="68"/>
      <c r="AI963" s="68"/>
      <c r="AJ963" s="68"/>
      <c r="AK963" s="68"/>
      <c r="AL963" s="68"/>
      <c r="AM963" s="68"/>
      <c r="AN963" s="68"/>
      <c r="AO963" s="68"/>
      <c r="AP963" s="68"/>
      <c r="AQ963" s="68"/>
      <c r="AR963" s="68"/>
      <c r="AS963" s="68"/>
      <c r="AT963" s="68"/>
      <c r="AU963" s="68"/>
      <c r="AV963" s="68"/>
      <c r="AW963" s="68"/>
      <c r="AX963" s="68"/>
      <c r="AY963" s="68"/>
      <c r="AZ963" s="68"/>
      <c r="BA963" s="68"/>
      <c r="BB963" s="68"/>
      <c r="BC963" s="68"/>
      <c r="BD963" s="68"/>
      <c r="BE963" s="68"/>
      <c r="BF963" s="68"/>
      <c r="BG963" s="68"/>
      <c r="BH963" s="68"/>
      <c r="BI963" s="68"/>
      <c r="BJ963" s="68"/>
      <c r="BK963" s="68"/>
      <c r="BL963" s="68"/>
      <c r="BM963" s="68"/>
      <c r="BN963" s="68"/>
    </row>
    <row r="964" spans="1:66" ht="17">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68"/>
      <c r="AG964" s="68"/>
      <c r="AH964" s="68"/>
      <c r="AI964" s="68"/>
      <c r="AJ964" s="68"/>
      <c r="AK964" s="68"/>
      <c r="AL964" s="68"/>
      <c r="AM964" s="68"/>
      <c r="AN964" s="68"/>
      <c r="AO964" s="68"/>
      <c r="AP964" s="68"/>
      <c r="AQ964" s="68"/>
      <c r="AR964" s="68"/>
      <c r="AS964" s="68"/>
      <c r="AT964" s="68"/>
      <c r="AU964" s="68"/>
      <c r="AV964" s="68"/>
      <c r="AW964" s="68"/>
      <c r="AX964" s="68"/>
      <c r="AY964" s="68"/>
      <c r="AZ964" s="68"/>
      <c r="BA964" s="68"/>
      <c r="BB964" s="68"/>
      <c r="BC964" s="68"/>
      <c r="BD964" s="68"/>
      <c r="BE964" s="68"/>
      <c r="BF964" s="68"/>
      <c r="BG964" s="68"/>
      <c r="BH964" s="68"/>
      <c r="BI964" s="68"/>
      <c r="BJ964" s="68"/>
      <c r="BK964" s="68"/>
      <c r="BL964" s="68"/>
      <c r="BM964" s="68"/>
      <c r="BN964" s="68"/>
    </row>
    <row r="965" spans="1:66" ht="17">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68"/>
      <c r="AG965" s="68"/>
      <c r="AH965" s="68"/>
      <c r="AI965" s="68"/>
      <c r="AJ965" s="68"/>
      <c r="AK965" s="68"/>
      <c r="AL965" s="68"/>
      <c r="AM965" s="68"/>
      <c r="AN965" s="68"/>
      <c r="AO965" s="68"/>
      <c r="AP965" s="68"/>
      <c r="AQ965" s="68"/>
      <c r="AR965" s="68"/>
      <c r="AS965" s="68"/>
      <c r="AT965" s="68"/>
      <c r="AU965" s="68"/>
      <c r="AV965" s="68"/>
      <c r="AW965" s="68"/>
      <c r="AX965" s="68"/>
      <c r="AY965" s="68"/>
      <c r="AZ965" s="68"/>
      <c r="BA965" s="68"/>
      <c r="BB965" s="68"/>
      <c r="BC965" s="68"/>
      <c r="BD965" s="68"/>
      <c r="BE965" s="68"/>
      <c r="BF965" s="68"/>
      <c r="BG965" s="68"/>
      <c r="BH965" s="68"/>
      <c r="BI965" s="68"/>
      <c r="BJ965" s="68"/>
      <c r="BK965" s="68"/>
      <c r="BL965" s="68"/>
      <c r="BM965" s="68"/>
      <c r="BN965" s="68"/>
    </row>
    <row r="966" spans="1:66" ht="17">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68"/>
      <c r="AG966" s="68"/>
      <c r="AH966" s="68"/>
      <c r="AI966" s="68"/>
      <c r="AJ966" s="68"/>
      <c r="AK966" s="68"/>
      <c r="AL966" s="68"/>
      <c r="AM966" s="68"/>
      <c r="AN966" s="68"/>
      <c r="AO966" s="68"/>
      <c r="AP966" s="68"/>
      <c r="AQ966" s="68"/>
      <c r="AR966" s="68"/>
      <c r="AS966" s="68"/>
      <c r="AT966" s="68"/>
      <c r="AU966" s="68"/>
      <c r="AV966" s="68"/>
      <c r="AW966" s="68"/>
      <c r="AX966" s="68"/>
      <c r="AY966" s="68"/>
      <c r="AZ966" s="68"/>
      <c r="BA966" s="68"/>
      <c r="BB966" s="68"/>
      <c r="BC966" s="68"/>
      <c r="BD966" s="68"/>
      <c r="BE966" s="68"/>
      <c r="BF966" s="68"/>
      <c r="BG966" s="68"/>
      <c r="BH966" s="68"/>
      <c r="BI966" s="68"/>
      <c r="BJ966" s="68"/>
      <c r="BK966" s="68"/>
      <c r="BL966" s="68"/>
      <c r="BM966" s="68"/>
      <c r="BN966" s="68"/>
    </row>
    <row r="967" spans="1:66" ht="1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68"/>
      <c r="AG967" s="68"/>
      <c r="AH967" s="68"/>
      <c r="AI967" s="68"/>
      <c r="AJ967" s="68"/>
      <c r="AK967" s="68"/>
      <c r="AL967" s="68"/>
      <c r="AM967" s="68"/>
      <c r="AN967" s="68"/>
      <c r="AO967" s="68"/>
      <c r="AP967" s="68"/>
      <c r="AQ967" s="68"/>
      <c r="AR967" s="68"/>
      <c r="AS967" s="68"/>
      <c r="AT967" s="68"/>
      <c r="AU967" s="68"/>
      <c r="AV967" s="68"/>
      <c r="AW967" s="68"/>
      <c r="AX967" s="68"/>
      <c r="AY967" s="68"/>
      <c r="AZ967" s="68"/>
      <c r="BA967" s="68"/>
      <c r="BB967" s="68"/>
      <c r="BC967" s="68"/>
      <c r="BD967" s="68"/>
      <c r="BE967" s="68"/>
      <c r="BF967" s="68"/>
      <c r="BG967" s="68"/>
      <c r="BH967" s="68"/>
      <c r="BI967" s="68"/>
      <c r="BJ967" s="68"/>
      <c r="BK967" s="68"/>
      <c r="BL967" s="68"/>
      <c r="BM967" s="68"/>
      <c r="BN967" s="68"/>
    </row>
    <row r="968" spans="1:66" ht="17">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8"/>
      <c r="AG968" s="68"/>
      <c r="AH968" s="68"/>
      <c r="AI968" s="68"/>
      <c r="AJ968" s="68"/>
      <c r="AK968" s="68"/>
      <c r="AL968" s="68"/>
      <c r="AM968" s="68"/>
      <c r="AN968" s="68"/>
      <c r="AO968" s="68"/>
      <c r="AP968" s="68"/>
      <c r="AQ968" s="68"/>
      <c r="AR968" s="68"/>
      <c r="AS968" s="68"/>
      <c r="AT968" s="68"/>
      <c r="AU968" s="68"/>
      <c r="AV968" s="68"/>
      <c r="AW968" s="68"/>
      <c r="AX968" s="68"/>
      <c r="AY968" s="68"/>
      <c r="AZ968" s="68"/>
      <c r="BA968" s="68"/>
      <c r="BB968" s="68"/>
      <c r="BC968" s="68"/>
      <c r="BD968" s="68"/>
      <c r="BE968" s="68"/>
      <c r="BF968" s="68"/>
      <c r="BG968" s="68"/>
      <c r="BH968" s="68"/>
      <c r="BI968" s="68"/>
      <c r="BJ968" s="68"/>
      <c r="BK968" s="68"/>
      <c r="BL968" s="68"/>
      <c r="BM968" s="68"/>
      <c r="BN968" s="68"/>
    </row>
    <row r="969" spans="1:66" ht="17">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68"/>
      <c r="AG969" s="68"/>
      <c r="AH969" s="68"/>
      <c r="AI969" s="68"/>
      <c r="AJ969" s="68"/>
      <c r="AK969" s="68"/>
      <c r="AL969" s="68"/>
      <c r="AM969" s="68"/>
      <c r="AN969" s="68"/>
      <c r="AO969" s="68"/>
      <c r="AP969" s="68"/>
      <c r="AQ969" s="68"/>
      <c r="AR969" s="68"/>
      <c r="AS969" s="68"/>
      <c r="AT969" s="68"/>
      <c r="AU969" s="68"/>
      <c r="AV969" s="68"/>
      <c r="AW969" s="68"/>
      <c r="AX969" s="68"/>
      <c r="AY969" s="68"/>
      <c r="AZ969" s="68"/>
      <c r="BA969" s="68"/>
      <c r="BB969" s="68"/>
      <c r="BC969" s="68"/>
      <c r="BD969" s="68"/>
      <c r="BE969" s="68"/>
      <c r="BF969" s="68"/>
      <c r="BG969" s="68"/>
      <c r="BH969" s="68"/>
      <c r="BI969" s="68"/>
      <c r="BJ969" s="68"/>
      <c r="BK969" s="68"/>
      <c r="BL969" s="68"/>
      <c r="BM969" s="68"/>
      <c r="BN969" s="68"/>
    </row>
    <row r="970" spans="1:66" ht="17">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68"/>
      <c r="AG970" s="68"/>
      <c r="AH970" s="68"/>
      <c r="AI970" s="68"/>
      <c r="AJ970" s="68"/>
      <c r="AK970" s="68"/>
      <c r="AL970" s="68"/>
      <c r="AM970" s="68"/>
      <c r="AN970" s="68"/>
      <c r="AO970" s="68"/>
      <c r="AP970" s="68"/>
      <c r="AQ970" s="68"/>
      <c r="AR970" s="68"/>
      <c r="AS970" s="68"/>
      <c r="AT970" s="68"/>
      <c r="AU970" s="68"/>
      <c r="AV970" s="68"/>
      <c r="AW970" s="68"/>
      <c r="AX970" s="68"/>
      <c r="AY970" s="68"/>
      <c r="AZ970" s="68"/>
      <c r="BA970" s="68"/>
      <c r="BB970" s="68"/>
      <c r="BC970" s="68"/>
      <c r="BD970" s="68"/>
      <c r="BE970" s="68"/>
      <c r="BF970" s="68"/>
      <c r="BG970" s="68"/>
      <c r="BH970" s="68"/>
      <c r="BI970" s="68"/>
      <c r="BJ970" s="68"/>
      <c r="BK970" s="68"/>
      <c r="BL970" s="68"/>
      <c r="BM970" s="68"/>
      <c r="BN970" s="68"/>
    </row>
    <row r="971" spans="1:66" ht="17">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68"/>
      <c r="AG971" s="68"/>
      <c r="AH971" s="68"/>
      <c r="AI971" s="68"/>
      <c r="AJ971" s="68"/>
      <c r="AK971" s="68"/>
      <c r="AL971" s="68"/>
      <c r="AM971" s="68"/>
      <c r="AN971" s="68"/>
      <c r="AO971" s="68"/>
      <c r="AP971" s="68"/>
      <c r="AQ971" s="68"/>
      <c r="AR971" s="68"/>
      <c r="AS971" s="68"/>
      <c r="AT971" s="68"/>
      <c r="AU971" s="68"/>
      <c r="AV971" s="68"/>
      <c r="AW971" s="68"/>
      <c r="AX971" s="68"/>
      <c r="AY971" s="68"/>
      <c r="AZ971" s="68"/>
      <c r="BA971" s="68"/>
      <c r="BB971" s="68"/>
      <c r="BC971" s="68"/>
      <c r="BD971" s="68"/>
      <c r="BE971" s="68"/>
      <c r="BF971" s="68"/>
      <c r="BG971" s="68"/>
      <c r="BH971" s="68"/>
      <c r="BI971" s="68"/>
      <c r="BJ971" s="68"/>
      <c r="BK971" s="68"/>
      <c r="BL971" s="68"/>
      <c r="BM971" s="68"/>
      <c r="BN971" s="68"/>
    </row>
    <row r="972" spans="1:66" ht="17">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68"/>
      <c r="AG972" s="68"/>
      <c r="AH972" s="68"/>
      <c r="AI972" s="68"/>
      <c r="AJ972" s="68"/>
      <c r="AK972" s="68"/>
      <c r="AL972" s="68"/>
      <c r="AM972" s="68"/>
      <c r="AN972" s="68"/>
      <c r="AO972" s="68"/>
      <c r="AP972" s="68"/>
      <c r="AQ972" s="68"/>
      <c r="AR972" s="68"/>
      <c r="AS972" s="68"/>
      <c r="AT972" s="68"/>
      <c r="AU972" s="68"/>
      <c r="AV972" s="68"/>
      <c r="AW972" s="68"/>
      <c r="AX972" s="68"/>
      <c r="AY972" s="68"/>
      <c r="AZ972" s="68"/>
      <c r="BA972" s="68"/>
      <c r="BB972" s="68"/>
      <c r="BC972" s="68"/>
      <c r="BD972" s="68"/>
      <c r="BE972" s="68"/>
      <c r="BF972" s="68"/>
      <c r="BG972" s="68"/>
      <c r="BH972" s="68"/>
      <c r="BI972" s="68"/>
      <c r="BJ972" s="68"/>
      <c r="BK972" s="68"/>
      <c r="BL972" s="68"/>
      <c r="BM972" s="68"/>
      <c r="BN972" s="68"/>
    </row>
    <row r="973" spans="1:66" ht="17">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68"/>
      <c r="AG973" s="68"/>
      <c r="AH973" s="68"/>
      <c r="AI973" s="68"/>
      <c r="AJ973" s="68"/>
      <c r="AK973" s="68"/>
      <c r="AL973" s="68"/>
      <c r="AM973" s="68"/>
      <c r="AN973" s="68"/>
      <c r="AO973" s="68"/>
      <c r="AP973" s="68"/>
      <c r="AQ973" s="68"/>
      <c r="AR973" s="68"/>
      <c r="AS973" s="68"/>
      <c r="AT973" s="68"/>
      <c r="AU973" s="68"/>
      <c r="AV973" s="68"/>
      <c r="AW973" s="68"/>
      <c r="AX973" s="68"/>
      <c r="AY973" s="68"/>
      <c r="AZ973" s="68"/>
      <c r="BA973" s="68"/>
      <c r="BB973" s="68"/>
      <c r="BC973" s="68"/>
      <c r="BD973" s="68"/>
      <c r="BE973" s="68"/>
      <c r="BF973" s="68"/>
      <c r="BG973" s="68"/>
      <c r="BH973" s="68"/>
      <c r="BI973" s="68"/>
      <c r="BJ973" s="68"/>
      <c r="BK973" s="68"/>
      <c r="BL973" s="68"/>
      <c r="BM973" s="68"/>
      <c r="BN973" s="68"/>
    </row>
    <row r="974" spans="1:66" ht="17">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68"/>
      <c r="AG974" s="68"/>
      <c r="AH974" s="68"/>
      <c r="AI974" s="68"/>
      <c r="AJ974" s="68"/>
      <c r="AK974" s="68"/>
      <c r="AL974" s="68"/>
      <c r="AM974" s="68"/>
      <c r="AN974" s="68"/>
      <c r="AO974" s="68"/>
      <c r="AP974" s="68"/>
      <c r="AQ974" s="68"/>
      <c r="AR974" s="68"/>
      <c r="AS974" s="68"/>
      <c r="AT974" s="68"/>
      <c r="AU974" s="68"/>
      <c r="AV974" s="68"/>
      <c r="AW974" s="68"/>
      <c r="AX974" s="68"/>
      <c r="AY974" s="68"/>
      <c r="AZ974" s="68"/>
      <c r="BA974" s="68"/>
      <c r="BB974" s="68"/>
      <c r="BC974" s="68"/>
      <c r="BD974" s="68"/>
      <c r="BE974" s="68"/>
      <c r="BF974" s="68"/>
      <c r="BG974" s="68"/>
      <c r="BH974" s="68"/>
      <c r="BI974" s="68"/>
      <c r="BJ974" s="68"/>
      <c r="BK974" s="68"/>
      <c r="BL974" s="68"/>
      <c r="BM974" s="68"/>
      <c r="BN974" s="68"/>
    </row>
    <row r="975" spans="1:66" ht="17">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68"/>
      <c r="AG975" s="68"/>
      <c r="AH975" s="68"/>
      <c r="AI975" s="68"/>
      <c r="AJ975" s="68"/>
      <c r="AK975" s="68"/>
      <c r="AL975" s="68"/>
      <c r="AM975" s="68"/>
      <c r="AN975" s="68"/>
      <c r="AO975" s="68"/>
      <c r="AP975" s="68"/>
      <c r="AQ975" s="68"/>
      <c r="AR975" s="68"/>
      <c r="AS975" s="68"/>
      <c r="AT975" s="68"/>
      <c r="AU975" s="68"/>
      <c r="AV975" s="68"/>
      <c r="AW975" s="68"/>
      <c r="AX975" s="68"/>
      <c r="AY975" s="68"/>
      <c r="AZ975" s="68"/>
      <c r="BA975" s="68"/>
      <c r="BB975" s="68"/>
      <c r="BC975" s="68"/>
      <c r="BD975" s="68"/>
      <c r="BE975" s="68"/>
      <c r="BF975" s="68"/>
      <c r="BG975" s="68"/>
      <c r="BH975" s="68"/>
      <c r="BI975" s="68"/>
      <c r="BJ975" s="68"/>
      <c r="BK975" s="68"/>
      <c r="BL975" s="68"/>
      <c r="BM975" s="68"/>
      <c r="BN975" s="68"/>
    </row>
    <row r="976" spans="1:66" ht="17">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68"/>
      <c r="AG976" s="68"/>
      <c r="AH976" s="68"/>
      <c r="AI976" s="68"/>
      <c r="AJ976" s="68"/>
      <c r="AK976" s="68"/>
      <c r="AL976" s="68"/>
      <c r="AM976" s="68"/>
      <c r="AN976" s="68"/>
      <c r="AO976" s="68"/>
      <c r="AP976" s="68"/>
      <c r="AQ976" s="68"/>
      <c r="AR976" s="68"/>
      <c r="AS976" s="68"/>
      <c r="AT976" s="68"/>
      <c r="AU976" s="68"/>
      <c r="AV976" s="68"/>
      <c r="AW976" s="68"/>
      <c r="AX976" s="68"/>
      <c r="AY976" s="68"/>
      <c r="AZ976" s="68"/>
      <c r="BA976" s="68"/>
      <c r="BB976" s="68"/>
      <c r="BC976" s="68"/>
      <c r="BD976" s="68"/>
      <c r="BE976" s="68"/>
      <c r="BF976" s="68"/>
      <c r="BG976" s="68"/>
      <c r="BH976" s="68"/>
      <c r="BI976" s="68"/>
      <c r="BJ976" s="68"/>
      <c r="BK976" s="68"/>
      <c r="BL976" s="68"/>
      <c r="BM976" s="68"/>
      <c r="BN976" s="68"/>
    </row>
    <row r="977" spans="1:66" ht="1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68"/>
      <c r="AG977" s="68"/>
      <c r="AH977" s="68"/>
      <c r="AI977" s="68"/>
      <c r="AJ977" s="68"/>
      <c r="AK977" s="68"/>
      <c r="AL977" s="68"/>
      <c r="AM977" s="68"/>
      <c r="AN977" s="68"/>
      <c r="AO977" s="68"/>
      <c r="AP977" s="68"/>
      <c r="AQ977" s="68"/>
      <c r="AR977" s="68"/>
      <c r="AS977" s="68"/>
      <c r="AT977" s="68"/>
      <c r="AU977" s="68"/>
      <c r="AV977" s="68"/>
      <c r="AW977" s="68"/>
      <c r="AX977" s="68"/>
      <c r="AY977" s="68"/>
      <c r="AZ977" s="68"/>
      <c r="BA977" s="68"/>
      <c r="BB977" s="68"/>
      <c r="BC977" s="68"/>
      <c r="BD977" s="68"/>
      <c r="BE977" s="68"/>
      <c r="BF977" s="68"/>
      <c r="BG977" s="68"/>
      <c r="BH977" s="68"/>
      <c r="BI977" s="68"/>
      <c r="BJ977" s="68"/>
      <c r="BK977" s="68"/>
      <c r="BL977" s="68"/>
      <c r="BM977" s="68"/>
      <c r="BN977" s="68"/>
    </row>
    <row r="978" spans="1:66" ht="17">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68"/>
      <c r="AG978" s="68"/>
      <c r="AH978" s="68"/>
      <c r="AI978" s="68"/>
      <c r="AJ978" s="68"/>
      <c r="AK978" s="68"/>
      <c r="AL978" s="68"/>
      <c r="AM978" s="68"/>
      <c r="AN978" s="68"/>
      <c r="AO978" s="68"/>
      <c r="AP978" s="68"/>
      <c r="AQ978" s="68"/>
      <c r="AR978" s="68"/>
      <c r="AS978" s="68"/>
      <c r="AT978" s="68"/>
      <c r="AU978" s="68"/>
      <c r="AV978" s="68"/>
      <c r="AW978" s="68"/>
      <c r="AX978" s="68"/>
      <c r="AY978" s="68"/>
      <c r="AZ978" s="68"/>
      <c r="BA978" s="68"/>
      <c r="BB978" s="68"/>
      <c r="BC978" s="68"/>
      <c r="BD978" s="68"/>
      <c r="BE978" s="68"/>
      <c r="BF978" s="68"/>
      <c r="BG978" s="68"/>
      <c r="BH978" s="68"/>
      <c r="BI978" s="68"/>
      <c r="BJ978" s="68"/>
      <c r="BK978" s="68"/>
      <c r="BL978" s="68"/>
      <c r="BM978" s="68"/>
      <c r="BN978" s="68"/>
    </row>
    <row r="979" spans="1:66" ht="17">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68"/>
      <c r="AG979" s="68"/>
      <c r="AH979" s="68"/>
      <c r="AI979" s="68"/>
      <c r="AJ979" s="68"/>
      <c r="AK979" s="68"/>
      <c r="AL979" s="68"/>
      <c r="AM979" s="68"/>
      <c r="AN979" s="68"/>
      <c r="AO979" s="68"/>
      <c r="AP979" s="68"/>
      <c r="AQ979" s="68"/>
      <c r="AR979" s="68"/>
      <c r="AS979" s="68"/>
      <c r="AT979" s="68"/>
      <c r="AU979" s="68"/>
      <c r="AV979" s="68"/>
      <c r="AW979" s="68"/>
      <c r="AX979" s="68"/>
      <c r="AY979" s="68"/>
      <c r="AZ979" s="68"/>
      <c r="BA979" s="68"/>
      <c r="BB979" s="68"/>
      <c r="BC979" s="68"/>
      <c r="BD979" s="68"/>
      <c r="BE979" s="68"/>
      <c r="BF979" s="68"/>
      <c r="BG979" s="68"/>
      <c r="BH979" s="68"/>
      <c r="BI979" s="68"/>
      <c r="BJ979" s="68"/>
      <c r="BK979" s="68"/>
      <c r="BL979" s="68"/>
      <c r="BM979" s="68"/>
      <c r="BN979" s="68"/>
    </row>
    <row r="980" spans="1:66" ht="17">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68"/>
      <c r="AG980" s="68"/>
      <c r="AH980" s="68"/>
      <c r="AI980" s="68"/>
      <c r="AJ980" s="68"/>
      <c r="AK980" s="68"/>
      <c r="AL980" s="68"/>
      <c r="AM980" s="68"/>
      <c r="AN980" s="68"/>
      <c r="AO980" s="68"/>
      <c r="AP980" s="68"/>
      <c r="AQ980" s="68"/>
      <c r="AR980" s="68"/>
      <c r="AS980" s="68"/>
      <c r="AT980" s="68"/>
      <c r="AU980" s="68"/>
      <c r="AV980" s="68"/>
      <c r="AW980" s="68"/>
      <c r="AX980" s="68"/>
      <c r="AY980" s="68"/>
      <c r="AZ980" s="68"/>
      <c r="BA980" s="68"/>
      <c r="BB980" s="68"/>
      <c r="BC980" s="68"/>
      <c r="BD980" s="68"/>
      <c r="BE980" s="68"/>
      <c r="BF980" s="68"/>
      <c r="BG980" s="68"/>
      <c r="BH980" s="68"/>
      <c r="BI980" s="68"/>
      <c r="BJ980" s="68"/>
      <c r="BK980" s="68"/>
      <c r="BL980" s="68"/>
      <c r="BM980" s="68"/>
      <c r="BN980" s="68"/>
    </row>
    <row r="981" spans="1:66" ht="17">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68"/>
      <c r="AG981" s="68"/>
      <c r="AH981" s="68"/>
      <c r="AI981" s="68"/>
      <c r="AJ981" s="68"/>
      <c r="AK981" s="68"/>
      <c r="AL981" s="68"/>
      <c r="AM981" s="68"/>
      <c r="AN981" s="68"/>
      <c r="AO981" s="68"/>
      <c r="AP981" s="68"/>
      <c r="AQ981" s="68"/>
      <c r="AR981" s="68"/>
      <c r="AS981" s="68"/>
      <c r="AT981" s="68"/>
      <c r="AU981" s="68"/>
      <c r="AV981" s="68"/>
      <c r="AW981" s="68"/>
      <c r="AX981" s="68"/>
      <c r="AY981" s="68"/>
      <c r="AZ981" s="68"/>
      <c r="BA981" s="68"/>
      <c r="BB981" s="68"/>
      <c r="BC981" s="68"/>
      <c r="BD981" s="68"/>
      <c r="BE981" s="68"/>
      <c r="BF981" s="68"/>
      <c r="BG981" s="68"/>
      <c r="BH981" s="68"/>
      <c r="BI981" s="68"/>
      <c r="BJ981" s="68"/>
      <c r="BK981" s="68"/>
      <c r="BL981" s="68"/>
      <c r="BM981" s="68"/>
      <c r="BN981" s="68"/>
    </row>
    <row r="982" spans="1:66" ht="17">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68"/>
      <c r="AG982" s="68"/>
      <c r="AH982" s="68"/>
      <c r="AI982" s="68"/>
      <c r="AJ982" s="68"/>
      <c r="AK982" s="68"/>
      <c r="AL982" s="68"/>
      <c r="AM982" s="68"/>
      <c r="AN982" s="68"/>
      <c r="AO982" s="68"/>
      <c r="AP982" s="68"/>
      <c r="AQ982" s="68"/>
      <c r="AR982" s="68"/>
      <c r="AS982" s="68"/>
      <c r="AT982" s="68"/>
      <c r="AU982" s="68"/>
      <c r="AV982" s="68"/>
      <c r="AW982" s="68"/>
      <c r="AX982" s="68"/>
      <c r="AY982" s="68"/>
      <c r="AZ982" s="68"/>
      <c r="BA982" s="68"/>
      <c r="BB982" s="68"/>
      <c r="BC982" s="68"/>
      <c r="BD982" s="68"/>
      <c r="BE982" s="68"/>
      <c r="BF982" s="68"/>
      <c r="BG982" s="68"/>
      <c r="BH982" s="68"/>
      <c r="BI982" s="68"/>
      <c r="BJ982" s="68"/>
      <c r="BK982" s="68"/>
      <c r="BL982" s="68"/>
      <c r="BM982" s="68"/>
      <c r="BN982" s="68"/>
    </row>
    <row r="983" spans="1:66" ht="17">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68"/>
      <c r="AG983" s="68"/>
      <c r="AH983" s="68"/>
      <c r="AI983" s="68"/>
      <c r="AJ983" s="68"/>
      <c r="AK983" s="68"/>
      <c r="AL983" s="68"/>
      <c r="AM983" s="68"/>
      <c r="AN983" s="68"/>
      <c r="AO983" s="68"/>
      <c r="AP983" s="68"/>
      <c r="AQ983" s="68"/>
      <c r="AR983" s="68"/>
      <c r="AS983" s="68"/>
      <c r="AT983" s="68"/>
      <c r="AU983" s="68"/>
      <c r="AV983" s="68"/>
      <c r="AW983" s="68"/>
      <c r="AX983" s="68"/>
      <c r="AY983" s="68"/>
      <c r="AZ983" s="68"/>
      <c r="BA983" s="68"/>
      <c r="BB983" s="68"/>
      <c r="BC983" s="68"/>
      <c r="BD983" s="68"/>
      <c r="BE983" s="68"/>
      <c r="BF983" s="68"/>
      <c r="BG983" s="68"/>
      <c r="BH983" s="68"/>
      <c r="BI983" s="68"/>
      <c r="BJ983" s="68"/>
      <c r="BK983" s="68"/>
      <c r="BL983" s="68"/>
      <c r="BM983" s="68"/>
      <c r="BN983" s="68"/>
    </row>
    <row r="984" spans="1:66" ht="17">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68"/>
      <c r="AG984" s="68"/>
      <c r="AH984" s="68"/>
      <c r="AI984" s="68"/>
      <c r="AJ984" s="68"/>
      <c r="AK984" s="68"/>
      <c r="AL984" s="68"/>
      <c r="AM984" s="68"/>
      <c r="AN984" s="68"/>
      <c r="AO984" s="68"/>
      <c r="AP984" s="68"/>
      <c r="AQ984" s="68"/>
      <c r="AR984" s="68"/>
      <c r="AS984" s="68"/>
      <c r="AT984" s="68"/>
      <c r="AU984" s="68"/>
      <c r="AV984" s="68"/>
      <c r="AW984" s="68"/>
      <c r="AX984" s="68"/>
      <c r="AY984" s="68"/>
      <c r="AZ984" s="68"/>
      <c r="BA984" s="68"/>
      <c r="BB984" s="68"/>
      <c r="BC984" s="68"/>
      <c r="BD984" s="68"/>
      <c r="BE984" s="68"/>
      <c r="BF984" s="68"/>
      <c r="BG984" s="68"/>
      <c r="BH984" s="68"/>
      <c r="BI984" s="68"/>
      <c r="BJ984" s="68"/>
      <c r="BK984" s="68"/>
      <c r="BL984" s="68"/>
      <c r="BM984" s="68"/>
      <c r="BN984" s="68"/>
    </row>
    <row r="985" spans="1:66" ht="17">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68"/>
      <c r="AG985" s="68"/>
      <c r="AH985" s="68"/>
      <c r="AI985" s="68"/>
      <c r="AJ985" s="68"/>
      <c r="AK985" s="68"/>
      <c r="AL985" s="68"/>
      <c r="AM985" s="68"/>
      <c r="AN985" s="68"/>
      <c r="AO985" s="68"/>
      <c r="AP985" s="68"/>
      <c r="AQ985" s="68"/>
      <c r="AR985" s="68"/>
      <c r="AS985" s="68"/>
      <c r="AT985" s="68"/>
      <c r="AU985" s="68"/>
      <c r="AV985" s="68"/>
      <c r="AW985" s="68"/>
      <c r="AX985" s="68"/>
      <c r="AY985" s="68"/>
      <c r="AZ985" s="68"/>
      <c r="BA985" s="68"/>
      <c r="BB985" s="68"/>
      <c r="BC985" s="68"/>
      <c r="BD985" s="68"/>
      <c r="BE985" s="68"/>
      <c r="BF985" s="68"/>
      <c r="BG985" s="68"/>
      <c r="BH985" s="68"/>
      <c r="BI985" s="68"/>
      <c r="BJ985" s="68"/>
      <c r="BK985" s="68"/>
      <c r="BL985" s="68"/>
      <c r="BM985" s="68"/>
      <c r="BN985" s="68"/>
    </row>
    <row r="986" spans="1:66" ht="17">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68"/>
      <c r="AG986" s="68"/>
      <c r="AH986" s="68"/>
      <c r="AI986" s="68"/>
      <c r="AJ986" s="68"/>
      <c r="AK986" s="68"/>
      <c r="AL986" s="68"/>
      <c r="AM986" s="68"/>
      <c r="AN986" s="68"/>
      <c r="AO986" s="68"/>
      <c r="AP986" s="68"/>
      <c r="AQ986" s="68"/>
      <c r="AR986" s="68"/>
      <c r="AS986" s="68"/>
      <c r="AT986" s="68"/>
      <c r="AU986" s="68"/>
      <c r="AV986" s="68"/>
      <c r="AW986" s="68"/>
      <c r="AX986" s="68"/>
      <c r="AY986" s="68"/>
      <c r="AZ986" s="68"/>
      <c r="BA986" s="68"/>
      <c r="BB986" s="68"/>
      <c r="BC986" s="68"/>
      <c r="BD986" s="68"/>
      <c r="BE986" s="68"/>
      <c r="BF986" s="68"/>
      <c r="BG986" s="68"/>
      <c r="BH986" s="68"/>
      <c r="BI986" s="68"/>
      <c r="BJ986" s="68"/>
      <c r="BK986" s="68"/>
      <c r="BL986" s="68"/>
      <c r="BM986" s="68"/>
      <c r="BN986" s="68"/>
    </row>
    <row r="987" spans="1:66" ht="1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68"/>
      <c r="AG987" s="68"/>
      <c r="AH987" s="68"/>
      <c r="AI987" s="68"/>
      <c r="AJ987" s="68"/>
      <c r="AK987" s="68"/>
      <c r="AL987" s="68"/>
      <c r="AM987" s="68"/>
      <c r="AN987" s="68"/>
      <c r="AO987" s="68"/>
      <c r="AP987" s="68"/>
      <c r="AQ987" s="68"/>
      <c r="AR987" s="68"/>
      <c r="AS987" s="68"/>
      <c r="AT987" s="68"/>
      <c r="AU987" s="68"/>
      <c r="AV987" s="68"/>
      <c r="AW987" s="68"/>
      <c r="AX987" s="68"/>
      <c r="AY987" s="68"/>
      <c r="AZ987" s="68"/>
      <c r="BA987" s="68"/>
      <c r="BB987" s="68"/>
      <c r="BC987" s="68"/>
      <c r="BD987" s="68"/>
      <c r="BE987" s="68"/>
      <c r="BF987" s="68"/>
      <c r="BG987" s="68"/>
      <c r="BH987" s="68"/>
      <c r="BI987" s="68"/>
      <c r="BJ987" s="68"/>
      <c r="BK987" s="68"/>
      <c r="BL987" s="68"/>
      <c r="BM987" s="68"/>
      <c r="BN987" s="68"/>
    </row>
    <row r="988" spans="1:66" ht="17">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68"/>
      <c r="AG988" s="68"/>
      <c r="AH988" s="68"/>
      <c r="AI988" s="68"/>
      <c r="AJ988" s="68"/>
      <c r="AK988" s="68"/>
      <c r="AL988" s="68"/>
      <c r="AM988" s="68"/>
      <c r="AN988" s="68"/>
      <c r="AO988" s="68"/>
      <c r="AP988" s="68"/>
      <c r="AQ988" s="68"/>
      <c r="AR988" s="68"/>
      <c r="AS988" s="68"/>
      <c r="AT988" s="68"/>
      <c r="AU988" s="68"/>
      <c r="AV988" s="68"/>
      <c r="AW988" s="68"/>
      <c r="AX988" s="68"/>
      <c r="AY988" s="68"/>
      <c r="AZ988" s="68"/>
      <c r="BA988" s="68"/>
      <c r="BB988" s="68"/>
      <c r="BC988" s="68"/>
      <c r="BD988" s="68"/>
      <c r="BE988" s="68"/>
      <c r="BF988" s="68"/>
      <c r="BG988" s="68"/>
      <c r="BH988" s="68"/>
      <c r="BI988" s="68"/>
      <c r="BJ988" s="68"/>
      <c r="BK988" s="68"/>
      <c r="BL988" s="68"/>
      <c r="BM988" s="68"/>
      <c r="BN988" s="68"/>
    </row>
    <row r="989" spans="1:66" ht="17">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68"/>
      <c r="AG989" s="68"/>
      <c r="AH989" s="68"/>
      <c r="AI989" s="68"/>
      <c r="AJ989" s="68"/>
      <c r="AK989" s="68"/>
      <c r="AL989" s="68"/>
      <c r="AM989" s="68"/>
      <c r="AN989" s="68"/>
      <c r="AO989" s="68"/>
      <c r="AP989" s="68"/>
      <c r="AQ989" s="68"/>
      <c r="AR989" s="68"/>
      <c r="AS989" s="68"/>
      <c r="AT989" s="68"/>
      <c r="AU989" s="68"/>
      <c r="AV989" s="68"/>
      <c r="AW989" s="68"/>
      <c r="AX989" s="68"/>
      <c r="AY989" s="68"/>
      <c r="AZ989" s="68"/>
      <c r="BA989" s="68"/>
      <c r="BB989" s="68"/>
      <c r="BC989" s="68"/>
      <c r="BD989" s="68"/>
      <c r="BE989" s="68"/>
      <c r="BF989" s="68"/>
      <c r="BG989" s="68"/>
      <c r="BH989" s="68"/>
      <c r="BI989" s="68"/>
      <c r="BJ989" s="68"/>
      <c r="BK989" s="68"/>
      <c r="BL989" s="68"/>
      <c r="BM989" s="68"/>
      <c r="BN989" s="68"/>
    </row>
    <row r="990" spans="1:66" ht="17">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68"/>
      <c r="AG990" s="68"/>
      <c r="AH990" s="68"/>
      <c r="AI990" s="68"/>
      <c r="AJ990" s="68"/>
      <c r="AK990" s="68"/>
      <c r="AL990" s="68"/>
      <c r="AM990" s="68"/>
      <c r="AN990" s="68"/>
      <c r="AO990" s="68"/>
      <c r="AP990" s="68"/>
      <c r="AQ990" s="68"/>
      <c r="AR990" s="68"/>
      <c r="AS990" s="68"/>
      <c r="AT990" s="68"/>
      <c r="AU990" s="68"/>
      <c r="AV990" s="68"/>
      <c r="AW990" s="68"/>
      <c r="AX990" s="68"/>
      <c r="AY990" s="68"/>
      <c r="AZ990" s="68"/>
      <c r="BA990" s="68"/>
      <c r="BB990" s="68"/>
      <c r="BC990" s="68"/>
      <c r="BD990" s="68"/>
      <c r="BE990" s="68"/>
      <c r="BF990" s="68"/>
      <c r="BG990" s="68"/>
      <c r="BH990" s="68"/>
      <c r="BI990" s="68"/>
      <c r="BJ990" s="68"/>
      <c r="BK990" s="68"/>
      <c r="BL990" s="68"/>
      <c r="BM990" s="68"/>
      <c r="BN990" s="68"/>
    </row>
    <row r="991" spans="1:66" ht="17">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68"/>
      <c r="AG991" s="68"/>
      <c r="AH991" s="68"/>
      <c r="AI991" s="68"/>
      <c r="AJ991" s="68"/>
      <c r="AK991" s="68"/>
      <c r="AL991" s="68"/>
      <c r="AM991" s="68"/>
      <c r="AN991" s="68"/>
      <c r="AO991" s="68"/>
      <c r="AP991" s="68"/>
      <c r="AQ991" s="68"/>
      <c r="AR991" s="68"/>
      <c r="AS991" s="68"/>
      <c r="AT991" s="68"/>
      <c r="AU991" s="68"/>
      <c r="AV991" s="68"/>
      <c r="AW991" s="68"/>
      <c r="AX991" s="68"/>
      <c r="AY991" s="68"/>
      <c r="AZ991" s="68"/>
      <c r="BA991" s="68"/>
      <c r="BB991" s="68"/>
      <c r="BC991" s="68"/>
      <c r="BD991" s="68"/>
      <c r="BE991" s="68"/>
      <c r="BF991" s="68"/>
      <c r="BG991" s="68"/>
      <c r="BH991" s="68"/>
      <c r="BI991" s="68"/>
      <c r="BJ991" s="68"/>
      <c r="BK991" s="68"/>
      <c r="BL991" s="68"/>
      <c r="BM991" s="68"/>
      <c r="BN991" s="68"/>
    </row>
    <row r="992" spans="1:66" ht="17">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68"/>
      <c r="AG992" s="68"/>
      <c r="AH992" s="68"/>
      <c r="AI992" s="68"/>
      <c r="AJ992" s="68"/>
      <c r="AK992" s="68"/>
      <c r="AL992" s="68"/>
      <c r="AM992" s="68"/>
      <c r="AN992" s="68"/>
      <c r="AO992" s="68"/>
      <c r="AP992" s="68"/>
      <c r="AQ992" s="68"/>
      <c r="AR992" s="68"/>
      <c r="AS992" s="68"/>
      <c r="AT992" s="68"/>
      <c r="AU992" s="68"/>
      <c r="AV992" s="68"/>
      <c r="AW992" s="68"/>
      <c r="AX992" s="68"/>
      <c r="AY992" s="68"/>
      <c r="AZ992" s="68"/>
      <c r="BA992" s="68"/>
      <c r="BB992" s="68"/>
      <c r="BC992" s="68"/>
      <c r="BD992" s="68"/>
      <c r="BE992" s="68"/>
      <c r="BF992" s="68"/>
      <c r="BG992" s="68"/>
      <c r="BH992" s="68"/>
      <c r="BI992" s="68"/>
      <c r="BJ992" s="68"/>
      <c r="BK992" s="68"/>
      <c r="BL992" s="68"/>
      <c r="BM992" s="68"/>
      <c r="BN992" s="68"/>
    </row>
    <row r="993" spans="1:66" ht="17">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68"/>
      <c r="AG993" s="68"/>
      <c r="AH993" s="68"/>
      <c r="AI993" s="68"/>
      <c r="AJ993" s="68"/>
      <c r="AK993" s="68"/>
      <c r="AL993" s="68"/>
      <c r="AM993" s="68"/>
      <c r="AN993" s="68"/>
      <c r="AO993" s="68"/>
      <c r="AP993" s="68"/>
      <c r="AQ993" s="68"/>
      <c r="AR993" s="68"/>
      <c r="AS993" s="68"/>
      <c r="AT993" s="68"/>
      <c r="AU993" s="68"/>
      <c r="AV993" s="68"/>
      <c r="AW993" s="68"/>
      <c r="AX993" s="68"/>
      <c r="AY993" s="68"/>
      <c r="AZ993" s="68"/>
      <c r="BA993" s="68"/>
      <c r="BB993" s="68"/>
      <c r="BC993" s="68"/>
      <c r="BD993" s="68"/>
      <c r="BE993" s="68"/>
      <c r="BF993" s="68"/>
      <c r="BG993" s="68"/>
      <c r="BH993" s="68"/>
      <c r="BI993" s="68"/>
      <c r="BJ993" s="68"/>
      <c r="BK993" s="68"/>
      <c r="BL993" s="68"/>
      <c r="BM993" s="68"/>
      <c r="BN993" s="68"/>
    </row>
    <row r="994" spans="1:66" ht="17">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68"/>
      <c r="AG994" s="68"/>
      <c r="AH994" s="68"/>
      <c r="AI994" s="68"/>
      <c r="AJ994" s="68"/>
      <c r="AK994" s="68"/>
      <c r="AL994" s="68"/>
      <c r="AM994" s="68"/>
      <c r="AN994" s="68"/>
      <c r="AO994" s="68"/>
      <c r="AP994" s="68"/>
      <c r="AQ994" s="68"/>
      <c r="AR994" s="68"/>
      <c r="AS994" s="68"/>
      <c r="AT994" s="68"/>
      <c r="AU994" s="68"/>
      <c r="AV994" s="68"/>
      <c r="AW994" s="68"/>
      <c r="AX994" s="68"/>
      <c r="AY994" s="68"/>
      <c r="AZ994" s="68"/>
      <c r="BA994" s="68"/>
      <c r="BB994" s="68"/>
      <c r="BC994" s="68"/>
      <c r="BD994" s="68"/>
      <c r="BE994" s="68"/>
      <c r="BF994" s="68"/>
      <c r="BG994" s="68"/>
      <c r="BH994" s="68"/>
      <c r="BI994" s="68"/>
      <c r="BJ994" s="68"/>
      <c r="BK994" s="68"/>
      <c r="BL994" s="68"/>
      <c r="BM994" s="68"/>
      <c r="BN994" s="68"/>
    </row>
    <row r="995" spans="1:66" ht="17">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68"/>
      <c r="AG995" s="68"/>
      <c r="AH995" s="68"/>
      <c r="AI995" s="68"/>
      <c r="AJ995" s="68"/>
      <c r="AK995" s="68"/>
      <c r="AL995" s="68"/>
      <c r="AM995" s="68"/>
      <c r="AN995" s="68"/>
      <c r="AO995" s="68"/>
      <c r="AP995" s="68"/>
      <c r="AQ995" s="68"/>
      <c r="AR995" s="68"/>
      <c r="AS995" s="68"/>
      <c r="AT995" s="68"/>
      <c r="AU995" s="68"/>
      <c r="AV995" s="68"/>
      <c r="AW995" s="68"/>
      <c r="AX995" s="68"/>
      <c r="AY995" s="68"/>
      <c r="AZ995" s="68"/>
      <c r="BA995" s="68"/>
      <c r="BB995" s="68"/>
      <c r="BC995" s="68"/>
      <c r="BD995" s="68"/>
      <c r="BE995" s="68"/>
      <c r="BF995" s="68"/>
      <c r="BG995" s="68"/>
      <c r="BH995" s="68"/>
      <c r="BI995" s="68"/>
      <c r="BJ995" s="68"/>
      <c r="BK995" s="68"/>
      <c r="BL995" s="68"/>
      <c r="BM995" s="68"/>
      <c r="BN995" s="68"/>
    </row>
    <row r="996" spans="1:66" ht="17">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c r="AF996" s="68"/>
      <c r="AG996" s="68"/>
      <c r="AH996" s="68"/>
      <c r="AI996" s="68"/>
      <c r="AJ996" s="68"/>
      <c r="AK996" s="68"/>
      <c r="AL996" s="68"/>
      <c r="AM996" s="68"/>
      <c r="AN996" s="68"/>
      <c r="AO996" s="68"/>
      <c r="AP996" s="68"/>
      <c r="AQ996" s="68"/>
      <c r="AR996" s="68"/>
      <c r="AS996" s="68"/>
      <c r="AT996" s="68"/>
      <c r="AU996" s="68"/>
      <c r="AV996" s="68"/>
      <c r="AW996" s="68"/>
      <c r="AX996" s="68"/>
      <c r="AY996" s="68"/>
      <c r="AZ996" s="68"/>
      <c r="BA996" s="68"/>
      <c r="BB996" s="68"/>
      <c r="BC996" s="68"/>
      <c r="BD996" s="68"/>
      <c r="BE996" s="68"/>
      <c r="BF996" s="68"/>
      <c r="BG996" s="68"/>
      <c r="BH996" s="68"/>
      <c r="BI996" s="68"/>
      <c r="BJ996" s="68"/>
      <c r="BK996" s="68"/>
      <c r="BL996" s="68"/>
      <c r="BM996" s="68"/>
      <c r="BN996" s="68"/>
    </row>
    <row r="997" spans="1:66" ht="1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c r="AF997" s="68"/>
      <c r="AG997" s="68"/>
      <c r="AH997" s="68"/>
      <c r="AI997" s="68"/>
      <c r="AJ997" s="68"/>
      <c r="AK997" s="68"/>
      <c r="AL997" s="68"/>
      <c r="AM997" s="68"/>
      <c r="AN997" s="68"/>
      <c r="AO997" s="68"/>
      <c r="AP997" s="68"/>
      <c r="AQ997" s="68"/>
      <c r="AR997" s="68"/>
      <c r="AS997" s="68"/>
      <c r="AT997" s="68"/>
      <c r="AU997" s="68"/>
      <c r="AV997" s="68"/>
      <c r="AW997" s="68"/>
      <c r="AX997" s="68"/>
      <c r="AY997" s="68"/>
      <c r="AZ997" s="68"/>
      <c r="BA997" s="68"/>
      <c r="BB997" s="68"/>
      <c r="BC997" s="68"/>
      <c r="BD997" s="68"/>
      <c r="BE997" s="68"/>
      <c r="BF997" s="68"/>
      <c r="BG997" s="68"/>
      <c r="BH997" s="68"/>
      <c r="BI997" s="68"/>
      <c r="BJ997" s="68"/>
      <c r="BK997" s="68"/>
      <c r="BL997" s="68"/>
      <c r="BM997" s="68"/>
      <c r="BN997" s="68"/>
    </row>
    <row r="998" spans="1:66" ht="17">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c r="AF998" s="68"/>
      <c r="AG998" s="68"/>
      <c r="AH998" s="68"/>
      <c r="AI998" s="68"/>
      <c r="AJ998" s="68"/>
      <c r="AK998" s="68"/>
      <c r="AL998" s="68"/>
      <c r="AM998" s="68"/>
      <c r="AN998" s="68"/>
      <c r="AO998" s="68"/>
      <c r="AP998" s="68"/>
      <c r="AQ998" s="68"/>
      <c r="AR998" s="68"/>
      <c r="AS998" s="68"/>
      <c r="AT998" s="68"/>
      <c r="AU998" s="68"/>
      <c r="AV998" s="68"/>
      <c r="AW998" s="68"/>
      <c r="AX998" s="68"/>
      <c r="AY998" s="68"/>
      <c r="AZ998" s="68"/>
      <c r="BA998" s="68"/>
      <c r="BB998" s="68"/>
      <c r="BC998" s="68"/>
      <c r="BD998" s="68"/>
      <c r="BE998" s="68"/>
      <c r="BF998" s="68"/>
      <c r="BG998" s="68"/>
      <c r="BH998" s="68"/>
      <c r="BI998" s="68"/>
      <c r="BJ998" s="68"/>
      <c r="BK998" s="68"/>
      <c r="BL998" s="68"/>
      <c r="BM998" s="68"/>
      <c r="BN998" s="68"/>
    </row>
    <row r="999" spans="1:66" ht="17">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c r="AF999" s="68"/>
      <c r="AG999" s="68"/>
      <c r="AH999" s="68"/>
      <c r="AI999" s="68"/>
      <c r="AJ999" s="68"/>
      <c r="AK999" s="68"/>
      <c r="AL999" s="68"/>
      <c r="AM999" s="68"/>
      <c r="AN999" s="68"/>
      <c r="AO999" s="68"/>
      <c r="AP999" s="68"/>
      <c r="AQ999" s="68"/>
      <c r="AR999" s="68"/>
      <c r="AS999" s="68"/>
      <c r="AT999" s="68"/>
      <c r="AU999" s="68"/>
      <c r="AV999" s="68"/>
      <c r="AW999" s="68"/>
      <c r="AX999" s="68"/>
      <c r="AY999" s="68"/>
      <c r="AZ999" s="68"/>
      <c r="BA999" s="68"/>
      <c r="BB999" s="68"/>
      <c r="BC999" s="68"/>
      <c r="BD999" s="68"/>
      <c r="BE999" s="68"/>
      <c r="BF999" s="68"/>
      <c r="BG999" s="68"/>
      <c r="BH999" s="68"/>
      <c r="BI999" s="68"/>
      <c r="BJ999" s="68"/>
      <c r="BK999" s="68"/>
      <c r="BL999" s="68"/>
      <c r="BM999" s="68"/>
      <c r="BN999" s="68"/>
    </row>
    <row r="1000" spans="1:66" ht="17">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c r="AF1000" s="68"/>
      <c r="AG1000" s="68"/>
      <c r="AH1000" s="68"/>
      <c r="AI1000" s="68"/>
      <c r="AJ1000" s="68"/>
      <c r="AK1000" s="68"/>
      <c r="AL1000" s="68"/>
      <c r="AM1000" s="68"/>
      <c r="AN1000" s="68"/>
      <c r="AO1000" s="68"/>
      <c r="AP1000" s="68"/>
      <c r="AQ1000" s="68"/>
      <c r="AR1000" s="68"/>
      <c r="AS1000" s="68"/>
      <c r="AT1000" s="68"/>
      <c r="AU1000" s="68"/>
      <c r="AV1000" s="68"/>
      <c r="AW1000" s="68"/>
      <c r="AX1000" s="68"/>
      <c r="AY1000" s="68"/>
      <c r="AZ1000" s="68"/>
      <c r="BA1000" s="68"/>
      <c r="BB1000" s="68"/>
      <c r="BC1000" s="68"/>
      <c r="BD1000" s="68"/>
      <c r="BE1000" s="68"/>
      <c r="BF1000" s="68"/>
      <c r="BG1000" s="68"/>
      <c r="BH1000" s="68"/>
      <c r="BI1000" s="68"/>
      <c r="BJ1000" s="68"/>
      <c r="BK1000" s="68"/>
      <c r="BL1000" s="68"/>
      <c r="BM1000" s="68"/>
      <c r="BN1000" s="68"/>
    </row>
    <row r="1001" spans="1:66" ht="17">
      <c r="A1001" s="68"/>
      <c r="B1001" s="68"/>
      <c r="C1001" s="68"/>
      <c r="D1001" s="68"/>
      <c r="E1001" s="68"/>
      <c r="F1001" s="68"/>
      <c r="G1001" s="68"/>
      <c r="H1001" s="68"/>
      <c r="I1001" s="68"/>
      <c r="J1001" s="68"/>
      <c r="K1001" s="68"/>
      <c r="L1001" s="68"/>
      <c r="M1001" s="68"/>
      <c r="N1001" s="68"/>
      <c r="O1001" s="68"/>
      <c r="P1001" s="68"/>
      <c r="Q1001" s="68"/>
      <c r="R1001" s="68"/>
      <c r="S1001" s="68"/>
      <c r="T1001" s="68"/>
      <c r="U1001" s="68"/>
      <c r="V1001" s="68"/>
      <c r="W1001" s="68"/>
      <c r="X1001" s="68"/>
      <c r="Y1001" s="68"/>
      <c r="Z1001" s="68"/>
      <c r="AA1001" s="68"/>
      <c r="AB1001" s="68"/>
      <c r="AC1001" s="68"/>
      <c r="AD1001" s="68"/>
      <c r="AE1001" s="68"/>
      <c r="AF1001" s="68"/>
      <c r="AG1001" s="68"/>
      <c r="AH1001" s="68"/>
      <c r="AI1001" s="68"/>
      <c r="AJ1001" s="68"/>
      <c r="AK1001" s="68"/>
      <c r="AL1001" s="68"/>
      <c r="AM1001" s="68"/>
      <c r="AN1001" s="68"/>
      <c r="AO1001" s="68"/>
      <c r="AP1001" s="68"/>
      <c r="AQ1001" s="68"/>
      <c r="AR1001" s="68"/>
      <c r="AS1001" s="68"/>
      <c r="AT1001" s="68"/>
      <c r="AU1001" s="68"/>
      <c r="AV1001" s="68"/>
      <c r="AW1001" s="68"/>
      <c r="AX1001" s="68"/>
      <c r="AY1001" s="68"/>
      <c r="AZ1001" s="68"/>
      <c r="BA1001" s="68"/>
      <c r="BB1001" s="68"/>
      <c r="BC1001" s="68"/>
      <c r="BD1001" s="68"/>
      <c r="BE1001" s="68"/>
      <c r="BF1001" s="68"/>
      <c r="BG1001" s="68"/>
      <c r="BH1001" s="68"/>
      <c r="BI1001" s="68"/>
      <c r="BJ1001" s="68"/>
      <c r="BK1001" s="68"/>
      <c r="BL1001" s="68"/>
      <c r="BM1001" s="68"/>
      <c r="BN1001" s="68"/>
    </row>
    <row r="1002" spans="1:66" ht="17">
      <c r="A1002" s="68"/>
      <c r="B1002" s="68"/>
      <c r="C1002" s="68"/>
      <c r="D1002" s="68"/>
      <c r="E1002" s="68"/>
      <c r="F1002" s="68"/>
      <c r="G1002" s="68"/>
      <c r="H1002" s="68"/>
      <c r="I1002" s="68"/>
      <c r="J1002" s="68"/>
      <c r="K1002" s="68"/>
      <c r="L1002" s="68"/>
      <c r="M1002" s="68"/>
      <c r="N1002" s="68"/>
      <c r="O1002" s="68"/>
      <c r="P1002" s="68"/>
      <c r="Q1002" s="68"/>
      <c r="R1002" s="68"/>
      <c r="S1002" s="68"/>
      <c r="T1002" s="68"/>
      <c r="U1002" s="68"/>
      <c r="V1002" s="68"/>
      <c r="W1002" s="68"/>
      <c r="X1002" s="68"/>
      <c r="Y1002" s="68"/>
      <c r="Z1002" s="68"/>
      <c r="AA1002" s="68"/>
      <c r="AB1002" s="68"/>
      <c r="AC1002" s="68"/>
      <c r="AD1002" s="68"/>
      <c r="AE1002" s="68"/>
      <c r="AF1002" s="68"/>
      <c r="AG1002" s="68"/>
      <c r="AH1002" s="68"/>
      <c r="AI1002" s="68"/>
      <c r="AJ1002" s="68"/>
      <c r="AK1002" s="68"/>
      <c r="AL1002" s="68"/>
      <c r="AM1002" s="68"/>
      <c r="AN1002" s="68"/>
      <c r="AO1002" s="68"/>
      <c r="AP1002" s="68"/>
      <c r="AQ1002" s="68"/>
      <c r="AR1002" s="68"/>
      <c r="AS1002" s="68"/>
      <c r="AT1002" s="68"/>
      <c r="AU1002" s="68"/>
      <c r="AV1002" s="68"/>
      <c r="AW1002" s="68"/>
      <c r="AX1002" s="68"/>
      <c r="AY1002" s="68"/>
      <c r="AZ1002" s="68"/>
      <c r="BA1002" s="68"/>
      <c r="BB1002" s="68"/>
      <c r="BC1002" s="68"/>
      <c r="BD1002" s="68"/>
      <c r="BE1002" s="68"/>
      <c r="BF1002" s="68"/>
      <c r="BG1002" s="68"/>
      <c r="BH1002" s="68"/>
      <c r="BI1002" s="68"/>
      <c r="BJ1002" s="68"/>
      <c r="BK1002" s="68"/>
      <c r="BL1002" s="68"/>
      <c r="BM1002" s="68"/>
      <c r="BN1002" s="68"/>
    </row>
    <row r="1003" spans="1:66" ht="17">
      <c r="A1003" s="68"/>
      <c r="B1003" s="68"/>
      <c r="C1003" s="68"/>
      <c r="D1003" s="68"/>
      <c r="E1003" s="68"/>
      <c r="F1003" s="68"/>
      <c r="G1003" s="68"/>
      <c r="H1003" s="68"/>
      <c r="I1003" s="68"/>
      <c r="J1003" s="68"/>
      <c r="K1003" s="68"/>
      <c r="L1003" s="68"/>
      <c r="M1003" s="68"/>
      <c r="N1003" s="68"/>
      <c r="O1003" s="68"/>
      <c r="P1003" s="68"/>
      <c r="Q1003" s="68"/>
      <c r="R1003" s="68"/>
      <c r="S1003" s="68"/>
      <c r="T1003" s="68"/>
      <c r="U1003" s="68"/>
      <c r="V1003" s="68"/>
      <c r="W1003" s="68"/>
      <c r="X1003" s="68"/>
      <c r="Y1003" s="68"/>
      <c r="Z1003" s="68"/>
      <c r="AA1003" s="68"/>
      <c r="AB1003" s="68"/>
      <c r="AC1003" s="68"/>
      <c r="AD1003" s="68"/>
      <c r="AE1003" s="68"/>
      <c r="AF1003" s="68"/>
      <c r="AG1003" s="68"/>
      <c r="AH1003" s="68"/>
      <c r="AI1003" s="68"/>
      <c r="AJ1003" s="68"/>
      <c r="AK1003" s="68"/>
      <c r="AL1003" s="68"/>
      <c r="AM1003" s="68"/>
      <c r="AN1003" s="68"/>
      <c r="AO1003" s="68"/>
      <c r="AP1003" s="68"/>
      <c r="AQ1003" s="68"/>
      <c r="AR1003" s="68"/>
      <c r="AS1003" s="68"/>
      <c r="AT1003" s="68"/>
      <c r="AU1003" s="68"/>
      <c r="AV1003" s="68"/>
      <c r="AW1003" s="68"/>
      <c r="AX1003" s="68"/>
      <c r="AY1003" s="68"/>
      <c r="AZ1003" s="68"/>
      <c r="BA1003" s="68"/>
      <c r="BB1003" s="68"/>
      <c r="BC1003" s="68"/>
      <c r="BD1003" s="68"/>
      <c r="BE1003" s="68"/>
      <c r="BF1003" s="68"/>
      <c r="BG1003" s="68"/>
      <c r="BH1003" s="68"/>
      <c r="BI1003" s="68"/>
      <c r="BJ1003" s="68"/>
      <c r="BK1003" s="68"/>
      <c r="BL1003" s="68"/>
      <c r="BM1003" s="68"/>
      <c r="BN1003" s="68"/>
    </row>
    <row r="1004" spans="1:66" ht="17">
      <c r="A1004" s="68"/>
      <c r="B1004" s="68"/>
      <c r="C1004" s="68"/>
      <c r="D1004" s="68"/>
      <c r="E1004" s="68"/>
      <c r="F1004" s="68"/>
      <c r="G1004" s="68"/>
      <c r="H1004" s="68"/>
      <c r="I1004" s="68"/>
      <c r="J1004" s="68"/>
      <c r="K1004" s="68"/>
      <c r="L1004" s="68"/>
      <c r="M1004" s="68"/>
      <c r="N1004" s="68"/>
      <c r="O1004" s="68"/>
      <c r="P1004" s="68"/>
      <c r="Q1004" s="68"/>
      <c r="R1004" s="68"/>
      <c r="S1004" s="68"/>
      <c r="T1004" s="68"/>
      <c r="U1004" s="68"/>
      <c r="V1004" s="68"/>
      <c r="W1004" s="68"/>
      <c r="X1004" s="68"/>
      <c r="Y1004" s="68"/>
      <c r="Z1004" s="68"/>
      <c r="AA1004" s="68"/>
      <c r="AB1004" s="68"/>
      <c r="AC1004" s="68"/>
      <c r="AD1004" s="68"/>
      <c r="AE1004" s="68"/>
      <c r="AF1004" s="68"/>
      <c r="AG1004" s="68"/>
      <c r="AH1004" s="68"/>
      <c r="AI1004" s="68"/>
      <c r="AJ1004" s="68"/>
      <c r="AK1004" s="68"/>
      <c r="AL1004" s="68"/>
      <c r="AM1004" s="68"/>
      <c r="AN1004" s="68"/>
      <c r="AO1004" s="68"/>
      <c r="AP1004" s="68"/>
      <c r="AQ1004" s="68"/>
      <c r="AR1004" s="68"/>
      <c r="AS1004" s="68"/>
      <c r="AT1004" s="68"/>
      <c r="AU1004" s="68"/>
      <c r="AV1004" s="68"/>
      <c r="AW1004" s="68"/>
      <c r="AX1004" s="68"/>
      <c r="AY1004" s="68"/>
      <c r="AZ1004" s="68"/>
      <c r="BA1004" s="68"/>
      <c r="BB1004" s="68"/>
      <c r="BC1004" s="68"/>
      <c r="BD1004" s="68"/>
      <c r="BE1004" s="68"/>
      <c r="BF1004" s="68"/>
      <c r="BG1004" s="68"/>
      <c r="BH1004" s="68"/>
      <c r="BI1004" s="68"/>
      <c r="BJ1004" s="68"/>
      <c r="BK1004" s="68"/>
      <c r="BL1004" s="68"/>
      <c r="BM1004" s="68"/>
      <c r="BN1004" s="68"/>
    </row>
    <row r="1005" spans="1:66" ht="17">
      <c r="A1005" s="68"/>
      <c r="B1005" s="68"/>
      <c r="C1005" s="68"/>
      <c r="D1005" s="68"/>
      <c r="E1005" s="68"/>
      <c r="F1005" s="68"/>
      <c r="G1005" s="68"/>
      <c r="H1005" s="68"/>
      <c r="I1005" s="68"/>
      <c r="J1005" s="68"/>
      <c r="K1005" s="68"/>
      <c r="L1005" s="68"/>
      <c r="M1005" s="68"/>
      <c r="N1005" s="68"/>
      <c r="O1005" s="68"/>
      <c r="P1005" s="68"/>
      <c r="Q1005" s="68"/>
      <c r="R1005" s="68"/>
      <c r="S1005" s="68"/>
      <c r="T1005" s="68"/>
      <c r="U1005" s="68"/>
      <c r="V1005" s="68"/>
      <c r="W1005" s="68"/>
      <c r="X1005" s="68"/>
      <c r="Y1005" s="68"/>
      <c r="Z1005" s="68"/>
      <c r="AA1005" s="68"/>
      <c r="AB1005" s="68"/>
      <c r="AC1005" s="68"/>
      <c r="AD1005" s="68"/>
      <c r="AE1005" s="68"/>
      <c r="AF1005" s="68"/>
      <c r="AG1005" s="68"/>
      <c r="AH1005" s="68"/>
      <c r="AI1005" s="68"/>
      <c r="AJ1005" s="68"/>
      <c r="AK1005" s="68"/>
      <c r="AL1005" s="68"/>
      <c r="AM1005" s="68"/>
      <c r="AN1005" s="68"/>
      <c r="AO1005" s="68"/>
      <c r="AP1005" s="68"/>
      <c r="AQ1005" s="68"/>
      <c r="AR1005" s="68"/>
      <c r="AS1005" s="68"/>
      <c r="AT1005" s="68"/>
      <c r="AU1005" s="68"/>
      <c r="AV1005" s="68"/>
      <c r="AW1005" s="68"/>
      <c r="AX1005" s="68"/>
      <c r="AY1005" s="68"/>
      <c r="AZ1005" s="68"/>
      <c r="BA1005" s="68"/>
      <c r="BB1005" s="68"/>
      <c r="BC1005" s="68"/>
      <c r="BD1005" s="68"/>
      <c r="BE1005" s="68"/>
      <c r="BF1005" s="68"/>
      <c r="BG1005" s="68"/>
      <c r="BH1005" s="68"/>
      <c r="BI1005" s="68"/>
      <c r="BJ1005" s="68"/>
      <c r="BK1005" s="68"/>
      <c r="BL1005" s="68"/>
      <c r="BM1005" s="68"/>
      <c r="BN1005" s="68"/>
    </row>
    <row r="1006" spans="1:66" ht="17">
      <c r="A1006" s="68"/>
      <c r="B1006" s="68"/>
      <c r="C1006" s="68"/>
      <c r="D1006" s="68"/>
      <c r="E1006" s="68"/>
      <c r="F1006" s="68"/>
      <c r="G1006" s="68"/>
      <c r="H1006" s="68"/>
      <c r="I1006" s="68"/>
      <c r="J1006" s="68"/>
      <c r="K1006" s="68"/>
      <c r="L1006" s="68"/>
      <c r="M1006" s="68"/>
      <c r="N1006" s="68"/>
      <c r="O1006" s="68"/>
      <c r="P1006" s="68"/>
      <c r="Q1006" s="68"/>
      <c r="R1006" s="68"/>
      <c r="S1006" s="68"/>
      <c r="T1006" s="68"/>
      <c r="U1006" s="68"/>
      <c r="V1006" s="68"/>
      <c r="W1006" s="68"/>
      <c r="X1006" s="68"/>
      <c r="Y1006" s="68"/>
      <c r="Z1006" s="68"/>
      <c r="AA1006" s="68"/>
      <c r="AB1006" s="68"/>
      <c r="AC1006" s="68"/>
      <c r="AD1006" s="68"/>
      <c r="AE1006" s="68"/>
      <c r="AF1006" s="68"/>
      <c r="AG1006" s="68"/>
      <c r="AH1006" s="68"/>
      <c r="AI1006" s="68"/>
      <c r="AJ1006" s="68"/>
      <c r="AK1006" s="68"/>
      <c r="AL1006" s="68"/>
      <c r="AM1006" s="68"/>
      <c r="AN1006" s="68"/>
      <c r="AO1006" s="68"/>
      <c r="AP1006" s="68"/>
      <c r="AQ1006" s="68"/>
      <c r="AR1006" s="68"/>
      <c r="AS1006" s="68"/>
      <c r="AT1006" s="68"/>
      <c r="AU1006" s="68"/>
      <c r="AV1006" s="68"/>
      <c r="AW1006" s="68"/>
      <c r="AX1006" s="68"/>
      <c r="AY1006" s="68"/>
      <c r="AZ1006" s="68"/>
      <c r="BA1006" s="68"/>
      <c r="BB1006" s="68"/>
      <c r="BC1006" s="68"/>
      <c r="BD1006" s="68"/>
      <c r="BE1006" s="68"/>
      <c r="BF1006" s="68"/>
      <c r="BG1006" s="68"/>
      <c r="BH1006" s="68"/>
      <c r="BI1006" s="68"/>
      <c r="BJ1006" s="68"/>
      <c r="BK1006" s="68"/>
      <c r="BL1006" s="68"/>
      <c r="BM1006" s="68"/>
      <c r="BN1006" s="68"/>
    </row>
    <row r="1007" spans="1:66" ht="17">
      <c r="A1007" s="68"/>
      <c r="B1007" s="68"/>
      <c r="C1007" s="68"/>
      <c r="D1007" s="68"/>
      <c r="E1007" s="68"/>
      <c r="F1007" s="68"/>
      <c r="G1007" s="68"/>
      <c r="H1007" s="68"/>
      <c r="I1007" s="68"/>
      <c r="J1007" s="68"/>
      <c r="K1007" s="68"/>
      <c r="L1007" s="68"/>
      <c r="M1007" s="68"/>
      <c r="N1007" s="68"/>
      <c r="O1007" s="68"/>
      <c r="P1007" s="68"/>
      <c r="Q1007" s="68"/>
      <c r="R1007" s="68"/>
      <c r="S1007" s="68"/>
      <c r="T1007" s="68"/>
      <c r="U1007" s="68"/>
      <c r="V1007" s="68"/>
      <c r="W1007" s="68"/>
      <c r="X1007" s="68"/>
      <c r="Y1007" s="68"/>
      <c r="Z1007" s="68"/>
      <c r="AA1007" s="68"/>
      <c r="AB1007" s="68"/>
      <c r="AC1007" s="68"/>
      <c r="AD1007" s="68"/>
      <c r="AE1007" s="68"/>
      <c r="AF1007" s="68"/>
      <c r="AG1007" s="68"/>
      <c r="AH1007" s="68"/>
      <c r="AI1007" s="68"/>
      <c r="AJ1007" s="68"/>
      <c r="AK1007" s="68"/>
      <c r="AL1007" s="68"/>
      <c r="AM1007" s="68"/>
      <c r="AN1007" s="68"/>
      <c r="AO1007" s="68"/>
      <c r="AP1007" s="68"/>
      <c r="AQ1007" s="68"/>
      <c r="AR1007" s="68"/>
      <c r="AS1007" s="68"/>
      <c r="AT1007" s="68"/>
      <c r="AU1007" s="68"/>
      <c r="AV1007" s="68"/>
      <c r="AW1007" s="68"/>
      <c r="AX1007" s="68"/>
      <c r="AY1007" s="68"/>
      <c r="AZ1007" s="68"/>
      <c r="BA1007" s="68"/>
      <c r="BB1007" s="68"/>
      <c r="BC1007" s="68"/>
      <c r="BD1007" s="68"/>
      <c r="BE1007" s="68"/>
      <c r="BF1007" s="68"/>
      <c r="BG1007" s="68"/>
      <c r="BH1007" s="68"/>
      <c r="BI1007" s="68"/>
      <c r="BJ1007" s="68"/>
      <c r="BK1007" s="68"/>
      <c r="BL1007" s="68"/>
      <c r="BM1007" s="68"/>
      <c r="BN1007" s="68"/>
    </row>
    <row r="1008" spans="1:66" ht="17">
      <c r="A1008" s="68"/>
      <c r="B1008" s="68"/>
      <c r="C1008" s="68"/>
      <c r="D1008" s="68"/>
      <c r="E1008" s="68"/>
      <c r="F1008" s="68"/>
      <c r="G1008" s="68"/>
      <c r="H1008" s="68"/>
      <c r="I1008" s="68"/>
      <c r="J1008" s="68"/>
      <c r="K1008" s="68"/>
      <c r="L1008" s="68"/>
      <c r="M1008" s="68"/>
      <c r="N1008" s="68"/>
      <c r="O1008" s="68"/>
      <c r="P1008" s="68"/>
      <c r="Q1008" s="68"/>
      <c r="R1008" s="68"/>
      <c r="S1008" s="68"/>
      <c r="T1008" s="68"/>
      <c r="U1008" s="68"/>
      <c r="V1008" s="68"/>
      <c r="W1008" s="68"/>
      <c r="X1008" s="68"/>
      <c r="Y1008" s="68"/>
      <c r="Z1008" s="68"/>
      <c r="AA1008" s="68"/>
      <c r="AB1008" s="68"/>
      <c r="AC1008" s="68"/>
      <c r="AD1008" s="68"/>
      <c r="AE1008" s="68"/>
      <c r="AF1008" s="68"/>
      <c r="AG1008" s="68"/>
      <c r="AH1008" s="68"/>
      <c r="AI1008" s="68"/>
      <c r="AJ1008" s="68"/>
      <c r="AK1008" s="68"/>
      <c r="AL1008" s="68"/>
      <c r="AM1008" s="68"/>
      <c r="AN1008" s="68"/>
      <c r="AO1008" s="68"/>
      <c r="AP1008" s="68"/>
      <c r="AQ1008" s="68"/>
      <c r="AR1008" s="68"/>
      <c r="AS1008" s="68"/>
      <c r="AT1008" s="68"/>
      <c r="AU1008" s="68"/>
      <c r="AV1008" s="68"/>
      <c r="AW1008" s="68"/>
      <c r="AX1008" s="68"/>
      <c r="AY1008" s="68"/>
      <c r="AZ1008" s="68"/>
      <c r="BA1008" s="68"/>
      <c r="BB1008" s="68"/>
      <c r="BC1008" s="68"/>
      <c r="BD1008" s="68"/>
      <c r="BE1008" s="68"/>
      <c r="BF1008" s="68"/>
      <c r="BG1008" s="68"/>
      <c r="BH1008" s="68"/>
      <c r="BI1008" s="68"/>
      <c r="BJ1008" s="68"/>
      <c r="BK1008" s="68"/>
      <c r="BL1008" s="68"/>
      <c r="BM1008" s="68"/>
      <c r="BN1008" s="68"/>
    </row>
    <row r="1009" spans="1:66" ht="17">
      <c r="A1009" s="68"/>
      <c r="B1009" s="68"/>
      <c r="C1009" s="68"/>
      <c r="D1009" s="68"/>
      <c r="E1009" s="68"/>
      <c r="F1009" s="68"/>
      <c r="G1009" s="68"/>
      <c r="H1009" s="68"/>
      <c r="I1009" s="68"/>
      <c r="J1009" s="68"/>
      <c r="K1009" s="68"/>
      <c r="L1009" s="68"/>
      <c r="M1009" s="68"/>
      <c r="N1009" s="68"/>
      <c r="O1009" s="68"/>
      <c r="P1009" s="68"/>
      <c r="Q1009" s="68"/>
      <c r="R1009" s="68"/>
      <c r="S1009" s="68"/>
      <c r="T1009" s="68"/>
      <c r="U1009" s="68"/>
      <c r="V1009" s="68"/>
      <c r="W1009" s="68"/>
      <c r="X1009" s="68"/>
      <c r="Y1009" s="68"/>
      <c r="Z1009" s="68"/>
      <c r="AA1009" s="68"/>
      <c r="AB1009" s="68"/>
      <c r="AC1009" s="68"/>
      <c r="AD1009" s="68"/>
      <c r="AE1009" s="68"/>
      <c r="AF1009" s="68"/>
      <c r="AG1009" s="68"/>
      <c r="AH1009" s="68"/>
      <c r="AI1009" s="68"/>
      <c r="AJ1009" s="68"/>
      <c r="AK1009" s="68"/>
      <c r="AL1009" s="68"/>
      <c r="AM1009" s="68"/>
      <c r="AN1009" s="68"/>
      <c r="AO1009" s="68"/>
      <c r="AP1009" s="68"/>
      <c r="AQ1009" s="68"/>
      <c r="AR1009" s="68"/>
      <c r="AS1009" s="68"/>
      <c r="AT1009" s="68"/>
      <c r="AU1009" s="68"/>
      <c r="AV1009" s="68"/>
      <c r="AW1009" s="68"/>
      <c r="AX1009" s="68"/>
      <c r="AY1009" s="68"/>
      <c r="AZ1009" s="68"/>
      <c r="BA1009" s="68"/>
      <c r="BB1009" s="68"/>
      <c r="BC1009" s="68"/>
      <c r="BD1009" s="68"/>
      <c r="BE1009" s="68"/>
      <c r="BF1009" s="68"/>
      <c r="BG1009" s="68"/>
      <c r="BH1009" s="68"/>
      <c r="BI1009" s="68"/>
      <c r="BJ1009" s="68"/>
      <c r="BK1009" s="68"/>
      <c r="BL1009" s="68"/>
      <c r="BM1009" s="68"/>
      <c r="BN1009" s="68"/>
    </row>
    <row r="1010" spans="1:66" ht="17">
      <c r="A1010" s="68"/>
      <c r="B1010" s="68"/>
      <c r="C1010" s="68"/>
      <c r="D1010" s="68"/>
      <c r="E1010" s="68"/>
      <c r="F1010" s="68"/>
      <c r="G1010" s="68"/>
      <c r="H1010" s="68"/>
      <c r="I1010" s="68"/>
      <c r="J1010" s="68"/>
      <c r="K1010" s="68"/>
      <c r="L1010" s="68"/>
      <c r="M1010" s="68"/>
      <c r="N1010" s="68"/>
      <c r="O1010" s="68"/>
      <c r="P1010" s="68"/>
      <c r="Q1010" s="68"/>
      <c r="R1010" s="68"/>
      <c r="S1010" s="68"/>
      <c r="T1010" s="68"/>
      <c r="U1010" s="68"/>
      <c r="V1010" s="68"/>
      <c r="W1010" s="68"/>
      <c r="X1010" s="68"/>
      <c r="Y1010" s="68"/>
      <c r="Z1010" s="68"/>
      <c r="AA1010" s="68"/>
      <c r="AB1010" s="68"/>
      <c r="AC1010" s="68"/>
      <c r="AD1010" s="68"/>
      <c r="AE1010" s="68"/>
      <c r="AF1010" s="68"/>
      <c r="AG1010" s="68"/>
      <c r="AH1010" s="68"/>
      <c r="AI1010" s="68"/>
      <c r="AJ1010" s="68"/>
      <c r="AK1010" s="68"/>
      <c r="AL1010" s="68"/>
      <c r="AM1010" s="68"/>
      <c r="AN1010" s="68"/>
      <c r="AO1010" s="68"/>
      <c r="AP1010" s="68"/>
      <c r="AQ1010" s="68"/>
      <c r="AR1010" s="68"/>
      <c r="AS1010" s="68"/>
      <c r="AT1010" s="68"/>
      <c r="AU1010" s="68"/>
      <c r="AV1010" s="68"/>
      <c r="AW1010" s="68"/>
      <c r="AX1010" s="68"/>
      <c r="AY1010" s="68"/>
      <c r="AZ1010" s="68"/>
      <c r="BA1010" s="68"/>
      <c r="BB1010" s="68"/>
      <c r="BC1010" s="68"/>
      <c r="BD1010" s="68"/>
      <c r="BE1010" s="68"/>
      <c r="BF1010" s="68"/>
      <c r="BG1010" s="68"/>
      <c r="BH1010" s="68"/>
      <c r="BI1010" s="68"/>
      <c r="BJ1010" s="68"/>
      <c r="BK1010" s="68"/>
      <c r="BL1010" s="68"/>
      <c r="BM1010" s="68"/>
      <c r="BN1010" s="68"/>
    </row>
    <row r="1011" spans="1:66" ht="17">
      <c r="A1011" s="68"/>
      <c r="B1011" s="68"/>
      <c r="C1011" s="68"/>
      <c r="D1011" s="68"/>
      <c r="E1011" s="68"/>
      <c r="F1011" s="68"/>
      <c r="G1011" s="68"/>
      <c r="H1011" s="68"/>
      <c r="I1011" s="68"/>
      <c r="J1011" s="68"/>
      <c r="K1011" s="68"/>
      <c r="L1011" s="68"/>
      <c r="M1011" s="68"/>
      <c r="N1011" s="68"/>
      <c r="O1011" s="68"/>
      <c r="P1011" s="68"/>
      <c r="Q1011" s="68"/>
      <c r="R1011" s="68"/>
      <c r="S1011" s="68"/>
      <c r="T1011" s="68"/>
      <c r="U1011" s="68"/>
      <c r="V1011" s="68"/>
      <c r="W1011" s="68"/>
      <c r="X1011" s="68"/>
      <c r="Y1011" s="68"/>
      <c r="Z1011" s="68"/>
      <c r="AA1011" s="68"/>
      <c r="AB1011" s="68"/>
      <c r="AC1011" s="68"/>
      <c r="AD1011" s="68"/>
      <c r="AE1011" s="68"/>
      <c r="AF1011" s="68"/>
      <c r="AG1011" s="68"/>
      <c r="AH1011" s="68"/>
      <c r="AI1011" s="68"/>
      <c r="AJ1011" s="68"/>
      <c r="AK1011" s="68"/>
      <c r="AL1011" s="68"/>
      <c r="AM1011" s="68"/>
      <c r="AN1011" s="68"/>
      <c r="AO1011" s="68"/>
      <c r="AP1011" s="68"/>
      <c r="AQ1011" s="68"/>
      <c r="AR1011" s="68"/>
      <c r="AS1011" s="68"/>
      <c r="AT1011" s="68"/>
      <c r="AU1011" s="68"/>
      <c r="AV1011" s="68"/>
      <c r="AW1011" s="68"/>
      <c r="AX1011" s="68"/>
      <c r="AY1011" s="68"/>
      <c r="AZ1011" s="68"/>
      <c r="BA1011" s="68"/>
      <c r="BB1011" s="68"/>
      <c r="BC1011" s="68"/>
      <c r="BD1011" s="68"/>
      <c r="BE1011" s="68"/>
      <c r="BF1011" s="68"/>
      <c r="BG1011" s="68"/>
      <c r="BH1011" s="68"/>
      <c r="BI1011" s="68"/>
      <c r="BJ1011" s="68"/>
      <c r="BK1011" s="68"/>
      <c r="BL1011" s="68"/>
      <c r="BM1011" s="68"/>
      <c r="BN1011" s="68"/>
    </row>
    <row r="1012" spans="1:66" ht="17">
      <c r="A1012" s="68"/>
      <c r="B1012" s="68"/>
      <c r="C1012" s="68"/>
      <c r="D1012" s="68"/>
      <c r="E1012" s="68"/>
      <c r="F1012" s="68"/>
      <c r="G1012" s="68"/>
      <c r="H1012" s="68"/>
      <c r="I1012" s="68"/>
      <c r="J1012" s="68"/>
      <c r="K1012" s="68"/>
      <c r="L1012" s="68"/>
      <c r="M1012" s="68"/>
      <c r="N1012" s="68"/>
      <c r="O1012" s="68"/>
      <c r="P1012" s="68"/>
      <c r="Q1012" s="68"/>
      <c r="R1012" s="68"/>
      <c r="S1012" s="68"/>
      <c r="T1012" s="68"/>
      <c r="U1012" s="68"/>
      <c r="V1012" s="68"/>
      <c r="W1012" s="68"/>
      <c r="X1012" s="68"/>
      <c r="Y1012" s="68"/>
      <c r="Z1012" s="68"/>
      <c r="AA1012" s="68"/>
      <c r="AB1012" s="68"/>
      <c r="AC1012" s="68"/>
      <c r="AD1012" s="68"/>
      <c r="AE1012" s="68"/>
      <c r="AF1012" s="68"/>
      <c r="AG1012" s="68"/>
      <c r="AH1012" s="68"/>
      <c r="AI1012" s="68"/>
      <c r="AJ1012" s="68"/>
      <c r="AK1012" s="68"/>
      <c r="AL1012" s="68"/>
      <c r="AM1012" s="68"/>
      <c r="AN1012" s="68"/>
      <c r="AO1012" s="68"/>
      <c r="AP1012" s="68"/>
      <c r="AQ1012" s="68"/>
      <c r="AR1012" s="68"/>
      <c r="AS1012" s="68"/>
      <c r="AT1012" s="68"/>
      <c r="AU1012" s="68"/>
      <c r="AV1012" s="68"/>
      <c r="AW1012" s="68"/>
      <c r="AX1012" s="68"/>
      <c r="AY1012" s="68"/>
      <c r="AZ1012" s="68"/>
      <c r="BA1012" s="68"/>
      <c r="BB1012" s="68"/>
      <c r="BC1012" s="68"/>
      <c r="BD1012" s="68"/>
      <c r="BE1012" s="68"/>
      <c r="BF1012" s="68"/>
      <c r="BG1012" s="68"/>
      <c r="BH1012" s="68"/>
      <c r="BI1012" s="68"/>
      <c r="BJ1012" s="68"/>
      <c r="BK1012" s="68"/>
      <c r="BL1012" s="68"/>
      <c r="BM1012" s="68"/>
      <c r="BN1012" s="68"/>
    </row>
    <row r="1013" spans="1:66" ht="17">
      <c r="A1013" s="68"/>
      <c r="B1013" s="68"/>
      <c r="C1013" s="68"/>
      <c r="D1013" s="68"/>
      <c r="E1013" s="68"/>
      <c r="F1013" s="68"/>
      <c r="G1013" s="68"/>
      <c r="H1013" s="68"/>
      <c r="I1013" s="68"/>
      <c r="J1013" s="68"/>
      <c r="K1013" s="68"/>
      <c r="L1013" s="68"/>
      <c r="M1013" s="68"/>
      <c r="N1013" s="68"/>
      <c r="O1013" s="68"/>
      <c r="P1013" s="68"/>
      <c r="Q1013" s="68"/>
      <c r="R1013" s="68"/>
      <c r="S1013" s="68"/>
      <c r="T1013" s="68"/>
      <c r="U1013" s="68"/>
      <c r="V1013" s="68"/>
      <c r="W1013" s="68"/>
      <c r="X1013" s="68"/>
      <c r="Y1013" s="68"/>
      <c r="Z1013" s="68"/>
      <c r="AA1013" s="68"/>
      <c r="AB1013" s="68"/>
      <c r="AC1013" s="68"/>
      <c r="AD1013" s="68"/>
      <c r="AE1013" s="68"/>
      <c r="AF1013" s="68"/>
      <c r="AG1013" s="68"/>
      <c r="AH1013" s="68"/>
      <c r="AI1013" s="68"/>
      <c r="AJ1013" s="68"/>
      <c r="AK1013" s="68"/>
      <c r="AL1013" s="68"/>
      <c r="AM1013" s="68"/>
      <c r="AN1013" s="68"/>
      <c r="AO1013" s="68"/>
      <c r="AP1013" s="68"/>
      <c r="AQ1013" s="68"/>
      <c r="AR1013" s="68"/>
      <c r="AS1013" s="68"/>
      <c r="AT1013" s="68"/>
      <c r="AU1013" s="68"/>
      <c r="AV1013" s="68"/>
      <c r="AW1013" s="68"/>
      <c r="AX1013" s="68"/>
      <c r="AY1013" s="68"/>
      <c r="AZ1013" s="68"/>
      <c r="BA1013" s="68"/>
      <c r="BB1013" s="68"/>
      <c r="BC1013" s="68"/>
      <c r="BD1013" s="68"/>
      <c r="BE1013" s="68"/>
      <c r="BF1013" s="68"/>
      <c r="BG1013" s="68"/>
      <c r="BH1013" s="68"/>
      <c r="BI1013" s="68"/>
      <c r="BJ1013" s="68"/>
      <c r="BK1013" s="68"/>
      <c r="BL1013" s="68"/>
      <c r="BM1013" s="68"/>
      <c r="BN1013" s="68"/>
    </row>
    <row r="1014" spans="1:66" ht="17">
      <c r="A1014" s="68"/>
      <c r="B1014" s="68"/>
      <c r="C1014" s="68"/>
      <c r="D1014" s="68"/>
      <c r="E1014" s="68"/>
      <c r="F1014" s="68"/>
      <c r="G1014" s="68"/>
      <c r="H1014" s="68"/>
      <c r="I1014" s="68"/>
      <c r="J1014" s="68"/>
      <c r="K1014" s="68"/>
      <c r="L1014" s="68"/>
      <c r="M1014" s="68"/>
      <c r="N1014" s="68"/>
      <c r="O1014" s="68"/>
      <c r="P1014" s="68"/>
      <c r="Q1014" s="68"/>
      <c r="R1014" s="68"/>
      <c r="S1014" s="68"/>
      <c r="T1014" s="68"/>
      <c r="U1014" s="68"/>
      <c r="V1014" s="68"/>
      <c r="W1014" s="68"/>
      <c r="X1014" s="68"/>
      <c r="Y1014" s="68"/>
      <c r="Z1014" s="68"/>
      <c r="AA1014" s="68"/>
      <c r="AB1014" s="68"/>
      <c r="AC1014" s="68"/>
      <c r="AD1014" s="68"/>
      <c r="AE1014" s="68"/>
      <c r="AF1014" s="68"/>
      <c r="AG1014" s="68"/>
      <c r="AH1014" s="68"/>
      <c r="AI1014" s="68"/>
      <c r="AJ1014" s="68"/>
      <c r="AK1014" s="68"/>
      <c r="AL1014" s="68"/>
      <c r="AM1014" s="68"/>
      <c r="AN1014" s="68"/>
      <c r="AO1014" s="68"/>
      <c r="AP1014" s="68"/>
      <c r="AQ1014" s="68"/>
      <c r="AR1014" s="68"/>
      <c r="AS1014" s="68"/>
      <c r="AT1014" s="68"/>
      <c r="AU1014" s="68"/>
      <c r="AV1014" s="68"/>
      <c r="AW1014" s="68"/>
      <c r="AX1014" s="68"/>
      <c r="AY1014" s="68"/>
      <c r="AZ1014" s="68"/>
      <c r="BA1014" s="68"/>
      <c r="BB1014" s="68"/>
      <c r="BC1014" s="68"/>
      <c r="BD1014" s="68"/>
      <c r="BE1014" s="68"/>
      <c r="BF1014" s="68"/>
      <c r="BG1014" s="68"/>
      <c r="BH1014" s="68"/>
      <c r="BI1014" s="68"/>
      <c r="BJ1014" s="68"/>
      <c r="BK1014" s="68"/>
      <c r="BL1014" s="68"/>
      <c r="BM1014" s="68"/>
      <c r="BN1014" s="68"/>
    </row>
    <row r="1015" spans="1:66" ht="17">
      <c r="A1015" s="68"/>
      <c r="B1015" s="68"/>
      <c r="C1015" s="68"/>
      <c r="D1015" s="68"/>
      <c r="E1015" s="68"/>
      <c r="F1015" s="68"/>
      <c r="G1015" s="68"/>
      <c r="H1015" s="68"/>
      <c r="I1015" s="68"/>
      <c r="J1015" s="68"/>
      <c r="K1015" s="68"/>
      <c r="L1015" s="68"/>
      <c r="M1015" s="68"/>
      <c r="N1015" s="68"/>
      <c r="O1015" s="68"/>
      <c r="P1015" s="68"/>
      <c r="Q1015" s="68"/>
      <c r="R1015" s="68"/>
      <c r="S1015" s="68"/>
      <c r="T1015" s="68"/>
      <c r="U1015" s="68"/>
      <c r="V1015" s="68"/>
      <c r="W1015" s="68"/>
      <c r="X1015" s="68"/>
      <c r="Y1015" s="68"/>
      <c r="Z1015" s="68"/>
      <c r="AA1015" s="68"/>
      <c r="AB1015" s="68"/>
      <c r="AC1015" s="68"/>
      <c r="AD1015" s="68"/>
      <c r="AE1015" s="68"/>
      <c r="AF1015" s="68"/>
      <c r="AG1015" s="68"/>
      <c r="AH1015" s="68"/>
      <c r="AI1015" s="68"/>
      <c r="AJ1015" s="68"/>
      <c r="AK1015" s="68"/>
      <c r="AL1015" s="68"/>
      <c r="AM1015" s="68"/>
      <c r="AN1015" s="68"/>
      <c r="AO1015" s="68"/>
      <c r="AP1015" s="68"/>
      <c r="AQ1015" s="68"/>
      <c r="AR1015" s="68"/>
      <c r="AS1015" s="68"/>
      <c r="AT1015" s="68"/>
      <c r="AU1015" s="68"/>
      <c r="AV1015" s="68"/>
      <c r="AW1015" s="68"/>
      <c r="AX1015" s="68"/>
      <c r="AY1015" s="68"/>
      <c r="AZ1015" s="68"/>
      <c r="BA1015" s="68"/>
      <c r="BB1015" s="68"/>
      <c r="BC1015" s="68"/>
      <c r="BD1015" s="68"/>
      <c r="BE1015" s="68"/>
      <c r="BF1015" s="68"/>
      <c r="BG1015" s="68"/>
      <c r="BH1015" s="68"/>
      <c r="BI1015" s="68"/>
      <c r="BJ1015" s="68"/>
      <c r="BK1015" s="68"/>
      <c r="BL1015" s="68"/>
      <c r="BM1015" s="68"/>
      <c r="BN1015" s="68"/>
    </row>
    <row r="1016" spans="1:66" ht="17">
      <c r="A1016" s="68"/>
      <c r="B1016" s="68"/>
      <c r="C1016" s="68"/>
      <c r="D1016" s="68"/>
      <c r="E1016" s="68"/>
      <c r="F1016" s="68"/>
      <c r="G1016" s="68"/>
      <c r="H1016" s="68"/>
      <c r="I1016" s="68"/>
      <c r="J1016" s="68"/>
      <c r="K1016" s="68"/>
      <c r="L1016" s="68"/>
      <c r="M1016" s="68"/>
      <c r="N1016" s="68"/>
      <c r="O1016" s="68"/>
      <c r="P1016" s="68"/>
      <c r="Q1016" s="68"/>
      <c r="R1016" s="68"/>
      <c r="S1016" s="68"/>
      <c r="T1016" s="68"/>
      <c r="U1016" s="68"/>
      <c r="V1016" s="68"/>
      <c r="W1016" s="68"/>
      <c r="X1016" s="68"/>
      <c r="Y1016" s="68"/>
      <c r="Z1016" s="68"/>
      <c r="AA1016" s="68"/>
      <c r="AB1016" s="68"/>
      <c r="AC1016" s="68"/>
      <c r="AD1016" s="68"/>
      <c r="AE1016" s="68"/>
      <c r="AF1016" s="68"/>
      <c r="AG1016" s="68"/>
      <c r="AH1016" s="68"/>
      <c r="AI1016" s="68"/>
      <c r="AJ1016" s="68"/>
      <c r="AK1016" s="68"/>
      <c r="AL1016" s="68"/>
      <c r="AM1016" s="68"/>
      <c r="AN1016" s="68"/>
      <c r="AO1016" s="68"/>
      <c r="AP1016" s="68"/>
      <c r="AQ1016" s="68"/>
      <c r="AR1016" s="68"/>
      <c r="AS1016" s="68"/>
      <c r="AT1016" s="68"/>
      <c r="AU1016" s="68"/>
      <c r="AV1016" s="68"/>
      <c r="AW1016" s="68"/>
      <c r="AX1016" s="68"/>
      <c r="AY1016" s="68"/>
      <c r="AZ1016" s="68"/>
      <c r="BA1016" s="68"/>
      <c r="BB1016" s="68"/>
      <c r="BC1016" s="68"/>
      <c r="BD1016" s="68"/>
      <c r="BE1016" s="68"/>
      <c r="BF1016" s="68"/>
      <c r="BG1016" s="68"/>
      <c r="BH1016" s="68"/>
      <c r="BI1016" s="68"/>
      <c r="BJ1016" s="68"/>
      <c r="BK1016" s="68"/>
      <c r="BL1016" s="68"/>
      <c r="BM1016" s="68"/>
      <c r="BN1016" s="68"/>
    </row>
  </sheetData>
  <mergeCells count="13">
    <mergeCell ref="M7:V7"/>
    <mergeCell ref="R4:AN4"/>
    <mergeCell ref="BN4:BN5"/>
    <mergeCell ref="P5:AP5"/>
    <mergeCell ref="C4:E4"/>
    <mergeCell ref="F4:G4"/>
    <mergeCell ref="H4:K4"/>
    <mergeCell ref="L4:N4"/>
    <mergeCell ref="O4:Q4"/>
    <mergeCell ref="C5:E5"/>
    <mergeCell ref="F5:H5"/>
    <mergeCell ref="I5:J5"/>
    <mergeCell ref="K5:O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2:V28"/>
  <sheetViews>
    <sheetView showGridLines="0" workbookViewId="0">
      <selection activeCell="C19" sqref="C19"/>
    </sheetView>
  </sheetViews>
  <sheetFormatPr baseColWidth="10" defaultColWidth="12.6640625" defaultRowHeight="15.75" customHeight="1"/>
  <cols>
    <col min="1" max="1" width="12.6640625" style="63"/>
    <col min="2" max="2" width="18" style="311" customWidth="1"/>
    <col min="3" max="3" width="104.6640625" style="63" customWidth="1"/>
    <col min="4" max="4" width="30" style="63" customWidth="1"/>
    <col min="5" max="5" width="23.33203125" style="63" customWidth="1"/>
    <col min="6" max="21" width="12.6640625" style="63"/>
    <col min="22" max="22" width="15" style="63" bestFit="1" customWidth="1"/>
    <col min="23" max="16384" width="12.6640625" style="63"/>
  </cols>
  <sheetData>
    <row r="2" spans="1:7" ht="15.75" customHeight="1">
      <c r="A2" s="303"/>
      <c r="B2" s="304" t="s">
        <v>63</v>
      </c>
      <c r="C2" s="305" t="s">
        <v>314</v>
      </c>
      <c r="D2" s="305" t="s">
        <v>315</v>
      </c>
      <c r="E2" s="305" t="s">
        <v>316</v>
      </c>
      <c r="F2" s="306" t="s">
        <v>27</v>
      </c>
    </row>
    <row r="3" spans="1:7" ht="15.75" customHeight="1">
      <c r="A3" s="65"/>
      <c r="B3" s="307" t="s">
        <v>317</v>
      </c>
      <c r="C3" s="114" t="s">
        <v>318</v>
      </c>
      <c r="D3" s="308">
        <v>58000000</v>
      </c>
      <c r="E3" s="308">
        <f>D3</f>
        <v>58000000</v>
      </c>
      <c r="F3" s="68"/>
    </row>
    <row r="4" spans="1:7" ht="15.75" customHeight="1">
      <c r="A4" s="309"/>
      <c r="B4" s="310">
        <v>45717</v>
      </c>
      <c r="C4" s="114" t="s">
        <v>319</v>
      </c>
      <c r="D4" s="308">
        <v>160000000</v>
      </c>
      <c r="E4" s="308">
        <f>D4/2</f>
        <v>80000000</v>
      </c>
      <c r="F4" s="68"/>
    </row>
    <row r="5" spans="1:7" ht="15.75" customHeight="1">
      <c r="A5" s="309"/>
      <c r="B5" s="310">
        <v>45811</v>
      </c>
      <c r="C5" s="114" t="s">
        <v>320</v>
      </c>
      <c r="D5" s="308">
        <v>174000000</v>
      </c>
      <c r="E5" s="308">
        <f>D5/3</f>
        <v>58000000</v>
      </c>
      <c r="F5" s="68"/>
    </row>
    <row r="6" spans="1:7" ht="15.75" customHeight="1">
      <c r="A6" s="309"/>
      <c r="B6" s="310">
        <v>45967</v>
      </c>
      <c r="C6" s="114" t="s">
        <v>321</v>
      </c>
      <c r="D6" s="308">
        <v>135000000</v>
      </c>
      <c r="E6" s="308">
        <f>D6/5</f>
        <v>27000000</v>
      </c>
      <c r="F6" s="68"/>
    </row>
    <row r="7" spans="1:7" ht="15.75" customHeight="1">
      <c r="A7" s="65"/>
      <c r="B7" s="307" t="s">
        <v>322</v>
      </c>
      <c r="C7" s="114" t="s">
        <v>323</v>
      </c>
      <c r="D7" s="308">
        <v>180000000</v>
      </c>
      <c r="E7" s="308">
        <f>D7/4</f>
        <v>45000000</v>
      </c>
      <c r="F7" s="68"/>
    </row>
    <row r="8" spans="1:7" ht="15.75" customHeight="1">
      <c r="A8" s="65"/>
      <c r="B8" s="307" t="s">
        <v>324</v>
      </c>
      <c r="C8" s="114" t="s">
        <v>325</v>
      </c>
      <c r="D8" s="308">
        <v>162000000</v>
      </c>
      <c r="E8" s="308">
        <f>D8/3</f>
        <v>54000000</v>
      </c>
      <c r="F8" s="99"/>
      <c r="G8" s="99"/>
    </row>
    <row r="9" spans="1:7" ht="15.75" customHeight="1">
      <c r="A9" s="65"/>
      <c r="B9" s="307" t="s">
        <v>326</v>
      </c>
      <c r="C9" s="114" t="s">
        <v>327</v>
      </c>
      <c r="D9" s="308">
        <v>500000000</v>
      </c>
      <c r="E9" s="308">
        <f>D9/4</f>
        <v>125000000</v>
      </c>
      <c r="F9" s="68"/>
    </row>
    <row r="10" spans="1:7" ht="15.75" customHeight="1">
      <c r="A10" s="68"/>
      <c r="B10" s="307"/>
      <c r="C10" s="114"/>
      <c r="D10" s="307" t="s">
        <v>587</v>
      </c>
      <c r="E10" s="308">
        <f>AVERAGE(E3:E9)</f>
        <v>63857142.857142858</v>
      </c>
      <c r="F10" s="68"/>
    </row>
    <row r="28" spans="22:22" ht="15.75" customHeight="1">
      <c r="V28" s="312">
        <f>E9*(1+'8. Budget Estimate'!Z3)</f>
        <v>128601250</v>
      </c>
    </row>
  </sheetData>
  <hyperlinks>
    <hyperlink ref="F2" r:id="rId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N17"/>
  <sheetViews>
    <sheetView showGridLines="0" topLeftCell="G5" workbookViewId="0">
      <selection activeCell="J11" sqref="J11"/>
    </sheetView>
  </sheetViews>
  <sheetFormatPr baseColWidth="10" defaultColWidth="12.6640625" defaultRowHeight="15.75" customHeight="1"/>
  <cols>
    <col min="1" max="1" width="23.1640625" style="63" customWidth="1"/>
    <col min="2" max="2" width="15.33203125" style="63" customWidth="1"/>
    <col min="3" max="7" width="17" style="63" customWidth="1"/>
    <col min="8" max="8" width="16.83203125" style="63" bestFit="1" customWidth="1"/>
    <col min="9" max="12" width="17.6640625" style="63" customWidth="1"/>
    <col min="13" max="22" width="18" style="63" customWidth="1"/>
    <col min="23" max="66" width="12.83203125" style="63" bestFit="1" customWidth="1"/>
    <col min="67" max="16384" width="12.6640625" style="63"/>
  </cols>
  <sheetData>
    <row r="1" spans="1:66" ht="17">
      <c r="A1" s="51" t="s">
        <v>237</v>
      </c>
      <c r="B1" s="279">
        <v>2024</v>
      </c>
      <c r="C1" s="53">
        <v>2025</v>
      </c>
      <c r="D1" s="53">
        <f t="shared" ref="D1:BN1" si="0">C1+1</f>
        <v>2026</v>
      </c>
      <c r="E1" s="53">
        <f t="shared" si="0"/>
        <v>2027</v>
      </c>
      <c r="F1" s="53">
        <f t="shared" si="0"/>
        <v>2028</v>
      </c>
      <c r="G1" s="53">
        <f t="shared" si="0"/>
        <v>2029</v>
      </c>
      <c r="H1" s="53">
        <f t="shared" si="0"/>
        <v>2030</v>
      </c>
      <c r="I1" s="53">
        <f t="shared" si="0"/>
        <v>2031</v>
      </c>
      <c r="J1" s="53">
        <f t="shared" si="0"/>
        <v>2032</v>
      </c>
      <c r="K1" s="53">
        <f t="shared" si="0"/>
        <v>2033</v>
      </c>
      <c r="L1" s="53">
        <f t="shared" si="0"/>
        <v>2034</v>
      </c>
      <c r="M1" s="53">
        <f t="shared" si="0"/>
        <v>2035</v>
      </c>
      <c r="N1" s="53">
        <f t="shared" si="0"/>
        <v>2036</v>
      </c>
      <c r="O1" s="53">
        <f t="shared" si="0"/>
        <v>2037</v>
      </c>
      <c r="P1" s="53">
        <f t="shared" si="0"/>
        <v>2038</v>
      </c>
      <c r="Q1" s="53">
        <f t="shared" si="0"/>
        <v>2039</v>
      </c>
      <c r="R1" s="53">
        <f t="shared" si="0"/>
        <v>2040</v>
      </c>
      <c r="S1" s="53">
        <f t="shared" si="0"/>
        <v>2041</v>
      </c>
      <c r="T1" s="53">
        <f t="shared" si="0"/>
        <v>2042</v>
      </c>
      <c r="U1" s="53">
        <f t="shared" si="0"/>
        <v>2043</v>
      </c>
      <c r="V1" s="53">
        <f t="shared" si="0"/>
        <v>2044</v>
      </c>
      <c r="W1" s="53">
        <f t="shared" si="0"/>
        <v>2045</v>
      </c>
      <c r="X1" s="57">
        <f t="shared" si="0"/>
        <v>2046</v>
      </c>
      <c r="Y1" s="57">
        <f t="shared" si="0"/>
        <v>2047</v>
      </c>
      <c r="Z1" s="57">
        <f t="shared" si="0"/>
        <v>2048</v>
      </c>
      <c r="AA1" s="57">
        <f t="shared" si="0"/>
        <v>2049</v>
      </c>
      <c r="AB1" s="57">
        <f t="shared" si="0"/>
        <v>2050</v>
      </c>
      <c r="AC1" s="57">
        <f t="shared" si="0"/>
        <v>2051</v>
      </c>
      <c r="AD1" s="57">
        <f t="shared" si="0"/>
        <v>2052</v>
      </c>
      <c r="AE1" s="57">
        <f t="shared" si="0"/>
        <v>2053</v>
      </c>
      <c r="AF1" s="57">
        <f t="shared" si="0"/>
        <v>2054</v>
      </c>
      <c r="AG1" s="57">
        <f t="shared" si="0"/>
        <v>2055</v>
      </c>
      <c r="AH1" s="57">
        <f t="shared" si="0"/>
        <v>2056</v>
      </c>
      <c r="AI1" s="57">
        <f t="shared" si="0"/>
        <v>2057</v>
      </c>
      <c r="AJ1" s="57">
        <f t="shared" si="0"/>
        <v>2058</v>
      </c>
      <c r="AK1" s="57">
        <f t="shared" si="0"/>
        <v>2059</v>
      </c>
      <c r="AL1" s="57">
        <f t="shared" si="0"/>
        <v>2060</v>
      </c>
      <c r="AM1" s="57">
        <f t="shared" si="0"/>
        <v>2061</v>
      </c>
      <c r="AN1" s="57">
        <f t="shared" si="0"/>
        <v>2062</v>
      </c>
      <c r="AO1" s="57">
        <f t="shared" si="0"/>
        <v>2063</v>
      </c>
      <c r="AP1" s="57">
        <f t="shared" si="0"/>
        <v>2064</v>
      </c>
      <c r="AQ1" s="57">
        <f t="shared" si="0"/>
        <v>2065</v>
      </c>
      <c r="AR1" s="57">
        <f t="shared" si="0"/>
        <v>2066</v>
      </c>
      <c r="AS1" s="57">
        <f t="shared" si="0"/>
        <v>2067</v>
      </c>
      <c r="AT1" s="57">
        <f t="shared" si="0"/>
        <v>2068</v>
      </c>
      <c r="AU1" s="57">
        <f t="shared" si="0"/>
        <v>2069</v>
      </c>
      <c r="AV1" s="57">
        <f t="shared" si="0"/>
        <v>2070</v>
      </c>
      <c r="AW1" s="57">
        <f t="shared" si="0"/>
        <v>2071</v>
      </c>
      <c r="AX1" s="57">
        <f t="shared" si="0"/>
        <v>2072</v>
      </c>
      <c r="AY1" s="59">
        <f t="shared" si="0"/>
        <v>2073</v>
      </c>
      <c r="AZ1" s="280">
        <f t="shared" si="0"/>
        <v>2074</v>
      </c>
      <c r="BA1" s="62">
        <f t="shared" si="0"/>
        <v>2075</v>
      </c>
      <c r="BB1" s="62">
        <f t="shared" si="0"/>
        <v>2076</v>
      </c>
      <c r="BC1" s="62">
        <f t="shared" si="0"/>
        <v>2077</v>
      </c>
      <c r="BD1" s="62">
        <f t="shared" si="0"/>
        <v>2078</v>
      </c>
      <c r="BE1" s="62">
        <f t="shared" si="0"/>
        <v>2079</v>
      </c>
      <c r="BF1" s="62">
        <f t="shared" si="0"/>
        <v>2080</v>
      </c>
      <c r="BG1" s="62">
        <f t="shared" si="0"/>
        <v>2081</v>
      </c>
      <c r="BH1" s="62">
        <f t="shared" si="0"/>
        <v>2082</v>
      </c>
      <c r="BI1" s="62">
        <f t="shared" si="0"/>
        <v>2083</v>
      </c>
      <c r="BJ1" s="62">
        <f t="shared" si="0"/>
        <v>2084</v>
      </c>
      <c r="BK1" s="62">
        <f t="shared" si="0"/>
        <v>2085</v>
      </c>
      <c r="BL1" s="62">
        <f t="shared" si="0"/>
        <v>2086</v>
      </c>
      <c r="BM1" s="62">
        <f t="shared" si="0"/>
        <v>2087</v>
      </c>
      <c r="BN1" s="62">
        <f t="shared" si="0"/>
        <v>2088</v>
      </c>
    </row>
    <row r="2" spans="1:66" ht="17">
      <c r="A2" s="64" t="s">
        <v>238</v>
      </c>
      <c r="B2" s="65">
        <v>0</v>
      </c>
      <c r="C2" s="66">
        <v>1</v>
      </c>
      <c r="D2" s="66">
        <v>2</v>
      </c>
      <c r="E2" s="66">
        <f t="shared" ref="E2:BN2" si="1">D2+1</f>
        <v>3</v>
      </c>
      <c r="F2" s="66">
        <f t="shared" si="1"/>
        <v>4</v>
      </c>
      <c r="G2" s="66">
        <f t="shared" si="1"/>
        <v>5</v>
      </c>
      <c r="H2" s="66">
        <f t="shared" si="1"/>
        <v>6</v>
      </c>
      <c r="I2" s="66">
        <f t="shared" si="1"/>
        <v>7</v>
      </c>
      <c r="J2" s="66">
        <f t="shared" si="1"/>
        <v>8</v>
      </c>
      <c r="K2" s="66">
        <f t="shared" si="1"/>
        <v>9</v>
      </c>
      <c r="L2" s="66">
        <f t="shared" si="1"/>
        <v>10</v>
      </c>
      <c r="M2" s="66">
        <f t="shared" si="1"/>
        <v>11</v>
      </c>
      <c r="N2" s="66">
        <f t="shared" si="1"/>
        <v>12</v>
      </c>
      <c r="O2" s="66">
        <f t="shared" si="1"/>
        <v>13</v>
      </c>
      <c r="P2" s="66">
        <f t="shared" si="1"/>
        <v>14</v>
      </c>
      <c r="Q2" s="66">
        <f t="shared" si="1"/>
        <v>15</v>
      </c>
      <c r="R2" s="66">
        <f t="shared" si="1"/>
        <v>16</v>
      </c>
      <c r="S2" s="66">
        <f t="shared" si="1"/>
        <v>17</v>
      </c>
      <c r="T2" s="66">
        <f t="shared" si="1"/>
        <v>18</v>
      </c>
      <c r="U2" s="66">
        <f t="shared" si="1"/>
        <v>19</v>
      </c>
      <c r="V2" s="66">
        <f t="shared" si="1"/>
        <v>20</v>
      </c>
      <c r="W2" s="66">
        <f t="shared" si="1"/>
        <v>21</v>
      </c>
      <c r="X2" s="66">
        <f t="shared" si="1"/>
        <v>22</v>
      </c>
      <c r="Y2" s="66">
        <f t="shared" si="1"/>
        <v>23</v>
      </c>
      <c r="Z2" s="66">
        <f t="shared" si="1"/>
        <v>24</v>
      </c>
      <c r="AA2" s="66">
        <f t="shared" si="1"/>
        <v>25</v>
      </c>
      <c r="AB2" s="66">
        <f t="shared" si="1"/>
        <v>26</v>
      </c>
      <c r="AC2" s="66">
        <f t="shared" si="1"/>
        <v>27</v>
      </c>
      <c r="AD2" s="66">
        <f t="shared" si="1"/>
        <v>28</v>
      </c>
      <c r="AE2" s="66">
        <f t="shared" si="1"/>
        <v>29</v>
      </c>
      <c r="AF2" s="66">
        <f t="shared" si="1"/>
        <v>30</v>
      </c>
      <c r="AG2" s="66">
        <f t="shared" si="1"/>
        <v>31</v>
      </c>
      <c r="AH2" s="66">
        <f t="shared" si="1"/>
        <v>32</v>
      </c>
      <c r="AI2" s="66">
        <f t="shared" si="1"/>
        <v>33</v>
      </c>
      <c r="AJ2" s="66">
        <f t="shared" si="1"/>
        <v>34</v>
      </c>
      <c r="AK2" s="66">
        <f t="shared" si="1"/>
        <v>35</v>
      </c>
      <c r="AL2" s="66">
        <f t="shared" si="1"/>
        <v>36</v>
      </c>
      <c r="AM2" s="66">
        <f t="shared" si="1"/>
        <v>37</v>
      </c>
      <c r="AN2" s="66">
        <f t="shared" si="1"/>
        <v>38</v>
      </c>
      <c r="AO2" s="66">
        <f t="shared" si="1"/>
        <v>39</v>
      </c>
      <c r="AP2" s="66">
        <f t="shared" si="1"/>
        <v>40</v>
      </c>
      <c r="AQ2" s="66">
        <f t="shared" si="1"/>
        <v>41</v>
      </c>
      <c r="AR2" s="66">
        <f t="shared" si="1"/>
        <v>42</v>
      </c>
      <c r="AS2" s="66">
        <f t="shared" si="1"/>
        <v>43</v>
      </c>
      <c r="AT2" s="66">
        <f t="shared" si="1"/>
        <v>44</v>
      </c>
      <c r="AU2" s="66">
        <f t="shared" si="1"/>
        <v>45</v>
      </c>
      <c r="AV2" s="66">
        <f t="shared" si="1"/>
        <v>46</v>
      </c>
      <c r="AW2" s="66">
        <f t="shared" si="1"/>
        <v>47</v>
      </c>
      <c r="AX2" s="66">
        <f t="shared" si="1"/>
        <v>48</v>
      </c>
      <c r="AY2" s="66">
        <f t="shared" si="1"/>
        <v>49</v>
      </c>
      <c r="AZ2" s="66">
        <f t="shared" si="1"/>
        <v>50</v>
      </c>
      <c r="BA2" s="66">
        <f t="shared" si="1"/>
        <v>51</v>
      </c>
      <c r="BB2" s="66">
        <f t="shared" si="1"/>
        <v>52</v>
      </c>
      <c r="BC2" s="66">
        <f t="shared" si="1"/>
        <v>53</v>
      </c>
      <c r="BD2" s="66">
        <f t="shared" si="1"/>
        <v>54</v>
      </c>
      <c r="BE2" s="66">
        <f t="shared" si="1"/>
        <v>55</v>
      </c>
      <c r="BF2" s="66">
        <f t="shared" si="1"/>
        <v>56</v>
      </c>
      <c r="BG2" s="66">
        <f t="shared" si="1"/>
        <v>57</v>
      </c>
      <c r="BH2" s="66">
        <f t="shared" si="1"/>
        <v>58</v>
      </c>
      <c r="BI2" s="66">
        <f t="shared" si="1"/>
        <v>59</v>
      </c>
      <c r="BJ2" s="66">
        <f t="shared" si="1"/>
        <v>60</v>
      </c>
      <c r="BK2" s="66">
        <f t="shared" si="1"/>
        <v>61</v>
      </c>
      <c r="BL2" s="66">
        <f t="shared" si="1"/>
        <v>62</v>
      </c>
      <c r="BM2" s="66">
        <f t="shared" si="1"/>
        <v>63</v>
      </c>
      <c r="BN2" s="66">
        <f t="shared" si="1"/>
        <v>64</v>
      </c>
    </row>
    <row r="3" spans="1:66" ht="17">
      <c r="A3" s="64" t="s">
        <v>239</v>
      </c>
      <c r="B3" s="65"/>
      <c r="C3" s="67">
        <f>'3. Financial drivers '!G26</f>
        <v>2.9499999999999998E-2</v>
      </c>
      <c r="D3" s="67">
        <f>'3. Financial drivers '!G27</f>
        <v>2.4899999999999999E-2</v>
      </c>
      <c r="E3" s="67">
        <f>'3. Financial drivers '!G28</f>
        <v>2.8000000000000001E-2</v>
      </c>
      <c r="F3" s="67">
        <f>'3. Financial drivers '!G29</f>
        <v>2.9000000000000001E-2</v>
      </c>
      <c r="G3" s="67">
        <f>'3. Financial drivers '!G30</f>
        <v>2.9000000000000001E-2</v>
      </c>
      <c r="H3" s="67">
        <f>'3. Financial drivers '!G31</f>
        <v>2.9000000000000001E-2</v>
      </c>
      <c r="I3" s="67">
        <f>'3. Financial drivers '!$G$32</f>
        <v>2.8810000000000002E-2</v>
      </c>
      <c r="J3" s="67">
        <f>'3. Financial drivers '!$G$32</f>
        <v>2.8810000000000002E-2</v>
      </c>
      <c r="K3" s="67">
        <f>'3. Financial drivers '!$G$32</f>
        <v>2.8810000000000002E-2</v>
      </c>
      <c r="L3" s="67">
        <f>'3. Financial drivers '!$G$32</f>
        <v>2.8810000000000002E-2</v>
      </c>
      <c r="M3" s="67">
        <f>'3. Financial drivers '!$G$32</f>
        <v>2.8810000000000002E-2</v>
      </c>
      <c r="N3" s="67">
        <f>'3. Financial drivers '!$G$32</f>
        <v>2.8810000000000002E-2</v>
      </c>
      <c r="O3" s="67">
        <f>'3. Financial drivers '!$G$32</f>
        <v>2.8810000000000002E-2</v>
      </c>
      <c r="P3" s="67">
        <f>'3. Financial drivers '!$G$32</f>
        <v>2.8810000000000002E-2</v>
      </c>
      <c r="Q3" s="67">
        <f>'3. Financial drivers '!$G$32</f>
        <v>2.8810000000000002E-2</v>
      </c>
      <c r="R3" s="67">
        <f>'3. Financial drivers '!$G$32</f>
        <v>2.8810000000000002E-2</v>
      </c>
      <c r="S3" s="67">
        <f>'3. Financial drivers '!$G$32</f>
        <v>2.8810000000000002E-2</v>
      </c>
      <c r="T3" s="67">
        <f>'3. Financial drivers '!$G$32</f>
        <v>2.8810000000000002E-2</v>
      </c>
      <c r="U3" s="67">
        <f>'3. Financial drivers '!$G$32</f>
        <v>2.8810000000000002E-2</v>
      </c>
      <c r="V3" s="67">
        <f>'3. Financial drivers '!$G$32</f>
        <v>2.8810000000000002E-2</v>
      </c>
      <c r="W3" s="67">
        <f>'3. Financial drivers '!$G$32</f>
        <v>2.8810000000000002E-2</v>
      </c>
      <c r="X3" s="67">
        <f>'3. Financial drivers '!$G$32</f>
        <v>2.8810000000000002E-2</v>
      </c>
      <c r="Y3" s="67">
        <f>'3. Financial drivers '!$G$32</f>
        <v>2.8810000000000002E-2</v>
      </c>
      <c r="Z3" s="67">
        <f>'3. Financial drivers '!$G$32</f>
        <v>2.8810000000000002E-2</v>
      </c>
      <c r="AA3" s="67">
        <f>'3. Financial drivers '!$G$32</f>
        <v>2.8810000000000002E-2</v>
      </c>
      <c r="AB3" s="67">
        <f>'3. Financial drivers '!$G$32</f>
        <v>2.8810000000000002E-2</v>
      </c>
      <c r="AC3" s="67">
        <f>'3. Financial drivers '!$G$32</f>
        <v>2.8810000000000002E-2</v>
      </c>
      <c r="AD3" s="67">
        <f>'3. Financial drivers '!$G$32</f>
        <v>2.8810000000000002E-2</v>
      </c>
      <c r="AE3" s="67">
        <f>'3. Financial drivers '!$G$32</f>
        <v>2.8810000000000002E-2</v>
      </c>
      <c r="AF3" s="67">
        <f>'3. Financial drivers '!$G$32</f>
        <v>2.8810000000000002E-2</v>
      </c>
      <c r="AG3" s="67">
        <f>'3. Financial drivers '!$G$32</f>
        <v>2.8810000000000002E-2</v>
      </c>
      <c r="AH3" s="67">
        <f>'3. Financial drivers '!$G$32</f>
        <v>2.8810000000000002E-2</v>
      </c>
      <c r="AI3" s="67">
        <f>'3. Financial drivers '!$G$32</f>
        <v>2.8810000000000002E-2</v>
      </c>
      <c r="AJ3" s="67">
        <f>'3. Financial drivers '!$G$32</f>
        <v>2.8810000000000002E-2</v>
      </c>
      <c r="AK3" s="67">
        <f>'3. Financial drivers '!$G$32</f>
        <v>2.8810000000000002E-2</v>
      </c>
      <c r="AL3" s="67">
        <f>'3. Financial drivers '!$G$32</f>
        <v>2.8810000000000002E-2</v>
      </c>
      <c r="AM3" s="67">
        <f>'3. Financial drivers '!$G$32</f>
        <v>2.8810000000000002E-2</v>
      </c>
      <c r="AN3" s="67">
        <f>'3. Financial drivers '!$G$32</f>
        <v>2.8810000000000002E-2</v>
      </c>
      <c r="AO3" s="67">
        <f>'3. Financial drivers '!$G$32</f>
        <v>2.8810000000000002E-2</v>
      </c>
      <c r="AP3" s="67">
        <f>'3. Financial drivers '!$G$32</f>
        <v>2.8810000000000002E-2</v>
      </c>
      <c r="AQ3" s="67">
        <f>'3. Financial drivers '!$G$32</f>
        <v>2.8810000000000002E-2</v>
      </c>
      <c r="AR3" s="67">
        <f>'3. Financial drivers '!$G$32</f>
        <v>2.8810000000000002E-2</v>
      </c>
      <c r="AS3" s="67">
        <f>'3. Financial drivers '!$G$32</f>
        <v>2.8810000000000002E-2</v>
      </c>
      <c r="AT3" s="67">
        <f>'3. Financial drivers '!$G$32</f>
        <v>2.8810000000000002E-2</v>
      </c>
      <c r="AU3" s="67">
        <f>'3. Financial drivers '!$G$32</f>
        <v>2.8810000000000002E-2</v>
      </c>
      <c r="AV3" s="67">
        <f>'3. Financial drivers '!$G$32</f>
        <v>2.8810000000000002E-2</v>
      </c>
      <c r="AW3" s="67">
        <f>'3. Financial drivers '!$G$32</f>
        <v>2.8810000000000002E-2</v>
      </c>
      <c r="AX3" s="67">
        <f>'3. Financial drivers '!$G$32</f>
        <v>2.8810000000000002E-2</v>
      </c>
      <c r="AY3" s="67">
        <f>'3. Financial drivers '!$G$32</f>
        <v>2.8810000000000002E-2</v>
      </c>
      <c r="AZ3" s="67">
        <f>'3. Financial drivers '!$G$32</f>
        <v>2.8810000000000002E-2</v>
      </c>
      <c r="BA3" s="67">
        <f>'3. Financial drivers '!$G$32</f>
        <v>2.8810000000000002E-2</v>
      </c>
      <c r="BB3" s="67">
        <f>'3. Financial drivers '!$G$32</f>
        <v>2.8810000000000002E-2</v>
      </c>
      <c r="BC3" s="67">
        <f>'3. Financial drivers '!$G$32</f>
        <v>2.8810000000000002E-2</v>
      </c>
      <c r="BD3" s="67">
        <f>'3. Financial drivers '!$G$32</f>
        <v>2.8810000000000002E-2</v>
      </c>
      <c r="BE3" s="67">
        <f>'3. Financial drivers '!$G$32</f>
        <v>2.8810000000000002E-2</v>
      </c>
      <c r="BF3" s="67">
        <f>'3. Financial drivers '!$G$32</f>
        <v>2.8810000000000002E-2</v>
      </c>
      <c r="BG3" s="67">
        <f>'3. Financial drivers '!$G$32</f>
        <v>2.8810000000000002E-2</v>
      </c>
      <c r="BH3" s="67">
        <f>'3. Financial drivers '!$G$32</f>
        <v>2.8810000000000002E-2</v>
      </c>
      <c r="BI3" s="67">
        <f>'3. Financial drivers '!$G$32</f>
        <v>2.8810000000000002E-2</v>
      </c>
      <c r="BJ3" s="67">
        <f>'3. Financial drivers '!$G$32</f>
        <v>2.8810000000000002E-2</v>
      </c>
      <c r="BK3" s="67">
        <f>'3. Financial drivers '!$G$32</f>
        <v>2.8810000000000002E-2</v>
      </c>
      <c r="BL3" s="67">
        <f>'3. Financial drivers '!$G$32</f>
        <v>2.8810000000000002E-2</v>
      </c>
      <c r="BM3" s="67">
        <f>'3. Financial drivers '!$G$32</f>
        <v>2.8810000000000002E-2</v>
      </c>
      <c r="BN3" s="67">
        <f>'3. Financial drivers '!$G$32</f>
        <v>2.8810000000000002E-2</v>
      </c>
    </row>
    <row r="4" spans="1:66" ht="36">
      <c r="A4" s="64" t="s">
        <v>240</v>
      </c>
      <c r="B4" s="68"/>
      <c r="C4" s="69" t="s">
        <v>225</v>
      </c>
      <c r="D4" s="70"/>
      <c r="E4" s="71"/>
      <c r="F4" s="69" t="s">
        <v>227</v>
      </c>
      <c r="G4" s="71"/>
      <c r="H4" s="72" t="s">
        <v>229</v>
      </c>
      <c r="I4" s="70"/>
      <c r="J4" s="70"/>
      <c r="K4" s="71"/>
      <c r="L4" s="73" t="s">
        <v>232</v>
      </c>
      <c r="M4" s="70"/>
      <c r="N4" s="70"/>
      <c r="O4" s="74" t="s">
        <v>233</v>
      </c>
      <c r="P4" s="70"/>
      <c r="Q4" s="70"/>
      <c r="R4" s="75" t="s">
        <v>328</v>
      </c>
      <c r="S4" s="70"/>
      <c r="T4" s="70"/>
      <c r="U4" s="70"/>
      <c r="V4" s="70"/>
      <c r="W4" s="70"/>
      <c r="X4" s="70"/>
      <c r="Y4" s="70"/>
      <c r="Z4" s="70"/>
      <c r="AA4" s="70"/>
      <c r="AB4" s="70"/>
      <c r="AC4" s="70"/>
      <c r="AD4" s="70"/>
      <c r="AE4" s="70"/>
      <c r="AF4" s="70"/>
      <c r="AG4" s="70"/>
      <c r="AH4" s="70"/>
      <c r="AI4" s="70"/>
      <c r="AJ4" s="70"/>
      <c r="AK4" s="70"/>
      <c r="AL4" s="70"/>
      <c r="AM4" s="70"/>
      <c r="AN4" s="71"/>
      <c r="AO4" s="76" t="s">
        <v>242</v>
      </c>
      <c r="AP4" s="77"/>
      <c r="AQ4" s="77"/>
      <c r="AR4" s="77"/>
      <c r="AS4" s="78"/>
      <c r="AT4" s="77"/>
      <c r="AU4" s="77"/>
      <c r="AV4" s="77"/>
      <c r="AW4" s="77"/>
      <c r="AX4" s="79"/>
      <c r="AY4" s="80"/>
      <c r="AZ4" s="80"/>
      <c r="BA4" s="80"/>
      <c r="BB4" s="80"/>
      <c r="BC4" s="80"/>
      <c r="BD4" s="80"/>
      <c r="BE4" s="80"/>
      <c r="BF4" s="80"/>
      <c r="BG4" s="80"/>
      <c r="BH4" s="80"/>
      <c r="BI4" s="80"/>
      <c r="BJ4" s="80"/>
      <c r="BK4" s="80"/>
      <c r="BL4" s="80"/>
      <c r="BM4" s="80"/>
      <c r="BN4" s="81" t="s">
        <v>243</v>
      </c>
    </row>
    <row r="5" spans="1:66" ht="29.25" customHeight="1">
      <c r="A5" s="68" t="s">
        <v>244</v>
      </c>
      <c r="B5" s="68"/>
      <c r="C5" s="82" t="s">
        <v>226</v>
      </c>
      <c r="D5" s="70"/>
      <c r="E5" s="71"/>
      <c r="F5" s="83" t="s">
        <v>228</v>
      </c>
      <c r="G5" s="70"/>
      <c r="H5" s="71"/>
      <c r="I5" s="83" t="s">
        <v>230</v>
      </c>
      <c r="J5" s="71"/>
      <c r="K5" s="82" t="s">
        <v>231</v>
      </c>
      <c r="L5" s="70"/>
      <c r="M5" s="70"/>
      <c r="N5" s="70"/>
      <c r="O5" s="71"/>
      <c r="P5" s="82" t="s">
        <v>234</v>
      </c>
      <c r="Q5" s="70"/>
      <c r="R5" s="70"/>
      <c r="S5" s="70"/>
      <c r="T5" s="70"/>
      <c r="U5" s="70"/>
      <c r="V5" s="70"/>
      <c r="W5" s="70"/>
      <c r="X5" s="70"/>
      <c r="Y5" s="70"/>
      <c r="Z5" s="70"/>
      <c r="AA5" s="70"/>
      <c r="AB5" s="70"/>
      <c r="AC5" s="70"/>
      <c r="AD5" s="70"/>
      <c r="AE5" s="70"/>
      <c r="AF5" s="70"/>
      <c r="AG5" s="70"/>
      <c r="AH5" s="70"/>
      <c r="AI5" s="70"/>
      <c r="AJ5" s="70"/>
      <c r="AK5" s="70"/>
      <c r="AL5" s="70"/>
      <c r="AM5" s="70"/>
      <c r="AN5" s="70"/>
      <c r="AO5" s="70"/>
      <c r="AP5" s="71"/>
      <c r="AQ5" s="84" t="s">
        <v>246</v>
      </c>
      <c r="AR5" s="80"/>
      <c r="AS5" s="80"/>
      <c r="AT5" s="80"/>
      <c r="AU5" s="80"/>
      <c r="AV5" s="80"/>
      <c r="AW5" s="80"/>
      <c r="AX5" s="80"/>
      <c r="AY5" s="66"/>
      <c r="AZ5" s="68"/>
      <c r="BA5" s="66"/>
      <c r="BB5" s="66"/>
      <c r="BC5" s="66"/>
      <c r="BD5" s="66"/>
      <c r="BE5" s="66"/>
      <c r="BF5" s="66"/>
      <c r="BG5" s="66"/>
      <c r="BH5" s="66"/>
      <c r="BI5" s="66"/>
      <c r="BJ5" s="66"/>
      <c r="BK5" s="66"/>
      <c r="BL5" s="66"/>
      <c r="BM5" s="66"/>
      <c r="BN5" s="70"/>
    </row>
    <row r="6" spans="1:66" ht="72">
      <c r="A6" s="64" t="s">
        <v>247</v>
      </c>
      <c r="B6" s="68"/>
      <c r="C6" s="68"/>
      <c r="D6" s="68"/>
      <c r="E6" s="68"/>
      <c r="F6" s="68"/>
      <c r="G6" s="68"/>
      <c r="H6" s="313" t="s">
        <v>248</v>
      </c>
      <c r="I6" s="68"/>
      <c r="J6" s="68"/>
      <c r="K6" s="68"/>
      <c r="L6" s="86"/>
      <c r="M6" s="87"/>
      <c r="N6" s="87"/>
      <c r="O6" s="87"/>
      <c r="P6" s="87"/>
      <c r="Q6" s="87"/>
      <c r="R6" s="87"/>
      <c r="S6" s="87"/>
      <c r="T6" s="87"/>
      <c r="U6" s="87"/>
      <c r="V6" s="87"/>
      <c r="W6" s="6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92"/>
      <c r="AY6" s="80"/>
      <c r="AZ6" s="80"/>
      <c r="BA6" s="80"/>
      <c r="BB6" s="80"/>
      <c r="BC6" s="80"/>
      <c r="BD6" s="80"/>
      <c r="BE6" s="80"/>
      <c r="BF6" s="80"/>
      <c r="BG6" s="80"/>
      <c r="BH6" s="80"/>
      <c r="BI6" s="80"/>
      <c r="BJ6" s="80"/>
      <c r="BK6" s="80"/>
      <c r="BL6" s="80"/>
      <c r="BM6" s="80"/>
      <c r="BN6" s="80"/>
    </row>
    <row r="7" spans="1:66" ht="17">
      <c r="A7" s="68" t="s">
        <v>251</v>
      </c>
      <c r="B7" s="68"/>
      <c r="C7" s="68"/>
      <c r="D7" s="68"/>
      <c r="E7" s="68"/>
      <c r="F7" s="68"/>
      <c r="G7" s="68"/>
      <c r="H7" s="93"/>
      <c r="I7" s="68"/>
      <c r="J7" s="68"/>
      <c r="K7" s="68"/>
      <c r="L7" s="66"/>
      <c r="M7" s="314" t="s">
        <v>252</v>
      </c>
      <c r="N7" s="315"/>
      <c r="O7" s="315"/>
      <c r="P7" s="315"/>
      <c r="Q7" s="315"/>
      <c r="R7" s="315"/>
      <c r="S7" s="315"/>
      <c r="T7" s="315"/>
      <c r="U7" s="315"/>
      <c r="V7" s="315"/>
      <c r="W7" s="68"/>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80"/>
      <c r="BK7" s="80"/>
      <c r="BL7" s="80"/>
      <c r="BM7" s="80"/>
      <c r="BN7" s="80"/>
    </row>
    <row r="8" spans="1:66" ht="17">
      <c r="A8" s="68"/>
      <c r="B8" s="68"/>
      <c r="C8" s="68"/>
      <c r="D8" s="68"/>
      <c r="E8" s="68"/>
      <c r="F8" s="68"/>
      <c r="G8" s="68"/>
      <c r="H8" s="93"/>
      <c r="I8" s="68"/>
      <c r="J8" s="68"/>
      <c r="K8" s="68"/>
      <c r="L8" s="66"/>
      <c r="M8" s="66"/>
      <c r="N8" s="66"/>
      <c r="O8" s="66"/>
      <c r="P8" s="66"/>
      <c r="Q8" s="66"/>
      <c r="R8" s="66"/>
      <c r="S8" s="66"/>
      <c r="T8" s="66"/>
      <c r="U8" s="66"/>
      <c r="V8" s="66"/>
      <c r="W8" s="68"/>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0"/>
      <c r="BK8" s="80"/>
      <c r="BL8" s="80"/>
      <c r="BM8" s="80"/>
      <c r="BN8" s="80"/>
    </row>
    <row r="9" spans="1:66" ht="17">
      <c r="A9" s="68" t="s">
        <v>51</v>
      </c>
      <c r="C9" s="99">
        <v>2450000000</v>
      </c>
      <c r="D9" s="99">
        <f t="shared" ref="D9:M9" si="2">C9*(1+D3)</f>
        <v>2511005000</v>
      </c>
      <c r="E9" s="99">
        <f t="shared" si="2"/>
        <v>2581313140</v>
      </c>
      <c r="F9" s="99">
        <f t="shared" si="2"/>
        <v>2656171221.0599999</v>
      </c>
      <c r="G9" s="99">
        <f t="shared" si="2"/>
        <v>2733200186.4707398</v>
      </c>
      <c r="H9" s="99">
        <f t="shared" si="2"/>
        <v>2812462991.8783913</v>
      </c>
      <c r="I9" s="99">
        <f t="shared" si="2"/>
        <v>2893490050.674408</v>
      </c>
      <c r="J9" s="99">
        <f t="shared" si="2"/>
        <v>2976851499.0343375</v>
      </c>
      <c r="K9" s="99">
        <f t="shared" si="2"/>
        <v>3062614590.7215166</v>
      </c>
      <c r="L9" s="99">
        <f t="shared" si="2"/>
        <v>3150848517.0802035</v>
      </c>
      <c r="M9" s="99">
        <f t="shared" si="2"/>
        <v>3241624462.8572841</v>
      </c>
    </row>
    <row r="10" spans="1:66" ht="17">
      <c r="A10" s="68" t="s">
        <v>329</v>
      </c>
      <c r="M10" s="68">
        <v>10</v>
      </c>
    </row>
    <row r="11" spans="1:66" ht="17">
      <c r="A11" s="303" t="s">
        <v>330</v>
      </c>
    </row>
    <row r="12" spans="1:66" ht="17">
      <c r="A12" s="68" t="s">
        <v>331</v>
      </c>
      <c r="M12" s="99">
        <f>M9</f>
        <v>3241624462.8572841</v>
      </c>
      <c r="N12" s="99">
        <f t="shared" ref="N12:V12" si="3">IF(M17=0,0,M17)</f>
        <v>3001056534.6757336</v>
      </c>
      <c r="O12" s="99">
        <f t="shared" si="3"/>
        <v>2744925712.0633612</v>
      </c>
      <c r="P12" s="99">
        <f t="shared" si="3"/>
        <v>2472225195.4650655</v>
      </c>
      <c r="Q12" s="99">
        <f t="shared" si="3"/>
        <v>2181883053.1391416</v>
      </c>
      <c r="R12" s="99">
        <f t="shared" si="3"/>
        <v>1872758007.6058252</v>
      </c>
      <c r="S12" s="99">
        <f t="shared" si="3"/>
        <v>1543634949.5114689</v>
      </c>
      <c r="T12" s="99">
        <f t="shared" si="3"/>
        <v>1193220161.2742393</v>
      </c>
      <c r="U12" s="99">
        <f t="shared" si="3"/>
        <v>820136231.73643196</v>
      </c>
      <c r="V12" s="99">
        <f t="shared" si="3"/>
        <v>422916641.83390951</v>
      </c>
    </row>
    <row r="13" spans="1:66" ht="17">
      <c r="A13" s="68" t="s">
        <v>332</v>
      </c>
      <c r="M13" s="207">
        <f>'3. Financial drivers '!$H$17</f>
        <v>6.4692307692307688E-2</v>
      </c>
      <c r="N13" s="207">
        <f>'3. Financial drivers '!$H$17</f>
        <v>6.4692307692307688E-2</v>
      </c>
      <c r="O13" s="207">
        <f>'3. Financial drivers '!$H$17</f>
        <v>6.4692307692307688E-2</v>
      </c>
      <c r="P13" s="207">
        <f>'3. Financial drivers '!$H$17</f>
        <v>6.4692307692307688E-2</v>
      </c>
      <c r="Q13" s="207">
        <f>'3. Financial drivers '!$H$17</f>
        <v>6.4692307692307688E-2</v>
      </c>
      <c r="R13" s="207">
        <f>'3. Financial drivers '!$H$17</f>
        <v>6.4692307692307688E-2</v>
      </c>
      <c r="S13" s="207">
        <f>'3. Financial drivers '!$H$17</f>
        <v>6.4692307692307688E-2</v>
      </c>
      <c r="T13" s="207">
        <f>'3. Financial drivers '!$H$17</f>
        <v>6.4692307692307688E-2</v>
      </c>
      <c r="U13" s="207">
        <f>'3. Financial drivers '!$H$17</f>
        <v>6.4692307692307688E-2</v>
      </c>
      <c r="V13" s="207">
        <f>'3. Financial drivers '!$H$17</f>
        <v>6.4692307692307688E-2</v>
      </c>
    </row>
    <row r="14" spans="1:66" ht="17">
      <c r="A14" s="68" t="s">
        <v>333</v>
      </c>
      <c r="M14" s="99">
        <f>-PMT(M13,$M$10,M12)</f>
        <v>450276095.35562545</v>
      </c>
      <c r="N14" s="99">
        <f t="shared" ref="N14:V14" si="4">IF(M17=0,0,M14)</f>
        <v>450276095.35562545</v>
      </c>
      <c r="O14" s="99">
        <f t="shared" si="4"/>
        <v>450276095.35562545</v>
      </c>
      <c r="P14" s="99">
        <f t="shared" si="4"/>
        <v>450276095.35562545</v>
      </c>
      <c r="Q14" s="99">
        <f t="shared" si="4"/>
        <v>450276095.35562545</v>
      </c>
      <c r="R14" s="99">
        <f t="shared" si="4"/>
        <v>450276095.35562545</v>
      </c>
      <c r="S14" s="99">
        <f t="shared" si="4"/>
        <v>450276095.35562545</v>
      </c>
      <c r="T14" s="99">
        <f t="shared" si="4"/>
        <v>450276095.35562545</v>
      </c>
      <c r="U14" s="99">
        <f t="shared" si="4"/>
        <v>450276095.35562545</v>
      </c>
      <c r="V14" s="99">
        <f t="shared" si="4"/>
        <v>450276095.35562545</v>
      </c>
    </row>
    <row r="15" spans="1:66" ht="17">
      <c r="A15" s="68" t="s">
        <v>334</v>
      </c>
      <c r="M15" s="99">
        <f t="shared" ref="M15:V15" si="5">M14-M16</f>
        <v>240567928.18155038</v>
      </c>
      <c r="N15" s="99">
        <f t="shared" si="5"/>
        <v>256130822.61237225</v>
      </c>
      <c r="O15" s="99">
        <f t="shared" si="5"/>
        <v>272700516.59829569</v>
      </c>
      <c r="P15" s="99">
        <f t="shared" si="5"/>
        <v>290342142.32592392</v>
      </c>
      <c r="Q15" s="99">
        <f t="shared" si="5"/>
        <v>309125045.53331637</v>
      </c>
      <c r="R15" s="99">
        <f t="shared" si="5"/>
        <v>329123058.0943563</v>
      </c>
      <c r="S15" s="99">
        <f t="shared" si="5"/>
        <v>350414788.23722965</v>
      </c>
      <c r="T15" s="99">
        <f t="shared" si="5"/>
        <v>373083929.53780735</v>
      </c>
      <c r="U15" s="99">
        <f t="shared" si="5"/>
        <v>397219589.90252244</v>
      </c>
      <c r="V15" s="99">
        <f t="shared" si="5"/>
        <v>422916641.83390868</v>
      </c>
    </row>
    <row r="16" spans="1:66" ht="17">
      <c r="A16" s="68" t="s">
        <v>335</v>
      </c>
      <c r="M16" s="99">
        <f t="shared" ref="M16:V16" si="6">M12*M13</f>
        <v>209708167.17407507</v>
      </c>
      <c r="N16" s="99">
        <f t="shared" si="6"/>
        <v>194145272.7432532</v>
      </c>
      <c r="O16" s="99">
        <f t="shared" si="6"/>
        <v>177575578.75732973</v>
      </c>
      <c r="P16" s="99">
        <f t="shared" si="6"/>
        <v>159933953.02970153</v>
      </c>
      <c r="Q16" s="99">
        <f t="shared" si="6"/>
        <v>141151049.82230908</v>
      </c>
      <c r="R16" s="99">
        <f t="shared" si="6"/>
        <v>121153037.26126914</v>
      </c>
      <c r="S16" s="99">
        <f t="shared" si="6"/>
        <v>99861307.11839579</v>
      </c>
      <c r="T16" s="99">
        <f t="shared" si="6"/>
        <v>77192165.81781809</v>
      </c>
      <c r="U16" s="99">
        <f t="shared" si="6"/>
        <v>53056505.453103021</v>
      </c>
      <c r="V16" s="99">
        <f t="shared" si="6"/>
        <v>27359453.521716759</v>
      </c>
    </row>
    <row r="17" spans="1:22" ht="17">
      <c r="A17" s="68" t="s">
        <v>336</v>
      </c>
      <c r="M17" s="99">
        <f t="shared" ref="M17:V17" si="7">M12-M15</f>
        <v>3001056534.6757336</v>
      </c>
      <c r="N17" s="99">
        <f t="shared" si="7"/>
        <v>2744925712.0633612</v>
      </c>
      <c r="O17" s="99">
        <f t="shared" si="7"/>
        <v>2472225195.4650655</v>
      </c>
      <c r="P17" s="99">
        <f t="shared" si="7"/>
        <v>2181883053.1391416</v>
      </c>
      <c r="Q17" s="99">
        <f t="shared" si="7"/>
        <v>1872758007.6058252</v>
      </c>
      <c r="R17" s="99">
        <f t="shared" si="7"/>
        <v>1543634949.5114689</v>
      </c>
      <c r="S17" s="99">
        <f t="shared" si="7"/>
        <v>1193220161.2742393</v>
      </c>
      <c r="T17" s="99">
        <f t="shared" si="7"/>
        <v>820136231.73643196</v>
      </c>
      <c r="U17" s="99">
        <f t="shared" si="7"/>
        <v>422916641.83390951</v>
      </c>
      <c r="V17" s="99">
        <f t="shared" si="7"/>
        <v>8.3446502685546875E-7</v>
      </c>
    </row>
  </sheetData>
  <mergeCells count="13">
    <mergeCell ref="M7:V7"/>
    <mergeCell ref="R4:AN4"/>
    <mergeCell ref="BN4:BN5"/>
    <mergeCell ref="P5:AP5"/>
    <mergeCell ref="C4:E4"/>
    <mergeCell ref="F4:G4"/>
    <mergeCell ref="H4:K4"/>
    <mergeCell ref="L4:N4"/>
    <mergeCell ref="O4:Q4"/>
    <mergeCell ref="C5:E5"/>
    <mergeCell ref="F5:H5"/>
    <mergeCell ref="I5:J5"/>
    <mergeCell ref="K5:O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O19"/>
  <sheetViews>
    <sheetView showGridLines="0" workbookViewId="0"/>
  </sheetViews>
  <sheetFormatPr baseColWidth="10" defaultColWidth="12.6640625" defaultRowHeight="15.75" customHeight="1"/>
  <cols>
    <col min="1" max="2" width="23.1640625" customWidth="1"/>
    <col min="3" max="3" width="15.33203125" customWidth="1"/>
    <col min="9" max="9" width="18.1640625" customWidth="1"/>
    <col min="30" max="30" width="19.6640625" customWidth="1"/>
  </cols>
  <sheetData>
    <row r="1" spans="1:67" ht="15.75" customHeight="1">
      <c r="A1" s="6" t="s">
        <v>237</v>
      </c>
      <c r="B1" s="7">
        <v>2024</v>
      </c>
      <c r="C1" s="22">
        <v>2025</v>
      </c>
      <c r="D1" s="22">
        <f t="shared" ref="D1:BN1" si="0">C1+1</f>
        <v>2026</v>
      </c>
      <c r="E1" s="8">
        <f t="shared" si="0"/>
        <v>2027</v>
      </c>
      <c r="F1" s="8">
        <f t="shared" si="0"/>
        <v>2028</v>
      </c>
      <c r="G1" s="8">
        <f t="shared" si="0"/>
        <v>2029</v>
      </c>
      <c r="H1" s="8">
        <f t="shared" si="0"/>
        <v>2030</v>
      </c>
      <c r="I1" s="8">
        <f t="shared" si="0"/>
        <v>2031</v>
      </c>
      <c r="J1" s="8">
        <f t="shared" si="0"/>
        <v>2032</v>
      </c>
      <c r="K1" s="8">
        <f t="shared" si="0"/>
        <v>2033</v>
      </c>
      <c r="L1" s="8">
        <f t="shared" si="0"/>
        <v>2034</v>
      </c>
      <c r="M1" s="8">
        <f t="shared" si="0"/>
        <v>2035</v>
      </c>
      <c r="N1" s="8">
        <f t="shared" si="0"/>
        <v>2036</v>
      </c>
      <c r="O1" s="8">
        <f t="shared" si="0"/>
        <v>2037</v>
      </c>
      <c r="P1" s="8">
        <f t="shared" si="0"/>
        <v>2038</v>
      </c>
      <c r="Q1" s="8">
        <f t="shared" si="0"/>
        <v>2039</v>
      </c>
      <c r="R1" s="8">
        <f t="shared" si="0"/>
        <v>2040</v>
      </c>
      <c r="S1" s="8">
        <f t="shared" si="0"/>
        <v>2041</v>
      </c>
      <c r="T1" s="8">
        <f t="shared" si="0"/>
        <v>2042</v>
      </c>
      <c r="U1" s="8">
        <f t="shared" si="0"/>
        <v>2043</v>
      </c>
      <c r="V1" s="8">
        <f t="shared" si="0"/>
        <v>2044</v>
      </c>
      <c r="W1" s="8">
        <f t="shared" si="0"/>
        <v>2045</v>
      </c>
      <c r="X1" s="9">
        <f t="shared" si="0"/>
        <v>2046</v>
      </c>
      <c r="Y1" s="9">
        <f t="shared" si="0"/>
        <v>2047</v>
      </c>
      <c r="Z1" s="9">
        <f t="shared" si="0"/>
        <v>2048</v>
      </c>
      <c r="AA1" s="9">
        <f t="shared" si="0"/>
        <v>2049</v>
      </c>
      <c r="AB1" s="9">
        <f t="shared" si="0"/>
        <v>2050</v>
      </c>
      <c r="AC1" s="9">
        <f t="shared" si="0"/>
        <v>2051</v>
      </c>
      <c r="AD1" s="9">
        <f t="shared" si="0"/>
        <v>2052</v>
      </c>
      <c r="AE1" s="9">
        <f t="shared" si="0"/>
        <v>2053</v>
      </c>
      <c r="AF1" s="9">
        <f t="shared" si="0"/>
        <v>2054</v>
      </c>
      <c r="AG1" s="9">
        <f t="shared" si="0"/>
        <v>2055</v>
      </c>
      <c r="AH1" s="9">
        <f t="shared" si="0"/>
        <v>2056</v>
      </c>
      <c r="AI1" s="9">
        <f t="shared" si="0"/>
        <v>2057</v>
      </c>
      <c r="AJ1" s="9">
        <f t="shared" si="0"/>
        <v>2058</v>
      </c>
      <c r="AK1" s="9">
        <f t="shared" si="0"/>
        <v>2059</v>
      </c>
      <c r="AL1" s="9">
        <f t="shared" si="0"/>
        <v>2060</v>
      </c>
      <c r="AM1" s="9">
        <f t="shared" si="0"/>
        <v>2061</v>
      </c>
      <c r="AN1" s="9">
        <f t="shared" si="0"/>
        <v>2062</v>
      </c>
      <c r="AO1" s="9">
        <f t="shared" si="0"/>
        <v>2063</v>
      </c>
      <c r="AP1" s="9">
        <f t="shared" si="0"/>
        <v>2064</v>
      </c>
      <c r="AQ1" s="9">
        <f t="shared" si="0"/>
        <v>2065</v>
      </c>
      <c r="AR1" s="9">
        <f t="shared" si="0"/>
        <v>2066</v>
      </c>
      <c r="AS1" s="9">
        <f t="shared" si="0"/>
        <v>2067</v>
      </c>
      <c r="AT1" s="9">
        <f t="shared" si="0"/>
        <v>2068</v>
      </c>
      <c r="AU1" s="9">
        <f t="shared" si="0"/>
        <v>2069</v>
      </c>
      <c r="AV1" s="9">
        <f t="shared" si="0"/>
        <v>2070</v>
      </c>
      <c r="AW1" s="9">
        <f t="shared" si="0"/>
        <v>2071</v>
      </c>
      <c r="AX1" s="9">
        <f t="shared" si="0"/>
        <v>2072</v>
      </c>
      <c r="AY1" s="10">
        <f t="shared" si="0"/>
        <v>2073</v>
      </c>
      <c r="AZ1" s="23">
        <f t="shared" si="0"/>
        <v>2074</v>
      </c>
      <c r="BA1" s="11">
        <f t="shared" si="0"/>
        <v>2075</v>
      </c>
      <c r="BB1" s="11">
        <f t="shared" si="0"/>
        <v>2076</v>
      </c>
      <c r="BC1" s="11">
        <f t="shared" si="0"/>
        <v>2077</v>
      </c>
      <c r="BD1" s="11">
        <f t="shared" si="0"/>
        <v>2078</v>
      </c>
      <c r="BE1" s="11">
        <f t="shared" si="0"/>
        <v>2079</v>
      </c>
      <c r="BF1" s="11">
        <f t="shared" si="0"/>
        <v>2080</v>
      </c>
      <c r="BG1" s="11">
        <f t="shared" si="0"/>
        <v>2081</v>
      </c>
      <c r="BH1" s="11">
        <f t="shared" si="0"/>
        <v>2082</v>
      </c>
      <c r="BI1" s="11">
        <f t="shared" si="0"/>
        <v>2083</v>
      </c>
      <c r="BJ1" s="11">
        <f t="shared" si="0"/>
        <v>2084</v>
      </c>
      <c r="BK1" s="11">
        <f t="shared" si="0"/>
        <v>2085</v>
      </c>
      <c r="BL1" s="11">
        <f t="shared" si="0"/>
        <v>2086</v>
      </c>
      <c r="BM1" s="11">
        <f t="shared" si="0"/>
        <v>2087</v>
      </c>
      <c r="BN1" s="11">
        <f t="shared" si="0"/>
        <v>2088</v>
      </c>
      <c r="BO1" s="2"/>
    </row>
    <row r="2" spans="1:67" ht="15.75" customHeight="1">
      <c r="A2" s="12" t="s">
        <v>238</v>
      </c>
      <c r="B2" s="13">
        <v>0</v>
      </c>
      <c r="C2" s="14">
        <v>1</v>
      </c>
      <c r="D2" s="14">
        <v>2</v>
      </c>
      <c r="E2" s="14">
        <f t="shared" ref="E2:BN2" si="1">D2+1</f>
        <v>3</v>
      </c>
      <c r="F2" s="14">
        <f t="shared" si="1"/>
        <v>4</v>
      </c>
      <c r="G2" s="14">
        <f t="shared" si="1"/>
        <v>5</v>
      </c>
      <c r="H2" s="14">
        <f t="shared" si="1"/>
        <v>6</v>
      </c>
      <c r="I2" s="14">
        <f t="shared" si="1"/>
        <v>7</v>
      </c>
      <c r="J2" s="14">
        <f t="shared" si="1"/>
        <v>8</v>
      </c>
      <c r="K2" s="14">
        <f t="shared" si="1"/>
        <v>9</v>
      </c>
      <c r="L2" s="14">
        <f t="shared" si="1"/>
        <v>10</v>
      </c>
      <c r="M2" s="14">
        <f t="shared" si="1"/>
        <v>11</v>
      </c>
      <c r="N2" s="14">
        <f t="shared" si="1"/>
        <v>12</v>
      </c>
      <c r="O2" s="14">
        <f t="shared" si="1"/>
        <v>13</v>
      </c>
      <c r="P2" s="14">
        <f t="shared" si="1"/>
        <v>14</v>
      </c>
      <c r="Q2" s="14">
        <f t="shared" si="1"/>
        <v>15</v>
      </c>
      <c r="R2" s="14">
        <f t="shared" si="1"/>
        <v>16</v>
      </c>
      <c r="S2" s="14">
        <f t="shared" si="1"/>
        <v>17</v>
      </c>
      <c r="T2" s="14">
        <f t="shared" si="1"/>
        <v>18</v>
      </c>
      <c r="U2" s="14">
        <f t="shared" si="1"/>
        <v>19</v>
      </c>
      <c r="V2" s="14">
        <f t="shared" si="1"/>
        <v>20</v>
      </c>
      <c r="W2" s="14">
        <f t="shared" si="1"/>
        <v>21</v>
      </c>
      <c r="X2" s="14">
        <f t="shared" si="1"/>
        <v>22</v>
      </c>
      <c r="Y2" s="14">
        <f t="shared" si="1"/>
        <v>23</v>
      </c>
      <c r="Z2" s="14">
        <f t="shared" si="1"/>
        <v>24</v>
      </c>
      <c r="AA2" s="14">
        <f t="shared" si="1"/>
        <v>25</v>
      </c>
      <c r="AB2" s="14">
        <f t="shared" si="1"/>
        <v>26</v>
      </c>
      <c r="AC2" s="14">
        <f t="shared" si="1"/>
        <v>27</v>
      </c>
      <c r="AD2" s="14">
        <f t="shared" si="1"/>
        <v>28</v>
      </c>
      <c r="AE2" s="14">
        <f t="shared" si="1"/>
        <v>29</v>
      </c>
      <c r="AF2" s="14">
        <f t="shared" si="1"/>
        <v>30</v>
      </c>
      <c r="AG2" s="14">
        <f t="shared" si="1"/>
        <v>31</v>
      </c>
      <c r="AH2" s="14">
        <f t="shared" si="1"/>
        <v>32</v>
      </c>
      <c r="AI2" s="14">
        <f t="shared" si="1"/>
        <v>33</v>
      </c>
      <c r="AJ2" s="14">
        <f t="shared" si="1"/>
        <v>34</v>
      </c>
      <c r="AK2" s="14">
        <f t="shared" si="1"/>
        <v>35</v>
      </c>
      <c r="AL2" s="14">
        <f t="shared" si="1"/>
        <v>36</v>
      </c>
      <c r="AM2" s="14">
        <f t="shared" si="1"/>
        <v>37</v>
      </c>
      <c r="AN2" s="14">
        <f t="shared" si="1"/>
        <v>38</v>
      </c>
      <c r="AO2" s="14">
        <f t="shared" si="1"/>
        <v>39</v>
      </c>
      <c r="AP2" s="14">
        <f t="shared" si="1"/>
        <v>40</v>
      </c>
      <c r="AQ2" s="14">
        <f t="shared" si="1"/>
        <v>41</v>
      </c>
      <c r="AR2" s="14">
        <f t="shared" si="1"/>
        <v>42</v>
      </c>
      <c r="AS2" s="14">
        <f t="shared" si="1"/>
        <v>43</v>
      </c>
      <c r="AT2" s="14">
        <f t="shared" si="1"/>
        <v>44</v>
      </c>
      <c r="AU2" s="14">
        <f t="shared" si="1"/>
        <v>45</v>
      </c>
      <c r="AV2" s="14">
        <f t="shared" si="1"/>
        <v>46</v>
      </c>
      <c r="AW2" s="14">
        <f t="shared" si="1"/>
        <v>47</v>
      </c>
      <c r="AX2" s="14">
        <f t="shared" si="1"/>
        <v>48</v>
      </c>
      <c r="AY2" s="14">
        <f t="shared" si="1"/>
        <v>49</v>
      </c>
      <c r="AZ2" s="14">
        <f t="shared" si="1"/>
        <v>50</v>
      </c>
      <c r="BA2" s="14">
        <f t="shared" si="1"/>
        <v>51</v>
      </c>
      <c r="BB2" s="14">
        <f t="shared" si="1"/>
        <v>52</v>
      </c>
      <c r="BC2" s="14">
        <f t="shared" si="1"/>
        <v>53</v>
      </c>
      <c r="BD2" s="14">
        <f t="shared" si="1"/>
        <v>54</v>
      </c>
      <c r="BE2" s="14">
        <f t="shared" si="1"/>
        <v>55</v>
      </c>
      <c r="BF2" s="14">
        <f t="shared" si="1"/>
        <v>56</v>
      </c>
      <c r="BG2" s="14">
        <f t="shared" si="1"/>
        <v>57</v>
      </c>
      <c r="BH2" s="14">
        <f t="shared" si="1"/>
        <v>58</v>
      </c>
      <c r="BI2" s="14">
        <f t="shared" si="1"/>
        <v>59</v>
      </c>
      <c r="BJ2" s="14">
        <f t="shared" si="1"/>
        <v>60</v>
      </c>
      <c r="BK2" s="14">
        <f t="shared" si="1"/>
        <v>61</v>
      </c>
      <c r="BL2" s="14">
        <f t="shared" si="1"/>
        <v>62</v>
      </c>
      <c r="BM2" s="14">
        <f t="shared" si="1"/>
        <v>63</v>
      </c>
      <c r="BN2" s="14">
        <f t="shared" si="1"/>
        <v>64</v>
      </c>
      <c r="BO2" s="2"/>
    </row>
    <row r="3" spans="1:67" ht="15.75" customHeight="1">
      <c r="A3" s="12" t="s">
        <v>239</v>
      </c>
      <c r="B3" s="13"/>
      <c r="C3" s="15">
        <f>'3. Financial drivers '!G26</f>
        <v>2.9499999999999998E-2</v>
      </c>
      <c r="D3" s="15">
        <f>'3. Financial drivers '!G27</f>
        <v>2.4899999999999999E-2</v>
      </c>
      <c r="E3" s="15">
        <f>'3. Financial drivers '!G28</f>
        <v>2.8000000000000001E-2</v>
      </c>
      <c r="F3" s="15">
        <f>'3. Financial drivers '!G29</f>
        <v>2.9000000000000001E-2</v>
      </c>
      <c r="G3" s="15">
        <f>'3. Financial drivers '!G30</f>
        <v>2.9000000000000001E-2</v>
      </c>
      <c r="H3" s="15">
        <f>'3. Financial drivers '!G31</f>
        <v>2.9000000000000001E-2</v>
      </c>
      <c r="I3" s="15">
        <f>'3. Financial drivers '!$G$32</f>
        <v>2.8810000000000002E-2</v>
      </c>
      <c r="J3" s="15">
        <f>'3. Financial drivers '!$G$32</f>
        <v>2.8810000000000002E-2</v>
      </c>
      <c r="K3" s="15">
        <f>'3. Financial drivers '!$G$32</f>
        <v>2.8810000000000002E-2</v>
      </c>
      <c r="L3" s="15">
        <f>'3. Financial drivers '!$G$32</f>
        <v>2.8810000000000002E-2</v>
      </c>
      <c r="M3" s="15">
        <f>'3. Financial drivers '!$G$32</f>
        <v>2.8810000000000002E-2</v>
      </c>
      <c r="N3" s="15">
        <f>'3. Financial drivers '!$G$32</f>
        <v>2.8810000000000002E-2</v>
      </c>
      <c r="O3" s="15">
        <f>'3. Financial drivers '!$G$32</f>
        <v>2.8810000000000002E-2</v>
      </c>
      <c r="P3" s="15">
        <f>'3. Financial drivers '!$G$32</f>
        <v>2.8810000000000002E-2</v>
      </c>
      <c r="Q3" s="15">
        <f>'3. Financial drivers '!$G$32</f>
        <v>2.8810000000000002E-2</v>
      </c>
      <c r="R3" s="15">
        <f>'3. Financial drivers '!$G$32</f>
        <v>2.8810000000000002E-2</v>
      </c>
      <c r="S3" s="15">
        <f>'3. Financial drivers '!$G$32</f>
        <v>2.8810000000000002E-2</v>
      </c>
      <c r="T3" s="15">
        <f>'3. Financial drivers '!$G$32</f>
        <v>2.8810000000000002E-2</v>
      </c>
      <c r="U3" s="15">
        <f>'3. Financial drivers '!$G$32</f>
        <v>2.8810000000000002E-2</v>
      </c>
      <c r="V3" s="15">
        <f>'3. Financial drivers '!$G$32</f>
        <v>2.8810000000000002E-2</v>
      </c>
      <c r="W3" s="15">
        <f>'3. Financial drivers '!$G$32</f>
        <v>2.8810000000000002E-2</v>
      </c>
      <c r="X3" s="15">
        <f>'3. Financial drivers '!$G$32</f>
        <v>2.8810000000000002E-2</v>
      </c>
      <c r="Y3" s="15">
        <f>'3. Financial drivers '!$G$32</f>
        <v>2.8810000000000002E-2</v>
      </c>
      <c r="Z3" s="15">
        <f>'3. Financial drivers '!$G$32</f>
        <v>2.8810000000000002E-2</v>
      </c>
      <c r="AA3" s="15">
        <f>'3. Financial drivers '!$G$32</f>
        <v>2.8810000000000002E-2</v>
      </c>
      <c r="AB3" s="15">
        <f>'3. Financial drivers '!$G$32</f>
        <v>2.8810000000000002E-2</v>
      </c>
      <c r="AC3" s="15">
        <f>'3. Financial drivers '!$G$32</f>
        <v>2.8810000000000002E-2</v>
      </c>
      <c r="AD3" s="15">
        <f>'3. Financial drivers '!$G$32</f>
        <v>2.8810000000000002E-2</v>
      </c>
      <c r="AE3" s="15">
        <f>'3. Financial drivers '!$G$32</f>
        <v>2.8810000000000002E-2</v>
      </c>
      <c r="AF3" s="15">
        <f>'3. Financial drivers '!$G$32</f>
        <v>2.8810000000000002E-2</v>
      </c>
      <c r="AG3" s="15">
        <f>'3. Financial drivers '!$G$32</f>
        <v>2.8810000000000002E-2</v>
      </c>
      <c r="AH3" s="15">
        <f>'3. Financial drivers '!$G$32</f>
        <v>2.8810000000000002E-2</v>
      </c>
      <c r="AI3" s="15">
        <f>'3. Financial drivers '!$G$32</f>
        <v>2.8810000000000002E-2</v>
      </c>
      <c r="AJ3" s="15">
        <f>'3. Financial drivers '!$G$32</f>
        <v>2.8810000000000002E-2</v>
      </c>
      <c r="AK3" s="15">
        <f>'3. Financial drivers '!$G$32</f>
        <v>2.8810000000000002E-2</v>
      </c>
      <c r="AL3" s="15">
        <f>'3. Financial drivers '!$G$32</f>
        <v>2.8810000000000002E-2</v>
      </c>
      <c r="AM3" s="15">
        <f>'3. Financial drivers '!$G$32</f>
        <v>2.8810000000000002E-2</v>
      </c>
      <c r="AN3" s="15">
        <f>'3. Financial drivers '!$G$32</f>
        <v>2.8810000000000002E-2</v>
      </c>
      <c r="AO3" s="15">
        <f>'3. Financial drivers '!$G$32</f>
        <v>2.8810000000000002E-2</v>
      </c>
      <c r="AP3" s="15">
        <f>'3. Financial drivers '!$G$32</f>
        <v>2.8810000000000002E-2</v>
      </c>
      <c r="AQ3" s="15">
        <f>'3. Financial drivers '!$G$32</f>
        <v>2.8810000000000002E-2</v>
      </c>
      <c r="AR3" s="15">
        <f>'3. Financial drivers '!$G$32</f>
        <v>2.8810000000000002E-2</v>
      </c>
      <c r="AS3" s="15">
        <f>'3. Financial drivers '!$G$32</f>
        <v>2.8810000000000002E-2</v>
      </c>
      <c r="AT3" s="15">
        <f>'3. Financial drivers '!$G$32</f>
        <v>2.8810000000000002E-2</v>
      </c>
      <c r="AU3" s="15">
        <f>'3. Financial drivers '!$G$32</f>
        <v>2.8810000000000002E-2</v>
      </c>
      <c r="AV3" s="15">
        <f>'3. Financial drivers '!$G$32</f>
        <v>2.8810000000000002E-2</v>
      </c>
      <c r="AW3" s="15">
        <f>'3. Financial drivers '!$G$32</f>
        <v>2.8810000000000002E-2</v>
      </c>
      <c r="AX3" s="15">
        <f>'3. Financial drivers '!$G$32</f>
        <v>2.8810000000000002E-2</v>
      </c>
      <c r="AY3" s="15">
        <f>'3. Financial drivers '!$G$32</f>
        <v>2.8810000000000002E-2</v>
      </c>
      <c r="AZ3" s="15">
        <f>'3. Financial drivers '!$G$32</f>
        <v>2.8810000000000002E-2</v>
      </c>
      <c r="BA3" s="15">
        <f>'3. Financial drivers '!$G$32</f>
        <v>2.8810000000000002E-2</v>
      </c>
      <c r="BB3" s="15">
        <f>'3. Financial drivers '!$G$32</f>
        <v>2.8810000000000002E-2</v>
      </c>
      <c r="BC3" s="15">
        <f>'3. Financial drivers '!$G$32</f>
        <v>2.8810000000000002E-2</v>
      </c>
      <c r="BD3" s="15">
        <f>'3. Financial drivers '!$G$32</f>
        <v>2.8810000000000002E-2</v>
      </c>
      <c r="BE3" s="15">
        <f>'3. Financial drivers '!$G$32</f>
        <v>2.8810000000000002E-2</v>
      </c>
      <c r="BF3" s="15">
        <f>'3. Financial drivers '!$G$32</f>
        <v>2.8810000000000002E-2</v>
      </c>
      <c r="BG3" s="15">
        <f>'3. Financial drivers '!$G$32</f>
        <v>2.8810000000000002E-2</v>
      </c>
      <c r="BH3" s="15">
        <f>'3. Financial drivers '!$G$32</f>
        <v>2.8810000000000002E-2</v>
      </c>
      <c r="BI3" s="15">
        <f>'3. Financial drivers '!$G$32</f>
        <v>2.8810000000000002E-2</v>
      </c>
      <c r="BJ3" s="15">
        <f>'3. Financial drivers '!$G$32</f>
        <v>2.8810000000000002E-2</v>
      </c>
      <c r="BK3" s="15">
        <f>'3. Financial drivers '!$G$32</f>
        <v>2.8810000000000002E-2</v>
      </c>
      <c r="BL3" s="15">
        <f>'3. Financial drivers '!$G$32</f>
        <v>2.8810000000000002E-2</v>
      </c>
      <c r="BM3" s="15">
        <f>'3. Financial drivers '!$G$32</f>
        <v>2.8810000000000002E-2</v>
      </c>
      <c r="BN3" s="15">
        <f>'3. Financial drivers '!$G$32</f>
        <v>2.8810000000000002E-2</v>
      </c>
      <c r="BO3" s="2"/>
    </row>
    <row r="4" spans="1:67" ht="16">
      <c r="A4" s="12" t="s">
        <v>240</v>
      </c>
      <c r="B4" s="1"/>
      <c r="C4" s="48" t="s">
        <v>225</v>
      </c>
      <c r="D4" s="38"/>
      <c r="E4" s="40"/>
      <c r="F4" s="48" t="s">
        <v>227</v>
      </c>
      <c r="G4" s="40"/>
      <c r="H4" s="49" t="s">
        <v>229</v>
      </c>
      <c r="I4" s="38"/>
      <c r="J4" s="38"/>
      <c r="K4" s="40"/>
      <c r="L4" s="41" t="s">
        <v>232</v>
      </c>
      <c r="M4" s="38"/>
      <c r="N4" s="38"/>
      <c r="O4" s="42" t="s">
        <v>233</v>
      </c>
      <c r="P4" s="38"/>
      <c r="Q4" s="38"/>
      <c r="R4" s="43" t="s">
        <v>328</v>
      </c>
      <c r="S4" s="38"/>
      <c r="T4" s="38"/>
      <c r="U4" s="38"/>
      <c r="V4" s="38"/>
      <c r="W4" s="38"/>
      <c r="X4" s="38"/>
      <c r="Y4" s="38"/>
      <c r="Z4" s="38"/>
      <c r="AA4" s="38"/>
      <c r="AB4" s="38"/>
      <c r="AC4" s="38"/>
      <c r="AD4" s="38"/>
      <c r="AE4" s="38"/>
      <c r="AF4" s="38"/>
      <c r="AG4" s="38"/>
      <c r="AH4" s="38"/>
      <c r="AI4" s="38"/>
      <c r="AJ4" s="38"/>
      <c r="AK4" s="38"/>
      <c r="AL4" s="38"/>
      <c r="AM4" s="38"/>
      <c r="AN4" s="44"/>
      <c r="AO4" s="24" t="s">
        <v>242</v>
      </c>
      <c r="AP4" s="16"/>
      <c r="AQ4" s="16"/>
      <c r="AR4" s="16"/>
      <c r="AS4" s="20"/>
      <c r="AT4" s="16"/>
      <c r="AU4" s="16"/>
      <c r="AV4" s="16"/>
      <c r="AW4" s="16"/>
      <c r="AX4" s="17"/>
      <c r="AY4" s="2"/>
      <c r="AZ4" s="2"/>
      <c r="BA4" s="2"/>
      <c r="BB4" s="2"/>
      <c r="BC4" s="2"/>
      <c r="BD4" s="2"/>
      <c r="BE4" s="2"/>
      <c r="BF4" s="2"/>
      <c r="BG4" s="2"/>
      <c r="BH4" s="2"/>
      <c r="BI4" s="2"/>
      <c r="BJ4" s="2"/>
      <c r="BK4" s="2"/>
      <c r="BL4" s="2"/>
      <c r="BM4" s="2"/>
      <c r="BN4" s="39" t="s">
        <v>243</v>
      </c>
      <c r="BO4" s="2"/>
    </row>
    <row r="5" spans="1:67" ht="15.75" customHeight="1">
      <c r="A5" s="1" t="s">
        <v>244</v>
      </c>
      <c r="B5" s="1"/>
      <c r="C5" s="45" t="s">
        <v>226</v>
      </c>
      <c r="D5" s="38"/>
      <c r="E5" s="40"/>
      <c r="F5" s="46" t="s">
        <v>228</v>
      </c>
      <c r="G5" s="38"/>
      <c r="H5" s="40"/>
      <c r="I5" s="46" t="s">
        <v>230</v>
      </c>
      <c r="J5" s="40"/>
      <c r="K5" s="45" t="s">
        <v>231</v>
      </c>
      <c r="L5" s="38"/>
      <c r="M5" s="38"/>
      <c r="N5" s="38"/>
      <c r="O5" s="40"/>
      <c r="P5" s="45" t="s">
        <v>234</v>
      </c>
      <c r="Q5" s="38"/>
      <c r="R5" s="38"/>
      <c r="S5" s="40"/>
      <c r="T5" s="45" t="s">
        <v>245</v>
      </c>
      <c r="U5" s="38"/>
      <c r="V5" s="38"/>
      <c r="W5" s="38"/>
      <c r="X5" s="38"/>
      <c r="Y5" s="38"/>
      <c r="Z5" s="38"/>
      <c r="AA5" s="38"/>
      <c r="AB5" s="38"/>
      <c r="AC5" s="38"/>
      <c r="AD5" s="38"/>
      <c r="AE5" s="38"/>
      <c r="AF5" s="38"/>
      <c r="AG5" s="38"/>
      <c r="AH5" s="38"/>
      <c r="AI5" s="38"/>
      <c r="AJ5" s="38"/>
      <c r="AK5" s="38"/>
      <c r="AL5" s="38"/>
      <c r="AM5" s="38"/>
      <c r="AN5" s="38"/>
      <c r="AO5" s="38"/>
      <c r="AP5" s="38"/>
      <c r="AQ5" s="21" t="s">
        <v>246</v>
      </c>
      <c r="AR5" s="2"/>
      <c r="AS5" s="2"/>
      <c r="AT5" s="2"/>
      <c r="AU5" s="2"/>
      <c r="AV5" s="2"/>
      <c r="AW5" s="2"/>
      <c r="AX5" s="2"/>
      <c r="AY5" s="14"/>
      <c r="AZ5" s="1"/>
      <c r="BA5" s="14"/>
      <c r="BB5" s="14"/>
      <c r="BC5" s="14"/>
      <c r="BD5" s="14"/>
      <c r="BE5" s="14"/>
      <c r="BF5" s="14"/>
      <c r="BG5" s="14"/>
      <c r="BH5" s="14"/>
      <c r="BI5" s="14"/>
      <c r="BJ5" s="14"/>
      <c r="BK5" s="14"/>
      <c r="BL5" s="14"/>
      <c r="BM5" s="14"/>
      <c r="BN5" s="38"/>
      <c r="BO5" s="2"/>
    </row>
    <row r="6" spans="1:67" ht="15.75" customHeight="1">
      <c r="A6" s="12" t="s">
        <v>247</v>
      </c>
      <c r="B6" s="1"/>
      <c r="C6" s="1"/>
      <c r="D6" s="1"/>
      <c r="E6" s="1"/>
      <c r="F6" s="1"/>
      <c r="G6" s="1"/>
      <c r="H6" s="25" t="s">
        <v>248</v>
      </c>
      <c r="I6" s="1"/>
      <c r="J6" s="1"/>
      <c r="K6" s="1"/>
      <c r="M6" s="14"/>
      <c r="N6" s="14"/>
      <c r="O6" s="14"/>
      <c r="P6" s="14"/>
      <c r="Q6" s="14"/>
      <c r="R6" s="14"/>
      <c r="S6" s="14"/>
      <c r="T6" s="14"/>
      <c r="U6" s="14"/>
      <c r="V6" s="14"/>
      <c r="W6" s="1"/>
      <c r="X6" s="26"/>
      <c r="Y6" s="26"/>
      <c r="Z6" s="26" t="s">
        <v>249</v>
      </c>
      <c r="AA6" s="26"/>
      <c r="AB6" s="26"/>
      <c r="AC6" s="26"/>
      <c r="AD6" s="26" t="s">
        <v>250</v>
      </c>
      <c r="AE6" s="26"/>
      <c r="AF6" s="26"/>
      <c r="AG6" s="26"/>
      <c r="AH6" s="26"/>
      <c r="AI6" s="26"/>
      <c r="AJ6" s="26"/>
      <c r="AK6" s="26"/>
      <c r="AL6" s="26"/>
      <c r="AM6" s="26"/>
      <c r="AN6" s="26"/>
      <c r="AO6" s="26"/>
      <c r="AP6" s="26"/>
      <c r="AQ6" s="26"/>
      <c r="AR6" s="26"/>
      <c r="AS6" s="26"/>
      <c r="AT6" s="26"/>
      <c r="AU6" s="26"/>
      <c r="AV6" s="26"/>
      <c r="AW6" s="26"/>
      <c r="AX6" s="27"/>
      <c r="AY6" s="2"/>
      <c r="AZ6" s="2"/>
      <c r="BA6" s="2"/>
      <c r="BB6" s="2"/>
      <c r="BC6" s="2"/>
      <c r="BD6" s="2"/>
      <c r="BE6" s="2"/>
      <c r="BF6" s="2"/>
      <c r="BG6" s="2"/>
      <c r="BH6" s="2"/>
      <c r="BI6" s="2"/>
      <c r="BJ6" s="2"/>
      <c r="BK6" s="2"/>
      <c r="BL6" s="2"/>
      <c r="BM6" s="2"/>
      <c r="BN6" s="2"/>
      <c r="BO6" s="2"/>
    </row>
    <row r="7" spans="1:67" ht="15.75" customHeight="1">
      <c r="A7" s="1" t="s">
        <v>251</v>
      </c>
      <c r="B7" s="1"/>
      <c r="C7" s="1"/>
      <c r="D7" s="1"/>
      <c r="E7" s="1"/>
      <c r="F7" s="1"/>
      <c r="G7" s="1"/>
      <c r="H7" s="18"/>
      <c r="I7" s="1"/>
      <c r="J7" s="1"/>
      <c r="K7" s="1"/>
      <c r="L7" s="14"/>
      <c r="M7" s="50" t="s">
        <v>252</v>
      </c>
      <c r="N7" s="38"/>
      <c r="O7" s="38"/>
      <c r="P7" s="38"/>
      <c r="Q7" s="38"/>
      <c r="R7" s="38"/>
      <c r="S7" s="38"/>
      <c r="T7" s="38"/>
      <c r="U7" s="38"/>
      <c r="V7" s="38"/>
      <c r="W7" s="1"/>
      <c r="X7" s="2"/>
      <c r="Y7" s="2"/>
      <c r="Z7" s="47" t="s">
        <v>337</v>
      </c>
      <c r="AA7" s="38"/>
      <c r="AB7" s="38"/>
      <c r="AC7" s="38"/>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row>
    <row r="8" spans="1:67" ht="15.75" customHeight="1">
      <c r="A8" s="1"/>
      <c r="B8" s="1"/>
      <c r="C8" s="1"/>
      <c r="D8" s="1"/>
      <c r="E8" s="1"/>
      <c r="F8" s="1"/>
      <c r="G8" s="1"/>
      <c r="H8" s="18"/>
      <c r="I8" s="1"/>
      <c r="J8" s="1"/>
      <c r="K8" s="1"/>
      <c r="L8" s="14"/>
      <c r="M8" s="14"/>
      <c r="N8" s="14"/>
      <c r="O8" s="14"/>
      <c r="P8" s="14"/>
      <c r="Q8" s="14"/>
      <c r="R8" s="14"/>
      <c r="S8" s="14"/>
      <c r="T8" s="14"/>
      <c r="U8" s="14"/>
      <c r="V8" s="14"/>
      <c r="W8" s="1"/>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row>
    <row r="9" spans="1:67" ht="15.75" customHeight="1">
      <c r="A9" s="1" t="s">
        <v>338</v>
      </c>
      <c r="B9" s="1"/>
      <c r="C9" s="19">
        <v>458000000</v>
      </c>
      <c r="D9" s="3">
        <f t="shared" ref="D9:Z9" si="2">C9*(1+D3)</f>
        <v>469404199.99999994</v>
      </c>
      <c r="E9" s="3">
        <f t="shared" si="2"/>
        <v>482547517.59999996</v>
      </c>
      <c r="F9" s="3">
        <f t="shared" si="2"/>
        <v>496541395.6103999</v>
      </c>
      <c r="G9" s="3">
        <f t="shared" si="2"/>
        <v>510941096.08310145</v>
      </c>
      <c r="H9" s="3">
        <f t="shared" si="2"/>
        <v>525758387.86951137</v>
      </c>
      <c r="I9" s="3">
        <f t="shared" si="2"/>
        <v>540905487.024032</v>
      </c>
      <c r="J9" s="3">
        <f t="shared" si="2"/>
        <v>556488974.10519433</v>
      </c>
      <c r="K9" s="3">
        <f t="shared" si="2"/>
        <v>572521421.44916499</v>
      </c>
      <c r="L9" s="3">
        <f t="shared" si="2"/>
        <v>589015763.60111547</v>
      </c>
      <c r="M9" s="3">
        <f t="shared" si="2"/>
        <v>605985307.7504636</v>
      </c>
      <c r="N9" s="3">
        <f t="shared" si="2"/>
        <v>623443744.46675444</v>
      </c>
      <c r="O9" s="3">
        <f t="shared" si="2"/>
        <v>641405158.74484158</v>
      </c>
      <c r="P9" s="3">
        <f t="shared" si="2"/>
        <v>659884041.36828041</v>
      </c>
      <c r="Q9" s="3">
        <f t="shared" si="2"/>
        <v>678895300.60010052</v>
      </c>
      <c r="R9" s="3">
        <f t="shared" si="2"/>
        <v>698454274.21038938</v>
      </c>
      <c r="S9" s="3">
        <f t="shared" si="2"/>
        <v>718576741.85039067</v>
      </c>
      <c r="T9" s="3">
        <f t="shared" si="2"/>
        <v>739278937.78310049</v>
      </c>
      <c r="U9" s="3">
        <f t="shared" si="2"/>
        <v>760577563.98063159</v>
      </c>
      <c r="V9" s="3">
        <f t="shared" si="2"/>
        <v>782489803.59891355</v>
      </c>
      <c r="W9" s="3">
        <f t="shared" si="2"/>
        <v>805033334.84059823</v>
      </c>
      <c r="X9" s="3">
        <f t="shared" si="2"/>
        <v>828226345.21735585</v>
      </c>
      <c r="Y9" s="3">
        <f t="shared" si="2"/>
        <v>852087546.22306788</v>
      </c>
      <c r="Z9" s="3">
        <f t="shared" si="2"/>
        <v>876636188.4297545</v>
      </c>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row>
    <row r="10" spans="1:67" ht="15.75" customHeight="1">
      <c r="A10" s="4"/>
      <c r="B10" s="4" t="s">
        <v>60</v>
      </c>
      <c r="C10" s="28" t="s">
        <v>163</v>
      </c>
      <c r="D10" s="19"/>
    </row>
    <row r="11" spans="1:67" ht="15.75" customHeight="1">
      <c r="A11" s="4"/>
      <c r="B11" s="4" t="s">
        <v>338</v>
      </c>
      <c r="C11" s="19">
        <f>Z9</f>
        <v>876636188.4297545</v>
      </c>
      <c r="D11" s="19"/>
    </row>
    <row r="12" spans="1:67" ht="15.75" customHeight="1">
      <c r="A12" s="4"/>
      <c r="B12" s="4" t="s">
        <v>329</v>
      </c>
      <c r="C12" s="4">
        <v>4</v>
      </c>
    </row>
    <row r="13" spans="1:67" ht="15.75" customHeight="1">
      <c r="A13" s="4"/>
      <c r="B13" s="5" t="s">
        <v>339</v>
      </c>
    </row>
    <row r="14" spans="1:67" ht="15.75" customHeight="1">
      <c r="A14" s="4"/>
      <c r="B14" s="4" t="s">
        <v>331</v>
      </c>
      <c r="C14" s="19">
        <f>C11</f>
        <v>876636188.4297545</v>
      </c>
      <c r="D14" s="4" t="e">
        <f t="shared" ref="D14:F14" si="3">IF(C19=0,0,C19)</f>
        <v>#REF!</v>
      </c>
      <c r="E14" s="4" t="e">
        <f t="shared" si="3"/>
        <v>#REF!</v>
      </c>
      <c r="F14" s="4" t="e">
        <f t="shared" si="3"/>
        <v>#REF!</v>
      </c>
      <c r="N14" s="19"/>
    </row>
    <row r="15" spans="1:67" ht="15.75" customHeight="1">
      <c r="A15" s="4"/>
      <c r="B15" s="4" t="s">
        <v>332</v>
      </c>
      <c r="C15" s="4" t="e">
        <f t="shared" ref="C15:F15" si="4">#REF!</f>
        <v>#REF!</v>
      </c>
      <c r="D15" s="4" t="e">
        <f t="shared" si="4"/>
        <v>#REF!</v>
      </c>
      <c r="E15" s="4" t="e">
        <f t="shared" si="4"/>
        <v>#REF!</v>
      </c>
      <c r="F15" s="4" t="e">
        <f t="shared" si="4"/>
        <v>#REF!</v>
      </c>
    </row>
    <row r="16" spans="1:67" ht="15.75" customHeight="1">
      <c r="A16" s="4"/>
      <c r="B16" s="4" t="s">
        <v>333</v>
      </c>
      <c r="C16" s="19" t="e">
        <f>-PMT($C$15,$C$12,$C$14)</f>
        <v>#REF!</v>
      </c>
      <c r="D16" s="19" t="e">
        <f t="shared" ref="D16:F16" si="5">IF(C16=0,0,C16)</f>
        <v>#REF!</v>
      </c>
      <c r="E16" s="19" t="e">
        <f t="shared" si="5"/>
        <v>#REF!</v>
      </c>
      <c r="F16" s="19" t="e">
        <f t="shared" si="5"/>
        <v>#REF!</v>
      </c>
      <c r="N16" s="19"/>
    </row>
    <row r="17" spans="1:6" ht="15.75" customHeight="1">
      <c r="A17" s="4"/>
      <c r="B17" s="4" t="s">
        <v>334</v>
      </c>
      <c r="C17" s="19" t="e">
        <f t="shared" ref="C17:F17" si="6">C16-C18</f>
        <v>#REF!</v>
      </c>
      <c r="D17" s="19" t="e">
        <f t="shared" si="6"/>
        <v>#REF!</v>
      </c>
      <c r="E17" s="19" t="e">
        <f t="shared" si="6"/>
        <v>#REF!</v>
      </c>
      <c r="F17" s="19" t="e">
        <f t="shared" si="6"/>
        <v>#REF!</v>
      </c>
    </row>
    <row r="18" spans="1:6" ht="15.75" customHeight="1">
      <c r="A18" s="4"/>
      <c r="B18" s="4" t="s">
        <v>335</v>
      </c>
      <c r="C18" s="19" t="e">
        <f>C15*C14</f>
        <v>#REF!</v>
      </c>
      <c r="D18" s="19" t="e">
        <f t="shared" ref="D18:F18" si="7">D14*D15</f>
        <v>#REF!</v>
      </c>
      <c r="E18" s="19" t="e">
        <f t="shared" si="7"/>
        <v>#REF!</v>
      </c>
      <c r="F18" s="19" t="e">
        <f t="shared" si="7"/>
        <v>#REF!</v>
      </c>
    </row>
    <row r="19" spans="1:6" ht="15.75" customHeight="1">
      <c r="A19" s="4"/>
      <c r="B19" s="4" t="s">
        <v>336</v>
      </c>
      <c r="C19" s="19" t="e">
        <f t="shared" ref="C19:F19" si="8">C14-C17</f>
        <v>#REF!</v>
      </c>
      <c r="D19" s="19" t="e">
        <f t="shared" si="8"/>
        <v>#REF!</v>
      </c>
      <c r="E19" s="19" t="e">
        <f t="shared" si="8"/>
        <v>#REF!</v>
      </c>
      <c r="F19" s="19" t="e">
        <f t="shared" si="8"/>
        <v>#REF!</v>
      </c>
    </row>
  </sheetData>
  <mergeCells count="15">
    <mergeCell ref="BN4:BN5"/>
    <mergeCell ref="Z7:AC7"/>
    <mergeCell ref="P5:S5"/>
    <mergeCell ref="T5:AP5"/>
    <mergeCell ref="C4:E4"/>
    <mergeCell ref="F4:G4"/>
    <mergeCell ref="H4:K4"/>
    <mergeCell ref="L4:N4"/>
    <mergeCell ref="O4:Q4"/>
    <mergeCell ref="R4:AN4"/>
    <mergeCell ref="C5:E5"/>
    <mergeCell ref="F5:H5"/>
    <mergeCell ref="I5:J5"/>
    <mergeCell ref="K5:O5"/>
    <mergeCell ref="M7:V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B1:M1002"/>
  <sheetViews>
    <sheetView showGridLines="0" topLeftCell="A3" workbookViewId="0">
      <selection activeCell="B5" sqref="B5:C5"/>
    </sheetView>
  </sheetViews>
  <sheetFormatPr baseColWidth="10" defaultColWidth="12.6640625" defaultRowHeight="15.75" customHeight="1"/>
  <cols>
    <col min="1" max="1" width="12.6640625" style="63"/>
    <col min="2" max="2" width="63.5" style="63" customWidth="1"/>
    <col min="3" max="3" width="32.6640625" style="63" customWidth="1"/>
    <col min="4" max="4" width="12.6640625" style="63"/>
    <col min="5" max="5" width="79.6640625" style="63" customWidth="1"/>
    <col min="6" max="6" width="23.33203125" style="63" customWidth="1"/>
    <col min="7" max="16384" width="12.6640625" style="63"/>
  </cols>
  <sheetData>
    <row r="1" spans="2:13" s="63" customFormat="1" ht="15.75" customHeight="1">
      <c r="C1" s="97"/>
      <c r="F1" s="97"/>
    </row>
    <row r="2" spans="2:13" s="63" customFormat="1" ht="17">
      <c r="B2" s="316" t="s">
        <v>340</v>
      </c>
      <c r="C2" s="70"/>
      <c r="D2" s="70"/>
      <c r="E2" s="70"/>
      <c r="F2" s="70"/>
      <c r="G2" s="68"/>
      <c r="H2" s="68"/>
      <c r="I2" s="68"/>
      <c r="J2" s="68"/>
      <c r="K2" s="68"/>
      <c r="L2" s="68"/>
      <c r="M2" s="68"/>
    </row>
    <row r="3" spans="2:13" s="63" customFormat="1" ht="15.75" customHeight="1">
      <c r="B3" s="97"/>
      <c r="C3" s="97"/>
      <c r="D3" s="97"/>
      <c r="E3" s="97"/>
      <c r="F3" s="97"/>
      <c r="G3" s="68"/>
      <c r="H3" s="68"/>
      <c r="I3" s="68"/>
      <c r="J3" s="68"/>
      <c r="K3" s="68"/>
      <c r="L3" s="68"/>
      <c r="M3" s="68"/>
    </row>
    <row r="4" spans="2:13" s="63" customFormat="1" ht="17">
      <c r="B4" s="317" t="s">
        <v>341</v>
      </c>
      <c r="C4" s="107"/>
      <c r="D4" s="318" t="s">
        <v>27</v>
      </c>
      <c r="E4" s="317" t="s">
        <v>342</v>
      </c>
      <c r="F4" s="107"/>
      <c r="G4" s="318" t="s">
        <v>27</v>
      </c>
    </row>
    <row r="5" spans="2:13" s="63" customFormat="1" ht="409" customHeight="1">
      <c r="B5" s="319" t="s">
        <v>343</v>
      </c>
      <c r="C5" s="107"/>
      <c r="E5" s="319" t="s">
        <v>344</v>
      </c>
      <c r="F5" s="107"/>
    </row>
    <row r="6" spans="2:13" s="63" customFormat="1" ht="15.75" customHeight="1">
      <c r="B6" s="120" t="s">
        <v>345</v>
      </c>
      <c r="C6" s="320" t="s">
        <v>346</v>
      </c>
      <c r="E6" s="120" t="s">
        <v>345</v>
      </c>
      <c r="F6" s="320" t="s">
        <v>346</v>
      </c>
    </row>
    <row r="7" spans="2:13" s="63" customFormat="1" ht="15.75" customHeight="1">
      <c r="B7" s="120" t="s">
        <v>347</v>
      </c>
      <c r="C7" s="320">
        <v>66000</v>
      </c>
      <c r="E7" s="120" t="s">
        <v>347</v>
      </c>
      <c r="F7" s="320">
        <v>66000</v>
      </c>
    </row>
    <row r="8" spans="2:13" s="63" customFormat="1" ht="15.75" customHeight="1">
      <c r="C8" s="97"/>
      <c r="E8" s="321"/>
      <c r="F8" s="97"/>
    </row>
    <row r="9" spans="2:13" s="63" customFormat="1" ht="15.75" customHeight="1">
      <c r="C9" s="97"/>
      <c r="F9" s="97"/>
    </row>
    <row r="10" spans="2:13" s="63" customFormat="1" ht="15.75" customHeight="1">
      <c r="C10" s="97"/>
      <c r="F10" s="97"/>
    </row>
    <row r="11" spans="2:13" s="63" customFormat="1" ht="15.75" customHeight="1">
      <c r="C11" s="97"/>
      <c r="F11" s="97"/>
    </row>
    <row r="12" spans="2:13" s="63" customFormat="1" ht="15.75" customHeight="1">
      <c r="C12" s="97"/>
      <c r="F12" s="97"/>
    </row>
    <row r="13" spans="2:13" s="63" customFormat="1" ht="15.75" customHeight="1">
      <c r="C13" s="97"/>
      <c r="F13" s="97"/>
    </row>
    <row r="14" spans="2:13" s="63" customFormat="1" ht="15.75" customHeight="1">
      <c r="C14" s="97"/>
      <c r="F14" s="97"/>
    </row>
    <row r="15" spans="2:13" s="63" customFormat="1" ht="15.75" customHeight="1">
      <c r="C15" s="97"/>
      <c r="F15" s="97"/>
    </row>
    <row r="16" spans="2:13" s="63" customFormat="1" ht="15.75" customHeight="1">
      <c r="C16" s="97"/>
      <c r="F16" s="97"/>
    </row>
    <row r="17" spans="3:6" s="63" customFormat="1" ht="15.75" customHeight="1">
      <c r="C17" s="97"/>
      <c r="F17" s="97"/>
    </row>
    <row r="18" spans="3:6" s="63" customFormat="1" ht="15.75" customHeight="1">
      <c r="C18" s="97"/>
      <c r="F18" s="97"/>
    </row>
    <row r="19" spans="3:6" s="63" customFormat="1" ht="15.75" customHeight="1">
      <c r="C19" s="97"/>
      <c r="F19" s="97"/>
    </row>
    <row r="20" spans="3:6" s="63" customFormat="1" ht="15.75" customHeight="1">
      <c r="C20" s="97"/>
      <c r="F20" s="97"/>
    </row>
    <row r="21" spans="3:6" s="63" customFormat="1" ht="15.75" customHeight="1">
      <c r="C21" s="97"/>
      <c r="F21" s="97"/>
    </row>
    <row r="22" spans="3:6" s="63" customFormat="1" ht="15.75" customHeight="1">
      <c r="C22" s="97"/>
      <c r="F22" s="97"/>
    </row>
    <row r="23" spans="3:6" s="63" customFormat="1" ht="15.75" customHeight="1">
      <c r="C23" s="97"/>
      <c r="F23" s="97"/>
    </row>
    <row r="24" spans="3:6" s="63" customFormat="1" ht="15.75" customHeight="1">
      <c r="C24" s="97"/>
      <c r="F24" s="97"/>
    </row>
    <row r="25" spans="3:6" s="63" customFormat="1" ht="15.75" customHeight="1">
      <c r="C25" s="97"/>
      <c r="F25" s="97"/>
    </row>
    <row r="26" spans="3:6" s="63" customFormat="1" ht="15.75" customHeight="1">
      <c r="C26" s="97"/>
      <c r="F26" s="97"/>
    </row>
    <row r="27" spans="3:6" s="63" customFormat="1" ht="15.75" customHeight="1">
      <c r="C27" s="97"/>
      <c r="F27" s="97"/>
    </row>
    <row r="28" spans="3:6" s="63" customFormat="1" ht="15.75" customHeight="1">
      <c r="C28" s="97"/>
      <c r="F28" s="97"/>
    </row>
    <row r="29" spans="3:6" s="63" customFormat="1" ht="15.75" customHeight="1">
      <c r="C29" s="97"/>
      <c r="F29" s="97"/>
    </row>
    <row r="30" spans="3:6" s="63" customFormat="1" ht="15.75" customHeight="1">
      <c r="C30" s="97"/>
      <c r="F30" s="97"/>
    </row>
    <row r="31" spans="3:6" s="63" customFormat="1" ht="15.75" customHeight="1">
      <c r="C31" s="97"/>
      <c r="F31" s="97"/>
    </row>
    <row r="32" spans="3:6" s="63" customFormat="1" ht="15.75" customHeight="1">
      <c r="C32" s="97"/>
      <c r="F32" s="97"/>
    </row>
    <row r="33" spans="3:6" s="63" customFormat="1" ht="15.75" customHeight="1">
      <c r="C33" s="97"/>
      <c r="F33" s="97"/>
    </row>
    <row r="34" spans="3:6" s="63" customFormat="1" ht="15.75" customHeight="1">
      <c r="C34" s="97"/>
      <c r="F34" s="97"/>
    </row>
    <row r="35" spans="3:6" s="63" customFormat="1" ht="15.75" customHeight="1">
      <c r="C35" s="97"/>
      <c r="F35" s="97"/>
    </row>
    <row r="36" spans="3:6" s="63" customFormat="1" ht="15.75" customHeight="1">
      <c r="C36" s="97"/>
      <c r="F36" s="97"/>
    </row>
    <row r="37" spans="3:6" s="63" customFormat="1" ht="15.75" customHeight="1">
      <c r="C37" s="97"/>
      <c r="F37" s="97"/>
    </row>
    <row r="38" spans="3:6" s="63" customFormat="1" ht="15.75" customHeight="1">
      <c r="C38" s="97"/>
      <c r="F38" s="97"/>
    </row>
    <row r="39" spans="3:6" s="63" customFormat="1" ht="15.75" customHeight="1">
      <c r="C39" s="97"/>
      <c r="F39" s="97"/>
    </row>
    <row r="40" spans="3:6" s="63" customFormat="1" ht="15.75" customHeight="1">
      <c r="C40" s="97"/>
      <c r="F40" s="97"/>
    </row>
    <row r="41" spans="3:6" s="63" customFormat="1" ht="15.75" customHeight="1">
      <c r="C41" s="97"/>
      <c r="F41" s="97"/>
    </row>
    <row r="42" spans="3:6" s="63" customFormat="1" ht="15.75" customHeight="1">
      <c r="C42" s="97"/>
      <c r="F42" s="97"/>
    </row>
    <row r="43" spans="3:6" s="63" customFormat="1" ht="15.75" customHeight="1">
      <c r="C43" s="97"/>
      <c r="F43" s="97"/>
    </row>
    <row r="44" spans="3:6" s="63" customFormat="1" ht="15.75" customHeight="1">
      <c r="C44" s="97"/>
      <c r="F44" s="97"/>
    </row>
    <row r="45" spans="3:6" s="63" customFormat="1" ht="15.75" customHeight="1">
      <c r="C45" s="97"/>
      <c r="F45" s="97"/>
    </row>
    <row r="46" spans="3:6" s="63" customFormat="1" ht="15.75" customHeight="1">
      <c r="C46" s="97"/>
      <c r="F46" s="97"/>
    </row>
    <row r="47" spans="3:6" s="63" customFormat="1" ht="15.75" customHeight="1">
      <c r="C47" s="97"/>
      <c r="F47" s="97"/>
    </row>
    <row r="48" spans="3:6" s="63" customFormat="1" ht="15.75" customHeight="1">
      <c r="C48" s="97"/>
      <c r="F48" s="97"/>
    </row>
    <row r="49" spans="3:6" s="63" customFormat="1" ht="15.75" customHeight="1">
      <c r="C49" s="97"/>
      <c r="F49" s="97"/>
    </row>
    <row r="50" spans="3:6" s="63" customFormat="1" ht="15.75" customHeight="1">
      <c r="C50" s="97"/>
      <c r="F50" s="97"/>
    </row>
    <row r="51" spans="3:6" s="63" customFormat="1" ht="17">
      <c r="C51" s="97"/>
      <c r="F51" s="97"/>
    </row>
    <row r="52" spans="3:6" s="63" customFormat="1" ht="17">
      <c r="C52" s="97"/>
      <c r="F52" s="97"/>
    </row>
    <row r="53" spans="3:6" s="63" customFormat="1" ht="17">
      <c r="C53" s="97"/>
      <c r="F53" s="97"/>
    </row>
    <row r="54" spans="3:6" s="63" customFormat="1" ht="17">
      <c r="C54" s="97"/>
      <c r="F54" s="97"/>
    </row>
    <row r="55" spans="3:6" s="63" customFormat="1" ht="17">
      <c r="C55" s="97"/>
      <c r="F55" s="97"/>
    </row>
    <row r="56" spans="3:6" s="63" customFormat="1" ht="17">
      <c r="C56" s="97"/>
      <c r="F56" s="97"/>
    </row>
    <row r="57" spans="3:6" s="63" customFormat="1" ht="17">
      <c r="C57" s="97"/>
      <c r="F57" s="97"/>
    </row>
    <row r="58" spans="3:6" s="63" customFormat="1" ht="17">
      <c r="C58" s="97"/>
      <c r="F58" s="97"/>
    </row>
    <row r="59" spans="3:6" s="63" customFormat="1" ht="17">
      <c r="C59" s="97"/>
      <c r="F59" s="97"/>
    </row>
    <row r="60" spans="3:6" s="63" customFormat="1" ht="17">
      <c r="C60" s="97"/>
      <c r="F60" s="97"/>
    </row>
    <row r="61" spans="3:6" s="63" customFormat="1" ht="17">
      <c r="C61" s="97"/>
      <c r="F61" s="97"/>
    </row>
    <row r="62" spans="3:6" s="63" customFormat="1" ht="17">
      <c r="C62" s="97"/>
      <c r="F62" s="97"/>
    </row>
    <row r="63" spans="3:6" s="63" customFormat="1" ht="17">
      <c r="C63" s="97"/>
      <c r="F63" s="97"/>
    </row>
    <row r="64" spans="3:6" s="63" customFormat="1" ht="17">
      <c r="C64" s="97"/>
      <c r="F64" s="97"/>
    </row>
    <row r="65" spans="3:6" s="63" customFormat="1" ht="17">
      <c r="C65" s="97"/>
      <c r="F65" s="97"/>
    </row>
    <row r="66" spans="3:6" s="63" customFormat="1" ht="17">
      <c r="C66" s="97"/>
      <c r="F66" s="97"/>
    </row>
    <row r="67" spans="3:6" s="63" customFormat="1" ht="17">
      <c r="C67" s="97"/>
      <c r="F67" s="97"/>
    </row>
    <row r="68" spans="3:6" s="63" customFormat="1" ht="17">
      <c r="C68" s="97"/>
      <c r="F68" s="97"/>
    </row>
    <row r="69" spans="3:6" s="63" customFormat="1" ht="17">
      <c r="C69" s="97"/>
      <c r="F69" s="97"/>
    </row>
    <row r="70" spans="3:6" s="63" customFormat="1" ht="17">
      <c r="C70" s="97"/>
      <c r="F70" s="97"/>
    </row>
    <row r="71" spans="3:6" s="63" customFormat="1" ht="17">
      <c r="C71" s="97"/>
      <c r="F71" s="97"/>
    </row>
    <row r="72" spans="3:6" s="63" customFormat="1" ht="17">
      <c r="C72" s="97"/>
      <c r="F72" s="97"/>
    </row>
    <row r="73" spans="3:6" s="63" customFormat="1" ht="17">
      <c r="C73" s="97"/>
      <c r="F73" s="97"/>
    </row>
    <row r="74" spans="3:6" s="63" customFormat="1" ht="17">
      <c r="C74" s="97"/>
      <c r="F74" s="97"/>
    </row>
    <row r="75" spans="3:6" s="63" customFormat="1" ht="17">
      <c r="C75" s="97"/>
      <c r="F75" s="97"/>
    </row>
    <row r="76" spans="3:6" s="63" customFormat="1" ht="17">
      <c r="C76" s="97"/>
      <c r="F76" s="97"/>
    </row>
    <row r="77" spans="3:6" s="63" customFormat="1" ht="17">
      <c r="C77" s="97"/>
      <c r="F77" s="97"/>
    </row>
    <row r="78" spans="3:6" s="63" customFormat="1" ht="17">
      <c r="C78" s="97"/>
      <c r="F78" s="97"/>
    </row>
    <row r="79" spans="3:6" s="63" customFormat="1" ht="17">
      <c r="C79" s="97"/>
      <c r="F79" s="97"/>
    </row>
    <row r="80" spans="3:6" s="63" customFormat="1" ht="17">
      <c r="C80" s="97"/>
      <c r="F80" s="97"/>
    </row>
    <row r="81" spans="3:6" s="63" customFormat="1" ht="17">
      <c r="C81" s="97"/>
      <c r="F81" s="97"/>
    </row>
    <row r="82" spans="3:6" s="63" customFormat="1" ht="17">
      <c r="C82" s="97"/>
      <c r="F82" s="97"/>
    </row>
    <row r="83" spans="3:6" s="63" customFormat="1" ht="17">
      <c r="C83" s="97"/>
      <c r="F83" s="97"/>
    </row>
    <row r="84" spans="3:6" s="63" customFormat="1" ht="17">
      <c r="C84" s="97"/>
      <c r="F84" s="97"/>
    </row>
    <row r="85" spans="3:6" s="63" customFormat="1" ht="17">
      <c r="C85" s="97"/>
      <c r="F85" s="97"/>
    </row>
    <row r="86" spans="3:6" s="63" customFormat="1" ht="17">
      <c r="C86" s="97"/>
      <c r="F86" s="97"/>
    </row>
    <row r="87" spans="3:6" s="63" customFormat="1" ht="17">
      <c r="C87" s="97"/>
      <c r="F87" s="97"/>
    </row>
    <row r="88" spans="3:6" s="63" customFormat="1" ht="17">
      <c r="C88" s="97"/>
      <c r="F88" s="97"/>
    </row>
    <row r="89" spans="3:6" s="63" customFormat="1" ht="17">
      <c r="C89" s="97"/>
      <c r="F89" s="97"/>
    </row>
    <row r="90" spans="3:6" s="63" customFormat="1" ht="17">
      <c r="C90" s="97"/>
      <c r="F90" s="97"/>
    </row>
    <row r="91" spans="3:6" s="63" customFormat="1" ht="17">
      <c r="C91" s="97"/>
      <c r="F91" s="97"/>
    </row>
    <row r="92" spans="3:6" s="63" customFormat="1" ht="17">
      <c r="C92" s="97"/>
      <c r="F92" s="97"/>
    </row>
    <row r="93" spans="3:6" s="63" customFormat="1" ht="17">
      <c r="C93" s="97"/>
      <c r="F93" s="97"/>
    </row>
    <row r="94" spans="3:6" s="63" customFormat="1" ht="17">
      <c r="C94" s="97"/>
      <c r="F94" s="97"/>
    </row>
    <row r="95" spans="3:6" s="63" customFormat="1" ht="17">
      <c r="C95" s="97"/>
      <c r="F95" s="97"/>
    </row>
    <row r="96" spans="3:6" s="63" customFormat="1" ht="17">
      <c r="C96" s="97"/>
      <c r="F96" s="97"/>
    </row>
    <row r="97" spans="3:6" s="63" customFormat="1" ht="17">
      <c r="C97" s="97"/>
      <c r="F97" s="97"/>
    </row>
    <row r="98" spans="3:6" s="63" customFormat="1" ht="17">
      <c r="C98" s="97"/>
      <c r="F98" s="97"/>
    </row>
    <row r="99" spans="3:6" s="63" customFormat="1" ht="17">
      <c r="C99" s="97"/>
      <c r="F99" s="97"/>
    </row>
    <row r="100" spans="3:6" s="63" customFormat="1" ht="17">
      <c r="C100" s="97"/>
      <c r="F100" s="97"/>
    </row>
    <row r="101" spans="3:6" s="63" customFormat="1" ht="17">
      <c r="C101" s="97"/>
      <c r="F101" s="97"/>
    </row>
    <row r="102" spans="3:6" s="63" customFormat="1" ht="17">
      <c r="C102" s="97"/>
      <c r="F102" s="97"/>
    </row>
    <row r="103" spans="3:6" s="63" customFormat="1" ht="17">
      <c r="C103" s="97"/>
      <c r="F103" s="97"/>
    </row>
    <row r="104" spans="3:6" s="63" customFormat="1" ht="17">
      <c r="C104" s="97"/>
      <c r="F104" s="97"/>
    </row>
    <row r="105" spans="3:6" s="63" customFormat="1" ht="17">
      <c r="C105" s="97"/>
      <c r="F105" s="97"/>
    </row>
    <row r="106" spans="3:6" s="63" customFormat="1" ht="17">
      <c r="C106" s="97"/>
      <c r="F106" s="97"/>
    </row>
    <row r="107" spans="3:6" s="63" customFormat="1" ht="17">
      <c r="C107" s="97"/>
      <c r="F107" s="97"/>
    </row>
    <row r="108" spans="3:6" s="63" customFormat="1" ht="17">
      <c r="C108" s="97"/>
      <c r="F108" s="97"/>
    </row>
    <row r="109" spans="3:6" s="63" customFormat="1" ht="17">
      <c r="C109" s="97"/>
      <c r="F109" s="97"/>
    </row>
    <row r="110" spans="3:6" s="63" customFormat="1" ht="17">
      <c r="C110" s="97"/>
      <c r="F110" s="97"/>
    </row>
    <row r="111" spans="3:6" s="63" customFormat="1" ht="17">
      <c r="C111" s="97"/>
      <c r="F111" s="97"/>
    </row>
    <row r="112" spans="3:6" s="63" customFormat="1" ht="17">
      <c r="C112" s="97"/>
      <c r="F112" s="97"/>
    </row>
    <row r="113" spans="3:6" s="63" customFormat="1" ht="17">
      <c r="C113" s="97"/>
      <c r="F113" s="97"/>
    </row>
    <row r="114" spans="3:6" s="63" customFormat="1" ht="17">
      <c r="C114" s="97"/>
      <c r="F114" s="97"/>
    </row>
    <row r="115" spans="3:6" s="63" customFormat="1" ht="17">
      <c r="C115" s="97"/>
      <c r="F115" s="97"/>
    </row>
    <row r="116" spans="3:6" s="63" customFormat="1" ht="17">
      <c r="C116" s="97"/>
      <c r="F116" s="97"/>
    </row>
    <row r="117" spans="3:6" s="63" customFormat="1" ht="17">
      <c r="C117" s="97"/>
      <c r="F117" s="97"/>
    </row>
    <row r="118" spans="3:6" s="63" customFormat="1" ht="17">
      <c r="C118" s="97"/>
      <c r="F118" s="97"/>
    </row>
    <row r="119" spans="3:6" s="63" customFormat="1" ht="17">
      <c r="C119" s="97"/>
      <c r="F119" s="97"/>
    </row>
    <row r="120" spans="3:6" s="63" customFormat="1" ht="17">
      <c r="C120" s="97"/>
      <c r="F120" s="97"/>
    </row>
    <row r="121" spans="3:6" s="63" customFormat="1" ht="17">
      <c r="C121" s="97"/>
      <c r="F121" s="97"/>
    </row>
    <row r="122" spans="3:6" s="63" customFormat="1" ht="17">
      <c r="C122" s="97"/>
      <c r="F122" s="97"/>
    </row>
    <row r="123" spans="3:6" s="63" customFormat="1" ht="17">
      <c r="C123" s="97"/>
      <c r="F123" s="97"/>
    </row>
    <row r="124" spans="3:6" s="63" customFormat="1" ht="17">
      <c r="C124" s="97"/>
      <c r="F124" s="97"/>
    </row>
    <row r="125" spans="3:6" s="63" customFormat="1" ht="17">
      <c r="C125" s="97"/>
      <c r="F125" s="97"/>
    </row>
    <row r="126" spans="3:6" s="63" customFormat="1" ht="17">
      <c r="C126" s="97"/>
      <c r="F126" s="97"/>
    </row>
    <row r="127" spans="3:6" s="63" customFormat="1" ht="17">
      <c r="C127" s="97"/>
      <c r="F127" s="97"/>
    </row>
    <row r="128" spans="3:6" s="63" customFormat="1" ht="17">
      <c r="C128" s="97"/>
      <c r="F128" s="97"/>
    </row>
    <row r="129" spans="3:6" s="63" customFormat="1" ht="17">
      <c r="C129" s="97"/>
      <c r="F129" s="97"/>
    </row>
    <row r="130" spans="3:6" s="63" customFormat="1" ht="17">
      <c r="C130" s="97"/>
      <c r="F130" s="97"/>
    </row>
    <row r="131" spans="3:6" s="63" customFormat="1" ht="17">
      <c r="C131" s="97"/>
      <c r="F131" s="97"/>
    </row>
    <row r="132" spans="3:6" s="63" customFormat="1" ht="17">
      <c r="C132" s="97"/>
      <c r="F132" s="97"/>
    </row>
    <row r="133" spans="3:6" s="63" customFormat="1" ht="17">
      <c r="C133" s="97"/>
      <c r="F133" s="97"/>
    </row>
    <row r="134" spans="3:6" s="63" customFormat="1" ht="17">
      <c r="C134" s="97"/>
      <c r="F134" s="97"/>
    </row>
    <row r="135" spans="3:6" s="63" customFormat="1" ht="17">
      <c r="C135" s="97"/>
      <c r="F135" s="97"/>
    </row>
    <row r="136" spans="3:6" s="63" customFormat="1" ht="17">
      <c r="C136" s="97"/>
      <c r="F136" s="97"/>
    </row>
    <row r="137" spans="3:6" s="63" customFormat="1" ht="17">
      <c r="C137" s="97"/>
      <c r="F137" s="97"/>
    </row>
    <row r="138" spans="3:6" s="63" customFormat="1" ht="17">
      <c r="C138" s="97"/>
      <c r="F138" s="97"/>
    </row>
    <row r="139" spans="3:6" s="63" customFormat="1" ht="17">
      <c r="C139" s="97"/>
      <c r="F139" s="97"/>
    </row>
    <row r="140" spans="3:6" s="63" customFormat="1" ht="17">
      <c r="C140" s="97"/>
      <c r="F140" s="97"/>
    </row>
    <row r="141" spans="3:6" s="63" customFormat="1" ht="17">
      <c r="C141" s="97"/>
      <c r="F141" s="97"/>
    </row>
    <row r="142" spans="3:6" s="63" customFormat="1" ht="17">
      <c r="C142" s="97"/>
      <c r="F142" s="97"/>
    </row>
    <row r="143" spans="3:6" s="63" customFormat="1" ht="17">
      <c r="C143" s="97"/>
      <c r="F143" s="97"/>
    </row>
    <row r="144" spans="3:6" s="63" customFormat="1" ht="17">
      <c r="C144" s="97"/>
      <c r="F144" s="97"/>
    </row>
    <row r="145" spans="3:6" s="63" customFormat="1" ht="17">
      <c r="C145" s="97"/>
      <c r="F145" s="97"/>
    </row>
    <row r="146" spans="3:6" s="63" customFormat="1" ht="17">
      <c r="C146" s="97"/>
      <c r="F146" s="97"/>
    </row>
    <row r="147" spans="3:6" s="63" customFormat="1" ht="17">
      <c r="C147" s="97"/>
      <c r="F147" s="97"/>
    </row>
    <row r="148" spans="3:6" s="63" customFormat="1" ht="17">
      <c r="C148" s="97"/>
      <c r="F148" s="97"/>
    </row>
    <row r="149" spans="3:6" s="63" customFormat="1" ht="17">
      <c r="C149" s="97"/>
      <c r="F149" s="97"/>
    </row>
    <row r="150" spans="3:6" s="63" customFormat="1" ht="17">
      <c r="C150" s="97"/>
      <c r="F150" s="97"/>
    </row>
    <row r="151" spans="3:6" s="63" customFormat="1" ht="17">
      <c r="C151" s="97"/>
      <c r="F151" s="97"/>
    </row>
    <row r="152" spans="3:6" s="63" customFormat="1" ht="17">
      <c r="C152" s="97"/>
      <c r="F152" s="97"/>
    </row>
    <row r="153" spans="3:6" s="63" customFormat="1" ht="17">
      <c r="C153" s="97"/>
      <c r="F153" s="97"/>
    </row>
    <row r="154" spans="3:6" s="63" customFormat="1" ht="17">
      <c r="C154" s="97"/>
      <c r="F154" s="97"/>
    </row>
    <row r="155" spans="3:6" s="63" customFormat="1" ht="17">
      <c r="C155" s="97"/>
      <c r="F155" s="97"/>
    </row>
    <row r="156" spans="3:6" s="63" customFormat="1" ht="17">
      <c r="C156" s="97"/>
      <c r="F156" s="97"/>
    </row>
    <row r="157" spans="3:6" s="63" customFormat="1" ht="17">
      <c r="C157" s="97"/>
      <c r="F157" s="97"/>
    </row>
    <row r="158" spans="3:6" s="63" customFormat="1" ht="17">
      <c r="C158" s="97"/>
      <c r="F158" s="97"/>
    </row>
    <row r="159" spans="3:6" s="63" customFormat="1" ht="17">
      <c r="C159" s="97"/>
      <c r="F159" s="97"/>
    </row>
    <row r="160" spans="3:6" s="63" customFormat="1" ht="17">
      <c r="C160" s="97"/>
      <c r="F160" s="97"/>
    </row>
    <row r="161" spans="3:6" s="63" customFormat="1" ht="17">
      <c r="C161" s="97"/>
      <c r="F161" s="97"/>
    </row>
    <row r="162" spans="3:6" s="63" customFormat="1" ht="17">
      <c r="C162" s="97"/>
      <c r="F162" s="97"/>
    </row>
    <row r="163" spans="3:6" s="63" customFormat="1" ht="17">
      <c r="C163" s="97"/>
      <c r="F163" s="97"/>
    </row>
    <row r="164" spans="3:6" s="63" customFormat="1" ht="17">
      <c r="C164" s="97"/>
      <c r="F164" s="97"/>
    </row>
    <row r="165" spans="3:6" s="63" customFormat="1" ht="17">
      <c r="C165" s="97"/>
      <c r="F165" s="97"/>
    </row>
    <row r="166" spans="3:6" s="63" customFormat="1" ht="17">
      <c r="C166" s="97"/>
      <c r="F166" s="97"/>
    </row>
    <row r="167" spans="3:6" s="63" customFormat="1" ht="17">
      <c r="C167" s="97"/>
      <c r="F167" s="97"/>
    </row>
    <row r="168" spans="3:6" s="63" customFormat="1" ht="17">
      <c r="C168" s="97"/>
      <c r="F168" s="97"/>
    </row>
    <row r="169" spans="3:6" s="63" customFormat="1" ht="17">
      <c r="C169" s="97"/>
      <c r="F169" s="97"/>
    </row>
    <row r="170" spans="3:6" s="63" customFormat="1" ht="17">
      <c r="C170" s="97"/>
      <c r="F170" s="97"/>
    </row>
    <row r="171" spans="3:6" s="63" customFormat="1" ht="17">
      <c r="C171" s="97"/>
      <c r="F171" s="97"/>
    </row>
    <row r="172" spans="3:6" s="63" customFormat="1" ht="17">
      <c r="C172" s="97"/>
      <c r="F172" s="97"/>
    </row>
    <row r="173" spans="3:6" s="63" customFormat="1" ht="17">
      <c r="C173" s="97"/>
      <c r="F173" s="97"/>
    </row>
    <row r="174" spans="3:6" s="63" customFormat="1" ht="17">
      <c r="C174" s="97"/>
      <c r="F174" s="97"/>
    </row>
    <row r="175" spans="3:6" s="63" customFormat="1" ht="17">
      <c r="C175" s="97"/>
      <c r="F175" s="97"/>
    </row>
    <row r="176" spans="3:6" s="63" customFormat="1" ht="17">
      <c r="C176" s="97"/>
      <c r="F176" s="97"/>
    </row>
    <row r="177" spans="3:6" s="63" customFormat="1" ht="17">
      <c r="C177" s="97"/>
      <c r="F177" s="97"/>
    </row>
    <row r="178" spans="3:6" s="63" customFormat="1" ht="17">
      <c r="C178" s="97"/>
      <c r="F178" s="97"/>
    </row>
    <row r="179" spans="3:6" s="63" customFormat="1" ht="17">
      <c r="C179" s="97"/>
      <c r="F179" s="97"/>
    </row>
    <row r="180" spans="3:6" s="63" customFormat="1" ht="17">
      <c r="C180" s="97"/>
      <c r="F180" s="97"/>
    </row>
    <row r="181" spans="3:6" s="63" customFormat="1" ht="17">
      <c r="C181" s="97"/>
      <c r="F181" s="97"/>
    </row>
    <row r="182" spans="3:6" s="63" customFormat="1" ht="17">
      <c r="C182" s="97"/>
      <c r="F182" s="97"/>
    </row>
    <row r="183" spans="3:6" s="63" customFormat="1" ht="17">
      <c r="C183" s="97"/>
      <c r="F183" s="97"/>
    </row>
    <row r="184" spans="3:6" s="63" customFormat="1" ht="17">
      <c r="C184" s="97"/>
      <c r="F184" s="97"/>
    </row>
    <row r="185" spans="3:6" s="63" customFormat="1" ht="17">
      <c r="C185" s="97"/>
      <c r="F185" s="97"/>
    </row>
    <row r="186" spans="3:6" s="63" customFormat="1" ht="17">
      <c r="C186" s="97"/>
      <c r="F186" s="97"/>
    </row>
    <row r="187" spans="3:6" s="63" customFormat="1" ht="17">
      <c r="C187" s="97"/>
      <c r="F187" s="97"/>
    </row>
    <row r="188" spans="3:6" s="63" customFormat="1" ht="17">
      <c r="C188" s="97"/>
      <c r="F188" s="97"/>
    </row>
    <row r="189" spans="3:6" s="63" customFormat="1" ht="17">
      <c r="C189" s="97"/>
      <c r="F189" s="97"/>
    </row>
    <row r="190" spans="3:6" s="63" customFormat="1" ht="17">
      <c r="C190" s="97"/>
      <c r="F190" s="97"/>
    </row>
    <row r="191" spans="3:6" s="63" customFormat="1" ht="17">
      <c r="C191" s="97"/>
      <c r="F191" s="97"/>
    </row>
    <row r="192" spans="3:6" s="63" customFormat="1" ht="17">
      <c r="C192" s="97"/>
      <c r="F192" s="97"/>
    </row>
    <row r="193" spans="3:6" s="63" customFormat="1" ht="17">
      <c r="C193" s="97"/>
      <c r="F193" s="97"/>
    </row>
    <row r="194" spans="3:6" s="63" customFormat="1" ht="17">
      <c r="C194" s="97"/>
      <c r="F194" s="97"/>
    </row>
    <row r="195" spans="3:6" s="63" customFormat="1" ht="17">
      <c r="C195" s="97"/>
      <c r="F195" s="97"/>
    </row>
    <row r="196" spans="3:6" s="63" customFormat="1" ht="17">
      <c r="C196" s="97"/>
      <c r="F196" s="97"/>
    </row>
    <row r="197" spans="3:6" s="63" customFormat="1" ht="17">
      <c r="C197" s="97"/>
      <c r="F197" s="97"/>
    </row>
    <row r="198" spans="3:6" s="63" customFormat="1" ht="17">
      <c r="C198" s="97"/>
      <c r="F198" s="97"/>
    </row>
    <row r="199" spans="3:6" s="63" customFormat="1" ht="17">
      <c r="C199" s="97"/>
      <c r="F199" s="97"/>
    </row>
    <row r="200" spans="3:6" s="63" customFormat="1" ht="17">
      <c r="C200" s="97"/>
      <c r="F200" s="97"/>
    </row>
    <row r="201" spans="3:6" s="63" customFormat="1" ht="17">
      <c r="C201" s="97"/>
      <c r="F201" s="97"/>
    </row>
    <row r="202" spans="3:6" s="63" customFormat="1" ht="17">
      <c r="C202" s="97"/>
      <c r="F202" s="97"/>
    </row>
    <row r="203" spans="3:6" s="63" customFormat="1" ht="17">
      <c r="C203" s="97"/>
      <c r="F203" s="97"/>
    </row>
    <row r="204" spans="3:6" s="63" customFormat="1" ht="17">
      <c r="C204" s="97"/>
      <c r="F204" s="97"/>
    </row>
    <row r="205" spans="3:6" s="63" customFormat="1" ht="17">
      <c r="C205" s="97"/>
      <c r="F205" s="97"/>
    </row>
    <row r="206" spans="3:6" s="63" customFormat="1" ht="17">
      <c r="C206" s="97"/>
      <c r="F206" s="97"/>
    </row>
    <row r="207" spans="3:6" s="63" customFormat="1" ht="17">
      <c r="C207" s="97"/>
      <c r="F207" s="97"/>
    </row>
    <row r="208" spans="3:6" s="63" customFormat="1" ht="17">
      <c r="C208" s="97"/>
      <c r="F208" s="97"/>
    </row>
    <row r="209" spans="3:6" s="63" customFormat="1" ht="17">
      <c r="C209" s="97"/>
      <c r="F209" s="97"/>
    </row>
    <row r="210" spans="3:6" s="63" customFormat="1" ht="17">
      <c r="C210" s="97"/>
      <c r="F210" s="97"/>
    </row>
    <row r="211" spans="3:6" s="63" customFormat="1" ht="17">
      <c r="C211" s="97"/>
      <c r="F211" s="97"/>
    </row>
    <row r="212" spans="3:6" s="63" customFormat="1" ht="17">
      <c r="C212" s="97"/>
      <c r="F212" s="97"/>
    </row>
    <row r="213" spans="3:6" s="63" customFormat="1" ht="17">
      <c r="C213" s="97"/>
      <c r="F213" s="97"/>
    </row>
    <row r="214" spans="3:6" s="63" customFormat="1" ht="17">
      <c r="C214" s="97"/>
      <c r="F214" s="97"/>
    </row>
    <row r="215" spans="3:6" s="63" customFormat="1" ht="17">
      <c r="C215" s="97"/>
      <c r="F215" s="97"/>
    </row>
    <row r="216" spans="3:6" s="63" customFormat="1" ht="17">
      <c r="C216" s="97"/>
      <c r="F216" s="97"/>
    </row>
    <row r="217" spans="3:6" s="63" customFormat="1" ht="17">
      <c r="C217" s="97"/>
      <c r="F217" s="97"/>
    </row>
    <row r="218" spans="3:6" s="63" customFormat="1" ht="17">
      <c r="C218" s="97"/>
      <c r="F218" s="97"/>
    </row>
    <row r="219" spans="3:6" s="63" customFormat="1" ht="17">
      <c r="C219" s="97"/>
      <c r="F219" s="97"/>
    </row>
    <row r="220" spans="3:6" s="63" customFormat="1" ht="17">
      <c r="C220" s="97"/>
      <c r="F220" s="97"/>
    </row>
    <row r="221" spans="3:6" s="63" customFormat="1" ht="17">
      <c r="C221" s="97"/>
      <c r="F221" s="97"/>
    </row>
    <row r="222" spans="3:6" s="63" customFormat="1" ht="17">
      <c r="C222" s="97"/>
      <c r="F222" s="97"/>
    </row>
    <row r="223" spans="3:6" s="63" customFormat="1" ht="17">
      <c r="C223" s="97"/>
      <c r="F223" s="97"/>
    </row>
    <row r="224" spans="3:6" s="63" customFormat="1" ht="17">
      <c r="C224" s="97"/>
      <c r="F224" s="97"/>
    </row>
    <row r="225" spans="3:6" s="63" customFormat="1" ht="17">
      <c r="C225" s="97"/>
      <c r="F225" s="97"/>
    </row>
    <row r="226" spans="3:6" s="63" customFormat="1" ht="17">
      <c r="C226" s="97"/>
      <c r="F226" s="97"/>
    </row>
    <row r="227" spans="3:6" s="63" customFormat="1" ht="17">
      <c r="C227" s="97"/>
      <c r="F227" s="97"/>
    </row>
    <row r="228" spans="3:6" s="63" customFormat="1" ht="17">
      <c r="C228" s="97"/>
      <c r="F228" s="97"/>
    </row>
    <row r="229" spans="3:6" s="63" customFormat="1" ht="17">
      <c r="C229" s="97"/>
      <c r="F229" s="97"/>
    </row>
    <row r="230" spans="3:6" s="63" customFormat="1" ht="17">
      <c r="C230" s="97"/>
      <c r="F230" s="97"/>
    </row>
    <row r="231" spans="3:6" s="63" customFormat="1" ht="17">
      <c r="C231" s="97"/>
      <c r="F231" s="97"/>
    </row>
    <row r="232" spans="3:6" s="63" customFormat="1" ht="17">
      <c r="C232" s="97"/>
      <c r="F232" s="97"/>
    </row>
    <row r="233" spans="3:6" s="63" customFormat="1" ht="17">
      <c r="C233" s="97"/>
      <c r="F233" s="97"/>
    </row>
    <row r="234" spans="3:6" s="63" customFormat="1" ht="17">
      <c r="C234" s="97"/>
      <c r="F234" s="97"/>
    </row>
    <row r="235" spans="3:6" s="63" customFormat="1" ht="17">
      <c r="C235" s="97"/>
      <c r="F235" s="97"/>
    </row>
    <row r="236" spans="3:6" s="63" customFormat="1" ht="17">
      <c r="C236" s="97"/>
      <c r="F236" s="97"/>
    </row>
    <row r="237" spans="3:6" s="63" customFormat="1" ht="17">
      <c r="C237" s="97"/>
      <c r="F237" s="97"/>
    </row>
    <row r="238" spans="3:6" s="63" customFormat="1" ht="17">
      <c r="C238" s="97"/>
      <c r="F238" s="97"/>
    </row>
    <row r="239" spans="3:6" s="63" customFormat="1" ht="17">
      <c r="C239" s="97"/>
      <c r="F239" s="97"/>
    </row>
    <row r="240" spans="3:6" s="63" customFormat="1" ht="17">
      <c r="C240" s="97"/>
      <c r="F240" s="97"/>
    </row>
    <row r="241" spans="3:6" s="63" customFormat="1" ht="17">
      <c r="C241" s="97"/>
      <c r="F241" s="97"/>
    </row>
    <row r="242" spans="3:6" s="63" customFormat="1" ht="17">
      <c r="C242" s="97"/>
      <c r="F242" s="97"/>
    </row>
    <row r="243" spans="3:6" s="63" customFormat="1" ht="17">
      <c r="C243" s="97"/>
      <c r="F243" s="97"/>
    </row>
    <row r="244" spans="3:6" s="63" customFormat="1" ht="17">
      <c r="C244" s="97"/>
      <c r="F244" s="97"/>
    </row>
    <row r="245" spans="3:6" s="63" customFormat="1" ht="17">
      <c r="C245" s="97"/>
      <c r="F245" s="97"/>
    </row>
    <row r="246" spans="3:6" s="63" customFormat="1" ht="17">
      <c r="C246" s="97"/>
      <c r="F246" s="97"/>
    </row>
    <row r="247" spans="3:6" s="63" customFormat="1" ht="17">
      <c r="C247" s="97"/>
      <c r="F247" s="97"/>
    </row>
    <row r="248" spans="3:6" s="63" customFormat="1" ht="17">
      <c r="C248" s="97"/>
      <c r="F248" s="97"/>
    </row>
    <row r="249" spans="3:6" s="63" customFormat="1" ht="17">
      <c r="C249" s="97"/>
      <c r="F249" s="97"/>
    </row>
    <row r="250" spans="3:6" s="63" customFormat="1" ht="17">
      <c r="C250" s="97"/>
      <c r="F250" s="97"/>
    </row>
    <row r="251" spans="3:6" s="63" customFormat="1" ht="17">
      <c r="C251" s="97"/>
      <c r="F251" s="97"/>
    </row>
    <row r="252" spans="3:6" s="63" customFormat="1" ht="17">
      <c r="C252" s="97"/>
      <c r="F252" s="97"/>
    </row>
    <row r="253" spans="3:6" s="63" customFormat="1" ht="17">
      <c r="C253" s="97"/>
      <c r="F253" s="97"/>
    </row>
    <row r="254" spans="3:6" s="63" customFormat="1" ht="17">
      <c r="C254" s="97"/>
      <c r="F254" s="97"/>
    </row>
    <row r="255" spans="3:6" s="63" customFormat="1" ht="17">
      <c r="C255" s="97"/>
      <c r="F255" s="97"/>
    </row>
    <row r="256" spans="3:6" s="63" customFormat="1" ht="17">
      <c r="C256" s="97"/>
      <c r="F256" s="97"/>
    </row>
    <row r="257" spans="3:6" s="63" customFormat="1" ht="17">
      <c r="C257" s="97"/>
      <c r="F257" s="97"/>
    </row>
    <row r="258" spans="3:6" s="63" customFormat="1" ht="17">
      <c r="C258" s="97"/>
      <c r="F258" s="97"/>
    </row>
    <row r="259" spans="3:6" s="63" customFormat="1" ht="17">
      <c r="C259" s="97"/>
      <c r="F259" s="97"/>
    </row>
    <row r="260" spans="3:6" s="63" customFormat="1" ht="17">
      <c r="C260" s="97"/>
      <c r="F260" s="97"/>
    </row>
    <row r="261" spans="3:6" s="63" customFormat="1" ht="17">
      <c r="C261" s="97"/>
      <c r="F261" s="97"/>
    </row>
    <row r="262" spans="3:6" s="63" customFormat="1" ht="17">
      <c r="C262" s="97"/>
      <c r="F262" s="97"/>
    </row>
    <row r="263" spans="3:6" s="63" customFormat="1" ht="17">
      <c r="C263" s="97"/>
      <c r="F263" s="97"/>
    </row>
    <row r="264" spans="3:6" s="63" customFormat="1" ht="17">
      <c r="C264" s="97"/>
      <c r="F264" s="97"/>
    </row>
    <row r="265" spans="3:6" s="63" customFormat="1" ht="17">
      <c r="C265" s="97"/>
      <c r="F265" s="97"/>
    </row>
    <row r="266" spans="3:6" s="63" customFormat="1" ht="17">
      <c r="C266" s="97"/>
      <c r="F266" s="97"/>
    </row>
    <row r="267" spans="3:6" s="63" customFormat="1" ht="17">
      <c r="C267" s="97"/>
      <c r="F267" s="97"/>
    </row>
    <row r="268" spans="3:6" s="63" customFormat="1" ht="17">
      <c r="C268" s="97"/>
      <c r="F268" s="97"/>
    </row>
    <row r="269" spans="3:6" s="63" customFormat="1" ht="17">
      <c r="C269" s="97"/>
      <c r="F269" s="97"/>
    </row>
    <row r="270" spans="3:6" s="63" customFormat="1" ht="17">
      <c r="C270" s="97"/>
      <c r="F270" s="97"/>
    </row>
    <row r="271" spans="3:6" s="63" customFormat="1" ht="17">
      <c r="C271" s="97"/>
      <c r="F271" s="97"/>
    </row>
    <row r="272" spans="3:6" s="63" customFormat="1" ht="17">
      <c r="C272" s="97"/>
      <c r="F272" s="97"/>
    </row>
    <row r="273" spans="3:6" s="63" customFormat="1" ht="17">
      <c r="C273" s="97"/>
      <c r="F273" s="97"/>
    </row>
    <row r="274" spans="3:6" s="63" customFormat="1" ht="17">
      <c r="C274" s="97"/>
      <c r="F274" s="97"/>
    </row>
    <row r="275" spans="3:6" s="63" customFormat="1" ht="17">
      <c r="C275" s="97"/>
      <c r="F275" s="97"/>
    </row>
    <row r="276" spans="3:6" s="63" customFormat="1" ht="17">
      <c r="C276" s="97"/>
      <c r="F276" s="97"/>
    </row>
    <row r="277" spans="3:6" s="63" customFormat="1" ht="17">
      <c r="C277" s="97"/>
      <c r="F277" s="97"/>
    </row>
    <row r="278" spans="3:6" s="63" customFormat="1" ht="17">
      <c r="C278" s="97"/>
      <c r="F278" s="97"/>
    </row>
    <row r="279" spans="3:6" s="63" customFormat="1" ht="17">
      <c r="C279" s="97"/>
      <c r="F279" s="97"/>
    </row>
    <row r="280" spans="3:6" s="63" customFormat="1" ht="17">
      <c r="C280" s="97"/>
      <c r="F280" s="97"/>
    </row>
    <row r="281" spans="3:6" s="63" customFormat="1" ht="17">
      <c r="C281" s="97"/>
      <c r="F281" s="97"/>
    </row>
    <row r="282" spans="3:6" s="63" customFormat="1" ht="17">
      <c r="C282" s="97"/>
      <c r="F282" s="97"/>
    </row>
    <row r="283" spans="3:6" s="63" customFormat="1" ht="17">
      <c r="C283" s="97"/>
      <c r="F283" s="97"/>
    </row>
    <row r="284" spans="3:6" s="63" customFormat="1" ht="17">
      <c r="C284" s="97"/>
      <c r="F284" s="97"/>
    </row>
    <row r="285" spans="3:6" s="63" customFormat="1" ht="17">
      <c r="C285" s="97"/>
      <c r="F285" s="97"/>
    </row>
    <row r="286" spans="3:6" s="63" customFormat="1" ht="17">
      <c r="C286" s="97"/>
      <c r="F286" s="97"/>
    </row>
    <row r="287" spans="3:6" s="63" customFormat="1" ht="17">
      <c r="C287" s="97"/>
      <c r="F287" s="97"/>
    </row>
    <row r="288" spans="3:6" s="63" customFormat="1" ht="17">
      <c r="C288" s="97"/>
      <c r="F288" s="97"/>
    </row>
    <row r="289" spans="3:6" s="63" customFormat="1" ht="17">
      <c r="C289" s="97"/>
      <c r="F289" s="97"/>
    </row>
    <row r="290" spans="3:6" s="63" customFormat="1" ht="17">
      <c r="C290" s="97"/>
      <c r="F290" s="97"/>
    </row>
    <row r="291" spans="3:6" s="63" customFormat="1" ht="17">
      <c r="C291" s="97"/>
      <c r="F291" s="97"/>
    </row>
    <row r="292" spans="3:6" s="63" customFormat="1" ht="17">
      <c r="C292" s="97"/>
      <c r="F292" s="97"/>
    </row>
    <row r="293" spans="3:6" s="63" customFormat="1" ht="17">
      <c r="C293" s="97"/>
      <c r="F293" s="97"/>
    </row>
    <row r="294" spans="3:6" s="63" customFormat="1" ht="17">
      <c r="C294" s="97"/>
      <c r="F294" s="97"/>
    </row>
    <row r="295" spans="3:6" s="63" customFormat="1" ht="17">
      <c r="C295" s="97"/>
      <c r="F295" s="97"/>
    </row>
    <row r="296" spans="3:6" s="63" customFormat="1" ht="17">
      <c r="C296" s="97"/>
      <c r="F296" s="97"/>
    </row>
    <row r="297" spans="3:6" s="63" customFormat="1" ht="17">
      <c r="C297" s="97"/>
      <c r="F297" s="97"/>
    </row>
    <row r="298" spans="3:6" s="63" customFormat="1" ht="17">
      <c r="C298" s="97"/>
      <c r="F298" s="97"/>
    </row>
    <row r="299" spans="3:6" s="63" customFormat="1" ht="17">
      <c r="C299" s="97"/>
      <c r="F299" s="97"/>
    </row>
    <row r="300" spans="3:6" s="63" customFormat="1" ht="17">
      <c r="C300" s="97"/>
      <c r="F300" s="97"/>
    </row>
    <row r="301" spans="3:6" s="63" customFormat="1" ht="17">
      <c r="C301" s="97"/>
      <c r="F301" s="97"/>
    </row>
    <row r="302" spans="3:6" s="63" customFormat="1" ht="17">
      <c r="C302" s="97"/>
      <c r="F302" s="97"/>
    </row>
    <row r="303" spans="3:6" s="63" customFormat="1" ht="17">
      <c r="C303" s="97"/>
      <c r="F303" s="97"/>
    </row>
    <row r="304" spans="3:6" s="63" customFormat="1" ht="17">
      <c r="C304" s="97"/>
      <c r="F304" s="97"/>
    </row>
    <row r="305" spans="3:6" s="63" customFormat="1" ht="17">
      <c r="C305" s="97"/>
      <c r="F305" s="97"/>
    </row>
    <row r="306" spans="3:6" s="63" customFormat="1" ht="17">
      <c r="C306" s="97"/>
      <c r="F306" s="97"/>
    </row>
    <row r="307" spans="3:6" s="63" customFormat="1" ht="17">
      <c r="C307" s="97"/>
      <c r="F307" s="97"/>
    </row>
    <row r="308" spans="3:6" s="63" customFormat="1" ht="17">
      <c r="C308" s="97"/>
      <c r="F308" s="97"/>
    </row>
    <row r="309" spans="3:6" s="63" customFormat="1" ht="17">
      <c r="C309" s="97"/>
      <c r="F309" s="97"/>
    </row>
    <row r="310" spans="3:6" s="63" customFormat="1" ht="17">
      <c r="C310" s="97"/>
      <c r="F310" s="97"/>
    </row>
    <row r="311" spans="3:6" s="63" customFormat="1" ht="17">
      <c r="C311" s="97"/>
      <c r="F311" s="97"/>
    </row>
    <row r="312" spans="3:6" s="63" customFormat="1" ht="17">
      <c r="C312" s="97"/>
      <c r="F312" s="97"/>
    </row>
    <row r="313" spans="3:6" s="63" customFormat="1" ht="17">
      <c r="C313" s="97"/>
      <c r="F313" s="97"/>
    </row>
    <row r="314" spans="3:6" s="63" customFormat="1" ht="17">
      <c r="C314" s="97"/>
      <c r="F314" s="97"/>
    </row>
    <row r="315" spans="3:6" s="63" customFormat="1" ht="17">
      <c r="C315" s="97"/>
      <c r="F315" s="97"/>
    </row>
    <row r="316" spans="3:6" s="63" customFormat="1" ht="17">
      <c r="C316" s="97"/>
      <c r="F316" s="97"/>
    </row>
    <row r="317" spans="3:6" s="63" customFormat="1" ht="17">
      <c r="C317" s="97"/>
      <c r="F317" s="97"/>
    </row>
    <row r="318" spans="3:6" s="63" customFormat="1" ht="17">
      <c r="C318" s="97"/>
      <c r="F318" s="97"/>
    </row>
    <row r="319" spans="3:6" s="63" customFormat="1" ht="17">
      <c r="C319" s="97"/>
      <c r="F319" s="97"/>
    </row>
    <row r="320" spans="3:6" s="63" customFormat="1" ht="17">
      <c r="C320" s="97"/>
      <c r="F320" s="97"/>
    </row>
    <row r="321" spans="3:6" s="63" customFormat="1" ht="17">
      <c r="C321" s="97"/>
      <c r="F321" s="97"/>
    </row>
    <row r="322" spans="3:6" s="63" customFormat="1" ht="17">
      <c r="C322" s="97"/>
      <c r="F322" s="97"/>
    </row>
    <row r="323" spans="3:6" s="63" customFormat="1" ht="17">
      <c r="C323" s="97"/>
      <c r="F323" s="97"/>
    </row>
    <row r="324" spans="3:6" s="63" customFormat="1" ht="17">
      <c r="C324" s="97"/>
      <c r="F324" s="97"/>
    </row>
    <row r="325" spans="3:6" s="63" customFormat="1" ht="17">
      <c r="C325" s="97"/>
      <c r="F325" s="97"/>
    </row>
    <row r="326" spans="3:6" s="63" customFormat="1" ht="17">
      <c r="C326" s="97"/>
      <c r="F326" s="97"/>
    </row>
    <row r="327" spans="3:6" s="63" customFormat="1" ht="17">
      <c r="C327" s="97"/>
      <c r="F327" s="97"/>
    </row>
    <row r="328" spans="3:6" s="63" customFormat="1" ht="17">
      <c r="C328" s="97"/>
      <c r="F328" s="97"/>
    </row>
    <row r="329" spans="3:6" s="63" customFormat="1" ht="17">
      <c r="C329" s="97"/>
      <c r="F329" s="97"/>
    </row>
    <row r="330" spans="3:6" s="63" customFormat="1" ht="17">
      <c r="C330" s="97"/>
      <c r="F330" s="97"/>
    </row>
    <row r="331" spans="3:6" s="63" customFormat="1" ht="17">
      <c r="C331" s="97"/>
      <c r="F331" s="97"/>
    </row>
    <row r="332" spans="3:6" s="63" customFormat="1" ht="17">
      <c r="C332" s="97"/>
      <c r="F332" s="97"/>
    </row>
    <row r="333" spans="3:6" s="63" customFormat="1" ht="17">
      <c r="C333" s="97"/>
      <c r="F333" s="97"/>
    </row>
    <row r="334" spans="3:6" s="63" customFormat="1" ht="17">
      <c r="C334" s="97"/>
      <c r="F334" s="97"/>
    </row>
    <row r="335" spans="3:6" s="63" customFormat="1" ht="17">
      <c r="C335" s="97"/>
      <c r="F335" s="97"/>
    </row>
    <row r="336" spans="3:6" s="63" customFormat="1" ht="17">
      <c r="C336" s="97"/>
      <c r="F336" s="97"/>
    </row>
    <row r="337" spans="3:6" s="63" customFormat="1" ht="17">
      <c r="C337" s="97"/>
      <c r="F337" s="97"/>
    </row>
    <row r="338" spans="3:6" s="63" customFormat="1" ht="17">
      <c r="C338" s="97"/>
      <c r="F338" s="97"/>
    </row>
    <row r="339" spans="3:6" s="63" customFormat="1" ht="17">
      <c r="C339" s="97"/>
      <c r="F339" s="97"/>
    </row>
    <row r="340" spans="3:6" s="63" customFormat="1" ht="17">
      <c r="C340" s="97"/>
      <c r="F340" s="97"/>
    </row>
    <row r="341" spans="3:6" s="63" customFormat="1" ht="17">
      <c r="C341" s="97"/>
      <c r="F341" s="97"/>
    </row>
    <row r="342" spans="3:6" s="63" customFormat="1" ht="17">
      <c r="C342" s="97"/>
      <c r="F342" s="97"/>
    </row>
    <row r="343" spans="3:6" s="63" customFormat="1" ht="17">
      <c r="C343" s="97"/>
      <c r="F343" s="97"/>
    </row>
    <row r="344" spans="3:6" s="63" customFormat="1" ht="17">
      <c r="C344" s="97"/>
      <c r="F344" s="97"/>
    </row>
    <row r="345" spans="3:6" s="63" customFormat="1" ht="17">
      <c r="C345" s="97"/>
      <c r="F345" s="97"/>
    </row>
    <row r="346" spans="3:6" s="63" customFormat="1" ht="17">
      <c r="C346" s="97"/>
      <c r="F346" s="97"/>
    </row>
    <row r="347" spans="3:6" s="63" customFormat="1" ht="17">
      <c r="C347" s="97"/>
      <c r="F347" s="97"/>
    </row>
    <row r="348" spans="3:6" s="63" customFormat="1" ht="17">
      <c r="C348" s="97"/>
      <c r="F348" s="97"/>
    </row>
    <row r="349" spans="3:6" s="63" customFormat="1" ht="17">
      <c r="C349" s="97"/>
      <c r="F349" s="97"/>
    </row>
    <row r="350" spans="3:6" s="63" customFormat="1" ht="17">
      <c r="C350" s="97"/>
      <c r="F350" s="97"/>
    </row>
    <row r="351" spans="3:6" s="63" customFormat="1" ht="17">
      <c r="C351" s="97"/>
      <c r="F351" s="97"/>
    </row>
    <row r="352" spans="3:6" s="63" customFormat="1" ht="17">
      <c r="C352" s="97"/>
      <c r="F352" s="97"/>
    </row>
    <row r="353" spans="3:6" s="63" customFormat="1" ht="17">
      <c r="C353" s="97"/>
      <c r="F353" s="97"/>
    </row>
    <row r="354" spans="3:6" s="63" customFormat="1" ht="17">
      <c r="C354" s="97"/>
      <c r="F354" s="97"/>
    </row>
    <row r="355" spans="3:6" s="63" customFormat="1" ht="17">
      <c r="C355" s="97"/>
      <c r="F355" s="97"/>
    </row>
    <row r="356" spans="3:6" s="63" customFormat="1" ht="17">
      <c r="C356" s="97"/>
      <c r="F356" s="97"/>
    </row>
    <row r="357" spans="3:6" s="63" customFormat="1" ht="17">
      <c r="C357" s="97"/>
      <c r="F357" s="97"/>
    </row>
    <row r="358" spans="3:6" s="63" customFormat="1" ht="17">
      <c r="C358" s="97"/>
      <c r="F358" s="97"/>
    </row>
    <row r="359" spans="3:6" s="63" customFormat="1" ht="17">
      <c r="C359" s="97"/>
      <c r="F359" s="97"/>
    </row>
    <row r="360" spans="3:6" s="63" customFormat="1" ht="17">
      <c r="C360" s="97"/>
      <c r="F360" s="97"/>
    </row>
    <row r="361" spans="3:6" s="63" customFormat="1" ht="17">
      <c r="C361" s="97"/>
      <c r="F361" s="97"/>
    </row>
    <row r="362" spans="3:6" s="63" customFormat="1" ht="17">
      <c r="C362" s="97"/>
      <c r="F362" s="97"/>
    </row>
    <row r="363" spans="3:6" s="63" customFormat="1" ht="17">
      <c r="C363" s="97"/>
      <c r="F363" s="97"/>
    </row>
    <row r="364" spans="3:6" s="63" customFormat="1" ht="17">
      <c r="C364" s="97"/>
      <c r="F364" s="97"/>
    </row>
    <row r="365" spans="3:6" s="63" customFormat="1" ht="17">
      <c r="C365" s="97"/>
      <c r="F365" s="97"/>
    </row>
    <row r="366" spans="3:6" s="63" customFormat="1" ht="17">
      <c r="C366" s="97"/>
      <c r="F366" s="97"/>
    </row>
    <row r="367" spans="3:6" s="63" customFormat="1" ht="17">
      <c r="C367" s="97"/>
      <c r="F367" s="97"/>
    </row>
    <row r="368" spans="3:6" s="63" customFormat="1" ht="17">
      <c r="C368" s="97"/>
      <c r="F368" s="97"/>
    </row>
    <row r="369" spans="3:6" s="63" customFormat="1" ht="17">
      <c r="C369" s="97"/>
      <c r="F369" s="97"/>
    </row>
    <row r="370" spans="3:6" s="63" customFormat="1" ht="17">
      <c r="C370" s="97"/>
      <c r="F370" s="97"/>
    </row>
    <row r="371" spans="3:6" s="63" customFormat="1" ht="17">
      <c r="C371" s="97"/>
      <c r="F371" s="97"/>
    </row>
    <row r="372" spans="3:6" s="63" customFormat="1" ht="17">
      <c r="C372" s="97"/>
      <c r="F372" s="97"/>
    </row>
    <row r="373" spans="3:6" s="63" customFormat="1" ht="17">
      <c r="C373" s="97"/>
      <c r="F373" s="97"/>
    </row>
    <row r="374" spans="3:6" s="63" customFormat="1" ht="17">
      <c r="C374" s="97"/>
      <c r="F374" s="97"/>
    </row>
    <row r="375" spans="3:6" s="63" customFormat="1" ht="17">
      <c r="C375" s="97"/>
      <c r="F375" s="97"/>
    </row>
    <row r="376" spans="3:6" s="63" customFormat="1" ht="17">
      <c r="C376" s="97"/>
      <c r="F376" s="97"/>
    </row>
    <row r="377" spans="3:6" s="63" customFormat="1" ht="17">
      <c r="C377" s="97"/>
      <c r="F377" s="97"/>
    </row>
    <row r="378" spans="3:6" s="63" customFormat="1" ht="17">
      <c r="C378" s="97"/>
      <c r="F378" s="97"/>
    </row>
    <row r="379" spans="3:6" s="63" customFormat="1" ht="17">
      <c r="C379" s="97"/>
      <c r="F379" s="97"/>
    </row>
    <row r="380" spans="3:6" s="63" customFormat="1" ht="17">
      <c r="C380" s="97"/>
      <c r="F380" s="97"/>
    </row>
    <row r="381" spans="3:6" s="63" customFormat="1" ht="17">
      <c r="C381" s="97"/>
      <c r="F381" s="97"/>
    </row>
    <row r="382" spans="3:6" s="63" customFormat="1" ht="17">
      <c r="C382" s="97"/>
      <c r="F382" s="97"/>
    </row>
    <row r="383" spans="3:6" s="63" customFormat="1" ht="17">
      <c r="C383" s="97"/>
      <c r="F383" s="97"/>
    </row>
    <row r="384" spans="3:6" s="63" customFormat="1" ht="17">
      <c r="C384" s="97"/>
      <c r="F384" s="97"/>
    </row>
    <row r="385" spans="3:6" s="63" customFormat="1" ht="17">
      <c r="C385" s="97"/>
      <c r="F385" s="97"/>
    </row>
    <row r="386" spans="3:6" s="63" customFormat="1" ht="17">
      <c r="C386" s="97"/>
      <c r="F386" s="97"/>
    </row>
    <row r="387" spans="3:6" s="63" customFormat="1" ht="17">
      <c r="C387" s="97"/>
      <c r="F387" s="97"/>
    </row>
    <row r="388" spans="3:6" s="63" customFormat="1" ht="17">
      <c r="C388" s="97"/>
      <c r="F388" s="97"/>
    </row>
    <row r="389" spans="3:6" s="63" customFormat="1" ht="17">
      <c r="C389" s="97"/>
      <c r="F389" s="97"/>
    </row>
    <row r="390" spans="3:6" s="63" customFormat="1" ht="17">
      <c r="C390" s="97"/>
      <c r="F390" s="97"/>
    </row>
    <row r="391" spans="3:6" s="63" customFormat="1" ht="17">
      <c r="C391" s="97"/>
      <c r="F391" s="97"/>
    </row>
    <row r="392" spans="3:6" s="63" customFormat="1" ht="17">
      <c r="C392" s="97"/>
      <c r="F392" s="97"/>
    </row>
    <row r="393" spans="3:6" s="63" customFormat="1" ht="17">
      <c r="C393" s="97"/>
      <c r="F393" s="97"/>
    </row>
    <row r="394" spans="3:6" s="63" customFormat="1" ht="17">
      <c r="C394" s="97"/>
      <c r="F394" s="97"/>
    </row>
    <row r="395" spans="3:6" s="63" customFormat="1" ht="17">
      <c r="C395" s="97"/>
      <c r="F395" s="97"/>
    </row>
    <row r="396" spans="3:6" s="63" customFormat="1" ht="17">
      <c r="C396" s="97"/>
      <c r="F396" s="97"/>
    </row>
    <row r="397" spans="3:6" s="63" customFormat="1" ht="17">
      <c r="C397" s="97"/>
      <c r="F397" s="97"/>
    </row>
    <row r="398" spans="3:6" s="63" customFormat="1" ht="17">
      <c r="C398" s="97"/>
      <c r="F398" s="97"/>
    </row>
    <row r="399" spans="3:6" s="63" customFormat="1" ht="17">
      <c r="C399" s="97"/>
      <c r="F399" s="97"/>
    </row>
    <row r="400" spans="3:6" s="63" customFormat="1" ht="17">
      <c r="C400" s="97"/>
      <c r="F400" s="97"/>
    </row>
    <row r="401" spans="3:6" s="63" customFormat="1" ht="17">
      <c r="C401" s="97"/>
      <c r="F401" s="97"/>
    </row>
    <row r="402" spans="3:6" s="63" customFormat="1" ht="17">
      <c r="C402" s="97"/>
      <c r="F402" s="97"/>
    </row>
    <row r="403" spans="3:6" s="63" customFormat="1" ht="17">
      <c r="C403" s="97"/>
      <c r="F403" s="97"/>
    </row>
    <row r="404" spans="3:6" s="63" customFormat="1" ht="17">
      <c r="C404" s="97"/>
      <c r="F404" s="97"/>
    </row>
    <row r="405" spans="3:6" s="63" customFormat="1" ht="17">
      <c r="C405" s="97"/>
      <c r="F405" s="97"/>
    </row>
    <row r="406" spans="3:6" s="63" customFormat="1" ht="17">
      <c r="C406" s="97"/>
      <c r="F406" s="97"/>
    </row>
    <row r="407" spans="3:6" s="63" customFormat="1" ht="17">
      <c r="C407" s="97"/>
      <c r="F407" s="97"/>
    </row>
    <row r="408" spans="3:6" s="63" customFormat="1" ht="17">
      <c r="C408" s="97"/>
      <c r="F408" s="97"/>
    </row>
    <row r="409" spans="3:6" s="63" customFormat="1" ht="17">
      <c r="C409" s="97"/>
      <c r="F409" s="97"/>
    </row>
    <row r="410" spans="3:6" s="63" customFormat="1" ht="17">
      <c r="C410" s="97"/>
      <c r="F410" s="97"/>
    </row>
    <row r="411" spans="3:6" s="63" customFormat="1" ht="17">
      <c r="C411" s="97"/>
      <c r="F411" s="97"/>
    </row>
    <row r="412" spans="3:6" s="63" customFormat="1" ht="17">
      <c r="C412" s="97"/>
      <c r="F412" s="97"/>
    </row>
    <row r="413" spans="3:6" s="63" customFormat="1" ht="17">
      <c r="C413" s="97"/>
      <c r="F413" s="97"/>
    </row>
    <row r="414" spans="3:6" s="63" customFormat="1" ht="17">
      <c r="C414" s="97"/>
      <c r="F414" s="97"/>
    </row>
    <row r="415" spans="3:6" s="63" customFormat="1" ht="17">
      <c r="C415" s="97"/>
      <c r="F415" s="97"/>
    </row>
    <row r="416" spans="3:6" s="63" customFormat="1" ht="17">
      <c r="C416" s="97"/>
      <c r="F416" s="97"/>
    </row>
    <row r="417" spans="3:6" s="63" customFormat="1" ht="17">
      <c r="C417" s="97"/>
      <c r="F417" s="97"/>
    </row>
    <row r="418" spans="3:6" s="63" customFormat="1" ht="17">
      <c r="C418" s="97"/>
      <c r="F418" s="97"/>
    </row>
    <row r="419" spans="3:6" s="63" customFormat="1" ht="17">
      <c r="C419" s="97"/>
      <c r="F419" s="97"/>
    </row>
    <row r="420" spans="3:6" s="63" customFormat="1" ht="17">
      <c r="C420" s="97"/>
      <c r="F420" s="97"/>
    </row>
    <row r="421" spans="3:6" s="63" customFormat="1" ht="17">
      <c r="C421" s="97"/>
      <c r="F421" s="97"/>
    </row>
    <row r="422" spans="3:6" s="63" customFormat="1" ht="17">
      <c r="C422" s="97"/>
      <c r="F422" s="97"/>
    </row>
    <row r="423" spans="3:6" s="63" customFormat="1" ht="17">
      <c r="C423" s="97"/>
      <c r="F423" s="97"/>
    </row>
    <row r="424" spans="3:6" s="63" customFormat="1" ht="17">
      <c r="C424" s="97"/>
      <c r="F424" s="97"/>
    </row>
    <row r="425" spans="3:6" s="63" customFormat="1" ht="17">
      <c r="C425" s="97"/>
      <c r="F425" s="97"/>
    </row>
    <row r="426" spans="3:6" s="63" customFormat="1" ht="17">
      <c r="C426" s="97"/>
      <c r="F426" s="97"/>
    </row>
    <row r="427" spans="3:6" s="63" customFormat="1" ht="17">
      <c r="C427" s="97"/>
      <c r="F427" s="97"/>
    </row>
    <row r="428" spans="3:6" s="63" customFormat="1" ht="17">
      <c r="C428" s="97"/>
      <c r="F428" s="97"/>
    </row>
    <row r="429" spans="3:6" s="63" customFormat="1" ht="17">
      <c r="C429" s="97"/>
      <c r="F429" s="97"/>
    </row>
    <row r="430" spans="3:6" s="63" customFormat="1" ht="17">
      <c r="C430" s="97"/>
      <c r="F430" s="97"/>
    </row>
    <row r="431" spans="3:6" s="63" customFormat="1" ht="17">
      <c r="C431" s="97"/>
      <c r="F431" s="97"/>
    </row>
    <row r="432" spans="3:6" s="63" customFormat="1" ht="17">
      <c r="C432" s="97"/>
      <c r="F432" s="97"/>
    </row>
    <row r="433" spans="3:6" s="63" customFormat="1" ht="17">
      <c r="C433" s="97"/>
      <c r="F433" s="97"/>
    </row>
    <row r="434" spans="3:6" s="63" customFormat="1" ht="17">
      <c r="C434" s="97"/>
      <c r="F434" s="97"/>
    </row>
    <row r="435" spans="3:6" s="63" customFormat="1" ht="17">
      <c r="C435" s="97"/>
      <c r="F435" s="97"/>
    </row>
    <row r="436" spans="3:6" s="63" customFormat="1" ht="17">
      <c r="C436" s="97"/>
      <c r="F436" s="97"/>
    </row>
    <row r="437" spans="3:6" s="63" customFormat="1" ht="17">
      <c r="C437" s="97"/>
      <c r="F437" s="97"/>
    </row>
    <row r="438" spans="3:6" s="63" customFormat="1" ht="17">
      <c r="C438" s="97"/>
      <c r="F438" s="97"/>
    </row>
    <row r="439" spans="3:6" s="63" customFormat="1" ht="17">
      <c r="C439" s="97"/>
      <c r="F439" s="97"/>
    </row>
    <row r="440" spans="3:6" s="63" customFormat="1" ht="17">
      <c r="C440" s="97"/>
      <c r="F440" s="97"/>
    </row>
    <row r="441" spans="3:6" s="63" customFormat="1" ht="17">
      <c r="C441" s="97"/>
      <c r="F441" s="97"/>
    </row>
    <row r="442" spans="3:6" s="63" customFormat="1" ht="17">
      <c r="C442" s="97"/>
      <c r="F442" s="97"/>
    </row>
    <row r="443" spans="3:6" s="63" customFormat="1" ht="17">
      <c r="C443" s="97"/>
      <c r="F443" s="97"/>
    </row>
    <row r="444" spans="3:6" s="63" customFormat="1" ht="17">
      <c r="C444" s="97"/>
      <c r="F444" s="97"/>
    </row>
    <row r="445" spans="3:6" s="63" customFormat="1" ht="17">
      <c r="C445" s="97"/>
      <c r="F445" s="97"/>
    </row>
    <row r="446" spans="3:6" s="63" customFormat="1" ht="17">
      <c r="C446" s="97"/>
      <c r="F446" s="97"/>
    </row>
    <row r="447" spans="3:6" s="63" customFormat="1" ht="17">
      <c r="C447" s="97"/>
      <c r="F447" s="97"/>
    </row>
    <row r="448" spans="3:6" s="63" customFormat="1" ht="17">
      <c r="C448" s="97"/>
      <c r="F448" s="97"/>
    </row>
    <row r="449" spans="3:6" s="63" customFormat="1" ht="17">
      <c r="C449" s="97"/>
      <c r="F449" s="97"/>
    </row>
    <row r="450" spans="3:6" s="63" customFormat="1" ht="17">
      <c r="C450" s="97"/>
      <c r="F450" s="97"/>
    </row>
    <row r="451" spans="3:6" s="63" customFormat="1" ht="17">
      <c r="C451" s="97"/>
      <c r="F451" s="97"/>
    </row>
    <row r="452" spans="3:6" s="63" customFormat="1" ht="17">
      <c r="C452" s="97"/>
      <c r="F452" s="97"/>
    </row>
    <row r="453" spans="3:6" s="63" customFormat="1" ht="17">
      <c r="C453" s="97"/>
      <c r="F453" s="97"/>
    </row>
    <row r="454" spans="3:6" s="63" customFormat="1" ht="17">
      <c r="C454" s="97"/>
      <c r="F454" s="97"/>
    </row>
    <row r="455" spans="3:6" s="63" customFormat="1" ht="17">
      <c r="C455" s="97"/>
      <c r="F455" s="97"/>
    </row>
    <row r="456" spans="3:6" s="63" customFormat="1" ht="17">
      <c r="C456" s="97"/>
      <c r="F456" s="97"/>
    </row>
    <row r="457" spans="3:6" s="63" customFormat="1" ht="17">
      <c r="C457" s="97"/>
      <c r="F457" s="97"/>
    </row>
    <row r="458" spans="3:6" s="63" customFormat="1" ht="17">
      <c r="C458" s="97"/>
      <c r="F458" s="97"/>
    </row>
    <row r="459" spans="3:6" s="63" customFormat="1" ht="17">
      <c r="C459" s="97"/>
      <c r="F459" s="97"/>
    </row>
    <row r="460" spans="3:6" s="63" customFormat="1" ht="17">
      <c r="C460" s="97"/>
      <c r="F460" s="97"/>
    </row>
    <row r="461" spans="3:6" s="63" customFormat="1" ht="17">
      <c r="C461" s="97"/>
      <c r="F461" s="97"/>
    </row>
    <row r="462" spans="3:6" s="63" customFormat="1" ht="17">
      <c r="C462" s="97"/>
      <c r="F462" s="97"/>
    </row>
    <row r="463" spans="3:6" s="63" customFormat="1" ht="17">
      <c r="C463" s="97"/>
      <c r="F463" s="97"/>
    </row>
    <row r="464" spans="3:6" s="63" customFormat="1" ht="17">
      <c r="C464" s="97"/>
      <c r="F464" s="97"/>
    </row>
    <row r="465" spans="3:6" s="63" customFormat="1" ht="17">
      <c r="C465" s="97"/>
      <c r="F465" s="97"/>
    </row>
    <row r="466" spans="3:6" s="63" customFormat="1" ht="17">
      <c r="C466" s="97"/>
      <c r="F466" s="97"/>
    </row>
    <row r="467" spans="3:6" s="63" customFormat="1" ht="17">
      <c r="C467" s="97"/>
      <c r="F467" s="97"/>
    </row>
    <row r="468" spans="3:6" s="63" customFormat="1" ht="17">
      <c r="C468" s="97"/>
      <c r="F468" s="97"/>
    </row>
    <row r="469" spans="3:6" s="63" customFormat="1" ht="17">
      <c r="C469" s="97"/>
      <c r="F469" s="97"/>
    </row>
    <row r="470" spans="3:6" s="63" customFormat="1" ht="17">
      <c r="C470" s="97"/>
      <c r="F470" s="97"/>
    </row>
    <row r="471" spans="3:6" s="63" customFormat="1" ht="17">
      <c r="C471" s="97"/>
      <c r="F471" s="97"/>
    </row>
    <row r="472" spans="3:6" s="63" customFormat="1" ht="17">
      <c r="C472" s="97"/>
      <c r="F472" s="97"/>
    </row>
    <row r="473" spans="3:6" s="63" customFormat="1" ht="17">
      <c r="C473" s="97"/>
      <c r="F473" s="97"/>
    </row>
    <row r="474" spans="3:6" s="63" customFormat="1" ht="17">
      <c r="C474" s="97"/>
      <c r="F474" s="97"/>
    </row>
    <row r="475" spans="3:6" s="63" customFormat="1" ht="17">
      <c r="C475" s="97"/>
      <c r="F475" s="97"/>
    </row>
    <row r="476" spans="3:6" s="63" customFormat="1" ht="17">
      <c r="C476" s="97"/>
      <c r="F476" s="97"/>
    </row>
    <row r="477" spans="3:6" s="63" customFormat="1" ht="17">
      <c r="C477" s="97"/>
      <c r="F477" s="97"/>
    </row>
    <row r="478" spans="3:6" s="63" customFormat="1" ht="17">
      <c r="C478" s="97"/>
      <c r="F478" s="97"/>
    </row>
    <row r="479" spans="3:6" s="63" customFormat="1" ht="17">
      <c r="C479" s="97"/>
      <c r="F479" s="97"/>
    </row>
    <row r="480" spans="3:6" s="63" customFormat="1" ht="17">
      <c r="C480" s="97"/>
      <c r="F480" s="97"/>
    </row>
    <row r="481" spans="3:6" s="63" customFormat="1" ht="17">
      <c r="C481" s="97"/>
      <c r="F481" s="97"/>
    </row>
    <row r="482" spans="3:6" s="63" customFormat="1" ht="17">
      <c r="C482" s="97"/>
      <c r="F482" s="97"/>
    </row>
    <row r="483" spans="3:6" s="63" customFormat="1" ht="17">
      <c r="C483" s="97"/>
      <c r="F483" s="97"/>
    </row>
    <row r="484" spans="3:6" s="63" customFormat="1" ht="17">
      <c r="C484" s="97"/>
      <c r="F484" s="97"/>
    </row>
    <row r="485" spans="3:6" s="63" customFormat="1" ht="17">
      <c r="C485" s="97"/>
      <c r="F485" s="97"/>
    </row>
    <row r="486" spans="3:6" s="63" customFormat="1" ht="17">
      <c r="C486" s="97"/>
      <c r="F486" s="97"/>
    </row>
    <row r="487" spans="3:6" s="63" customFormat="1" ht="17">
      <c r="C487" s="97"/>
      <c r="F487" s="97"/>
    </row>
    <row r="488" spans="3:6" s="63" customFormat="1" ht="17">
      <c r="C488" s="97"/>
      <c r="F488" s="97"/>
    </row>
    <row r="489" spans="3:6" s="63" customFormat="1" ht="17">
      <c r="C489" s="97"/>
      <c r="F489" s="97"/>
    </row>
    <row r="490" spans="3:6" s="63" customFormat="1" ht="17">
      <c r="C490" s="97"/>
      <c r="F490" s="97"/>
    </row>
    <row r="491" spans="3:6" s="63" customFormat="1" ht="17">
      <c r="C491" s="97"/>
      <c r="F491" s="97"/>
    </row>
    <row r="492" spans="3:6" s="63" customFormat="1" ht="17">
      <c r="C492" s="97"/>
      <c r="F492" s="97"/>
    </row>
    <row r="493" spans="3:6" s="63" customFormat="1" ht="17">
      <c r="C493" s="97"/>
      <c r="F493" s="97"/>
    </row>
    <row r="494" spans="3:6" s="63" customFormat="1" ht="17">
      <c r="C494" s="97"/>
      <c r="F494" s="97"/>
    </row>
    <row r="495" spans="3:6" s="63" customFormat="1" ht="17">
      <c r="C495" s="97"/>
      <c r="F495" s="97"/>
    </row>
    <row r="496" spans="3:6" s="63" customFormat="1" ht="17">
      <c r="C496" s="97"/>
      <c r="F496" s="97"/>
    </row>
    <row r="497" spans="3:6" s="63" customFormat="1" ht="17">
      <c r="C497" s="97"/>
      <c r="F497" s="97"/>
    </row>
    <row r="498" spans="3:6" s="63" customFormat="1" ht="17">
      <c r="C498" s="97"/>
      <c r="F498" s="97"/>
    </row>
    <row r="499" spans="3:6" s="63" customFormat="1" ht="17">
      <c r="C499" s="97"/>
      <c r="F499" s="97"/>
    </row>
    <row r="500" spans="3:6" s="63" customFormat="1" ht="17">
      <c r="C500" s="97"/>
      <c r="F500" s="97"/>
    </row>
    <row r="501" spans="3:6" s="63" customFormat="1" ht="17">
      <c r="C501" s="97"/>
      <c r="F501" s="97"/>
    </row>
    <row r="502" spans="3:6" s="63" customFormat="1" ht="17">
      <c r="C502" s="97"/>
      <c r="F502" s="97"/>
    </row>
    <row r="503" spans="3:6" s="63" customFormat="1" ht="17">
      <c r="C503" s="97"/>
      <c r="F503" s="97"/>
    </row>
    <row r="504" spans="3:6" s="63" customFormat="1" ht="17">
      <c r="C504" s="97"/>
      <c r="F504" s="97"/>
    </row>
    <row r="505" spans="3:6" s="63" customFormat="1" ht="17">
      <c r="C505" s="97"/>
      <c r="F505" s="97"/>
    </row>
    <row r="506" spans="3:6" s="63" customFormat="1" ht="17">
      <c r="C506" s="97"/>
      <c r="F506" s="97"/>
    </row>
    <row r="507" spans="3:6" s="63" customFormat="1" ht="17">
      <c r="C507" s="97"/>
      <c r="F507" s="97"/>
    </row>
    <row r="508" spans="3:6" s="63" customFormat="1" ht="17">
      <c r="C508" s="97"/>
      <c r="F508" s="97"/>
    </row>
    <row r="509" spans="3:6" s="63" customFormat="1" ht="17">
      <c r="C509" s="97"/>
      <c r="F509" s="97"/>
    </row>
    <row r="510" spans="3:6" s="63" customFormat="1" ht="17">
      <c r="C510" s="97"/>
      <c r="F510" s="97"/>
    </row>
    <row r="511" spans="3:6" s="63" customFormat="1" ht="17">
      <c r="C511" s="97"/>
      <c r="F511" s="97"/>
    </row>
    <row r="512" spans="3:6" s="63" customFormat="1" ht="17">
      <c r="C512" s="97"/>
      <c r="F512" s="97"/>
    </row>
    <row r="513" spans="3:6" s="63" customFormat="1" ht="17">
      <c r="C513" s="97"/>
      <c r="F513" s="97"/>
    </row>
    <row r="514" spans="3:6" s="63" customFormat="1" ht="17">
      <c r="C514" s="97"/>
      <c r="F514" s="97"/>
    </row>
    <row r="515" spans="3:6" s="63" customFormat="1" ht="17">
      <c r="C515" s="97"/>
      <c r="F515" s="97"/>
    </row>
    <row r="516" spans="3:6" s="63" customFormat="1" ht="17">
      <c r="C516" s="97"/>
      <c r="F516" s="97"/>
    </row>
    <row r="517" spans="3:6" s="63" customFormat="1" ht="17">
      <c r="C517" s="97"/>
      <c r="F517" s="97"/>
    </row>
    <row r="518" spans="3:6" s="63" customFormat="1" ht="17">
      <c r="C518" s="97"/>
      <c r="F518" s="97"/>
    </row>
    <row r="519" spans="3:6" s="63" customFormat="1" ht="17">
      <c r="C519" s="97"/>
      <c r="F519" s="97"/>
    </row>
    <row r="520" spans="3:6" s="63" customFormat="1" ht="17">
      <c r="C520" s="97"/>
      <c r="F520" s="97"/>
    </row>
    <row r="521" spans="3:6" s="63" customFormat="1" ht="17">
      <c r="C521" s="97"/>
      <c r="F521" s="97"/>
    </row>
    <row r="522" spans="3:6" s="63" customFormat="1" ht="17">
      <c r="C522" s="97"/>
      <c r="F522" s="97"/>
    </row>
    <row r="523" spans="3:6" s="63" customFormat="1" ht="17">
      <c r="C523" s="97"/>
      <c r="F523" s="97"/>
    </row>
    <row r="524" spans="3:6" s="63" customFormat="1" ht="17">
      <c r="C524" s="97"/>
      <c r="F524" s="97"/>
    </row>
    <row r="525" spans="3:6" s="63" customFormat="1" ht="17">
      <c r="C525" s="97"/>
      <c r="F525" s="97"/>
    </row>
    <row r="526" spans="3:6" s="63" customFormat="1" ht="17">
      <c r="C526" s="97"/>
      <c r="F526" s="97"/>
    </row>
    <row r="527" spans="3:6" s="63" customFormat="1" ht="17">
      <c r="C527" s="97"/>
      <c r="F527" s="97"/>
    </row>
    <row r="528" spans="3:6" s="63" customFormat="1" ht="17">
      <c r="C528" s="97"/>
      <c r="F528" s="97"/>
    </row>
    <row r="529" spans="3:6" s="63" customFormat="1" ht="17">
      <c r="C529" s="97"/>
      <c r="F529" s="97"/>
    </row>
    <row r="530" spans="3:6" s="63" customFormat="1" ht="17">
      <c r="C530" s="97"/>
      <c r="F530" s="97"/>
    </row>
    <row r="531" spans="3:6" s="63" customFormat="1" ht="17">
      <c r="C531" s="97"/>
      <c r="F531" s="97"/>
    </row>
    <row r="532" spans="3:6" s="63" customFormat="1" ht="17">
      <c r="C532" s="97"/>
      <c r="F532" s="97"/>
    </row>
    <row r="533" spans="3:6" s="63" customFormat="1" ht="17">
      <c r="C533" s="97"/>
      <c r="F533" s="97"/>
    </row>
    <row r="534" spans="3:6" s="63" customFormat="1" ht="17">
      <c r="C534" s="97"/>
      <c r="F534" s="97"/>
    </row>
    <row r="535" spans="3:6" s="63" customFormat="1" ht="17">
      <c r="C535" s="97"/>
      <c r="F535" s="97"/>
    </row>
    <row r="536" spans="3:6" s="63" customFormat="1" ht="17">
      <c r="C536" s="97"/>
      <c r="F536" s="97"/>
    </row>
    <row r="537" spans="3:6" s="63" customFormat="1" ht="17">
      <c r="C537" s="97"/>
      <c r="F537" s="97"/>
    </row>
    <row r="538" spans="3:6" s="63" customFormat="1" ht="17">
      <c r="C538" s="97"/>
      <c r="F538" s="97"/>
    </row>
    <row r="539" spans="3:6" s="63" customFormat="1" ht="17">
      <c r="C539" s="97"/>
      <c r="F539" s="97"/>
    </row>
    <row r="540" spans="3:6" s="63" customFormat="1" ht="17">
      <c r="C540" s="97"/>
      <c r="F540" s="97"/>
    </row>
    <row r="541" spans="3:6" s="63" customFormat="1" ht="17">
      <c r="C541" s="97"/>
      <c r="F541" s="97"/>
    </row>
    <row r="542" spans="3:6" s="63" customFormat="1" ht="17">
      <c r="C542" s="97"/>
      <c r="F542" s="97"/>
    </row>
    <row r="543" spans="3:6" s="63" customFormat="1" ht="17">
      <c r="C543" s="97"/>
      <c r="F543" s="97"/>
    </row>
    <row r="544" spans="3:6" s="63" customFormat="1" ht="17">
      <c r="C544" s="97"/>
      <c r="F544" s="97"/>
    </row>
    <row r="545" spans="3:6" s="63" customFormat="1" ht="17">
      <c r="C545" s="97"/>
      <c r="F545" s="97"/>
    </row>
    <row r="546" spans="3:6" s="63" customFormat="1" ht="17">
      <c r="C546" s="97"/>
      <c r="F546" s="97"/>
    </row>
    <row r="547" spans="3:6" s="63" customFormat="1" ht="17">
      <c r="C547" s="97"/>
      <c r="F547" s="97"/>
    </row>
    <row r="548" spans="3:6" s="63" customFormat="1" ht="17">
      <c r="C548" s="97"/>
      <c r="F548" s="97"/>
    </row>
    <row r="549" spans="3:6" s="63" customFormat="1" ht="17">
      <c r="C549" s="97"/>
      <c r="F549" s="97"/>
    </row>
    <row r="550" spans="3:6" s="63" customFormat="1" ht="17">
      <c r="C550" s="97"/>
      <c r="F550" s="97"/>
    </row>
    <row r="551" spans="3:6" s="63" customFormat="1" ht="17">
      <c r="C551" s="97"/>
      <c r="F551" s="97"/>
    </row>
    <row r="552" spans="3:6" s="63" customFormat="1" ht="17">
      <c r="C552" s="97"/>
      <c r="F552" s="97"/>
    </row>
    <row r="553" spans="3:6" s="63" customFormat="1" ht="17">
      <c r="C553" s="97"/>
      <c r="F553" s="97"/>
    </row>
    <row r="554" spans="3:6" s="63" customFormat="1" ht="17">
      <c r="C554" s="97"/>
      <c r="F554" s="97"/>
    </row>
    <row r="555" spans="3:6" s="63" customFormat="1" ht="17">
      <c r="C555" s="97"/>
      <c r="F555" s="97"/>
    </row>
    <row r="556" spans="3:6" s="63" customFormat="1" ht="17">
      <c r="C556" s="97"/>
      <c r="F556" s="97"/>
    </row>
    <row r="557" spans="3:6" s="63" customFormat="1" ht="17">
      <c r="C557" s="97"/>
      <c r="F557" s="97"/>
    </row>
    <row r="558" spans="3:6" s="63" customFormat="1" ht="17">
      <c r="C558" s="97"/>
      <c r="F558" s="97"/>
    </row>
    <row r="559" spans="3:6" s="63" customFormat="1" ht="17">
      <c r="C559" s="97"/>
      <c r="F559" s="97"/>
    </row>
    <row r="560" spans="3:6" s="63" customFormat="1" ht="17">
      <c r="C560" s="97"/>
      <c r="F560" s="97"/>
    </row>
    <row r="561" spans="3:6" s="63" customFormat="1" ht="17">
      <c r="C561" s="97"/>
      <c r="F561" s="97"/>
    </row>
    <row r="562" spans="3:6" s="63" customFormat="1" ht="17">
      <c r="C562" s="97"/>
      <c r="F562" s="97"/>
    </row>
    <row r="563" spans="3:6" s="63" customFormat="1" ht="17">
      <c r="C563" s="97"/>
      <c r="F563" s="97"/>
    </row>
    <row r="564" spans="3:6" s="63" customFormat="1" ht="17">
      <c r="C564" s="97"/>
      <c r="F564" s="97"/>
    </row>
    <row r="565" spans="3:6" s="63" customFormat="1" ht="17">
      <c r="C565" s="97"/>
      <c r="F565" s="97"/>
    </row>
    <row r="566" spans="3:6" s="63" customFormat="1" ht="17">
      <c r="C566" s="97"/>
      <c r="F566" s="97"/>
    </row>
    <row r="567" spans="3:6" s="63" customFormat="1" ht="17">
      <c r="C567" s="97"/>
      <c r="F567" s="97"/>
    </row>
    <row r="568" spans="3:6" s="63" customFormat="1" ht="17">
      <c r="C568" s="97"/>
      <c r="F568" s="97"/>
    </row>
    <row r="569" spans="3:6" s="63" customFormat="1" ht="17">
      <c r="C569" s="97"/>
      <c r="F569" s="97"/>
    </row>
    <row r="570" spans="3:6" s="63" customFormat="1" ht="17">
      <c r="C570" s="97"/>
      <c r="F570" s="97"/>
    </row>
    <row r="571" spans="3:6" s="63" customFormat="1" ht="17">
      <c r="C571" s="97"/>
      <c r="F571" s="97"/>
    </row>
    <row r="572" spans="3:6" s="63" customFormat="1" ht="17">
      <c r="C572" s="97"/>
      <c r="F572" s="97"/>
    </row>
    <row r="573" spans="3:6" s="63" customFormat="1" ht="17">
      <c r="C573" s="97"/>
      <c r="F573" s="97"/>
    </row>
    <row r="574" spans="3:6" s="63" customFormat="1" ht="17">
      <c r="C574" s="97"/>
      <c r="F574" s="97"/>
    </row>
    <row r="575" spans="3:6" s="63" customFormat="1" ht="17">
      <c r="C575" s="97"/>
      <c r="F575" s="97"/>
    </row>
    <row r="576" spans="3:6" s="63" customFormat="1" ht="17">
      <c r="C576" s="97"/>
      <c r="F576" s="97"/>
    </row>
    <row r="577" spans="3:6" s="63" customFormat="1" ht="17">
      <c r="C577" s="97"/>
      <c r="F577" s="97"/>
    </row>
    <row r="578" spans="3:6" s="63" customFormat="1" ht="17">
      <c r="C578" s="97"/>
      <c r="F578" s="97"/>
    </row>
    <row r="579" spans="3:6" s="63" customFormat="1" ht="17">
      <c r="C579" s="97"/>
      <c r="F579" s="97"/>
    </row>
    <row r="580" spans="3:6" s="63" customFormat="1" ht="17">
      <c r="C580" s="97"/>
      <c r="F580" s="97"/>
    </row>
    <row r="581" spans="3:6" s="63" customFormat="1" ht="17">
      <c r="C581" s="97"/>
      <c r="F581" s="97"/>
    </row>
    <row r="582" spans="3:6" s="63" customFormat="1" ht="17">
      <c r="C582" s="97"/>
      <c r="F582" s="97"/>
    </row>
    <row r="583" spans="3:6" s="63" customFormat="1" ht="17">
      <c r="C583" s="97"/>
      <c r="F583" s="97"/>
    </row>
    <row r="584" spans="3:6" s="63" customFormat="1" ht="17">
      <c r="C584" s="97"/>
      <c r="F584" s="97"/>
    </row>
    <row r="585" spans="3:6" s="63" customFormat="1" ht="17">
      <c r="C585" s="97"/>
      <c r="F585" s="97"/>
    </row>
    <row r="586" spans="3:6" s="63" customFormat="1" ht="17">
      <c r="C586" s="97"/>
      <c r="F586" s="97"/>
    </row>
    <row r="587" spans="3:6" s="63" customFormat="1" ht="17">
      <c r="C587" s="97"/>
      <c r="F587" s="97"/>
    </row>
    <row r="588" spans="3:6" s="63" customFormat="1" ht="17">
      <c r="C588" s="97"/>
      <c r="F588" s="97"/>
    </row>
    <row r="589" spans="3:6" s="63" customFormat="1" ht="17">
      <c r="C589" s="97"/>
      <c r="F589" s="97"/>
    </row>
    <row r="590" spans="3:6" s="63" customFormat="1" ht="17">
      <c r="C590" s="97"/>
      <c r="F590" s="97"/>
    </row>
    <row r="591" spans="3:6" s="63" customFormat="1" ht="17">
      <c r="C591" s="97"/>
      <c r="F591" s="97"/>
    </row>
    <row r="592" spans="3:6" s="63" customFormat="1" ht="17">
      <c r="C592" s="97"/>
      <c r="F592" s="97"/>
    </row>
    <row r="593" spans="3:6" s="63" customFormat="1" ht="17">
      <c r="C593" s="97"/>
      <c r="F593" s="97"/>
    </row>
    <row r="594" spans="3:6" s="63" customFormat="1" ht="17">
      <c r="C594" s="97"/>
      <c r="F594" s="97"/>
    </row>
    <row r="595" spans="3:6" s="63" customFormat="1" ht="17">
      <c r="C595" s="97"/>
      <c r="F595" s="97"/>
    </row>
    <row r="596" spans="3:6" s="63" customFormat="1" ht="17">
      <c r="C596" s="97"/>
      <c r="F596" s="97"/>
    </row>
    <row r="597" spans="3:6" s="63" customFormat="1" ht="17">
      <c r="C597" s="97"/>
      <c r="F597" s="97"/>
    </row>
    <row r="598" spans="3:6" s="63" customFormat="1" ht="17">
      <c r="C598" s="97"/>
      <c r="F598" s="97"/>
    </row>
    <row r="599" spans="3:6" s="63" customFormat="1" ht="17">
      <c r="C599" s="97"/>
      <c r="F599" s="97"/>
    </row>
    <row r="600" spans="3:6" s="63" customFormat="1" ht="17">
      <c r="C600" s="97"/>
      <c r="F600" s="97"/>
    </row>
    <row r="601" spans="3:6" s="63" customFormat="1" ht="17">
      <c r="C601" s="97"/>
      <c r="F601" s="97"/>
    </row>
    <row r="602" spans="3:6" s="63" customFormat="1" ht="17">
      <c r="C602" s="97"/>
      <c r="F602" s="97"/>
    </row>
    <row r="603" spans="3:6" s="63" customFormat="1" ht="17">
      <c r="C603" s="97"/>
      <c r="F603" s="97"/>
    </row>
    <row r="604" spans="3:6" s="63" customFormat="1" ht="17">
      <c r="C604" s="97"/>
      <c r="F604" s="97"/>
    </row>
    <row r="605" spans="3:6" s="63" customFormat="1" ht="17">
      <c r="C605" s="97"/>
      <c r="F605" s="97"/>
    </row>
    <row r="606" spans="3:6" s="63" customFormat="1" ht="17">
      <c r="C606" s="97"/>
      <c r="F606" s="97"/>
    </row>
    <row r="607" spans="3:6" s="63" customFormat="1" ht="17">
      <c r="C607" s="97"/>
      <c r="F607" s="97"/>
    </row>
    <row r="608" spans="3:6" s="63" customFormat="1" ht="17">
      <c r="C608" s="97"/>
      <c r="F608" s="97"/>
    </row>
    <row r="609" spans="3:6" s="63" customFormat="1" ht="17">
      <c r="C609" s="97"/>
      <c r="F609" s="97"/>
    </row>
    <row r="610" spans="3:6" s="63" customFormat="1" ht="17">
      <c r="C610" s="97"/>
      <c r="F610" s="97"/>
    </row>
    <row r="611" spans="3:6" s="63" customFormat="1" ht="17">
      <c r="C611" s="97"/>
      <c r="F611" s="97"/>
    </row>
    <row r="612" spans="3:6" s="63" customFormat="1" ht="17">
      <c r="C612" s="97"/>
      <c r="F612" s="97"/>
    </row>
    <row r="613" spans="3:6" s="63" customFormat="1" ht="17">
      <c r="C613" s="97"/>
      <c r="F613" s="97"/>
    </row>
    <row r="614" spans="3:6" s="63" customFormat="1" ht="17">
      <c r="C614" s="97"/>
      <c r="F614" s="97"/>
    </row>
    <row r="615" spans="3:6" s="63" customFormat="1" ht="17">
      <c r="C615" s="97"/>
      <c r="F615" s="97"/>
    </row>
    <row r="616" spans="3:6" s="63" customFormat="1" ht="17">
      <c r="C616" s="97"/>
      <c r="F616" s="97"/>
    </row>
    <row r="617" spans="3:6" s="63" customFormat="1" ht="17">
      <c r="C617" s="97"/>
      <c r="F617" s="97"/>
    </row>
    <row r="618" spans="3:6" s="63" customFormat="1" ht="17">
      <c r="C618" s="97"/>
      <c r="F618" s="97"/>
    </row>
    <row r="619" spans="3:6" s="63" customFormat="1" ht="17">
      <c r="C619" s="97"/>
      <c r="F619" s="97"/>
    </row>
    <row r="620" spans="3:6" s="63" customFormat="1" ht="17">
      <c r="C620" s="97"/>
      <c r="F620" s="97"/>
    </row>
    <row r="621" spans="3:6" s="63" customFormat="1" ht="17">
      <c r="C621" s="97"/>
      <c r="F621" s="97"/>
    </row>
    <row r="622" spans="3:6" s="63" customFormat="1" ht="17">
      <c r="C622" s="97"/>
      <c r="F622" s="97"/>
    </row>
    <row r="623" spans="3:6" s="63" customFormat="1" ht="17">
      <c r="C623" s="97"/>
      <c r="F623" s="97"/>
    </row>
    <row r="624" spans="3:6" s="63" customFormat="1" ht="17">
      <c r="C624" s="97"/>
      <c r="F624" s="97"/>
    </row>
    <row r="625" spans="3:6" s="63" customFormat="1" ht="17">
      <c r="C625" s="97"/>
      <c r="F625" s="97"/>
    </row>
    <row r="626" spans="3:6" s="63" customFormat="1" ht="17">
      <c r="C626" s="97"/>
      <c r="F626" s="97"/>
    </row>
    <row r="627" spans="3:6" s="63" customFormat="1" ht="17">
      <c r="C627" s="97"/>
      <c r="F627" s="97"/>
    </row>
    <row r="628" spans="3:6" s="63" customFormat="1" ht="17">
      <c r="C628" s="97"/>
      <c r="F628" s="97"/>
    </row>
    <row r="629" spans="3:6" s="63" customFormat="1" ht="17">
      <c r="C629" s="97"/>
      <c r="F629" s="97"/>
    </row>
    <row r="630" spans="3:6" s="63" customFormat="1" ht="17">
      <c r="C630" s="97"/>
      <c r="F630" s="97"/>
    </row>
    <row r="631" spans="3:6" s="63" customFormat="1" ht="17">
      <c r="C631" s="97"/>
      <c r="F631" s="97"/>
    </row>
    <row r="632" spans="3:6" s="63" customFormat="1" ht="17">
      <c r="C632" s="97"/>
      <c r="F632" s="97"/>
    </row>
    <row r="633" spans="3:6" s="63" customFormat="1" ht="17">
      <c r="C633" s="97"/>
      <c r="F633" s="97"/>
    </row>
    <row r="634" spans="3:6" s="63" customFormat="1" ht="17">
      <c r="C634" s="97"/>
      <c r="F634" s="97"/>
    </row>
    <row r="635" spans="3:6" s="63" customFormat="1" ht="17">
      <c r="C635" s="97"/>
      <c r="F635" s="97"/>
    </row>
    <row r="636" spans="3:6" s="63" customFormat="1" ht="17">
      <c r="C636" s="97"/>
      <c r="F636" s="97"/>
    </row>
    <row r="637" spans="3:6" s="63" customFormat="1" ht="17">
      <c r="C637" s="97"/>
      <c r="F637" s="97"/>
    </row>
    <row r="638" spans="3:6" s="63" customFormat="1" ht="17">
      <c r="C638" s="97"/>
      <c r="F638" s="97"/>
    </row>
    <row r="639" spans="3:6" s="63" customFormat="1" ht="17">
      <c r="C639" s="97"/>
      <c r="F639" s="97"/>
    </row>
    <row r="640" spans="3:6" s="63" customFormat="1" ht="17">
      <c r="C640" s="97"/>
      <c r="F640" s="97"/>
    </row>
    <row r="641" spans="3:6" s="63" customFormat="1" ht="17">
      <c r="C641" s="97"/>
      <c r="F641" s="97"/>
    </row>
    <row r="642" spans="3:6" s="63" customFormat="1" ht="17">
      <c r="C642" s="97"/>
      <c r="F642" s="97"/>
    </row>
    <row r="643" spans="3:6" s="63" customFormat="1" ht="17">
      <c r="C643" s="97"/>
      <c r="F643" s="97"/>
    </row>
    <row r="644" spans="3:6" s="63" customFormat="1" ht="17">
      <c r="C644" s="97"/>
      <c r="F644" s="97"/>
    </row>
    <row r="645" spans="3:6" s="63" customFormat="1" ht="17">
      <c r="C645" s="97"/>
      <c r="F645" s="97"/>
    </row>
    <row r="646" spans="3:6" s="63" customFormat="1" ht="17">
      <c r="C646" s="97"/>
      <c r="F646" s="97"/>
    </row>
    <row r="647" spans="3:6" s="63" customFormat="1" ht="17">
      <c r="C647" s="97"/>
      <c r="F647" s="97"/>
    </row>
    <row r="648" spans="3:6" s="63" customFormat="1" ht="17">
      <c r="C648" s="97"/>
      <c r="F648" s="97"/>
    </row>
    <row r="649" spans="3:6" s="63" customFormat="1" ht="17">
      <c r="C649" s="97"/>
      <c r="F649" s="97"/>
    </row>
    <row r="650" spans="3:6" s="63" customFormat="1" ht="17">
      <c r="C650" s="97"/>
      <c r="F650" s="97"/>
    </row>
    <row r="651" spans="3:6" s="63" customFormat="1" ht="17">
      <c r="C651" s="97"/>
      <c r="F651" s="97"/>
    </row>
    <row r="652" spans="3:6" s="63" customFormat="1" ht="17">
      <c r="C652" s="97"/>
      <c r="F652" s="97"/>
    </row>
    <row r="653" spans="3:6" s="63" customFormat="1" ht="17">
      <c r="C653" s="97"/>
      <c r="F653" s="97"/>
    </row>
    <row r="654" spans="3:6" s="63" customFormat="1" ht="17">
      <c r="C654" s="97"/>
      <c r="F654" s="97"/>
    </row>
    <row r="655" spans="3:6" s="63" customFormat="1" ht="17">
      <c r="C655" s="97"/>
      <c r="F655" s="97"/>
    </row>
    <row r="656" spans="3:6" s="63" customFormat="1" ht="17">
      <c r="C656" s="97"/>
      <c r="F656" s="97"/>
    </row>
    <row r="657" spans="3:6" s="63" customFormat="1" ht="17">
      <c r="C657" s="97"/>
      <c r="F657" s="97"/>
    </row>
    <row r="658" spans="3:6" s="63" customFormat="1" ht="17">
      <c r="C658" s="97"/>
      <c r="F658" s="97"/>
    </row>
    <row r="659" spans="3:6" s="63" customFormat="1" ht="17">
      <c r="C659" s="97"/>
      <c r="F659" s="97"/>
    </row>
    <row r="660" spans="3:6" s="63" customFormat="1" ht="17">
      <c r="C660" s="97"/>
      <c r="F660" s="97"/>
    </row>
    <row r="661" spans="3:6" s="63" customFormat="1" ht="17">
      <c r="C661" s="97"/>
      <c r="F661" s="97"/>
    </row>
    <row r="662" spans="3:6" s="63" customFormat="1" ht="17">
      <c r="C662" s="97"/>
      <c r="F662" s="97"/>
    </row>
    <row r="663" spans="3:6" s="63" customFormat="1" ht="17">
      <c r="C663" s="97"/>
      <c r="F663" s="97"/>
    </row>
    <row r="664" spans="3:6" s="63" customFormat="1" ht="17">
      <c r="C664" s="97"/>
      <c r="F664" s="97"/>
    </row>
    <row r="665" spans="3:6" s="63" customFormat="1" ht="17">
      <c r="C665" s="97"/>
      <c r="F665" s="97"/>
    </row>
    <row r="666" spans="3:6" s="63" customFormat="1" ht="17">
      <c r="C666" s="97"/>
      <c r="F666" s="97"/>
    </row>
    <row r="667" spans="3:6" s="63" customFormat="1" ht="17">
      <c r="C667" s="97"/>
      <c r="F667" s="97"/>
    </row>
    <row r="668" spans="3:6" s="63" customFormat="1" ht="17">
      <c r="C668" s="97"/>
      <c r="F668" s="97"/>
    </row>
    <row r="669" spans="3:6" s="63" customFormat="1" ht="17">
      <c r="C669" s="97"/>
      <c r="F669" s="97"/>
    </row>
    <row r="670" spans="3:6" s="63" customFormat="1" ht="17">
      <c r="C670" s="97"/>
      <c r="F670" s="97"/>
    </row>
    <row r="671" spans="3:6" s="63" customFormat="1" ht="17">
      <c r="C671" s="97"/>
      <c r="F671" s="97"/>
    </row>
    <row r="672" spans="3:6" s="63" customFormat="1" ht="17">
      <c r="C672" s="97"/>
      <c r="F672" s="97"/>
    </row>
    <row r="673" spans="3:6" s="63" customFormat="1" ht="17">
      <c r="C673" s="97"/>
      <c r="F673" s="97"/>
    </row>
    <row r="674" spans="3:6" s="63" customFormat="1" ht="17">
      <c r="C674" s="97"/>
      <c r="F674" s="97"/>
    </row>
    <row r="675" spans="3:6" s="63" customFormat="1" ht="17">
      <c r="C675" s="97"/>
      <c r="F675" s="97"/>
    </row>
    <row r="676" spans="3:6" s="63" customFormat="1" ht="17">
      <c r="C676" s="97"/>
      <c r="F676" s="97"/>
    </row>
    <row r="677" spans="3:6" s="63" customFormat="1" ht="17">
      <c r="C677" s="97"/>
      <c r="F677" s="97"/>
    </row>
    <row r="678" spans="3:6" s="63" customFormat="1" ht="17">
      <c r="C678" s="97"/>
      <c r="F678" s="97"/>
    </row>
    <row r="679" spans="3:6" s="63" customFormat="1" ht="17">
      <c r="C679" s="97"/>
      <c r="F679" s="97"/>
    </row>
    <row r="680" spans="3:6" s="63" customFormat="1" ht="17">
      <c r="C680" s="97"/>
      <c r="F680" s="97"/>
    </row>
    <row r="681" spans="3:6" s="63" customFormat="1" ht="17">
      <c r="C681" s="97"/>
      <c r="F681" s="97"/>
    </row>
    <row r="682" spans="3:6" s="63" customFormat="1" ht="17">
      <c r="C682" s="97"/>
      <c r="F682" s="97"/>
    </row>
    <row r="683" spans="3:6" s="63" customFormat="1" ht="17">
      <c r="C683" s="97"/>
      <c r="F683" s="97"/>
    </row>
    <row r="684" spans="3:6" s="63" customFormat="1" ht="17">
      <c r="C684" s="97"/>
      <c r="F684" s="97"/>
    </row>
    <row r="685" spans="3:6" s="63" customFormat="1" ht="17">
      <c r="C685" s="97"/>
      <c r="F685" s="97"/>
    </row>
    <row r="686" spans="3:6" s="63" customFormat="1" ht="17">
      <c r="C686" s="97"/>
      <c r="F686" s="97"/>
    </row>
    <row r="687" spans="3:6" s="63" customFormat="1" ht="17">
      <c r="C687" s="97"/>
      <c r="F687" s="97"/>
    </row>
    <row r="688" spans="3:6" s="63" customFormat="1" ht="17">
      <c r="C688" s="97"/>
      <c r="F688" s="97"/>
    </row>
    <row r="689" spans="3:6" s="63" customFormat="1" ht="17">
      <c r="C689" s="97"/>
      <c r="F689" s="97"/>
    </row>
    <row r="690" spans="3:6" s="63" customFormat="1" ht="17">
      <c r="C690" s="97"/>
      <c r="F690" s="97"/>
    </row>
    <row r="691" spans="3:6" s="63" customFormat="1" ht="17">
      <c r="C691" s="97"/>
      <c r="F691" s="97"/>
    </row>
    <row r="692" spans="3:6" s="63" customFormat="1" ht="17">
      <c r="C692" s="97"/>
      <c r="F692" s="97"/>
    </row>
    <row r="693" spans="3:6" s="63" customFormat="1" ht="17">
      <c r="C693" s="97"/>
      <c r="F693" s="97"/>
    </row>
    <row r="694" spans="3:6" s="63" customFormat="1" ht="17">
      <c r="C694" s="97"/>
      <c r="F694" s="97"/>
    </row>
    <row r="695" spans="3:6" s="63" customFormat="1" ht="17">
      <c r="C695" s="97"/>
      <c r="F695" s="97"/>
    </row>
    <row r="696" spans="3:6" s="63" customFormat="1" ht="17">
      <c r="C696" s="97"/>
      <c r="F696" s="97"/>
    </row>
    <row r="697" spans="3:6" s="63" customFormat="1" ht="17">
      <c r="C697" s="97"/>
      <c r="F697" s="97"/>
    </row>
    <row r="698" spans="3:6" s="63" customFormat="1" ht="17">
      <c r="C698" s="97"/>
      <c r="F698" s="97"/>
    </row>
    <row r="699" spans="3:6" s="63" customFormat="1" ht="17">
      <c r="C699" s="97"/>
      <c r="F699" s="97"/>
    </row>
    <row r="700" spans="3:6" s="63" customFormat="1" ht="17">
      <c r="C700" s="97"/>
      <c r="F700" s="97"/>
    </row>
    <row r="701" spans="3:6" s="63" customFormat="1" ht="17">
      <c r="C701" s="97"/>
      <c r="F701" s="97"/>
    </row>
    <row r="702" spans="3:6" s="63" customFormat="1" ht="17">
      <c r="C702" s="97"/>
      <c r="F702" s="97"/>
    </row>
    <row r="703" spans="3:6" s="63" customFormat="1" ht="17">
      <c r="C703" s="97"/>
      <c r="F703" s="97"/>
    </row>
    <row r="704" spans="3:6" s="63" customFormat="1" ht="17">
      <c r="C704" s="97"/>
      <c r="F704" s="97"/>
    </row>
    <row r="705" spans="3:6" s="63" customFormat="1" ht="17">
      <c r="C705" s="97"/>
      <c r="F705" s="97"/>
    </row>
    <row r="706" spans="3:6" s="63" customFormat="1" ht="17">
      <c r="C706" s="97"/>
      <c r="F706" s="97"/>
    </row>
    <row r="707" spans="3:6" s="63" customFormat="1" ht="17">
      <c r="C707" s="97"/>
      <c r="F707" s="97"/>
    </row>
    <row r="708" spans="3:6" s="63" customFormat="1" ht="17">
      <c r="C708" s="97"/>
      <c r="F708" s="97"/>
    </row>
    <row r="709" spans="3:6" s="63" customFormat="1" ht="17">
      <c r="C709" s="97"/>
      <c r="F709" s="97"/>
    </row>
    <row r="710" spans="3:6" s="63" customFormat="1" ht="17">
      <c r="C710" s="97"/>
      <c r="F710" s="97"/>
    </row>
    <row r="711" spans="3:6" s="63" customFormat="1" ht="17">
      <c r="C711" s="97"/>
      <c r="F711" s="97"/>
    </row>
    <row r="712" spans="3:6" s="63" customFormat="1" ht="17">
      <c r="C712" s="97"/>
      <c r="F712" s="97"/>
    </row>
    <row r="713" spans="3:6" s="63" customFormat="1" ht="17">
      <c r="C713" s="97"/>
      <c r="F713" s="97"/>
    </row>
    <row r="714" spans="3:6" s="63" customFormat="1" ht="17">
      <c r="C714" s="97"/>
      <c r="F714" s="97"/>
    </row>
    <row r="715" spans="3:6" s="63" customFormat="1" ht="17">
      <c r="C715" s="97"/>
      <c r="F715" s="97"/>
    </row>
    <row r="716" spans="3:6" s="63" customFormat="1" ht="17">
      <c r="C716" s="97"/>
      <c r="F716" s="97"/>
    </row>
    <row r="717" spans="3:6" s="63" customFormat="1" ht="17">
      <c r="C717" s="97"/>
      <c r="F717" s="97"/>
    </row>
    <row r="718" spans="3:6" s="63" customFormat="1" ht="17">
      <c r="C718" s="97"/>
      <c r="F718" s="97"/>
    </row>
    <row r="719" spans="3:6" s="63" customFormat="1" ht="17">
      <c r="C719" s="97"/>
      <c r="F719" s="97"/>
    </row>
    <row r="720" spans="3:6" s="63" customFormat="1" ht="17">
      <c r="C720" s="97"/>
      <c r="F720" s="97"/>
    </row>
    <row r="721" spans="3:6" s="63" customFormat="1" ht="17">
      <c r="C721" s="97"/>
      <c r="F721" s="97"/>
    </row>
    <row r="722" spans="3:6" s="63" customFormat="1" ht="17">
      <c r="C722" s="97"/>
      <c r="F722" s="97"/>
    </row>
    <row r="723" spans="3:6" s="63" customFormat="1" ht="17">
      <c r="C723" s="97"/>
      <c r="F723" s="97"/>
    </row>
    <row r="724" spans="3:6" s="63" customFormat="1" ht="17">
      <c r="C724" s="97"/>
      <c r="F724" s="97"/>
    </row>
    <row r="725" spans="3:6" s="63" customFormat="1" ht="17">
      <c r="C725" s="97"/>
      <c r="F725" s="97"/>
    </row>
    <row r="726" spans="3:6" s="63" customFormat="1" ht="17">
      <c r="C726" s="97"/>
      <c r="F726" s="97"/>
    </row>
    <row r="727" spans="3:6" s="63" customFormat="1" ht="17">
      <c r="C727" s="97"/>
      <c r="F727" s="97"/>
    </row>
    <row r="728" spans="3:6" s="63" customFormat="1" ht="17">
      <c r="C728" s="97"/>
      <c r="F728" s="97"/>
    </row>
    <row r="729" spans="3:6" s="63" customFormat="1" ht="17">
      <c r="C729" s="97"/>
      <c r="F729" s="97"/>
    </row>
    <row r="730" spans="3:6" s="63" customFormat="1" ht="17">
      <c r="C730" s="97"/>
      <c r="F730" s="97"/>
    </row>
    <row r="731" spans="3:6" s="63" customFormat="1" ht="17">
      <c r="C731" s="97"/>
      <c r="F731" s="97"/>
    </row>
    <row r="732" spans="3:6" s="63" customFormat="1" ht="17">
      <c r="C732" s="97"/>
      <c r="F732" s="97"/>
    </row>
    <row r="733" spans="3:6" s="63" customFormat="1" ht="17">
      <c r="C733" s="97"/>
      <c r="F733" s="97"/>
    </row>
    <row r="734" spans="3:6" s="63" customFormat="1" ht="17">
      <c r="C734" s="97"/>
      <c r="F734" s="97"/>
    </row>
    <row r="735" spans="3:6" s="63" customFormat="1" ht="17">
      <c r="C735" s="97"/>
      <c r="F735" s="97"/>
    </row>
    <row r="736" spans="3:6" s="63" customFormat="1" ht="17">
      <c r="C736" s="97"/>
      <c r="F736" s="97"/>
    </row>
    <row r="737" spans="3:6" s="63" customFormat="1" ht="17">
      <c r="C737" s="97"/>
      <c r="F737" s="97"/>
    </row>
    <row r="738" spans="3:6" s="63" customFormat="1" ht="17">
      <c r="C738" s="97"/>
      <c r="F738" s="97"/>
    </row>
    <row r="739" spans="3:6" s="63" customFormat="1" ht="17">
      <c r="C739" s="97"/>
      <c r="F739" s="97"/>
    </row>
    <row r="740" spans="3:6" s="63" customFormat="1" ht="17">
      <c r="C740" s="97"/>
      <c r="F740" s="97"/>
    </row>
    <row r="741" spans="3:6" s="63" customFormat="1" ht="17">
      <c r="C741" s="97"/>
      <c r="F741" s="97"/>
    </row>
    <row r="742" spans="3:6" s="63" customFormat="1" ht="17">
      <c r="C742" s="97"/>
      <c r="F742" s="97"/>
    </row>
    <row r="743" spans="3:6" s="63" customFormat="1" ht="17">
      <c r="C743" s="97"/>
      <c r="F743" s="97"/>
    </row>
    <row r="744" spans="3:6" s="63" customFormat="1" ht="17">
      <c r="C744" s="97"/>
      <c r="F744" s="97"/>
    </row>
    <row r="745" spans="3:6" s="63" customFormat="1" ht="17">
      <c r="C745" s="97"/>
      <c r="F745" s="97"/>
    </row>
    <row r="746" spans="3:6" s="63" customFormat="1" ht="17">
      <c r="C746" s="97"/>
      <c r="F746" s="97"/>
    </row>
    <row r="747" spans="3:6" s="63" customFormat="1" ht="17">
      <c r="C747" s="97"/>
      <c r="F747" s="97"/>
    </row>
    <row r="748" spans="3:6" s="63" customFormat="1" ht="17">
      <c r="C748" s="97"/>
      <c r="F748" s="97"/>
    </row>
    <row r="749" spans="3:6" s="63" customFormat="1" ht="17">
      <c r="C749" s="97"/>
      <c r="F749" s="97"/>
    </row>
    <row r="750" spans="3:6" s="63" customFormat="1" ht="17">
      <c r="C750" s="97"/>
      <c r="F750" s="97"/>
    </row>
    <row r="751" spans="3:6" s="63" customFormat="1" ht="17">
      <c r="C751" s="97"/>
      <c r="F751" s="97"/>
    </row>
    <row r="752" spans="3:6" s="63" customFormat="1" ht="17">
      <c r="C752" s="97"/>
      <c r="F752" s="97"/>
    </row>
    <row r="753" spans="3:6" s="63" customFormat="1" ht="17">
      <c r="C753" s="97"/>
      <c r="F753" s="97"/>
    </row>
    <row r="754" spans="3:6" s="63" customFormat="1" ht="17">
      <c r="C754" s="97"/>
      <c r="F754" s="97"/>
    </row>
    <row r="755" spans="3:6" s="63" customFormat="1" ht="17">
      <c r="C755" s="97"/>
      <c r="F755" s="97"/>
    </row>
    <row r="756" spans="3:6" s="63" customFormat="1" ht="17">
      <c r="C756" s="97"/>
      <c r="F756" s="97"/>
    </row>
    <row r="757" spans="3:6" s="63" customFormat="1" ht="17">
      <c r="C757" s="97"/>
      <c r="F757" s="97"/>
    </row>
    <row r="758" spans="3:6" s="63" customFormat="1" ht="17">
      <c r="C758" s="97"/>
      <c r="F758" s="97"/>
    </row>
    <row r="759" spans="3:6" s="63" customFormat="1" ht="17">
      <c r="C759" s="97"/>
      <c r="F759" s="97"/>
    </row>
    <row r="760" spans="3:6" s="63" customFormat="1" ht="17">
      <c r="C760" s="97"/>
      <c r="F760" s="97"/>
    </row>
    <row r="761" spans="3:6" s="63" customFormat="1" ht="17">
      <c r="C761" s="97"/>
      <c r="F761" s="97"/>
    </row>
    <row r="762" spans="3:6" s="63" customFormat="1" ht="17">
      <c r="C762" s="97"/>
      <c r="F762" s="97"/>
    </row>
    <row r="763" spans="3:6" s="63" customFormat="1" ht="17">
      <c r="C763" s="97"/>
      <c r="F763" s="97"/>
    </row>
    <row r="764" spans="3:6" s="63" customFormat="1" ht="17">
      <c r="C764" s="97"/>
      <c r="F764" s="97"/>
    </row>
    <row r="765" spans="3:6" s="63" customFormat="1" ht="17">
      <c r="C765" s="97"/>
      <c r="F765" s="97"/>
    </row>
    <row r="766" spans="3:6" s="63" customFormat="1" ht="17">
      <c r="C766" s="97"/>
      <c r="F766" s="97"/>
    </row>
    <row r="767" spans="3:6" s="63" customFormat="1" ht="17">
      <c r="C767" s="97"/>
      <c r="F767" s="97"/>
    </row>
    <row r="768" spans="3:6" s="63" customFormat="1" ht="17">
      <c r="C768" s="97"/>
      <c r="F768" s="97"/>
    </row>
    <row r="769" spans="3:6" s="63" customFormat="1" ht="17">
      <c r="C769" s="97"/>
      <c r="F769" s="97"/>
    </row>
    <row r="770" spans="3:6" s="63" customFormat="1" ht="17">
      <c r="C770" s="97"/>
      <c r="F770" s="97"/>
    </row>
    <row r="771" spans="3:6" s="63" customFormat="1" ht="17">
      <c r="C771" s="97"/>
      <c r="F771" s="97"/>
    </row>
    <row r="772" spans="3:6" s="63" customFormat="1" ht="17">
      <c r="C772" s="97"/>
      <c r="F772" s="97"/>
    </row>
    <row r="773" spans="3:6" s="63" customFormat="1" ht="17">
      <c r="C773" s="97"/>
      <c r="F773" s="97"/>
    </row>
    <row r="774" spans="3:6" s="63" customFormat="1" ht="17">
      <c r="C774" s="97"/>
      <c r="F774" s="97"/>
    </row>
    <row r="775" spans="3:6" s="63" customFormat="1" ht="17">
      <c r="C775" s="97"/>
      <c r="F775" s="97"/>
    </row>
    <row r="776" spans="3:6" s="63" customFormat="1" ht="17">
      <c r="C776" s="97"/>
      <c r="F776" s="97"/>
    </row>
    <row r="777" spans="3:6" s="63" customFormat="1" ht="17">
      <c r="C777" s="97"/>
      <c r="F777" s="97"/>
    </row>
    <row r="778" spans="3:6" s="63" customFormat="1" ht="17">
      <c r="C778" s="97"/>
      <c r="F778" s="97"/>
    </row>
    <row r="779" spans="3:6" s="63" customFormat="1" ht="17">
      <c r="C779" s="97"/>
      <c r="F779" s="97"/>
    </row>
    <row r="780" spans="3:6" s="63" customFormat="1" ht="17">
      <c r="C780" s="97"/>
      <c r="F780" s="97"/>
    </row>
    <row r="781" spans="3:6" s="63" customFormat="1" ht="17">
      <c r="C781" s="97"/>
      <c r="F781" s="97"/>
    </row>
    <row r="782" spans="3:6" s="63" customFormat="1" ht="17">
      <c r="C782" s="97"/>
      <c r="F782" s="97"/>
    </row>
    <row r="783" spans="3:6" s="63" customFormat="1" ht="17">
      <c r="C783" s="97"/>
      <c r="F783" s="97"/>
    </row>
    <row r="784" spans="3:6" s="63" customFormat="1" ht="17">
      <c r="C784" s="97"/>
      <c r="F784" s="97"/>
    </row>
    <row r="785" spans="3:6" s="63" customFormat="1" ht="17">
      <c r="C785" s="97"/>
      <c r="F785" s="97"/>
    </row>
    <row r="786" spans="3:6" s="63" customFormat="1" ht="17">
      <c r="C786" s="97"/>
      <c r="F786" s="97"/>
    </row>
    <row r="787" spans="3:6" s="63" customFormat="1" ht="17">
      <c r="C787" s="97"/>
      <c r="F787" s="97"/>
    </row>
    <row r="788" spans="3:6" s="63" customFormat="1" ht="17">
      <c r="C788" s="97"/>
      <c r="F788" s="97"/>
    </row>
    <row r="789" spans="3:6" s="63" customFormat="1" ht="17">
      <c r="C789" s="97"/>
      <c r="F789" s="97"/>
    </row>
    <row r="790" spans="3:6" s="63" customFormat="1" ht="17">
      <c r="C790" s="97"/>
      <c r="F790" s="97"/>
    </row>
    <row r="791" spans="3:6" s="63" customFormat="1" ht="17">
      <c r="C791" s="97"/>
      <c r="F791" s="97"/>
    </row>
    <row r="792" spans="3:6" s="63" customFormat="1" ht="17">
      <c r="C792" s="97"/>
      <c r="F792" s="97"/>
    </row>
    <row r="793" spans="3:6" s="63" customFormat="1" ht="17">
      <c r="C793" s="97"/>
      <c r="F793" s="97"/>
    </row>
    <row r="794" spans="3:6" s="63" customFormat="1" ht="17">
      <c r="C794" s="97"/>
      <c r="F794" s="97"/>
    </row>
    <row r="795" spans="3:6" s="63" customFormat="1" ht="17">
      <c r="C795" s="97"/>
      <c r="F795" s="97"/>
    </row>
    <row r="796" spans="3:6" s="63" customFormat="1" ht="17">
      <c r="C796" s="97"/>
      <c r="F796" s="97"/>
    </row>
    <row r="797" spans="3:6" s="63" customFormat="1" ht="17">
      <c r="C797" s="97"/>
      <c r="F797" s="97"/>
    </row>
    <row r="798" spans="3:6" s="63" customFormat="1" ht="17">
      <c r="C798" s="97"/>
      <c r="F798" s="97"/>
    </row>
    <row r="799" spans="3:6" s="63" customFormat="1" ht="17">
      <c r="C799" s="97"/>
      <c r="F799" s="97"/>
    </row>
    <row r="800" spans="3:6" s="63" customFormat="1" ht="17">
      <c r="C800" s="97"/>
      <c r="F800" s="97"/>
    </row>
    <row r="801" spans="3:6" s="63" customFormat="1" ht="17">
      <c r="C801" s="97"/>
      <c r="F801" s="97"/>
    </row>
    <row r="802" spans="3:6" s="63" customFormat="1" ht="17">
      <c r="C802" s="97"/>
      <c r="F802" s="97"/>
    </row>
    <row r="803" spans="3:6" s="63" customFormat="1" ht="17">
      <c r="C803" s="97"/>
      <c r="F803" s="97"/>
    </row>
    <row r="804" spans="3:6" s="63" customFormat="1" ht="17">
      <c r="C804" s="97"/>
      <c r="F804" s="97"/>
    </row>
    <row r="805" spans="3:6" s="63" customFormat="1" ht="17">
      <c r="C805" s="97"/>
      <c r="F805" s="97"/>
    </row>
    <row r="806" spans="3:6" s="63" customFormat="1" ht="17">
      <c r="C806" s="97"/>
      <c r="F806" s="97"/>
    </row>
    <row r="807" spans="3:6" s="63" customFormat="1" ht="17">
      <c r="C807" s="97"/>
      <c r="F807" s="97"/>
    </row>
    <row r="808" spans="3:6" s="63" customFormat="1" ht="17">
      <c r="C808" s="97"/>
      <c r="F808" s="97"/>
    </row>
    <row r="809" spans="3:6" s="63" customFormat="1" ht="17">
      <c r="C809" s="97"/>
      <c r="F809" s="97"/>
    </row>
    <row r="810" spans="3:6" s="63" customFormat="1" ht="17">
      <c r="C810" s="97"/>
      <c r="F810" s="97"/>
    </row>
    <row r="811" spans="3:6" s="63" customFormat="1" ht="17">
      <c r="C811" s="97"/>
      <c r="F811" s="97"/>
    </row>
    <row r="812" spans="3:6" s="63" customFormat="1" ht="17">
      <c r="C812" s="97"/>
      <c r="F812" s="97"/>
    </row>
    <row r="813" spans="3:6" s="63" customFormat="1" ht="17">
      <c r="C813" s="97"/>
      <c r="F813" s="97"/>
    </row>
    <row r="814" spans="3:6" s="63" customFormat="1" ht="17">
      <c r="C814" s="97"/>
      <c r="F814" s="97"/>
    </row>
    <row r="815" spans="3:6" s="63" customFormat="1" ht="17">
      <c r="C815" s="97"/>
      <c r="F815" s="97"/>
    </row>
    <row r="816" spans="3:6" s="63" customFormat="1" ht="17">
      <c r="C816" s="97"/>
      <c r="F816" s="97"/>
    </row>
    <row r="817" spans="3:6" s="63" customFormat="1" ht="17">
      <c r="C817" s="97"/>
      <c r="F817" s="97"/>
    </row>
    <row r="818" spans="3:6" s="63" customFormat="1" ht="17">
      <c r="C818" s="97"/>
      <c r="F818" s="97"/>
    </row>
    <row r="819" spans="3:6" s="63" customFormat="1" ht="17">
      <c r="C819" s="97"/>
      <c r="F819" s="97"/>
    </row>
    <row r="820" spans="3:6" s="63" customFormat="1" ht="17">
      <c r="C820" s="97"/>
      <c r="F820" s="97"/>
    </row>
    <row r="821" spans="3:6" s="63" customFormat="1" ht="17">
      <c r="C821" s="97"/>
      <c r="F821" s="97"/>
    </row>
    <row r="822" spans="3:6" s="63" customFormat="1" ht="17">
      <c r="C822" s="97"/>
      <c r="F822" s="97"/>
    </row>
    <row r="823" spans="3:6" s="63" customFormat="1" ht="17">
      <c r="C823" s="97"/>
      <c r="F823" s="97"/>
    </row>
    <row r="824" spans="3:6" s="63" customFormat="1" ht="17">
      <c r="C824" s="97"/>
      <c r="F824" s="97"/>
    </row>
    <row r="825" spans="3:6" s="63" customFormat="1" ht="17">
      <c r="C825" s="97"/>
      <c r="F825" s="97"/>
    </row>
    <row r="826" spans="3:6" s="63" customFormat="1" ht="17">
      <c r="C826" s="97"/>
      <c r="F826" s="97"/>
    </row>
    <row r="827" spans="3:6" s="63" customFormat="1" ht="17">
      <c r="C827" s="97"/>
      <c r="F827" s="97"/>
    </row>
    <row r="828" spans="3:6" s="63" customFormat="1" ht="17">
      <c r="C828" s="97"/>
      <c r="F828" s="97"/>
    </row>
    <row r="829" spans="3:6" s="63" customFormat="1" ht="17">
      <c r="C829" s="97"/>
      <c r="F829" s="97"/>
    </row>
    <row r="830" spans="3:6" s="63" customFormat="1" ht="17">
      <c r="C830" s="97"/>
      <c r="F830" s="97"/>
    </row>
    <row r="831" spans="3:6" s="63" customFormat="1" ht="17">
      <c r="C831" s="97"/>
      <c r="F831" s="97"/>
    </row>
    <row r="832" spans="3:6" s="63" customFormat="1" ht="17">
      <c r="C832" s="97"/>
      <c r="F832" s="97"/>
    </row>
    <row r="833" spans="3:6" s="63" customFormat="1" ht="17">
      <c r="C833" s="97"/>
      <c r="F833" s="97"/>
    </row>
    <row r="834" spans="3:6" s="63" customFormat="1" ht="17">
      <c r="C834" s="97"/>
      <c r="F834" s="97"/>
    </row>
    <row r="835" spans="3:6" s="63" customFormat="1" ht="17">
      <c r="C835" s="97"/>
      <c r="F835" s="97"/>
    </row>
    <row r="836" spans="3:6" s="63" customFormat="1" ht="17">
      <c r="C836" s="97"/>
      <c r="F836" s="97"/>
    </row>
    <row r="837" spans="3:6" s="63" customFormat="1" ht="17">
      <c r="C837" s="97"/>
      <c r="F837" s="97"/>
    </row>
    <row r="838" spans="3:6" s="63" customFormat="1" ht="17">
      <c r="C838" s="97"/>
      <c r="F838" s="97"/>
    </row>
    <row r="839" spans="3:6" s="63" customFormat="1" ht="17">
      <c r="C839" s="97"/>
      <c r="F839" s="97"/>
    </row>
    <row r="840" spans="3:6" s="63" customFormat="1" ht="17">
      <c r="C840" s="97"/>
      <c r="F840" s="97"/>
    </row>
    <row r="841" spans="3:6" s="63" customFormat="1" ht="17">
      <c r="C841" s="97"/>
      <c r="F841" s="97"/>
    </row>
    <row r="842" spans="3:6" s="63" customFormat="1" ht="17">
      <c r="C842" s="97"/>
      <c r="F842" s="97"/>
    </row>
    <row r="843" spans="3:6" s="63" customFormat="1" ht="17">
      <c r="C843" s="97"/>
      <c r="F843" s="97"/>
    </row>
    <row r="844" spans="3:6" s="63" customFormat="1" ht="17">
      <c r="C844" s="97"/>
      <c r="F844" s="97"/>
    </row>
    <row r="845" spans="3:6" s="63" customFormat="1" ht="17">
      <c r="C845" s="97"/>
      <c r="F845" s="97"/>
    </row>
    <row r="846" spans="3:6" s="63" customFormat="1" ht="17">
      <c r="C846" s="97"/>
      <c r="F846" s="97"/>
    </row>
    <row r="847" spans="3:6" s="63" customFormat="1" ht="17">
      <c r="C847" s="97"/>
      <c r="F847" s="97"/>
    </row>
    <row r="848" spans="3:6" s="63" customFormat="1" ht="17">
      <c r="C848" s="97"/>
      <c r="F848" s="97"/>
    </row>
    <row r="849" spans="3:6" s="63" customFormat="1" ht="17">
      <c r="C849" s="97"/>
      <c r="F849" s="97"/>
    </row>
    <row r="850" spans="3:6" s="63" customFormat="1" ht="17">
      <c r="C850" s="97"/>
      <c r="F850" s="97"/>
    </row>
    <row r="851" spans="3:6" s="63" customFormat="1" ht="17">
      <c r="C851" s="97"/>
      <c r="F851" s="97"/>
    </row>
    <row r="852" spans="3:6" s="63" customFormat="1" ht="17">
      <c r="C852" s="97"/>
      <c r="F852" s="97"/>
    </row>
    <row r="853" spans="3:6" s="63" customFormat="1" ht="17">
      <c r="C853" s="97"/>
      <c r="F853" s="97"/>
    </row>
    <row r="854" spans="3:6" s="63" customFormat="1" ht="17">
      <c r="C854" s="97"/>
      <c r="F854" s="97"/>
    </row>
    <row r="855" spans="3:6" s="63" customFormat="1" ht="17">
      <c r="C855" s="97"/>
      <c r="F855" s="97"/>
    </row>
    <row r="856" spans="3:6" s="63" customFormat="1" ht="17">
      <c r="C856" s="97"/>
      <c r="F856" s="97"/>
    </row>
    <row r="857" spans="3:6" s="63" customFormat="1" ht="17">
      <c r="C857" s="97"/>
      <c r="F857" s="97"/>
    </row>
    <row r="858" spans="3:6" s="63" customFormat="1" ht="17">
      <c r="C858" s="97"/>
      <c r="F858" s="97"/>
    </row>
    <row r="859" spans="3:6" s="63" customFormat="1" ht="17">
      <c r="C859" s="97"/>
      <c r="F859" s="97"/>
    </row>
    <row r="860" spans="3:6" s="63" customFormat="1" ht="17">
      <c r="C860" s="97"/>
      <c r="F860" s="97"/>
    </row>
    <row r="861" spans="3:6" s="63" customFormat="1" ht="17">
      <c r="C861" s="97"/>
      <c r="F861" s="97"/>
    </row>
    <row r="862" spans="3:6" s="63" customFormat="1" ht="17">
      <c r="C862" s="97"/>
      <c r="F862" s="97"/>
    </row>
    <row r="863" spans="3:6" s="63" customFormat="1" ht="17">
      <c r="C863" s="97"/>
      <c r="F863" s="97"/>
    </row>
    <row r="864" spans="3:6" s="63" customFormat="1" ht="17">
      <c r="C864" s="97"/>
      <c r="F864" s="97"/>
    </row>
    <row r="865" spans="3:6" s="63" customFormat="1" ht="17">
      <c r="C865" s="97"/>
      <c r="F865" s="97"/>
    </row>
    <row r="866" spans="3:6" s="63" customFormat="1" ht="17">
      <c r="C866" s="97"/>
      <c r="F866" s="97"/>
    </row>
    <row r="867" spans="3:6" s="63" customFormat="1" ht="17">
      <c r="C867" s="97"/>
      <c r="F867" s="97"/>
    </row>
    <row r="868" spans="3:6" s="63" customFormat="1" ht="17">
      <c r="C868" s="97"/>
      <c r="F868" s="97"/>
    </row>
    <row r="869" spans="3:6" s="63" customFormat="1" ht="17">
      <c r="C869" s="97"/>
      <c r="F869" s="97"/>
    </row>
    <row r="870" spans="3:6" s="63" customFormat="1" ht="17">
      <c r="C870" s="97"/>
      <c r="F870" s="97"/>
    </row>
    <row r="871" spans="3:6" s="63" customFormat="1" ht="17">
      <c r="C871" s="97"/>
      <c r="F871" s="97"/>
    </row>
    <row r="872" spans="3:6" s="63" customFormat="1" ht="17">
      <c r="C872" s="97"/>
      <c r="F872" s="97"/>
    </row>
    <row r="873" spans="3:6" s="63" customFormat="1" ht="17">
      <c r="C873" s="97"/>
      <c r="F873" s="97"/>
    </row>
    <row r="874" spans="3:6" s="63" customFormat="1" ht="17">
      <c r="C874" s="97"/>
      <c r="F874" s="97"/>
    </row>
    <row r="875" spans="3:6" s="63" customFormat="1" ht="17">
      <c r="C875" s="97"/>
      <c r="F875" s="97"/>
    </row>
    <row r="876" spans="3:6" s="63" customFormat="1" ht="17">
      <c r="C876" s="97"/>
      <c r="F876" s="97"/>
    </row>
    <row r="877" spans="3:6" s="63" customFormat="1" ht="17">
      <c r="C877" s="97"/>
      <c r="F877" s="97"/>
    </row>
    <row r="878" spans="3:6" s="63" customFormat="1" ht="17">
      <c r="C878" s="97"/>
      <c r="F878" s="97"/>
    </row>
    <row r="879" spans="3:6" s="63" customFormat="1" ht="17">
      <c r="C879" s="97"/>
      <c r="F879" s="97"/>
    </row>
    <row r="880" spans="3:6" s="63" customFormat="1" ht="17">
      <c r="C880" s="97"/>
      <c r="F880" s="97"/>
    </row>
    <row r="881" spans="3:6" s="63" customFormat="1" ht="17">
      <c r="C881" s="97"/>
      <c r="F881" s="97"/>
    </row>
    <row r="882" spans="3:6" s="63" customFormat="1" ht="17">
      <c r="C882" s="97"/>
      <c r="F882" s="97"/>
    </row>
    <row r="883" spans="3:6" s="63" customFormat="1" ht="17">
      <c r="C883" s="97"/>
      <c r="F883" s="97"/>
    </row>
    <row r="884" spans="3:6" s="63" customFormat="1" ht="17">
      <c r="C884" s="97"/>
      <c r="F884" s="97"/>
    </row>
    <row r="885" spans="3:6" s="63" customFormat="1" ht="17">
      <c r="C885" s="97"/>
      <c r="F885" s="97"/>
    </row>
    <row r="886" spans="3:6" s="63" customFormat="1" ht="17">
      <c r="C886" s="97"/>
      <c r="F886" s="97"/>
    </row>
    <row r="887" spans="3:6" s="63" customFormat="1" ht="17">
      <c r="C887" s="97"/>
      <c r="F887" s="97"/>
    </row>
    <row r="888" spans="3:6" s="63" customFormat="1" ht="17">
      <c r="C888" s="97"/>
      <c r="F888" s="97"/>
    </row>
    <row r="889" spans="3:6" s="63" customFormat="1" ht="17">
      <c r="C889" s="97"/>
      <c r="F889" s="97"/>
    </row>
    <row r="890" spans="3:6" s="63" customFormat="1" ht="17">
      <c r="C890" s="97"/>
      <c r="F890" s="97"/>
    </row>
    <row r="891" spans="3:6" s="63" customFormat="1" ht="17">
      <c r="C891" s="97"/>
      <c r="F891" s="97"/>
    </row>
    <row r="892" spans="3:6" s="63" customFormat="1" ht="17">
      <c r="C892" s="97"/>
      <c r="F892" s="97"/>
    </row>
    <row r="893" spans="3:6" s="63" customFormat="1" ht="17">
      <c r="C893" s="97"/>
      <c r="F893" s="97"/>
    </row>
    <row r="894" spans="3:6" s="63" customFormat="1" ht="17">
      <c r="C894" s="97"/>
      <c r="F894" s="97"/>
    </row>
    <row r="895" spans="3:6" s="63" customFormat="1" ht="17">
      <c r="C895" s="97"/>
      <c r="F895" s="97"/>
    </row>
    <row r="896" spans="3:6" s="63" customFormat="1" ht="17">
      <c r="C896" s="97"/>
      <c r="F896" s="97"/>
    </row>
    <row r="897" spans="3:6" s="63" customFormat="1" ht="17">
      <c r="C897" s="97"/>
      <c r="F897" s="97"/>
    </row>
    <row r="898" spans="3:6" s="63" customFormat="1" ht="17">
      <c r="C898" s="97"/>
      <c r="F898" s="97"/>
    </row>
    <row r="899" spans="3:6" s="63" customFormat="1" ht="17">
      <c r="C899" s="97"/>
      <c r="F899" s="97"/>
    </row>
    <row r="900" spans="3:6" s="63" customFormat="1" ht="17">
      <c r="C900" s="97"/>
      <c r="F900" s="97"/>
    </row>
    <row r="901" spans="3:6" s="63" customFormat="1" ht="17">
      <c r="C901" s="97"/>
      <c r="F901" s="97"/>
    </row>
    <row r="902" spans="3:6" s="63" customFormat="1" ht="17">
      <c r="C902" s="97"/>
      <c r="F902" s="97"/>
    </row>
    <row r="903" spans="3:6" s="63" customFormat="1" ht="17">
      <c r="C903" s="97"/>
      <c r="F903" s="97"/>
    </row>
    <row r="904" spans="3:6" s="63" customFormat="1" ht="17">
      <c r="C904" s="97"/>
      <c r="F904" s="97"/>
    </row>
    <row r="905" spans="3:6" s="63" customFormat="1" ht="17">
      <c r="C905" s="97"/>
      <c r="F905" s="97"/>
    </row>
    <row r="906" spans="3:6" s="63" customFormat="1" ht="17">
      <c r="C906" s="97"/>
      <c r="F906" s="97"/>
    </row>
    <row r="907" spans="3:6" s="63" customFormat="1" ht="17">
      <c r="C907" s="97"/>
      <c r="F907" s="97"/>
    </row>
    <row r="908" spans="3:6" s="63" customFormat="1" ht="17">
      <c r="C908" s="97"/>
      <c r="F908" s="97"/>
    </row>
    <row r="909" spans="3:6" s="63" customFormat="1" ht="17">
      <c r="C909" s="97"/>
      <c r="F909" s="97"/>
    </row>
    <row r="910" spans="3:6" s="63" customFormat="1" ht="17">
      <c r="C910" s="97"/>
      <c r="F910" s="97"/>
    </row>
    <row r="911" spans="3:6" s="63" customFormat="1" ht="17">
      <c r="C911" s="97"/>
      <c r="F911" s="97"/>
    </row>
    <row r="912" spans="3:6" s="63" customFormat="1" ht="17">
      <c r="C912" s="97"/>
      <c r="F912" s="97"/>
    </row>
    <row r="913" spans="3:6" s="63" customFormat="1" ht="17">
      <c r="C913" s="97"/>
      <c r="F913" s="97"/>
    </row>
    <row r="914" spans="3:6" s="63" customFormat="1" ht="17">
      <c r="C914" s="97"/>
      <c r="F914" s="97"/>
    </row>
    <row r="915" spans="3:6" s="63" customFormat="1" ht="17">
      <c r="C915" s="97"/>
      <c r="F915" s="97"/>
    </row>
    <row r="916" spans="3:6" s="63" customFormat="1" ht="17">
      <c r="C916" s="97"/>
      <c r="F916" s="97"/>
    </row>
    <row r="917" spans="3:6" s="63" customFormat="1" ht="17">
      <c r="C917" s="97"/>
      <c r="F917" s="97"/>
    </row>
    <row r="918" spans="3:6" s="63" customFormat="1" ht="17">
      <c r="C918" s="97"/>
      <c r="F918" s="97"/>
    </row>
    <row r="919" spans="3:6" s="63" customFormat="1" ht="17">
      <c r="C919" s="97"/>
      <c r="F919" s="97"/>
    </row>
    <row r="920" spans="3:6" s="63" customFormat="1" ht="17">
      <c r="C920" s="97"/>
      <c r="F920" s="97"/>
    </row>
    <row r="921" spans="3:6" s="63" customFormat="1" ht="17">
      <c r="C921" s="97"/>
      <c r="F921" s="97"/>
    </row>
    <row r="922" spans="3:6" s="63" customFormat="1" ht="17">
      <c r="C922" s="97"/>
      <c r="F922" s="97"/>
    </row>
    <row r="923" spans="3:6" s="63" customFormat="1" ht="17">
      <c r="C923" s="97"/>
      <c r="F923" s="97"/>
    </row>
    <row r="924" spans="3:6" s="63" customFormat="1" ht="17">
      <c r="C924" s="97"/>
      <c r="F924" s="97"/>
    </row>
    <row r="925" spans="3:6" s="63" customFormat="1" ht="17">
      <c r="C925" s="97"/>
      <c r="F925" s="97"/>
    </row>
    <row r="926" spans="3:6" s="63" customFormat="1" ht="17">
      <c r="C926" s="97"/>
      <c r="F926" s="97"/>
    </row>
    <row r="927" spans="3:6" s="63" customFormat="1" ht="17">
      <c r="C927" s="97"/>
      <c r="F927" s="97"/>
    </row>
    <row r="928" spans="3:6" s="63" customFormat="1" ht="17">
      <c r="C928" s="97"/>
      <c r="F928" s="97"/>
    </row>
    <row r="929" spans="3:6" s="63" customFormat="1" ht="17">
      <c r="C929" s="97"/>
      <c r="F929" s="97"/>
    </row>
    <row r="930" spans="3:6" s="63" customFormat="1" ht="17">
      <c r="C930" s="97"/>
      <c r="F930" s="97"/>
    </row>
    <row r="931" spans="3:6" s="63" customFormat="1" ht="17">
      <c r="C931" s="97"/>
      <c r="F931" s="97"/>
    </row>
    <row r="932" spans="3:6" s="63" customFormat="1" ht="17">
      <c r="C932" s="97"/>
      <c r="F932" s="97"/>
    </row>
    <row r="933" spans="3:6" s="63" customFormat="1" ht="17">
      <c r="C933" s="97"/>
      <c r="F933" s="97"/>
    </row>
    <row r="934" spans="3:6" s="63" customFormat="1" ht="17">
      <c r="C934" s="97"/>
      <c r="F934" s="97"/>
    </row>
    <row r="935" spans="3:6" s="63" customFormat="1" ht="17">
      <c r="C935" s="97"/>
      <c r="F935" s="97"/>
    </row>
    <row r="936" spans="3:6" s="63" customFormat="1" ht="17">
      <c r="C936" s="97"/>
      <c r="F936" s="97"/>
    </row>
    <row r="937" spans="3:6" s="63" customFormat="1" ht="17">
      <c r="C937" s="97"/>
      <c r="F937" s="97"/>
    </row>
    <row r="938" spans="3:6" s="63" customFormat="1" ht="17">
      <c r="C938" s="97"/>
      <c r="F938" s="97"/>
    </row>
    <row r="939" spans="3:6" s="63" customFormat="1" ht="17">
      <c r="C939" s="97"/>
      <c r="F939" s="97"/>
    </row>
    <row r="940" spans="3:6" s="63" customFormat="1" ht="17">
      <c r="C940" s="97"/>
      <c r="F940" s="97"/>
    </row>
    <row r="941" spans="3:6" s="63" customFormat="1" ht="17">
      <c r="C941" s="97"/>
      <c r="F941" s="97"/>
    </row>
    <row r="942" spans="3:6" s="63" customFormat="1" ht="17">
      <c r="C942" s="97"/>
      <c r="F942" s="97"/>
    </row>
    <row r="943" spans="3:6" s="63" customFormat="1" ht="17">
      <c r="C943" s="97"/>
      <c r="F943" s="97"/>
    </row>
    <row r="944" spans="3:6" s="63" customFormat="1" ht="17">
      <c r="C944" s="97"/>
      <c r="F944" s="97"/>
    </row>
    <row r="945" spans="3:6" s="63" customFormat="1" ht="17">
      <c r="C945" s="97"/>
      <c r="F945" s="97"/>
    </row>
    <row r="946" spans="3:6" s="63" customFormat="1" ht="17">
      <c r="C946" s="97"/>
      <c r="F946" s="97"/>
    </row>
    <row r="947" spans="3:6" s="63" customFormat="1" ht="17">
      <c r="C947" s="97"/>
      <c r="F947" s="97"/>
    </row>
    <row r="948" spans="3:6" s="63" customFormat="1" ht="17">
      <c r="C948" s="97"/>
      <c r="F948" s="97"/>
    </row>
    <row r="949" spans="3:6" s="63" customFormat="1" ht="17">
      <c r="C949" s="97"/>
      <c r="F949" s="97"/>
    </row>
    <row r="950" spans="3:6" s="63" customFormat="1" ht="17">
      <c r="C950" s="97"/>
      <c r="F950" s="97"/>
    </row>
    <row r="951" spans="3:6" s="63" customFormat="1" ht="17">
      <c r="C951" s="97"/>
      <c r="F951" s="97"/>
    </row>
    <row r="952" spans="3:6" s="63" customFormat="1" ht="17">
      <c r="C952" s="97"/>
      <c r="F952" s="97"/>
    </row>
    <row r="953" spans="3:6" s="63" customFormat="1" ht="17">
      <c r="C953" s="97"/>
      <c r="F953" s="97"/>
    </row>
    <row r="954" spans="3:6" s="63" customFormat="1" ht="17">
      <c r="C954" s="97"/>
      <c r="F954" s="97"/>
    </row>
    <row r="955" spans="3:6" s="63" customFormat="1" ht="17">
      <c r="C955" s="97"/>
      <c r="F955" s="97"/>
    </row>
    <row r="956" spans="3:6" s="63" customFormat="1" ht="17">
      <c r="C956" s="97"/>
      <c r="F956" s="97"/>
    </row>
    <row r="957" spans="3:6" s="63" customFormat="1" ht="17">
      <c r="C957" s="97"/>
      <c r="F957" s="97"/>
    </row>
    <row r="958" spans="3:6" s="63" customFormat="1" ht="17">
      <c r="C958" s="97"/>
      <c r="F958" s="97"/>
    </row>
    <row r="959" spans="3:6" s="63" customFormat="1" ht="17">
      <c r="C959" s="97"/>
      <c r="F959" s="97"/>
    </row>
    <row r="960" spans="3:6" s="63" customFormat="1" ht="17">
      <c r="C960" s="97"/>
      <c r="F960" s="97"/>
    </row>
    <row r="961" spans="3:6" s="63" customFormat="1" ht="17">
      <c r="C961" s="97"/>
      <c r="F961" s="97"/>
    </row>
    <row r="962" spans="3:6" s="63" customFormat="1" ht="17">
      <c r="C962" s="97"/>
      <c r="F962" s="97"/>
    </row>
    <row r="963" spans="3:6" s="63" customFormat="1" ht="17">
      <c r="C963" s="97"/>
      <c r="F963" s="97"/>
    </row>
    <row r="964" spans="3:6" s="63" customFormat="1" ht="17">
      <c r="C964" s="97"/>
      <c r="F964" s="97"/>
    </row>
    <row r="965" spans="3:6" s="63" customFormat="1" ht="17">
      <c r="C965" s="97"/>
      <c r="F965" s="97"/>
    </row>
    <row r="966" spans="3:6" s="63" customFormat="1" ht="17">
      <c r="C966" s="97"/>
      <c r="F966" s="97"/>
    </row>
    <row r="967" spans="3:6" s="63" customFormat="1" ht="17">
      <c r="C967" s="97"/>
      <c r="F967" s="97"/>
    </row>
    <row r="968" spans="3:6" s="63" customFormat="1" ht="17">
      <c r="C968" s="97"/>
      <c r="F968" s="97"/>
    </row>
    <row r="969" spans="3:6" s="63" customFormat="1" ht="17">
      <c r="C969" s="97"/>
      <c r="F969" s="97"/>
    </row>
    <row r="970" spans="3:6" s="63" customFormat="1" ht="17">
      <c r="C970" s="97"/>
      <c r="F970" s="97"/>
    </row>
    <row r="971" spans="3:6" s="63" customFormat="1" ht="17">
      <c r="C971" s="97"/>
      <c r="F971" s="97"/>
    </row>
    <row r="972" spans="3:6" s="63" customFormat="1" ht="17">
      <c r="C972" s="97"/>
      <c r="F972" s="97"/>
    </row>
    <row r="973" spans="3:6" s="63" customFormat="1" ht="17">
      <c r="C973" s="97"/>
      <c r="F973" s="97"/>
    </row>
    <row r="974" spans="3:6" s="63" customFormat="1" ht="17">
      <c r="C974" s="97"/>
      <c r="F974" s="97"/>
    </row>
    <row r="975" spans="3:6" s="63" customFormat="1" ht="17">
      <c r="C975" s="97"/>
      <c r="F975" s="97"/>
    </row>
    <row r="976" spans="3:6" s="63" customFormat="1" ht="17">
      <c r="C976" s="97"/>
      <c r="F976" s="97"/>
    </row>
    <row r="977" spans="3:6" s="63" customFormat="1" ht="17">
      <c r="C977" s="97"/>
      <c r="F977" s="97"/>
    </row>
    <row r="978" spans="3:6" s="63" customFormat="1" ht="17">
      <c r="C978" s="97"/>
      <c r="F978" s="97"/>
    </row>
    <row r="979" spans="3:6" s="63" customFormat="1" ht="17">
      <c r="C979" s="97"/>
      <c r="F979" s="97"/>
    </row>
    <row r="980" spans="3:6" s="63" customFormat="1" ht="17">
      <c r="C980" s="97"/>
      <c r="F980" s="97"/>
    </row>
    <row r="981" spans="3:6" s="63" customFormat="1" ht="17">
      <c r="C981" s="97"/>
      <c r="F981" s="97"/>
    </row>
    <row r="982" spans="3:6" s="63" customFormat="1" ht="17">
      <c r="C982" s="97"/>
      <c r="F982" s="97"/>
    </row>
    <row r="983" spans="3:6" s="63" customFormat="1" ht="17">
      <c r="C983" s="97"/>
      <c r="F983" s="97"/>
    </row>
    <row r="984" spans="3:6" s="63" customFormat="1" ht="17">
      <c r="C984" s="97"/>
      <c r="F984" s="97"/>
    </row>
    <row r="985" spans="3:6" s="63" customFormat="1" ht="17">
      <c r="C985" s="97"/>
      <c r="F985" s="97"/>
    </row>
    <row r="986" spans="3:6" s="63" customFormat="1" ht="17">
      <c r="C986" s="97"/>
      <c r="F986" s="97"/>
    </row>
    <row r="987" spans="3:6" s="63" customFormat="1" ht="17">
      <c r="C987" s="97"/>
      <c r="F987" s="97"/>
    </row>
    <row r="988" spans="3:6" s="63" customFormat="1" ht="17">
      <c r="C988" s="97"/>
      <c r="F988" s="97"/>
    </row>
    <row r="989" spans="3:6" s="63" customFormat="1" ht="17">
      <c r="C989" s="97"/>
      <c r="F989" s="97"/>
    </row>
    <row r="990" spans="3:6" s="63" customFormat="1" ht="17">
      <c r="C990" s="97"/>
      <c r="F990" s="97"/>
    </row>
    <row r="991" spans="3:6" s="63" customFormat="1" ht="17">
      <c r="C991" s="97"/>
      <c r="F991" s="97"/>
    </row>
    <row r="992" spans="3:6" s="63" customFormat="1" ht="17">
      <c r="C992" s="97"/>
      <c r="F992" s="97"/>
    </row>
    <row r="993" spans="3:6" s="63" customFormat="1" ht="17">
      <c r="C993" s="97"/>
      <c r="F993" s="97"/>
    </row>
    <row r="994" spans="3:6" s="63" customFormat="1" ht="17">
      <c r="C994" s="97"/>
      <c r="F994" s="97"/>
    </row>
    <row r="995" spans="3:6" s="63" customFormat="1" ht="17">
      <c r="C995" s="97"/>
      <c r="F995" s="97"/>
    </row>
    <row r="996" spans="3:6" s="63" customFormat="1" ht="17">
      <c r="C996" s="97"/>
      <c r="F996" s="97"/>
    </row>
    <row r="997" spans="3:6" s="63" customFormat="1" ht="17">
      <c r="C997" s="97"/>
      <c r="F997" s="97"/>
    </row>
    <row r="998" spans="3:6" s="63" customFormat="1" ht="17">
      <c r="C998" s="97"/>
      <c r="F998" s="97"/>
    </row>
    <row r="999" spans="3:6" s="63" customFormat="1" ht="17">
      <c r="C999" s="97"/>
      <c r="F999" s="97"/>
    </row>
    <row r="1000" spans="3:6" s="63" customFormat="1" ht="17">
      <c r="C1000" s="97"/>
      <c r="F1000" s="97"/>
    </row>
    <row r="1001" spans="3:6" s="63" customFormat="1" ht="17">
      <c r="C1001" s="97"/>
      <c r="F1001" s="97"/>
    </row>
    <row r="1002" spans="3:6" s="63" customFormat="1" ht="17">
      <c r="C1002" s="97"/>
      <c r="F1002" s="97"/>
    </row>
  </sheetData>
  <mergeCells count="5">
    <mergeCell ref="B2:F2"/>
    <mergeCell ref="B4:C4"/>
    <mergeCell ref="E4:F4"/>
    <mergeCell ref="B5:C5"/>
    <mergeCell ref="E5:F5"/>
  </mergeCells>
  <hyperlinks>
    <hyperlink ref="D4" r:id="rId1" xr:uid="{00000000-0004-0000-0B00-000000000000}"/>
    <hyperlink ref="G4" r:id="rId2" xr:uid="{00000000-0004-0000-0B00-00000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M999"/>
  <sheetViews>
    <sheetView showGridLines="0" topLeftCell="A4" zoomScale="75" workbookViewId="0">
      <selection activeCell="C6" sqref="C6"/>
    </sheetView>
  </sheetViews>
  <sheetFormatPr baseColWidth="10" defaultColWidth="12.6640625" defaultRowHeight="15.75" customHeight="1"/>
  <cols>
    <col min="1" max="1" width="12.6640625" style="63"/>
    <col min="2" max="2" width="86.6640625" style="63" customWidth="1"/>
    <col min="3" max="3" width="52.33203125" style="63" customWidth="1"/>
    <col min="4" max="5" width="12.6640625" style="63"/>
    <col min="6" max="6" width="91.1640625" style="63" customWidth="1"/>
    <col min="7" max="7" width="21" style="63" customWidth="1"/>
    <col min="8" max="9" width="12.6640625" style="63"/>
    <col min="10" max="10" width="86.1640625" style="63" customWidth="1"/>
    <col min="11" max="11" width="27.83203125" style="63" customWidth="1"/>
    <col min="12" max="16384" width="12.6640625" style="63"/>
  </cols>
  <sheetData>
    <row r="1" spans="1:13" ht="15.75" customHeight="1">
      <c r="A1" s="68"/>
      <c r="B1" s="321"/>
      <c r="C1" s="68"/>
      <c r="D1" s="68"/>
      <c r="E1" s="68"/>
      <c r="F1" s="321"/>
      <c r="G1" s="68"/>
      <c r="H1" s="68"/>
      <c r="I1" s="68"/>
      <c r="J1" s="321"/>
      <c r="K1" s="68"/>
      <c r="L1" s="68"/>
      <c r="M1" s="68"/>
    </row>
    <row r="2" spans="1:13" ht="17">
      <c r="A2" s="68"/>
      <c r="B2" s="322" t="s">
        <v>348</v>
      </c>
      <c r="C2" s="70"/>
      <c r="D2" s="70"/>
      <c r="E2" s="70"/>
      <c r="F2" s="70"/>
      <c r="G2" s="70"/>
      <c r="H2" s="70"/>
      <c r="I2" s="70"/>
      <c r="J2" s="70"/>
      <c r="K2" s="70"/>
      <c r="L2" s="70"/>
      <c r="M2" s="70"/>
    </row>
    <row r="3" spans="1:13" ht="15.75" customHeight="1">
      <c r="A3" s="68"/>
      <c r="B3" s="323"/>
      <c r="C3" s="68"/>
      <c r="D3" s="68"/>
      <c r="E3" s="68"/>
      <c r="F3" s="323"/>
      <c r="G3" s="68"/>
      <c r="H3" s="68"/>
      <c r="I3" s="68"/>
      <c r="J3" s="323"/>
      <c r="K3" s="68"/>
      <c r="L3" s="68"/>
      <c r="M3" s="68"/>
    </row>
    <row r="4" spans="1:13" ht="18">
      <c r="A4" s="324"/>
      <c r="B4" s="325" t="s">
        <v>342</v>
      </c>
      <c r="C4" s="178" t="s">
        <v>27</v>
      </c>
      <c r="D4" s="68"/>
      <c r="E4" s="324"/>
      <c r="F4" s="325" t="s">
        <v>341</v>
      </c>
      <c r="G4" s="178" t="s">
        <v>27</v>
      </c>
      <c r="H4" s="68"/>
      <c r="I4" s="324"/>
      <c r="J4" s="325" t="s">
        <v>349</v>
      </c>
      <c r="K4" s="178" t="s">
        <v>27</v>
      </c>
      <c r="L4" s="68"/>
      <c r="M4" s="68"/>
    </row>
    <row r="5" spans="1:13" ht="108">
      <c r="A5" s="324"/>
      <c r="B5" s="326" t="s">
        <v>593</v>
      </c>
      <c r="C5" s="68"/>
      <c r="D5" s="68"/>
      <c r="E5" s="324"/>
      <c r="F5" s="326" t="s">
        <v>594</v>
      </c>
      <c r="G5" s="68"/>
      <c r="H5" s="68"/>
      <c r="I5" s="324"/>
      <c r="J5" s="326" t="s">
        <v>594</v>
      </c>
      <c r="K5" s="68"/>
      <c r="L5" s="68"/>
      <c r="M5" s="68"/>
    </row>
    <row r="6" spans="1:13" ht="288">
      <c r="A6" s="324"/>
      <c r="B6" s="326" t="s">
        <v>595</v>
      </c>
      <c r="C6" s="68"/>
      <c r="D6" s="68"/>
      <c r="E6" s="324"/>
      <c r="F6" s="326" t="s">
        <v>595</v>
      </c>
      <c r="G6" s="68"/>
      <c r="H6" s="68"/>
      <c r="I6" s="324"/>
      <c r="J6" s="326" t="s">
        <v>596</v>
      </c>
      <c r="K6" s="68"/>
      <c r="L6" s="68"/>
      <c r="M6" s="68"/>
    </row>
    <row r="7" spans="1:13" ht="17">
      <c r="A7" s="68"/>
      <c r="B7" s="321"/>
      <c r="C7" s="68"/>
      <c r="D7" s="68"/>
      <c r="E7" s="68"/>
      <c r="F7" s="321"/>
      <c r="G7" s="68"/>
      <c r="H7" s="68"/>
      <c r="I7" s="68"/>
      <c r="J7" s="321"/>
      <c r="K7" s="68"/>
      <c r="L7" s="68"/>
      <c r="M7" s="68"/>
    </row>
    <row r="8" spans="1:13" ht="17">
      <c r="A8" s="68"/>
      <c r="B8" s="322" t="s">
        <v>350</v>
      </c>
      <c r="C8" s="70"/>
      <c r="D8" s="70"/>
      <c r="E8" s="70"/>
      <c r="F8" s="70"/>
      <c r="G8" s="70"/>
      <c r="H8" s="70"/>
      <c r="I8" s="70"/>
      <c r="J8" s="70"/>
      <c r="K8" s="70"/>
      <c r="L8" s="70"/>
      <c r="M8" s="70"/>
    </row>
    <row r="9" spans="1:13" ht="15.75" customHeight="1">
      <c r="A9" s="68"/>
      <c r="B9" s="323"/>
      <c r="C9" s="288"/>
      <c r="D9" s="68"/>
      <c r="E9" s="68"/>
      <c r="F9" s="323"/>
      <c r="G9" s="288"/>
      <c r="H9" s="68"/>
      <c r="I9" s="68"/>
      <c r="J9" s="323"/>
      <c r="K9" s="288"/>
      <c r="L9" s="68"/>
      <c r="M9" s="68"/>
    </row>
    <row r="10" spans="1:13" ht="17">
      <c r="A10" s="324"/>
      <c r="B10" s="327" t="s">
        <v>342</v>
      </c>
      <c r="C10" s="162"/>
      <c r="D10" s="328" t="s">
        <v>27</v>
      </c>
      <c r="E10" s="71"/>
      <c r="F10" s="327" t="s">
        <v>341</v>
      </c>
      <c r="G10" s="162"/>
      <c r="H10" s="328" t="s">
        <v>27</v>
      </c>
      <c r="I10" s="71"/>
      <c r="J10" s="327" t="s">
        <v>349</v>
      </c>
      <c r="K10" s="162"/>
      <c r="L10" s="328" t="s">
        <v>27</v>
      </c>
      <c r="M10" s="70"/>
    </row>
    <row r="11" spans="1:13" ht="17">
      <c r="A11" s="324"/>
      <c r="B11" s="329" t="s">
        <v>351</v>
      </c>
      <c r="C11" s="162"/>
      <c r="D11" s="68"/>
      <c r="E11" s="324"/>
      <c r="F11" s="329" t="s">
        <v>351</v>
      </c>
      <c r="G11" s="162"/>
      <c r="H11" s="68"/>
      <c r="I11" s="324"/>
      <c r="J11" s="329" t="s">
        <v>351</v>
      </c>
      <c r="K11" s="162"/>
      <c r="L11" s="68"/>
      <c r="M11" s="68"/>
    </row>
    <row r="12" spans="1:13" ht="17">
      <c r="A12" s="324"/>
      <c r="B12" s="114" t="s">
        <v>352</v>
      </c>
      <c r="C12" s="320">
        <f>'Car payment'!$C$11</f>
        <v>876636188.4297545</v>
      </c>
      <c r="D12" s="68"/>
      <c r="E12" s="324"/>
      <c r="F12" s="114" t="s">
        <v>352</v>
      </c>
      <c r="G12" s="320">
        <f>'Car payment'!$C$11</f>
        <v>876636188.4297545</v>
      </c>
      <c r="H12" s="68"/>
      <c r="I12" s="324"/>
      <c r="J12" s="114" t="s">
        <v>352</v>
      </c>
      <c r="K12" s="320">
        <f>'Car payment'!$C$11</f>
        <v>876636188.4297545</v>
      </c>
      <c r="L12" s="68"/>
      <c r="M12" s="68"/>
    </row>
    <row r="13" spans="1:13" ht="17">
      <c r="A13" s="324"/>
      <c r="B13" s="330" t="s">
        <v>353</v>
      </c>
      <c r="C13" s="331"/>
      <c r="D13" s="68"/>
      <c r="E13" s="324"/>
      <c r="F13" s="332" t="s">
        <v>353</v>
      </c>
      <c r="G13" s="107"/>
      <c r="H13" s="68"/>
      <c r="I13" s="324"/>
      <c r="J13" s="330" t="s">
        <v>353</v>
      </c>
      <c r="K13" s="331"/>
      <c r="L13" s="68"/>
      <c r="M13" s="68"/>
    </row>
    <row r="14" spans="1:13" ht="17">
      <c r="A14" s="324"/>
      <c r="B14" s="333" t="s">
        <v>354</v>
      </c>
      <c r="C14" s="320">
        <v>480700</v>
      </c>
      <c r="D14" s="68"/>
      <c r="E14" s="324"/>
      <c r="F14" s="333" t="s">
        <v>354</v>
      </c>
      <c r="G14" s="320">
        <v>480700</v>
      </c>
      <c r="H14" s="68"/>
      <c r="I14" s="324"/>
      <c r="J14" s="333" t="s">
        <v>354</v>
      </c>
      <c r="K14" s="320">
        <v>480700</v>
      </c>
      <c r="L14" s="68"/>
      <c r="M14" s="68"/>
    </row>
    <row r="15" spans="1:13" ht="17">
      <c r="A15" s="324"/>
      <c r="B15" s="334" t="s">
        <v>355</v>
      </c>
      <c r="C15" s="107"/>
      <c r="D15" s="68"/>
      <c r="E15" s="324"/>
      <c r="F15" s="334" t="s">
        <v>355</v>
      </c>
      <c r="G15" s="107"/>
      <c r="H15" s="68"/>
      <c r="I15" s="324"/>
      <c r="J15" s="335" t="s">
        <v>355</v>
      </c>
      <c r="K15" s="320"/>
      <c r="L15" s="68"/>
      <c r="M15" s="68"/>
    </row>
    <row r="16" spans="1:13" ht="17">
      <c r="A16" s="324"/>
      <c r="B16" s="330" t="s">
        <v>356</v>
      </c>
      <c r="C16" s="184">
        <v>1.4999999999999999E-2</v>
      </c>
      <c r="D16" s="68"/>
      <c r="E16" s="324"/>
      <c r="F16" s="336" t="s">
        <v>357</v>
      </c>
      <c r="G16" s="107"/>
      <c r="H16" s="68"/>
      <c r="I16" s="324"/>
      <c r="J16" s="114" t="s">
        <v>358</v>
      </c>
      <c r="K16" s="184">
        <v>1.2E-2</v>
      </c>
      <c r="L16" s="68"/>
      <c r="M16" s="68"/>
    </row>
    <row r="17" spans="1:13" ht="17">
      <c r="A17" s="324"/>
      <c r="B17" s="335" t="s">
        <v>359</v>
      </c>
      <c r="C17" s="181" t="s">
        <v>360</v>
      </c>
      <c r="D17" s="68"/>
      <c r="E17" s="324"/>
      <c r="F17" s="114" t="s">
        <v>358</v>
      </c>
      <c r="G17" s="184">
        <v>1.8100000000000002E-2</v>
      </c>
      <c r="H17" s="68"/>
      <c r="I17" s="324"/>
      <c r="J17" s="330" t="s">
        <v>361</v>
      </c>
      <c r="K17" s="184">
        <v>1.35E-2</v>
      </c>
      <c r="L17" s="68"/>
      <c r="M17" s="68"/>
    </row>
    <row r="18" spans="1:13" ht="17">
      <c r="A18" s="324"/>
      <c r="B18" s="330" t="s">
        <v>361</v>
      </c>
      <c r="C18" s="183" t="s">
        <v>362</v>
      </c>
      <c r="D18" s="68"/>
      <c r="E18" s="324"/>
      <c r="F18" s="330" t="s">
        <v>361</v>
      </c>
      <c r="G18" s="184">
        <v>2.06E-2</v>
      </c>
      <c r="H18" s="68"/>
      <c r="I18" s="324"/>
      <c r="J18" s="330" t="s">
        <v>363</v>
      </c>
      <c r="K18" s="184">
        <v>1.4999999999999999E-2</v>
      </c>
      <c r="L18" s="68"/>
      <c r="M18" s="68"/>
    </row>
    <row r="19" spans="1:13" ht="17">
      <c r="A19" s="324"/>
      <c r="B19" s="330" t="s">
        <v>363</v>
      </c>
      <c r="C19" s="183" t="s">
        <v>364</v>
      </c>
      <c r="D19" s="68"/>
      <c r="E19" s="324"/>
      <c r="F19" s="330" t="s">
        <v>363</v>
      </c>
      <c r="G19" s="184">
        <v>2.64E-2</v>
      </c>
      <c r="H19" s="68"/>
      <c r="I19" s="324"/>
      <c r="J19" s="330" t="s">
        <v>365</v>
      </c>
      <c r="K19" s="184">
        <v>1.6E-2</v>
      </c>
      <c r="L19" s="68"/>
      <c r="M19" s="68"/>
    </row>
    <row r="20" spans="1:13" ht="18">
      <c r="A20" s="324"/>
      <c r="B20" s="330" t="s">
        <v>366</v>
      </c>
      <c r="C20" s="183" t="s">
        <v>367</v>
      </c>
      <c r="D20" s="68"/>
      <c r="E20" s="324"/>
      <c r="F20" s="330" t="s">
        <v>365</v>
      </c>
      <c r="G20" s="184">
        <v>2.6100000000000002E-2</v>
      </c>
      <c r="H20" s="68"/>
      <c r="I20" s="324"/>
      <c r="J20" s="337" t="s">
        <v>368</v>
      </c>
      <c r="K20" s="338">
        <f>K12*K16</f>
        <v>10519634.261157054</v>
      </c>
      <c r="L20" s="68"/>
      <c r="M20" s="68"/>
    </row>
    <row r="21" spans="1:13" ht="18">
      <c r="A21" s="324"/>
      <c r="B21" s="330" t="s">
        <v>369</v>
      </c>
      <c r="C21" s="183" t="s">
        <v>370</v>
      </c>
      <c r="D21" s="68"/>
      <c r="E21" s="324"/>
      <c r="F21" s="337" t="s">
        <v>368</v>
      </c>
      <c r="G21" s="338">
        <f>G12*G17</f>
        <v>15867115.010578558</v>
      </c>
      <c r="H21" s="68"/>
      <c r="I21" s="324"/>
      <c r="J21" s="114" t="s">
        <v>371</v>
      </c>
      <c r="K21" s="338">
        <f>K12*K16*'3. Financial drivers '!D19</f>
        <v>9467670.8350413498</v>
      </c>
      <c r="L21" s="68"/>
      <c r="M21" s="68"/>
    </row>
    <row r="22" spans="1:13" ht="17">
      <c r="A22" s="324"/>
      <c r="B22" s="330" t="s">
        <v>372</v>
      </c>
      <c r="C22" s="183" t="s">
        <v>373</v>
      </c>
      <c r="D22" s="68"/>
      <c r="E22" s="324"/>
      <c r="F22" s="114" t="s">
        <v>371</v>
      </c>
      <c r="G22" s="339">
        <f>G12*G17*'3. Financial drivers '!D19</f>
        <v>14280403.509520702</v>
      </c>
      <c r="H22" s="68"/>
      <c r="I22" s="324"/>
      <c r="J22" s="114" t="s">
        <v>374</v>
      </c>
      <c r="K22" s="338">
        <f>K12*K16*'3. Financial drivers '!D20</f>
        <v>7363743.9828099376</v>
      </c>
      <c r="L22" s="68"/>
      <c r="M22" s="68"/>
    </row>
    <row r="23" spans="1:13" ht="18">
      <c r="A23" s="324"/>
      <c r="B23" s="337" t="s">
        <v>368</v>
      </c>
      <c r="C23" s="338">
        <f>C16*C12</f>
        <v>13149542.826446317</v>
      </c>
      <c r="D23" s="68"/>
      <c r="E23" s="324"/>
      <c r="F23" s="114" t="s">
        <v>374</v>
      </c>
      <c r="G23" s="338">
        <f>G12*G17*'3. Financial drivers '!D20</f>
        <v>11106980.50740499</v>
      </c>
      <c r="H23" s="68"/>
      <c r="I23" s="324"/>
      <c r="J23" s="337" t="s">
        <v>375</v>
      </c>
      <c r="K23" s="338">
        <f>K12*K17*'3. Financial drivers '!D21</f>
        <v>5917294.2719008429</v>
      </c>
      <c r="L23" s="68"/>
      <c r="M23" s="68"/>
    </row>
    <row r="24" spans="1:13" ht="18">
      <c r="A24" s="324"/>
      <c r="B24" s="114" t="s">
        <v>371</v>
      </c>
      <c r="C24" s="338">
        <f>C12*C16*'3. Financial drivers '!D19</f>
        <v>11834588.543801686</v>
      </c>
      <c r="D24" s="68"/>
      <c r="E24" s="324"/>
      <c r="F24" s="337" t="s">
        <v>375</v>
      </c>
      <c r="G24" s="338">
        <f>G12*G18*'3. Financial drivers '!D21</f>
        <v>9029352.7408264708</v>
      </c>
      <c r="H24" s="68"/>
      <c r="I24" s="324"/>
      <c r="J24" s="337" t="s">
        <v>376</v>
      </c>
      <c r="K24" s="338">
        <f>K12*K18*'3. Financial drivers '!D22</f>
        <v>3944862.847933895</v>
      </c>
      <c r="L24" s="68"/>
      <c r="M24" s="68"/>
    </row>
    <row r="25" spans="1:13" ht="18">
      <c r="A25" s="324"/>
      <c r="B25" s="114" t="s">
        <v>374</v>
      </c>
      <c r="C25" s="338">
        <f>C12*C16*'3. Financial drivers '!D20</f>
        <v>9204679.9785124213</v>
      </c>
      <c r="D25" s="68"/>
      <c r="E25" s="324"/>
      <c r="F25" s="337" t="s">
        <v>376</v>
      </c>
      <c r="G25" s="338">
        <f>G12*G19*'3. Financial drivers '!D22</f>
        <v>6942958.6123636551</v>
      </c>
      <c r="H25" s="68"/>
      <c r="I25" s="324"/>
      <c r="J25" s="337" t="s">
        <v>377</v>
      </c>
      <c r="K25" s="338">
        <f>K12*K19*'3. Financial drivers '!D23</f>
        <v>2805235.8029752146</v>
      </c>
      <c r="L25" s="68"/>
      <c r="M25" s="68"/>
    </row>
    <row r="26" spans="1:13" ht="18">
      <c r="A26" s="324"/>
      <c r="B26" s="337" t="s">
        <v>375</v>
      </c>
      <c r="C26" s="338">
        <f>C12*(C16+10%)*'3. Financial drivers '!D21</f>
        <v>50406580.834710889</v>
      </c>
      <c r="D26" s="68"/>
      <c r="E26" s="324"/>
      <c r="F26" s="337" t="s">
        <v>377</v>
      </c>
      <c r="G26" s="338">
        <f>G12*G20*'3. Financial drivers '!D23</f>
        <v>4576040.9036033191</v>
      </c>
      <c r="H26" s="68"/>
      <c r="I26" s="324"/>
      <c r="J26" s="340" t="s">
        <v>378</v>
      </c>
      <c r="K26" s="107"/>
      <c r="L26" s="68"/>
      <c r="M26" s="68"/>
    </row>
    <row r="27" spans="1:13" ht="18">
      <c r="A27" s="324"/>
      <c r="B27" s="337" t="s">
        <v>376</v>
      </c>
      <c r="C27" s="338">
        <f>C12*(C16+20%)*'3. Financial drivers '!D22</f>
        <v>56543034.153719164</v>
      </c>
      <c r="D27" s="68"/>
      <c r="E27" s="324"/>
      <c r="F27" s="340" t="s">
        <v>379</v>
      </c>
      <c r="G27" s="107"/>
      <c r="H27" s="68"/>
      <c r="I27" s="324"/>
      <c r="J27" s="335" t="s">
        <v>380</v>
      </c>
      <c r="K27" s="181" t="s">
        <v>381</v>
      </c>
      <c r="L27" s="68"/>
      <c r="M27" s="68"/>
    </row>
    <row r="28" spans="1:13" ht="18">
      <c r="A28" s="324"/>
      <c r="B28" s="337" t="s">
        <v>382</v>
      </c>
      <c r="C28" s="338">
        <f>C12*(C16+30%)*'3. Financial drivers '!D23</f>
        <v>55228079.871074535</v>
      </c>
      <c r="D28" s="68"/>
      <c r="E28" s="324"/>
      <c r="F28" s="335" t="s">
        <v>380</v>
      </c>
      <c r="G28" s="181" t="s">
        <v>381</v>
      </c>
      <c r="H28" s="68"/>
      <c r="I28" s="324"/>
      <c r="J28" s="330" t="s">
        <v>383</v>
      </c>
      <c r="K28" s="184">
        <v>1E-3</v>
      </c>
      <c r="L28" s="68"/>
      <c r="M28" s="68"/>
    </row>
    <row r="29" spans="1:13" ht="18">
      <c r="A29" s="324"/>
      <c r="B29" s="337" t="s">
        <v>384</v>
      </c>
      <c r="C29" s="338">
        <f>C12*(C16+40%)*'3. Financial drivers '!D23</f>
        <v>72760803.639669642</v>
      </c>
      <c r="D29" s="68"/>
      <c r="E29" s="324"/>
      <c r="F29" s="330" t="s">
        <v>385</v>
      </c>
      <c r="G29" s="184">
        <v>1E-3</v>
      </c>
      <c r="H29" s="68"/>
      <c r="I29" s="324"/>
      <c r="J29" s="330" t="s">
        <v>386</v>
      </c>
      <c r="K29" s="184">
        <v>1.5E-3</v>
      </c>
      <c r="L29" s="68"/>
      <c r="M29" s="68"/>
    </row>
    <row r="30" spans="1:13" ht="18">
      <c r="A30" s="324"/>
      <c r="B30" s="337" t="s">
        <v>387</v>
      </c>
      <c r="C30" s="338">
        <f>C12*(C16+50%)*'3. Financial drivers '!D23</f>
        <v>90293527.408264726</v>
      </c>
      <c r="D30" s="68"/>
      <c r="E30" s="324"/>
      <c r="F30" s="330" t="s">
        <v>388</v>
      </c>
      <c r="G30" s="184">
        <v>1E-3</v>
      </c>
      <c r="H30" s="68"/>
      <c r="I30" s="324"/>
      <c r="J30" s="330" t="s">
        <v>389</v>
      </c>
      <c r="K30" s="184">
        <v>2.5000000000000001E-3</v>
      </c>
      <c r="L30" s="68"/>
      <c r="M30" s="68"/>
    </row>
    <row r="31" spans="1:13" ht="17">
      <c r="A31" s="324"/>
      <c r="B31" s="340" t="s">
        <v>379</v>
      </c>
      <c r="C31" s="107"/>
      <c r="D31" s="68"/>
      <c r="E31" s="324"/>
      <c r="F31" s="330" t="s">
        <v>390</v>
      </c>
      <c r="G31" s="184">
        <v>1.5E-3</v>
      </c>
      <c r="H31" s="68"/>
      <c r="I31" s="324"/>
      <c r="J31" s="114" t="s">
        <v>391</v>
      </c>
      <c r="K31" s="320">
        <f>K30*100000000*3</f>
        <v>750000</v>
      </c>
      <c r="L31" s="68"/>
      <c r="M31" s="68"/>
    </row>
    <row r="32" spans="1:13" ht="17">
      <c r="A32" s="68"/>
      <c r="B32" s="335" t="s">
        <v>380</v>
      </c>
      <c r="C32" s="181" t="s">
        <v>381</v>
      </c>
      <c r="D32" s="68"/>
      <c r="E32" s="324"/>
      <c r="F32" s="330" t="s">
        <v>392</v>
      </c>
      <c r="G32" s="184">
        <v>3.0000000000000001E-3</v>
      </c>
      <c r="H32" s="68"/>
      <c r="I32" s="324"/>
      <c r="J32" s="334" t="s">
        <v>393</v>
      </c>
      <c r="K32" s="107"/>
      <c r="L32" s="68"/>
      <c r="M32" s="68"/>
    </row>
    <row r="33" spans="1:13" ht="18">
      <c r="A33" s="68"/>
      <c r="B33" s="330" t="s">
        <v>394</v>
      </c>
      <c r="C33" s="184">
        <v>1E-3</v>
      </c>
      <c r="D33" s="68"/>
      <c r="E33" s="324"/>
      <c r="F33" s="114" t="s">
        <v>395</v>
      </c>
      <c r="G33" s="320">
        <f>G29*100000000*3</f>
        <v>300000</v>
      </c>
      <c r="H33" s="68"/>
      <c r="I33" s="68"/>
      <c r="J33" s="337" t="s">
        <v>368</v>
      </c>
      <c r="K33" s="320">
        <f t="shared" ref="K33:K38" si="0">$K$14+K20+$K$31</f>
        <v>11750334.261157054</v>
      </c>
      <c r="L33" s="68"/>
      <c r="M33" s="68"/>
    </row>
    <row r="34" spans="1:13" ht="17">
      <c r="A34" s="68"/>
      <c r="B34" s="330" t="s">
        <v>396</v>
      </c>
      <c r="C34" s="184">
        <v>2E-3</v>
      </c>
      <c r="D34" s="68"/>
      <c r="E34" s="324"/>
      <c r="F34" s="334" t="s">
        <v>393</v>
      </c>
      <c r="G34" s="107"/>
      <c r="H34" s="68"/>
      <c r="I34" s="68"/>
      <c r="J34" s="114" t="s">
        <v>371</v>
      </c>
      <c r="K34" s="320">
        <f t="shared" si="0"/>
        <v>10698370.83504135</v>
      </c>
      <c r="L34" s="68"/>
      <c r="M34" s="68"/>
    </row>
    <row r="35" spans="1:13" ht="18">
      <c r="A35" s="68"/>
      <c r="B35" s="330" t="s">
        <v>397</v>
      </c>
      <c r="C35" s="184">
        <v>3.0000000000000001E-3</v>
      </c>
      <c r="D35" s="68"/>
      <c r="E35" s="324"/>
      <c r="F35" s="337" t="s">
        <v>368</v>
      </c>
      <c r="G35" s="320">
        <f t="shared" ref="G35:G40" si="1">$G$14+G21+$G$33</f>
        <v>16647815.010578558</v>
      </c>
      <c r="H35" s="68"/>
      <c r="I35" s="68"/>
      <c r="J35" s="114" t="s">
        <v>374</v>
      </c>
      <c r="K35" s="320">
        <f t="shared" si="0"/>
        <v>8594443.9828099385</v>
      </c>
      <c r="L35" s="68"/>
      <c r="M35" s="68"/>
    </row>
    <row r="36" spans="1:13" ht="18">
      <c r="A36" s="68"/>
      <c r="B36" s="114" t="s">
        <v>395</v>
      </c>
      <c r="C36" s="320">
        <f>C33*100000000*3</f>
        <v>300000</v>
      </c>
      <c r="D36" s="68"/>
      <c r="E36" s="324"/>
      <c r="F36" s="114" t="s">
        <v>371</v>
      </c>
      <c r="G36" s="320">
        <f t="shared" si="1"/>
        <v>15061103.509520702</v>
      </c>
      <c r="H36" s="68"/>
      <c r="I36" s="68"/>
      <c r="J36" s="337" t="s">
        <v>375</v>
      </c>
      <c r="K36" s="320">
        <f t="shared" si="0"/>
        <v>7147994.2719008429</v>
      </c>
      <c r="L36" s="68"/>
      <c r="M36" s="68"/>
    </row>
    <row r="37" spans="1:13" ht="18">
      <c r="A37" s="68"/>
      <c r="B37" s="334" t="s">
        <v>393</v>
      </c>
      <c r="C37" s="107"/>
      <c r="D37" s="68"/>
      <c r="E37" s="68"/>
      <c r="F37" s="114" t="s">
        <v>374</v>
      </c>
      <c r="G37" s="320">
        <f t="shared" si="1"/>
        <v>11887680.50740499</v>
      </c>
      <c r="H37" s="68"/>
      <c r="I37" s="68"/>
      <c r="J37" s="337" t="s">
        <v>376</v>
      </c>
      <c r="K37" s="320">
        <f t="shared" si="0"/>
        <v>5175562.847933895</v>
      </c>
      <c r="L37" s="68"/>
      <c r="M37" s="68"/>
    </row>
    <row r="38" spans="1:13" ht="18">
      <c r="A38" s="68"/>
      <c r="B38" s="337" t="s">
        <v>368</v>
      </c>
      <c r="C38" s="320">
        <f t="shared" ref="C38:C45" si="2">$C$14+C23+$C$36</f>
        <v>13930242.826446317</v>
      </c>
      <c r="D38" s="68"/>
      <c r="E38" s="68"/>
      <c r="F38" s="337" t="s">
        <v>375</v>
      </c>
      <c r="G38" s="320">
        <f t="shared" si="1"/>
        <v>9810052.7408264708</v>
      </c>
      <c r="H38" s="68"/>
      <c r="I38" s="68"/>
      <c r="J38" s="337" t="s">
        <v>377</v>
      </c>
      <c r="K38" s="320">
        <f t="shared" si="0"/>
        <v>4035935.8029752146</v>
      </c>
      <c r="L38" s="68"/>
      <c r="M38" s="68"/>
    </row>
    <row r="39" spans="1:13" ht="18">
      <c r="A39" s="68"/>
      <c r="B39" s="114" t="s">
        <v>371</v>
      </c>
      <c r="C39" s="320">
        <f t="shared" si="2"/>
        <v>12615288.543801686</v>
      </c>
      <c r="D39" s="68"/>
      <c r="E39" s="68"/>
      <c r="F39" s="337" t="s">
        <v>376</v>
      </c>
      <c r="G39" s="320">
        <f t="shared" si="1"/>
        <v>7723658.6123636551</v>
      </c>
      <c r="H39" s="68"/>
      <c r="I39" s="68"/>
      <c r="J39" s="321"/>
      <c r="K39" s="68"/>
      <c r="L39" s="68"/>
      <c r="M39" s="68"/>
    </row>
    <row r="40" spans="1:13" ht="18">
      <c r="B40" s="114" t="s">
        <v>374</v>
      </c>
      <c r="C40" s="320">
        <f t="shared" si="2"/>
        <v>9985379.9785124213</v>
      </c>
      <c r="F40" s="337" t="s">
        <v>377</v>
      </c>
      <c r="G40" s="320">
        <f t="shared" si="1"/>
        <v>5356740.9036033191</v>
      </c>
      <c r="J40" s="321"/>
    </row>
    <row r="41" spans="1:13" ht="18">
      <c r="B41" s="337" t="s">
        <v>375</v>
      </c>
      <c r="C41" s="320">
        <f t="shared" si="2"/>
        <v>51187280.834710889</v>
      </c>
      <c r="F41" s="321"/>
      <c r="J41" s="321"/>
    </row>
    <row r="42" spans="1:13" ht="18">
      <c r="B42" s="337" t="s">
        <v>376</v>
      </c>
      <c r="C42" s="320">
        <f t="shared" si="2"/>
        <v>57323734.153719164</v>
      </c>
      <c r="F42" s="321"/>
      <c r="J42" s="321"/>
    </row>
    <row r="43" spans="1:13" ht="18">
      <c r="B43" s="337" t="s">
        <v>382</v>
      </c>
      <c r="C43" s="320">
        <f t="shared" si="2"/>
        <v>56008779.871074535</v>
      </c>
      <c r="F43" s="321"/>
      <c r="J43" s="321"/>
    </row>
    <row r="44" spans="1:13" ht="18">
      <c r="B44" s="337" t="s">
        <v>384</v>
      </c>
      <c r="C44" s="320">
        <f t="shared" si="2"/>
        <v>73541503.639669642</v>
      </c>
      <c r="F44" s="321"/>
      <c r="J44" s="321"/>
    </row>
    <row r="45" spans="1:13" ht="18">
      <c r="B45" s="337" t="s">
        <v>387</v>
      </c>
      <c r="C45" s="320">
        <f t="shared" si="2"/>
        <v>91074227.408264726</v>
      </c>
      <c r="F45" s="321"/>
      <c r="J45" s="321"/>
    </row>
    <row r="46" spans="1:13" ht="15.75" customHeight="1">
      <c r="B46" s="321"/>
      <c r="F46" s="321"/>
      <c r="J46" s="321"/>
    </row>
    <row r="47" spans="1:13" ht="15.75" customHeight="1">
      <c r="B47" s="321"/>
      <c r="F47" s="321"/>
      <c r="J47" s="321"/>
    </row>
    <row r="48" spans="1:13" ht="15.75" customHeight="1">
      <c r="B48" s="321"/>
      <c r="F48" s="321"/>
      <c r="J48" s="321"/>
    </row>
    <row r="49" spans="2:10" ht="15.75" customHeight="1">
      <c r="B49" s="321"/>
      <c r="F49" s="321"/>
      <c r="J49" s="321"/>
    </row>
    <row r="50" spans="2:10" ht="15.75" customHeight="1">
      <c r="B50" s="321"/>
      <c r="F50" s="321"/>
      <c r="J50" s="321"/>
    </row>
    <row r="51" spans="2:10" ht="17">
      <c r="B51" s="321"/>
      <c r="F51" s="321"/>
      <c r="J51" s="321"/>
    </row>
    <row r="52" spans="2:10" ht="17">
      <c r="B52" s="321"/>
      <c r="F52" s="321"/>
      <c r="J52" s="321"/>
    </row>
    <row r="53" spans="2:10" ht="17">
      <c r="B53" s="321"/>
      <c r="F53" s="321"/>
      <c r="J53" s="321"/>
    </row>
    <row r="54" spans="2:10" ht="17">
      <c r="B54" s="321"/>
      <c r="F54" s="321"/>
      <c r="J54" s="321"/>
    </row>
    <row r="55" spans="2:10" ht="17">
      <c r="B55" s="321"/>
      <c r="F55" s="321"/>
      <c r="J55" s="321"/>
    </row>
    <row r="56" spans="2:10" ht="17">
      <c r="B56" s="321"/>
      <c r="F56" s="321"/>
      <c r="J56" s="321"/>
    </row>
    <row r="57" spans="2:10" ht="17">
      <c r="B57" s="321"/>
      <c r="F57" s="321"/>
      <c r="J57" s="321"/>
    </row>
    <row r="58" spans="2:10" ht="17">
      <c r="B58" s="321"/>
      <c r="F58" s="321"/>
      <c r="J58" s="321"/>
    </row>
    <row r="59" spans="2:10" ht="17">
      <c r="B59" s="321"/>
      <c r="F59" s="321"/>
      <c r="J59" s="321"/>
    </row>
    <row r="60" spans="2:10" ht="17">
      <c r="B60" s="321"/>
      <c r="F60" s="321"/>
      <c r="J60" s="321"/>
    </row>
    <row r="61" spans="2:10" ht="17">
      <c r="B61" s="321"/>
      <c r="F61" s="321"/>
      <c r="J61" s="321"/>
    </row>
    <row r="62" spans="2:10" ht="17">
      <c r="B62" s="321"/>
      <c r="F62" s="321"/>
      <c r="J62" s="321"/>
    </row>
    <row r="63" spans="2:10" ht="17">
      <c r="B63" s="321"/>
      <c r="F63" s="321"/>
      <c r="J63" s="321"/>
    </row>
    <row r="64" spans="2:10" ht="17">
      <c r="B64" s="321"/>
      <c r="F64" s="321"/>
      <c r="J64" s="321"/>
    </row>
    <row r="65" spans="2:10" ht="17">
      <c r="B65" s="321"/>
      <c r="F65" s="321"/>
      <c r="J65" s="321"/>
    </row>
    <row r="66" spans="2:10" ht="17">
      <c r="B66" s="321"/>
      <c r="F66" s="321"/>
      <c r="J66" s="321"/>
    </row>
    <row r="67" spans="2:10" ht="17">
      <c r="B67" s="321"/>
      <c r="F67" s="321"/>
      <c r="J67" s="321"/>
    </row>
    <row r="68" spans="2:10" ht="17">
      <c r="B68" s="321"/>
      <c r="F68" s="321"/>
      <c r="J68" s="321"/>
    </row>
    <row r="69" spans="2:10" ht="17">
      <c r="B69" s="321"/>
      <c r="F69" s="321"/>
      <c r="J69" s="321"/>
    </row>
    <row r="70" spans="2:10" ht="17">
      <c r="B70" s="321"/>
      <c r="F70" s="321"/>
      <c r="J70" s="321"/>
    </row>
    <row r="71" spans="2:10" ht="17">
      <c r="B71" s="321"/>
      <c r="F71" s="321"/>
      <c r="J71" s="321"/>
    </row>
    <row r="72" spans="2:10" ht="17">
      <c r="B72" s="321"/>
      <c r="F72" s="321"/>
      <c r="J72" s="321"/>
    </row>
    <row r="73" spans="2:10" ht="17">
      <c r="B73" s="321"/>
      <c r="F73" s="321"/>
      <c r="J73" s="321"/>
    </row>
    <row r="74" spans="2:10" ht="17">
      <c r="B74" s="321"/>
      <c r="F74" s="321"/>
      <c r="J74" s="321"/>
    </row>
    <row r="75" spans="2:10" ht="17">
      <c r="B75" s="321"/>
      <c r="F75" s="321"/>
      <c r="J75" s="321"/>
    </row>
    <row r="76" spans="2:10" ht="17">
      <c r="B76" s="321"/>
      <c r="F76" s="321"/>
      <c r="J76" s="321"/>
    </row>
    <row r="77" spans="2:10" ht="17">
      <c r="B77" s="321"/>
      <c r="F77" s="321"/>
      <c r="J77" s="321"/>
    </row>
    <row r="78" spans="2:10" ht="17">
      <c r="B78" s="321"/>
      <c r="F78" s="321"/>
      <c r="J78" s="321"/>
    </row>
    <row r="79" spans="2:10" ht="17">
      <c r="B79" s="321"/>
      <c r="F79" s="321"/>
      <c r="J79" s="321"/>
    </row>
    <row r="80" spans="2:10" ht="17">
      <c r="B80" s="321"/>
      <c r="F80" s="321"/>
      <c r="J80" s="321"/>
    </row>
    <row r="81" spans="2:10" ht="17">
      <c r="B81" s="321"/>
      <c r="F81" s="321"/>
      <c r="J81" s="321"/>
    </row>
    <row r="82" spans="2:10" ht="17">
      <c r="B82" s="321"/>
      <c r="F82" s="321"/>
      <c r="J82" s="321"/>
    </row>
    <row r="83" spans="2:10" ht="17">
      <c r="B83" s="321"/>
      <c r="F83" s="321"/>
      <c r="J83" s="321"/>
    </row>
    <row r="84" spans="2:10" ht="17">
      <c r="B84" s="321"/>
      <c r="F84" s="321"/>
      <c r="J84" s="321"/>
    </row>
    <row r="85" spans="2:10" ht="17">
      <c r="B85" s="321"/>
      <c r="F85" s="321"/>
      <c r="J85" s="321"/>
    </row>
    <row r="86" spans="2:10" ht="17">
      <c r="B86" s="321"/>
      <c r="F86" s="321"/>
      <c r="J86" s="321"/>
    </row>
    <row r="87" spans="2:10" ht="17">
      <c r="B87" s="321"/>
      <c r="F87" s="321"/>
      <c r="J87" s="321"/>
    </row>
    <row r="88" spans="2:10" ht="17">
      <c r="B88" s="321"/>
      <c r="F88" s="321"/>
      <c r="J88" s="321"/>
    </row>
    <row r="89" spans="2:10" ht="17">
      <c r="B89" s="321"/>
      <c r="F89" s="321"/>
      <c r="J89" s="321"/>
    </row>
    <row r="90" spans="2:10" ht="17">
      <c r="B90" s="321"/>
      <c r="F90" s="321"/>
      <c r="J90" s="321"/>
    </row>
    <row r="91" spans="2:10" ht="17">
      <c r="B91" s="321"/>
      <c r="F91" s="321"/>
      <c r="J91" s="321"/>
    </row>
    <row r="92" spans="2:10" ht="17">
      <c r="B92" s="321"/>
      <c r="F92" s="321"/>
      <c r="J92" s="321"/>
    </row>
    <row r="93" spans="2:10" ht="17">
      <c r="B93" s="321"/>
      <c r="F93" s="321"/>
      <c r="J93" s="321"/>
    </row>
    <row r="94" spans="2:10" ht="17">
      <c r="B94" s="321"/>
      <c r="F94" s="321"/>
      <c r="J94" s="321"/>
    </row>
    <row r="95" spans="2:10" ht="17">
      <c r="B95" s="321"/>
      <c r="F95" s="321"/>
      <c r="J95" s="321"/>
    </row>
    <row r="96" spans="2:10" ht="17">
      <c r="B96" s="321"/>
      <c r="F96" s="321"/>
      <c r="J96" s="321"/>
    </row>
    <row r="97" spans="2:10" ht="17">
      <c r="B97" s="321"/>
      <c r="F97" s="321"/>
      <c r="J97" s="321"/>
    </row>
    <row r="98" spans="2:10" ht="17">
      <c r="B98" s="321"/>
      <c r="F98" s="321"/>
      <c r="J98" s="321"/>
    </row>
    <row r="99" spans="2:10" ht="17">
      <c r="B99" s="321"/>
      <c r="F99" s="321"/>
      <c r="J99" s="321"/>
    </row>
    <row r="100" spans="2:10" ht="17">
      <c r="B100" s="321"/>
      <c r="F100" s="321"/>
      <c r="J100" s="321"/>
    </row>
    <row r="101" spans="2:10" ht="17">
      <c r="B101" s="321"/>
      <c r="F101" s="321"/>
      <c r="J101" s="321"/>
    </row>
    <row r="102" spans="2:10" ht="17">
      <c r="B102" s="321"/>
      <c r="F102" s="321"/>
      <c r="J102" s="321"/>
    </row>
    <row r="103" spans="2:10" ht="17">
      <c r="B103" s="321"/>
      <c r="F103" s="321"/>
      <c r="J103" s="321"/>
    </row>
    <row r="104" spans="2:10" ht="17">
      <c r="B104" s="321"/>
      <c r="F104" s="321"/>
      <c r="J104" s="321"/>
    </row>
    <row r="105" spans="2:10" ht="17">
      <c r="B105" s="321"/>
      <c r="F105" s="321"/>
      <c r="J105" s="321"/>
    </row>
    <row r="106" spans="2:10" ht="17">
      <c r="B106" s="321"/>
      <c r="F106" s="321"/>
      <c r="J106" s="321"/>
    </row>
    <row r="107" spans="2:10" ht="17">
      <c r="B107" s="321"/>
      <c r="F107" s="321"/>
      <c r="J107" s="321"/>
    </row>
    <row r="108" spans="2:10" ht="17">
      <c r="B108" s="321"/>
      <c r="F108" s="321"/>
      <c r="J108" s="321"/>
    </row>
    <row r="109" spans="2:10" ht="17">
      <c r="B109" s="321"/>
      <c r="F109" s="321"/>
      <c r="J109" s="321"/>
    </row>
    <row r="110" spans="2:10" ht="17">
      <c r="B110" s="321"/>
      <c r="F110" s="321"/>
      <c r="J110" s="321"/>
    </row>
    <row r="111" spans="2:10" ht="17">
      <c r="B111" s="321"/>
      <c r="F111" s="321"/>
      <c r="J111" s="321"/>
    </row>
    <row r="112" spans="2:10" ht="17">
      <c r="B112" s="321"/>
      <c r="F112" s="321"/>
      <c r="J112" s="321"/>
    </row>
    <row r="113" spans="2:10" ht="17">
      <c r="B113" s="321"/>
      <c r="F113" s="321"/>
      <c r="J113" s="321"/>
    </row>
    <row r="114" spans="2:10" ht="17">
      <c r="B114" s="321"/>
      <c r="F114" s="321"/>
      <c r="J114" s="321"/>
    </row>
    <row r="115" spans="2:10" ht="17">
      <c r="B115" s="321"/>
      <c r="F115" s="321"/>
      <c r="J115" s="321"/>
    </row>
    <row r="116" spans="2:10" ht="17">
      <c r="B116" s="321"/>
      <c r="F116" s="321"/>
      <c r="J116" s="321"/>
    </row>
    <row r="117" spans="2:10" ht="17">
      <c r="B117" s="321"/>
      <c r="F117" s="321"/>
      <c r="J117" s="321"/>
    </row>
    <row r="118" spans="2:10" ht="17">
      <c r="B118" s="321"/>
      <c r="F118" s="321"/>
      <c r="J118" s="321"/>
    </row>
    <row r="119" spans="2:10" ht="17">
      <c r="B119" s="321"/>
      <c r="F119" s="321"/>
      <c r="J119" s="321"/>
    </row>
    <row r="120" spans="2:10" ht="17">
      <c r="B120" s="321"/>
      <c r="F120" s="321"/>
      <c r="J120" s="321"/>
    </row>
    <row r="121" spans="2:10" ht="17">
      <c r="B121" s="321"/>
      <c r="F121" s="321"/>
      <c r="J121" s="321"/>
    </row>
    <row r="122" spans="2:10" ht="17">
      <c r="B122" s="321"/>
      <c r="F122" s="321"/>
      <c r="J122" s="321"/>
    </row>
    <row r="123" spans="2:10" ht="17">
      <c r="B123" s="321"/>
      <c r="F123" s="321"/>
      <c r="J123" s="321"/>
    </row>
    <row r="124" spans="2:10" ht="17">
      <c r="B124" s="321"/>
      <c r="F124" s="321"/>
      <c r="J124" s="321"/>
    </row>
    <row r="125" spans="2:10" ht="17">
      <c r="B125" s="321"/>
      <c r="F125" s="321"/>
      <c r="J125" s="321"/>
    </row>
    <row r="126" spans="2:10" ht="17">
      <c r="B126" s="321"/>
      <c r="F126" s="321"/>
      <c r="J126" s="321"/>
    </row>
    <row r="127" spans="2:10" ht="17">
      <c r="B127" s="321"/>
      <c r="F127" s="321"/>
      <c r="J127" s="321"/>
    </row>
    <row r="128" spans="2:10" ht="17">
      <c r="B128" s="321"/>
      <c r="F128" s="321"/>
      <c r="J128" s="321"/>
    </row>
    <row r="129" spans="2:10" ht="17">
      <c r="B129" s="321"/>
      <c r="F129" s="321"/>
      <c r="J129" s="321"/>
    </row>
    <row r="130" spans="2:10" ht="17">
      <c r="B130" s="321"/>
      <c r="F130" s="321"/>
      <c r="J130" s="321"/>
    </row>
    <row r="131" spans="2:10" ht="17">
      <c r="B131" s="321"/>
      <c r="F131" s="321"/>
      <c r="J131" s="321"/>
    </row>
    <row r="132" spans="2:10" ht="17">
      <c r="B132" s="321"/>
      <c r="F132" s="321"/>
      <c r="J132" s="321"/>
    </row>
    <row r="133" spans="2:10" ht="17">
      <c r="B133" s="321"/>
      <c r="F133" s="321"/>
      <c r="J133" s="321"/>
    </row>
    <row r="134" spans="2:10" ht="17">
      <c r="B134" s="321"/>
      <c r="F134" s="321"/>
      <c r="J134" s="321"/>
    </row>
    <row r="135" spans="2:10" ht="17">
      <c r="B135" s="321"/>
      <c r="F135" s="321"/>
      <c r="J135" s="321"/>
    </row>
    <row r="136" spans="2:10" ht="17">
      <c r="B136" s="321"/>
      <c r="F136" s="321"/>
      <c r="J136" s="321"/>
    </row>
    <row r="137" spans="2:10" ht="17">
      <c r="B137" s="321"/>
      <c r="F137" s="321"/>
      <c r="J137" s="321"/>
    </row>
    <row r="138" spans="2:10" ht="17">
      <c r="B138" s="321"/>
      <c r="F138" s="321"/>
      <c r="J138" s="321"/>
    </row>
    <row r="139" spans="2:10" ht="17">
      <c r="B139" s="321"/>
      <c r="F139" s="321"/>
      <c r="J139" s="321"/>
    </row>
    <row r="140" spans="2:10" ht="17">
      <c r="B140" s="321"/>
      <c r="F140" s="321"/>
      <c r="J140" s="321"/>
    </row>
    <row r="141" spans="2:10" ht="17">
      <c r="B141" s="321"/>
      <c r="F141" s="321"/>
      <c r="J141" s="321"/>
    </row>
    <row r="142" spans="2:10" ht="17">
      <c r="B142" s="321"/>
      <c r="F142" s="321"/>
      <c r="J142" s="321"/>
    </row>
    <row r="143" spans="2:10" ht="17">
      <c r="B143" s="321"/>
      <c r="F143" s="321"/>
      <c r="J143" s="321"/>
    </row>
    <row r="144" spans="2:10" ht="17">
      <c r="B144" s="321"/>
      <c r="F144" s="321"/>
      <c r="J144" s="321"/>
    </row>
    <row r="145" spans="2:10" ht="17">
      <c r="B145" s="321"/>
      <c r="F145" s="321"/>
      <c r="J145" s="321"/>
    </row>
    <row r="146" spans="2:10" ht="17">
      <c r="B146" s="321"/>
      <c r="F146" s="321"/>
      <c r="J146" s="321"/>
    </row>
    <row r="147" spans="2:10" ht="17">
      <c r="B147" s="321"/>
      <c r="F147" s="321"/>
      <c r="J147" s="321"/>
    </row>
    <row r="148" spans="2:10" ht="17">
      <c r="B148" s="321"/>
      <c r="F148" s="321"/>
      <c r="J148" s="321"/>
    </row>
    <row r="149" spans="2:10" ht="17">
      <c r="B149" s="321"/>
      <c r="F149" s="321"/>
      <c r="J149" s="321"/>
    </row>
    <row r="150" spans="2:10" ht="17">
      <c r="B150" s="321"/>
      <c r="F150" s="321"/>
      <c r="J150" s="321"/>
    </row>
    <row r="151" spans="2:10" ht="17">
      <c r="B151" s="321"/>
      <c r="F151" s="321"/>
      <c r="J151" s="321"/>
    </row>
    <row r="152" spans="2:10" ht="17">
      <c r="B152" s="321"/>
      <c r="F152" s="321"/>
      <c r="J152" s="321"/>
    </row>
    <row r="153" spans="2:10" ht="17">
      <c r="B153" s="321"/>
      <c r="F153" s="321"/>
      <c r="J153" s="321"/>
    </row>
    <row r="154" spans="2:10" ht="17">
      <c r="B154" s="321"/>
      <c r="F154" s="321"/>
      <c r="J154" s="321"/>
    </row>
    <row r="155" spans="2:10" ht="17">
      <c r="B155" s="321"/>
      <c r="F155" s="321"/>
      <c r="J155" s="321"/>
    </row>
    <row r="156" spans="2:10" ht="17">
      <c r="B156" s="321"/>
      <c r="F156" s="321"/>
      <c r="J156" s="321"/>
    </row>
    <row r="157" spans="2:10" ht="17">
      <c r="B157" s="321"/>
      <c r="F157" s="321"/>
      <c r="J157" s="321"/>
    </row>
    <row r="158" spans="2:10" ht="17">
      <c r="B158" s="321"/>
      <c r="F158" s="321"/>
      <c r="J158" s="321"/>
    </row>
    <row r="159" spans="2:10" ht="17">
      <c r="B159" s="321"/>
      <c r="F159" s="321"/>
      <c r="J159" s="321"/>
    </row>
    <row r="160" spans="2:10" ht="17">
      <c r="B160" s="321"/>
      <c r="F160" s="321"/>
      <c r="J160" s="321"/>
    </row>
    <row r="161" spans="2:10" ht="17">
      <c r="B161" s="321"/>
      <c r="F161" s="321"/>
      <c r="J161" s="321"/>
    </row>
    <row r="162" spans="2:10" ht="17">
      <c r="B162" s="321"/>
      <c r="F162" s="321"/>
      <c r="J162" s="321"/>
    </row>
    <row r="163" spans="2:10" ht="17">
      <c r="B163" s="321"/>
      <c r="F163" s="321"/>
      <c r="J163" s="321"/>
    </row>
    <row r="164" spans="2:10" ht="17">
      <c r="B164" s="321"/>
      <c r="F164" s="321"/>
      <c r="J164" s="321"/>
    </row>
    <row r="165" spans="2:10" ht="17">
      <c r="B165" s="321"/>
      <c r="F165" s="321"/>
      <c r="J165" s="321"/>
    </row>
    <row r="166" spans="2:10" ht="17">
      <c r="B166" s="321"/>
      <c r="F166" s="321"/>
      <c r="J166" s="321"/>
    </row>
    <row r="167" spans="2:10" ht="17">
      <c r="B167" s="321"/>
      <c r="F167" s="321"/>
      <c r="J167" s="321"/>
    </row>
    <row r="168" spans="2:10" ht="17">
      <c r="B168" s="321"/>
      <c r="F168" s="321"/>
      <c r="J168" s="321"/>
    </row>
    <row r="169" spans="2:10" ht="17">
      <c r="B169" s="321"/>
      <c r="F169" s="321"/>
      <c r="J169" s="321"/>
    </row>
    <row r="170" spans="2:10" ht="17">
      <c r="B170" s="321"/>
      <c r="F170" s="321"/>
      <c r="J170" s="321"/>
    </row>
    <row r="171" spans="2:10" ht="17">
      <c r="B171" s="321"/>
      <c r="F171" s="321"/>
      <c r="J171" s="321"/>
    </row>
    <row r="172" spans="2:10" ht="17">
      <c r="B172" s="321"/>
      <c r="F172" s="321"/>
      <c r="J172" s="321"/>
    </row>
    <row r="173" spans="2:10" ht="17">
      <c r="B173" s="321"/>
      <c r="F173" s="321"/>
      <c r="J173" s="321"/>
    </row>
    <row r="174" spans="2:10" ht="17">
      <c r="B174" s="321"/>
      <c r="F174" s="321"/>
      <c r="J174" s="321"/>
    </row>
    <row r="175" spans="2:10" ht="17">
      <c r="B175" s="321"/>
      <c r="F175" s="321"/>
      <c r="J175" s="321"/>
    </row>
    <row r="176" spans="2:10" ht="17">
      <c r="B176" s="321"/>
      <c r="F176" s="321"/>
      <c r="J176" s="321"/>
    </row>
    <row r="177" spans="2:10" ht="17">
      <c r="B177" s="321"/>
      <c r="F177" s="321"/>
      <c r="J177" s="321"/>
    </row>
    <row r="178" spans="2:10" ht="17">
      <c r="B178" s="321"/>
      <c r="F178" s="321"/>
      <c r="J178" s="321"/>
    </row>
    <row r="179" spans="2:10" ht="17">
      <c r="B179" s="321"/>
      <c r="F179" s="321"/>
      <c r="J179" s="321"/>
    </row>
    <row r="180" spans="2:10" ht="17">
      <c r="B180" s="321"/>
      <c r="F180" s="321"/>
      <c r="J180" s="321"/>
    </row>
    <row r="181" spans="2:10" ht="17">
      <c r="B181" s="321"/>
      <c r="F181" s="321"/>
      <c r="J181" s="321"/>
    </row>
    <row r="182" spans="2:10" ht="17">
      <c r="B182" s="321"/>
      <c r="F182" s="321"/>
      <c r="J182" s="321"/>
    </row>
    <row r="183" spans="2:10" ht="17">
      <c r="B183" s="321"/>
      <c r="F183" s="321"/>
      <c r="J183" s="321"/>
    </row>
    <row r="184" spans="2:10" ht="17">
      <c r="B184" s="321"/>
      <c r="F184" s="321"/>
      <c r="J184" s="321"/>
    </row>
    <row r="185" spans="2:10" ht="17">
      <c r="B185" s="321"/>
      <c r="F185" s="321"/>
      <c r="J185" s="321"/>
    </row>
    <row r="186" spans="2:10" ht="17">
      <c r="B186" s="321"/>
      <c r="F186" s="321"/>
      <c r="J186" s="321"/>
    </row>
    <row r="187" spans="2:10" ht="17">
      <c r="B187" s="321"/>
      <c r="F187" s="321"/>
      <c r="J187" s="321"/>
    </row>
    <row r="188" spans="2:10" ht="17">
      <c r="B188" s="321"/>
      <c r="F188" s="321"/>
      <c r="J188" s="321"/>
    </row>
    <row r="189" spans="2:10" ht="17">
      <c r="B189" s="321"/>
      <c r="F189" s="321"/>
      <c r="J189" s="321"/>
    </row>
    <row r="190" spans="2:10" ht="17">
      <c r="B190" s="321"/>
      <c r="F190" s="321"/>
      <c r="J190" s="321"/>
    </row>
    <row r="191" spans="2:10" ht="17">
      <c r="B191" s="321"/>
      <c r="F191" s="321"/>
      <c r="J191" s="321"/>
    </row>
    <row r="192" spans="2:10" ht="17">
      <c r="B192" s="321"/>
      <c r="F192" s="321"/>
      <c r="J192" s="321"/>
    </row>
    <row r="193" spans="2:10" ht="17">
      <c r="B193" s="321"/>
      <c r="F193" s="321"/>
      <c r="J193" s="321"/>
    </row>
    <row r="194" spans="2:10" ht="17">
      <c r="B194" s="321"/>
      <c r="F194" s="321"/>
      <c r="J194" s="321"/>
    </row>
    <row r="195" spans="2:10" ht="17">
      <c r="B195" s="321"/>
      <c r="F195" s="321"/>
      <c r="J195" s="321"/>
    </row>
    <row r="196" spans="2:10" ht="17">
      <c r="B196" s="321"/>
      <c r="F196" s="321"/>
      <c r="J196" s="321"/>
    </row>
    <row r="197" spans="2:10" ht="17">
      <c r="B197" s="321"/>
      <c r="F197" s="321"/>
      <c r="J197" s="321"/>
    </row>
    <row r="198" spans="2:10" ht="17">
      <c r="B198" s="321"/>
      <c r="F198" s="321"/>
      <c r="J198" s="321"/>
    </row>
    <row r="199" spans="2:10" ht="17">
      <c r="B199" s="321"/>
      <c r="F199" s="321"/>
      <c r="J199" s="321"/>
    </row>
    <row r="200" spans="2:10" ht="17">
      <c r="B200" s="321"/>
      <c r="F200" s="321"/>
      <c r="J200" s="321"/>
    </row>
    <row r="201" spans="2:10" ht="17">
      <c r="B201" s="321"/>
      <c r="F201" s="321"/>
      <c r="J201" s="321"/>
    </row>
    <row r="202" spans="2:10" ht="17">
      <c r="B202" s="321"/>
      <c r="F202" s="321"/>
      <c r="J202" s="321"/>
    </row>
    <row r="203" spans="2:10" ht="17">
      <c r="B203" s="321"/>
      <c r="F203" s="321"/>
      <c r="J203" s="321"/>
    </row>
    <row r="204" spans="2:10" ht="17">
      <c r="B204" s="321"/>
      <c r="F204" s="321"/>
      <c r="J204" s="321"/>
    </row>
    <row r="205" spans="2:10" ht="17">
      <c r="B205" s="321"/>
      <c r="F205" s="321"/>
      <c r="J205" s="321"/>
    </row>
    <row r="206" spans="2:10" ht="17">
      <c r="B206" s="321"/>
      <c r="F206" s="321"/>
      <c r="J206" s="321"/>
    </row>
    <row r="207" spans="2:10" ht="17">
      <c r="B207" s="321"/>
      <c r="F207" s="321"/>
      <c r="J207" s="321"/>
    </row>
    <row r="208" spans="2:10" ht="17">
      <c r="B208" s="321"/>
      <c r="F208" s="321"/>
      <c r="J208" s="321"/>
    </row>
    <row r="209" spans="2:10" ht="17">
      <c r="B209" s="321"/>
      <c r="F209" s="321"/>
      <c r="J209" s="321"/>
    </row>
    <row r="210" spans="2:10" ht="17">
      <c r="B210" s="321"/>
      <c r="F210" s="321"/>
      <c r="J210" s="321"/>
    </row>
    <row r="211" spans="2:10" ht="17">
      <c r="B211" s="321"/>
      <c r="F211" s="321"/>
      <c r="J211" s="321"/>
    </row>
    <row r="212" spans="2:10" ht="17">
      <c r="B212" s="321"/>
      <c r="F212" s="321"/>
      <c r="J212" s="321"/>
    </row>
    <row r="213" spans="2:10" ht="17">
      <c r="B213" s="321"/>
      <c r="F213" s="321"/>
      <c r="J213" s="321"/>
    </row>
    <row r="214" spans="2:10" ht="17">
      <c r="B214" s="321"/>
      <c r="F214" s="321"/>
      <c r="J214" s="321"/>
    </row>
    <row r="215" spans="2:10" ht="17">
      <c r="B215" s="321"/>
      <c r="F215" s="321"/>
      <c r="J215" s="321"/>
    </row>
    <row r="216" spans="2:10" ht="17">
      <c r="B216" s="321"/>
      <c r="F216" s="321"/>
      <c r="J216" s="321"/>
    </row>
    <row r="217" spans="2:10" ht="17">
      <c r="B217" s="321"/>
      <c r="F217" s="321"/>
      <c r="J217" s="321"/>
    </row>
    <row r="218" spans="2:10" ht="17">
      <c r="B218" s="321"/>
      <c r="F218" s="321"/>
      <c r="J218" s="321"/>
    </row>
    <row r="219" spans="2:10" ht="17">
      <c r="B219" s="321"/>
      <c r="F219" s="321"/>
      <c r="J219" s="321"/>
    </row>
    <row r="220" spans="2:10" ht="17">
      <c r="B220" s="321"/>
      <c r="F220" s="321"/>
      <c r="J220" s="321"/>
    </row>
    <row r="221" spans="2:10" ht="17">
      <c r="B221" s="321"/>
      <c r="F221" s="321"/>
      <c r="J221" s="321"/>
    </row>
    <row r="222" spans="2:10" ht="17">
      <c r="B222" s="321"/>
      <c r="F222" s="321"/>
      <c r="J222" s="321"/>
    </row>
    <row r="223" spans="2:10" ht="17">
      <c r="B223" s="321"/>
      <c r="F223" s="321"/>
      <c r="J223" s="321"/>
    </row>
    <row r="224" spans="2:10" ht="17">
      <c r="B224" s="321"/>
      <c r="F224" s="321"/>
      <c r="J224" s="321"/>
    </row>
    <row r="225" spans="2:10" ht="17">
      <c r="B225" s="321"/>
      <c r="F225" s="321"/>
      <c r="J225" s="321"/>
    </row>
    <row r="226" spans="2:10" ht="17">
      <c r="B226" s="321"/>
      <c r="F226" s="321"/>
      <c r="J226" s="321"/>
    </row>
    <row r="227" spans="2:10" ht="17">
      <c r="B227" s="321"/>
      <c r="F227" s="321"/>
      <c r="J227" s="321"/>
    </row>
    <row r="228" spans="2:10" ht="17">
      <c r="B228" s="321"/>
      <c r="F228" s="321"/>
      <c r="J228" s="321"/>
    </row>
    <row r="229" spans="2:10" ht="17">
      <c r="B229" s="321"/>
      <c r="F229" s="321"/>
      <c r="J229" s="321"/>
    </row>
    <row r="230" spans="2:10" ht="17">
      <c r="B230" s="321"/>
      <c r="F230" s="321"/>
      <c r="J230" s="321"/>
    </row>
    <row r="231" spans="2:10" ht="17">
      <c r="B231" s="321"/>
      <c r="F231" s="321"/>
      <c r="J231" s="321"/>
    </row>
    <row r="232" spans="2:10" ht="17">
      <c r="B232" s="321"/>
      <c r="F232" s="321"/>
      <c r="J232" s="321"/>
    </row>
    <row r="233" spans="2:10" ht="17">
      <c r="B233" s="321"/>
      <c r="F233" s="321"/>
      <c r="J233" s="321"/>
    </row>
    <row r="234" spans="2:10" ht="17">
      <c r="B234" s="321"/>
      <c r="F234" s="321"/>
      <c r="J234" s="321"/>
    </row>
    <row r="235" spans="2:10" ht="17">
      <c r="B235" s="321"/>
      <c r="F235" s="321"/>
      <c r="J235" s="321"/>
    </row>
    <row r="236" spans="2:10" ht="17">
      <c r="B236" s="321"/>
      <c r="F236" s="321"/>
      <c r="J236" s="321"/>
    </row>
    <row r="237" spans="2:10" ht="17">
      <c r="B237" s="321"/>
      <c r="F237" s="321"/>
      <c r="J237" s="321"/>
    </row>
    <row r="238" spans="2:10" ht="17">
      <c r="B238" s="321"/>
      <c r="F238" s="321"/>
      <c r="J238" s="321"/>
    </row>
    <row r="239" spans="2:10" ht="17">
      <c r="B239" s="321"/>
      <c r="F239" s="321"/>
      <c r="J239" s="321"/>
    </row>
    <row r="240" spans="2:10" ht="17">
      <c r="B240" s="321"/>
      <c r="F240" s="321"/>
      <c r="J240" s="321"/>
    </row>
    <row r="241" spans="2:10" ht="17">
      <c r="B241" s="321"/>
      <c r="F241" s="321"/>
      <c r="J241" s="321"/>
    </row>
    <row r="242" spans="2:10" ht="17">
      <c r="B242" s="321"/>
      <c r="F242" s="321"/>
      <c r="J242" s="321"/>
    </row>
    <row r="243" spans="2:10" ht="17">
      <c r="B243" s="321"/>
      <c r="F243" s="321"/>
      <c r="J243" s="321"/>
    </row>
    <row r="244" spans="2:10" ht="17">
      <c r="B244" s="321"/>
      <c r="F244" s="321"/>
      <c r="J244" s="321"/>
    </row>
    <row r="245" spans="2:10" ht="17">
      <c r="B245" s="321"/>
      <c r="F245" s="321"/>
      <c r="J245" s="321"/>
    </row>
    <row r="246" spans="2:10" ht="17">
      <c r="B246" s="321"/>
      <c r="F246" s="321"/>
      <c r="J246" s="321"/>
    </row>
    <row r="247" spans="2:10" ht="17">
      <c r="B247" s="321"/>
      <c r="F247" s="321"/>
      <c r="J247" s="321"/>
    </row>
    <row r="248" spans="2:10" ht="17">
      <c r="B248" s="321"/>
      <c r="F248" s="321"/>
      <c r="J248" s="321"/>
    </row>
    <row r="249" spans="2:10" ht="17">
      <c r="B249" s="321"/>
      <c r="F249" s="321"/>
      <c r="J249" s="321"/>
    </row>
    <row r="250" spans="2:10" ht="17">
      <c r="B250" s="321"/>
      <c r="F250" s="321"/>
      <c r="J250" s="321"/>
    </row>
    <row r="251" spans="2:10" ht="17">
      <c r="B251" s="321"/>
      <c r="F251" s="321"/>
      <c r="J251" s="321"/>
    </row>
    <row r="252" spans="2:10" ht="17">
      <c r="B252" s="321"/>
      <c r="F252" s="321"/>
      <c r="J252" s="321"/>
    </row>
    <row r="253" spans="2:10" ht="17">
      <c r="B253" s="321"/>
      <c r="F253" s="321"/>
      <c r="J253" s="321"/>
    </row>
    <row r="254" spans="2:10" ht="17">
      <c r="B254" s="321"/>
      <c r="F254" s="321"/>
      <c r="J254" s="321"/>
    </row>
    <row r="255" spans="2:10" ht="17">
      <c r="B255" s="321"/>
      <c r="F255" s="321"/>
      <c r="J255" s="321"/>
    </row>
    <row r="256" spans="2:10" ht="17">
      <c r="B256" s="321"/>
      <c r="F256" s="321"/>
      <c r="J256" s="321"/>
    </row>
    <row r="257" spans="2:10" ht="17">
      <c r="B257" s="321"/>
      <c r="F257" s="321"/>
      <c r="J257" s="321"/>
    </row>
    <row r="258" spans="2:10" ht="17">
      <c r="B258" s="321"/>
      <c r="F258" s="321"/>
      <c r="J258" s="321"/>
    </row>
    <row r="259" spans="2:10" ht="17">
      <c r="B259" s="321"/>
      <c r="F259" s="321"/>
      <c r="J259" s="321"/>
    </row>
    <row r="260" spans="2:10" ht="17">
      <c r="B260" s="321"/>
      <c r="F260" s="321"/>
      <c r="J260" s="321"/>
    </row>
    <row r="261" spans="2:10" ht="17">
      <c r="B261" s="321"/>
      <c r="F261" s="321"/>
      <c r="J261" s="321"/>
    </row>
    <row r="262" spans="2:10" ht="17">
      <c r="B262" s="321"/>
      <c r="F262" s="321"/>
      <c r="J262" s="321"/>
    </row>
    <row r="263" spans="2:10" ht="17">
      <c r="B263" s="321"/>
      <c r="F263" s="321"/>
      <c r="J263" s="321"/>
    </row>
    <row r="264" spans="2:10" ht="17">
      <c r="B264" s="321"/>
      <c r="F264" s="321"/>
      <c r="J264" s="321"/>
    </row>
    <row r="265" spans="2:10" ht="17">
      <c r="B265" s="321"/>
      <c r="F265" s="321"/>
      <c r="J265" s="321"/>
    </row>
    <row r="266" spans="2:10" ht="17">
      <c r="B266" s="321"/>
      <c r="F266" s="321"/>
      <c r="J266" s="321"/>
    </row>
    <row r="267" spans="2:10" ht="17">
      <c r="B267" s="321"/>
      <c r="F267" s="321"/>
      <c r="J267" s="321"/>
    </row>
    <row r="268" spans="2:10" ht="17">
      <c r="B268" s="321"/>
      <c r="F268" s="321"/>
      <c r="J268" s="321"/>
    </row>
    <row r="269" spans="2:10" ht="17">
      <c r="B269" s="321"/>
      <c r="F269" s="321"/>
      <c r="J269" s="321"/>
    </row>
    <row r="270" spans="2:10" ht="17">
      <c r="B270" s="321"/>
      <c r="F270" s="321"/>
      <c r="J270" s="321"/>
    </row>
    <row r="271" spans="2:10" ht="17">
      <c r="B271" s="321"/>
      <c r="F271" s="321"/>
      <c r="J271" s="321"/>
    </row>
    <row r="272" spans="2:10" ht="17">
      <c r="B272" s="321"/>
      <c r="F272" s="321"/>
      <c r="J272" s="321"/>
    </row>
    <row r="273" spans="2:10" ht="17">
      <c r="B273" s="321"/>
      <c r="F273" s="321"/>
      <c r="J273" s="321"/>
    </row>
    <row r="274" spans="2:10" ht="17">
      <c r="B274" s="321"/>
      <c r="F274" s="321"/>
      <c r="J274" s="321"/>
    </row>
    <row r="275" spans="2:10" ht="17">
      <c r="B275" s="321"/>
      <c r="F275" s="321"/>
      <c r="J275" s="321"/>
    </row>
    <row r="276" spans="2:10" ht="17">
      <c r="B276" s="321"/>
      <c r="F276" s="321"/>
      <c r="J276" s="321"/>
    </row>
    <row r="277" spans="2:10" ht="17">
      <c r="B277" s="321"/>
      <c r="F277" s="321"/>
      <c r="J277" s="321"/>
    </row>
    <row r="278" spans="2:10" ht="17">
      <c r="B278" s="321"/>
      <c r="F278" s="321"/>
      <c r="J278" s="321"/>
    </row>
    <row r="279" spans="2:10" ht="17">
      <c r="B279" s="321"/>
      <c r="F279" s="321"/>
      <c r="J279" s="321"/>
    </row>
    <row r="280" spans="2:10" ht="17">
      <c r="B280" s="321"/>
      <c r="F280" s="321"/>
      <c r="J280" s="321"/>
    </row>
    <row r="281" spans="2:10" ht="17">
      <c r="B281" s="321"/>
      <c r="F281" s="321"/>
      <c r="J281" s="321"/>
    </row>
    <row r="282" spans="2:10" ht="17">
      <c r="B282" s="321"/>
      <c r="F282" s="321"/>
      <c r="J282" s="321"/>
    </row>
    <row r="283" spans="2:10" ht="17">
      <c r="B283" s="321"/>
      <c r="F283" s="321"/>
      <c r="J283" s="321"/>
    </row>
    <row r="284" spans="2:10" ht="17">
      <c r="B284" s="321"/>
      <c r="F284" s="321"/>
      <c r="J284" s="321"/>
    </row>
    <row r="285" spans="2:10" ht="17">
      <c r="B285" s="321"/>
      <c r="F285" s="321"/>
      <c r="J285" s="321"/>
    </row>
    <row r="286" spans="2:10" ht="17">
      <c r="B286" s="321"/>
      <c r="F286" s="321"/>
      <c r="J286" s="321"/>
    </row>
    <row r="287" spans="2:10" ht="17">
      <c r="B287" s="321"/>
      <c r="F287" s="321"/>
      <c r="J287" s="321"/>
    </row>
    <row r="288" spans="2:10" ht="17">
      <c r="B288" s="321"/>
      <c r="F288" s="321"/>
      <c r="J288" s="321"/>
    </row>
    <row r="289" spans="2:10" ht="17">
      <c r="B289" s="321"/>
      <c r="F289" s="321"/>
      <c r="J289" s="321"/>
    </row>
    <row r="290" spans="2:10" ht="17">
      <c r="B290" s="321"/>
      <c r="F290" s="321"/>
      <c r="J290" s="321"/>
    </row>
    <row r="291" spans="2:10" ht="17">
      <c r="B291" s="321"/>
      <c r="F291" s="321"/>
      <c r="J291" s="321"/>
    </row>
    <row r="292" spans="2:10" ht="17">
      <c r="B292" s="321"/>
      <c r="F292" s="321"/>
      <c r="J292" s="321"/>
    </row>
    <row r="293" spans="2:10" ht="17">
      <c r="B293" s="321"/>
      <c r="F293" s="321"/>
      <c r="J293" s="321"/>
    </row>
    <row r="294" spans="2:10" ht="17">
      <c r="B294" s="321"/>
      <c r="F294" s="321"/>
      <c r="J294" s="321"/>
    </row>
    <row r="295" spans="2:10" ht="17">
      <c r="B295" s="321"/>
      <c r="F295" s="321"/>
      <c r="J295" s="321"/>
    </row>
    <row r="296" spans="2:10" ht="17">
      <c r="B296" s="321"/>
      <c r="F296" s="321"/>
      <c r="J296" s="321"/>
    </row>
    <row r="297" spans="2:10" ht="17">
      <c r="B297" s="321"/>
      <c r="F297" s="321"/>
      <c r="J297" s="321"/>
    </row>
    <row r="298" spans="2:10" ht="17">
      <c r="B298" s="321"/>
      <c r="F298" s="321"/>
      <c r="J298" s="321"/>
    </row>
    <row r="299" spans="2:10" ht="17">
      <c r="B299" s="321"/>
      <c r="F299" s="321"/>
      <c r="J299" s="321"/>
    </row>
    <row r="300" spans="2:10" ht="17">
      <c r="B300" s="321"/>
      <c r="F300" s="321"/>
      <c r="J300" s="321"/>
    </row>
    <row r="301" spans="2:10" ht="17">
      <c r="B301" s="321"/>
      <c r="F301" s="321"/>
      <c r="J301" s="321"/>
    </row>
    <row r="302" spans="2:10" ht="17">
      <c r="B302" s="321"/>
      <c r="F302" s="321"/>
      <c r="J302" s="321"/>
    </row>
    <row r="303" spans="2:10" ht="17">
      <c r="B303" s="321"/>
      <c r="F303" s="321"/>
      <c r="J303" s="321"/>
    </row>
    <row r="304" spans="2:10" ht="17">
      <c r="B304" s="321"/>
      <c r="F304" s="321"/>
      <c r="J304" s="321"/>
    </row>
    <row r="305" spans="2:10" ht="17">
      <c r="B305" s="321"/>
      <c r="F305" s="321"/>
      <c r="J305" s="321"/>
    </row>
    <row r="306" spans="2:10" ht="17">
      <c r="B306" s="321"/>
      <c r="F306" s="321"/>
      <c r="J306" s="321"/>
    </row>
    <row r="307" spans="2:10" ht="17">
      <c r="B307" s="321"/>
      <c r="F307" s="321"/>
      <c r="J307" s="321"/>
    </row>
    <row r="308" spans="2:10" ht="17">
      <c r="B308" s="321"/>
      <c r="F308" s="321"/>
      <c r="J308" s="321"/>
    </row>
    <row r="309" spans="2:10" ht="17">
      <c r="B309" s="321"/>
      <c r="F309" s="321"/>
      <c r="J309" s="321"/>
    </row>
    <row r="310" spans="2:10" ht="17">
      <c r="B310" s="321"/>
      <c r="F310" s="321"/>
      <c r="J310" s="321"/>
    </row>
    <row r="311" spans="2:10" ht="17">
      <c r="B311" s="321"/>
      <c r="F311" s="321"/>
      <c r="J311" s="321"/>
    </row>
    <row r="312" spans="2:10" ht="17">
      <c r="B312" s="321"/>
      <c r="F312" s="321"/>
      <c r="J312" s="321"/>
    </row>
    <row r="313" spans="2:10" ht="17">
      <c r="B313" s="321"/>
      <c r="F313" s="321"/>
      <c r="J313" s="321"/>
    </row>
    <row r="314" spans="2:10" ht="17">
      <c r="B314" s="321"/>
      <c r="F314" s="321"/>
      <c r="J314" s="321"/>
    </row>
    <row r="315" spans="2:10" ht="17">
      <c r="B315" s="321"/>
      <c r="F315" s="321"/>
      <c r="J315" s="321"/>
    </row>
    <row r="316" spans="2:10" ht="17">
      <c r="B316" s="321"/>
      <c r="F316" s="321"/>
      <c r="J316" s="321"/>
    </row>
    <row r="317" spans="2:10" ht="17">
      <c r="B317" s="321"/>
      <c r="F317" s="321"/>
      <c r="J317" s="321"/>
    </row>
    <row r="318" spans="2:10" ht="17">
      <c r="B318" s="321"/>
      <c r="F318" s="321"/>
      <c r="J318" s="321"/>
    </row>
    <row r="319" spans="2:10" ht="17">
      <c r="B319" s="321"/>
      <c r="F319" s="321"/>
      <c r="J319" s="321"/>
    </row>
    <row r="320" spans="2:10" ht="17">
      <c r="B320" s="321"/>
      <c r="F320" s="321"/>
      <c r="J320" s="321"/>
    </row>
    <row r="321" spans="2:10" ht="17">
      <c r="B321" s="321"/>
      <c r="F321" s="321"/>
      <c r="J321" s="321"/>
    </row>
    <row r="322" spans="2:10" ht="17">
      <c r="B322" s="321"/>
      <c r="F322" s="321"/>
      <c r="J322" s="321"/>
    </row>
    <row r="323" spans="2:10" ht="17">
      <c r="B323" s="321"/>
      <c r="F323" s="321"/>
      <c r="J323" s="321"/>
    </row>
    <row r="324" spans="2:10" ht="17">
      <c r="B324" s="321"/>
      <c r="F324" s="321"/>
      <c r="J324" s="321"/>
    </row>
    <row r="325" spans="2:10" ht="17">
      <c r="B325" s="321"/>
      <c r="F325" s="321"/>
      <c r="J325" s="321"/>
    </row>
    <row r="326" spans="2:10" ht="17">
      <c r="B326" s="321"/>
      <c r="F326" s="321"/>
      <c r="J326" s="321"/>
    </row>
    <row r="327" spans="2:10" ht="17">
      <c r="B327" s="321"/>
      <c r="F327" s="321"/>
      <c r="J327" s="321"/>
    </row>
    <row r="328" spans="2:10" ht="17">
      <c r="B328" s="321"/>
      <c r="F328" s="321"/>
      <c r="J328" s="321"/>
    </row>
    <row r="329" spans="2:10" ht="17">
      <c r="B329" s="321"/>
      <c r="F329" s="321"/>
      <c r="J329" s="321"/>
    </row>
    <row r="330" spans="2:10" ht="17">
      <c r="B330" s="321"/>
      <c r="F330" s="321"/>
      <c r="J330" s="321"/>
    </row>
    <row r="331" spans="2:10" ht="17">
      <c r="B331" s="321"/>
      <c r="F331" s="321"/>
      <c r="J331" s="321"/>
    </row>
    <row r="332" spans="2:10" ht="17">
      <c r="B332" s="321"/>
      <c r="F332" s="321"/>
      <c r="J332" s="321"/>
    </row>
    <row r="333" spans="2:10" ht="17">
      <c r="B333" s="321"/>
      <c r="F333" s="321"/>
      <c r="J333" s="321"/>
    </row>
    <row r="334" spans="2:10" ht="17">
      <c r="B334" s="321"/>
      <c r="F334" s="321"/>
      <c r="J334" s="321"/>
    </row>
    <row r="335" spans="2:10" ht="17">
      <c r="B335" s="321"/>
      <c r="F335" s="321"/>
      <c r="J335" s="321"/>
    </row>
    <row r="336" spans="2:10" ht="17">
      <c r="B336" s="321"/>
      <c r="F336" s="321"/>
      <c r="J336" s="321"/>
    </row>
    <row r="337" spans="2:10" ht="17">
      <c r="B337" s="321"/>
      <c r="F337" s="321"/>
      <c r="J337" s="321"/>
    </row>
    <row r="338" spans="2:10" ht="17">
      <c r="B338" s="321"/>
      <c r="F338" s="321"/>
      <c r="J338" s="321"/>
    </row>
    <row r="339" spans="2:10" ht="17">
      <c r="B339" s="321"/>
      <c r="F339" s="321"/>
      <c r="J339" s="321"/>
    </row>
    <row r="340" spans="2:10" ht="17">
      <c r="B340" s="321"/>
      <c r="F340" s="321"/>
      <c r="J340" s="321"/>
    </row>
    <row r="341" spans="2:10" ht="17">
      <c r="B341" s="321"/>
      <c r="F341" s="321"/>
      <c r="J341" s="321"/>
    </row>
    <row r="342" spans="2:10" ht="17">
      <c r="B342" s="321"/>
      <c r="F342" s="321"/>
      <c r="J342" s="321"/>
    </row>
    <row r="343" spans="2:10" ht="17">
      <c r="B343" s="321"/>
      <c r="F343" s="321"/>
      <c r="J343" s="321"/>
    </row>
    <row r="344" spans="2:10" ht="17">
      <c r="B344" s="321"/>
      <c r="F344" s="321"/>
      <c r="J344" s="321"/>
    </row>
    <row r="345" spans="2:10" ht="17">
      <c r="B345" s="321"/>
      <c r="F345" s="321"/>
      <c r="J345" s="321"/>
    </row>
    <row r="346" spans="2:10" ht="17">
      <c r="B346" s="321"/>
      <c r="F346" s="321"/>
      <c r="J346" s="321"/>
    </row>
    <row r="347" spans="2:10" ht="17">
      <c r="B347" s="321"/>
      <c r="F347" s="321"/>
      <c r="J347" s="321"/>
    </row>
    <row r="348" spans="2:10" ht="17">
      <c r="B348" s="321"/>
      <c r="F348" s="321"/>
      <c r="J348" s="321"/>
    </row>
    <row r="349" spans="2:10" ht="17">
      <c r="B349" s="321"/>
      <c r="F349" s="321"/>
      <c r="J349" s="321"/>
    </row>
    <row r="350" spans="2:10" ht="17">
      <c r="B350" s="321"/>
      <c r="F350" s="321"/>
      <c r="J350" s="321"/>
    </row>
    <row r="351" spans="2:10" ht="17">
      <c r="B351" s="321"/>
      <c r="F351" s="321"/>
      <c r="J351" s="321"/>
    </row>
    <row r="352" spans="2:10" ht="17">
      <c r="B352" s="321"/>
      <c r="F352" s="321"/>
      <c r="J352" s="321"/>
    </row>
    <row r="353" spans="2:10" ht="17">
      <c r="B353" s="321"/>
      <c r="F353" s="321"/>
      <c r="J353" s="321"/>
    </row>
    <row r="354" spans="2:10" ht="17">
      <c r="B354" s="321"/>
      <c r="F354" s="321"/>
      <c r="J354" s="321"/>
    </row>
    <row r="355" spans="2:10" ht="17">
      <c r="B355" s="321"/>
      <c r="F355" s="321"/>
      <c r="J355" s="321"/>
    </row>
    <row r="356" spans="2:10" ht="17">
      <c r="B356" s="321"/>
      <c r="F356" s="321"/>
      <c r="J356" s="321"/>
    </row>
    <row r="357" spans="2:10" ht="17">
      <c r="B357" s="321"/>
      <c r="F357" s="321"/>
      <c r="J357" s="321"/>
    </row>
    <row r="358" spans="2:10" ht="17">
      <c r="B358" s="321"/>
      <c r="F358" s="321"/>
      <c r="J358" s="321"/>
    </row>
    <row r="359" spans="2:10" ht="17">
      <c r="B359" s="321"/>
      <c r="F359" s="321"/>
      <c r="J359" s="321"/>
    </row>
    <row r="360" spans="2:10" ht="17">
      <c r="B360" s="321"/>
      <c r="F360" s="321"/>
      <c r="J360" s="321"/>
    </row>
    <row r="361" spans="2:10" ht="17">
      <c r="B361" s="321"/>
      <c r="F361" s="321"/>
      <c r="J361" s="321"/>
    </row>
    <row r="362" spans="2:10" ht="17">
      <c r="B362" s="321"/>
      <c r="F362" s="321"/>
      <c r="J362" s="321"/>
    </row>
    <row r="363" spans="2:10" ht="17">
      <c r="B363" s="321"/>
      <c r="F363" s="321"/>
      <c r="J363" s="321"/>
    </row>
    <row r="364" spans="2:10" ht="17">
      <c r="B364" s="321"/>
      <c r="F364" s="321"/>
      <c r="J364" s="321"/>
    </row>
    <row r="365" spans="2:10" ht="17">
      <c r="B365" s="321"/>
      <c r="F365" s="321"/>
      <c r="J365" s="321"/>
    </row>
    <row r="366" spans="2:10" ht="17">
      <c r="B366" s="321"/>
      <c r="F366" s="321"/>
      <c r="J366" s="321"/>
    </row>
    <row r="367" spans="2:10" ht="17">
      <c r="B367" s="321"/>
      <c r="F367" s="321"/>
      <c r="J367" s="321"/>
    </row>
    <row r="368" spans="2:10" ht="17">
      <c r="B368" s="321"/>
      <c r="F368" s="321"/>
      <c r="J368" s="321"/>
    </row>
    <row r="369" spans="2:10" ht="17">
      <c r="B369" s="321"/>
      <c r="F369" s="321"/>
      <c r="J369" s="321"/>
    </row>
    <row r="370" spans="2:10" ht="17">
      <c r="B370" s="321"/>
      <c r="F370" s="321"/>
      <c r="J370" s="321"/>
    </row>
    <row r="371" spans="2:10" ht="17">
      <c r="B371" s="321"/>
      <c r="F371" s="321"/>
      <c r="J371" s="321"/>
    </row>
    <row r="372" spans="2:10" ht="17">
      <c r="B372" s="321"/>
      <c r="F372" s="321"/>
      <c r="J372" s="321"/>
    </row>
    <row r="373" spans="2:10" ht="17">
      <c r="B373" s="321"/>
      <c r="F373" s="321"/>
      <c r="J373" s="321"/>
    </row>
    <row r="374" spans="2:10" ht="17">
      <c r="B374" s="321"/>
      <c r="F374" s="321"/>
      <c r="J374" s="321"/>
    </row>
    <row r="375" spans="2:10" ht="17">
      <c r="B375" s="321"/>
      <c r="F375" s="321"/>
      <c r="J375" s="321"/>
    </row>
    <row r="376" spans="2:10" ht="17">
      <c r="B376" s="321"/>
      <c r="F376" s="321"/>
      <c r="J376" s="321"/>
    </row>
    <row r="377" spans="2:10" ht="17">
      <c r="B377" s="321"/>
      <c r="F377" s="321"/>
      <c r="J377" s="321"/>
    </row>
    <row r="378" spans="2:10" ht="17">
      <c r="B378" s="321"/>
      <c r="F378" s="321"/>
      <c r="J378" s="321"/>
    </row>
    <row r="379" spans="2:10" ht="17">
      <c r="B379" s="321"/>
      <c r="F379" s="321"/>
      <c r="J379" s="321"/>
    </row>
    <row r="380" spans="2:10" ht="17">
      <c r="B380" s="321"/>
      <c r="F380" s="321"/>
      <c r="J380" s="321"/>
    </row>
    <row r="381" spans="2:10" ht="17">
      <c r="B381" s="321"/>
      <c r="F381" s="321"/>
      <c r="J381" s="321"/>
    </row>
    <row r="382" spans="2:10" ht="17">
      <c r="B382" s="321"/>
      <c r="F382" s="321"/>
      <c r="J382" s="321"/>
    </row>
    <row r="383" spans="2:10" ht="17">
      <c r="B383" s="321"/>
      <c r="F383" s="321"/>
      <c r="J383" s="321"/>
    </row>
    <row r="384" spans="2:10" ht="17">
      <c r="B384" s="321"/>
      <c r="F384" s="321"/>
      <c r="J384" s="321"/>
    </row>
    <row r="385" spans="2:10" ht="17">
      <c r="B385" s="321"/>
      <c r="F385" s="321"/>
      <c r="J385" s="321"/>
    </row>
    <row r="386" spans="2:10" ht="17">
      <c r="B386" s="321"/>
      <c r="F386" s="321"/>
      <c r="J386" s="321"/>
    </row>
    <row r="387" spans="2:10" ht="17">
      <c r="B387" s="321"/>
      <c r="F387" s="321"/>
      <c r="J387" s="321"/>
    </row>
    <row r="388" spans="2:10" ht="17">
      <c r="B388" s="321"/>
      <c r="F388" s="321"/>
      <c r="J388" s="321"/>
    </row>
    <row r="389" spans="2:10" ht="17">
      <c r="B389" s="321"/>
      <c r="F389" s="321"/>
      <c r="J389" s="321"/>
    </row>
    <row r="390" spans="2:10" ht="17">
      <c r="B390" s="321"/>
      <c r="F390" s="321"/>
      <c r="J390" s="321"/>
    </row>
    <row r="391" spans="2:10" ht="17">
      <c r="B391" s="321"/>
      <c r="F391" s="321"/>
      <c r="J391" s="321"/>
    </row>
    <row r="392" spans="2:10" ht="17">
      <c r="B392" s="321"/>
      <c r="F392" s="321"/>
      <c r="J392" s="321"/>
    </row>
    <row r="393" spans="2:10" ht="17">
      <c r="B393" s="321"/>
      <c r="F393" s="321"/>
      <c r="J393" s="321"/>
    </row>
    <row r="394" spans="2:10" ht="17">
      <c r="B394" s="321"/>
      <c r="F394" s="321"/>
      <c r="J394" s="321"/>
    </row>
    <row r="395" spans="2:10" ht="17">
      <c r="B395" s="321"/>
      <c r="F395" s="321"/>
      <c r="J395" s="321"/>
    </row>
    <row r="396" spans="2:10" ht="17">
      <c r="B396" s="321"/>
      <c r="F396" s="321"/>
      <c r="J396" s="321"/>
    </row>
    <row r="397" spans="2:10" ht="17">
      <c r="B397" s="321"/>
      <c r="F397" s="321"/>
      <c r="J397" s="321"/>
    </row>
    <row r="398" spans="2:10" ht="17">
      <c r="B398" s="321"/>
      <c r="F398" s="321"/>
      <c r="J398" s="321"/>
    </row>
    <row r="399" spans="2:10" ht="17">
      <c r="B399" s="321"/>
      <c r="F399" s="321"/>
      <c r="J399" s="321"/>
    </row>
    <row r="400" spans="2:10" ht="17">
      <c r="B400" s="321"/>
      <c r="F400" s="321"/>
      <c r="J400" s="321"/>
    </row>
    <row r="401" spans="2:10" ht="17">
      <c r="B401" s="321"/>
      <c r="F401" s="321"/>
      <c r="J401" s="321"/>
    </row>
    <row r="402" spans="2:10" ht="17">
      <c r="B402" s="321"/>
      <c r="F402" s="321"/>
      <c r="J402" s="321"/>
    </row>
    <row r="403" spans="2:10" ht="17">
      <c r="B403" s="321"/>
      <c r="F403" s="321"/>
      <c r="J403" s="321"/>
    </row>
    <row r="404" spans="2:10" ht="17">
      <c r="B404" s="321"/>
      <c r="F404" s="321"/>
      <c r="J404" s="321"/>
    </row>
    <row r="405" spans="2:10" ht="17">
      <c r="B405" s="321"/>
      <c r="F405" s="321"/>
      <c r="J405" s="321"/>
    </row>
    <row r="406" spans="2:10" ht="17">
      <c r="B406" s="321"/>
      <c r="F406" s="321"/>
      <c r="J406" s="321"/>
    </row>
    <row r="407" spans="2:10" ht="17">
      <c r="B407" s="321"/>
      <c r="F407" s="321"/>
      <c r="J407" s="321"/>
    </row>
    <row r="408" spans="2:10" ht="17">
      <c r="B408" s="321"/>
      <c r="F408" s="321"/>
      <c r="J408" s="321"/>
    </row>
    <row r="409" spans="2:10" ht="17">
      <c r="B409" s="321"/>
      <c r="F409" s="321"/>
      <c r="J409" s="321"/>
    </row>
    <row r="410" spans="2:10" ht="17">
      <c r="B410" s="321"/>
      <c r="F410" s="321"/>
      <c r="J410" s="321"/>
    </row>
    <row r="411" spans="2:10" ht="17">
      <c r="B411" s="321"/>
      <c r="F411" s="321"/>
      <c r="J411" s="321"/>
    </row>
    <row r="412" spans="2:10" ht="17">
      <c r="B412" s="321"/>
      <c r="F412" s="321"/>
      <c r="J412" s="321"/>
    </row>
    <row r="413" spans="2:10" ht="17">
      <c r="B413" s="321"/>
      <c r="F413" s="321"/>
      <c r="J413" s="321"/>
    </row>
    <row r="414" spans="2:10" ht="17">
      <c r="B414" s="321"/>
      <c r="F414" s="321"/>
      <c r="J414" s="321"/>
    </row>
    <row r="415" spans="2:10" ht="17">
      <c r="B415" s="321"/>
      <c r="F415" s="321"/>
      <c r="J415" s="321"/>
    </row>
    <row r="416" spans="2:10" ht="17">
      <c r="B416" s="321"/>
      <c r="F416" s="321"/>
      <c r="J416" s="321"/>
    </row>
    <row r="417" spans="2:10" ht="17">
      <c r="B417" s="321"/>
      <c r="F417" s="321"/>
      <c r="J417" s="321"/>
    </row>
    <row r="418" spans="2:10" ht="17">
      <c r="B418" s="321"/>
      <c r="F418" s="321"/>
      <c r="J418" s="321"/>
    </row>
    <row r="419" spans="2:10" ht="17">
      <c r="B419" s="321"/>
      <c r="F419" s="321"/>
      <c r="J419" s="321"/>
    </row>
    <row r="420" spans="2:10" ht="17">
      <c r="B420" s="321"/>
      <c r="F420" s="321"/>
      <c r="J420" s="321"/>
    </row>
    <row r="421" spans="2:10" ht="17">
      <c r="B421" s="321"/>
      <c r="F421" s="321"/>
      <c r="J421" s="321"/>
    </row>
    <row r="422" spans="2:10" ht="17">
      <c r="B422" s="321"/>
      <c r="F422" s="321"/>
      <c r="J422" s="321"/>
    </row>
    <row r="423" spans="2:10" ht="17">
      <c r="B423" s="321"/>
      <c r="F423" s="321"/>
      <c r="J423" s="321"/>
    </row>
    <row r="424" spans="2:10" ht="17">
      <c r="B424" s="321"/>
      <c r="F424" s="321"/>
      <c r="J424" s="321"/>
    </row>
    <row r="425" spans="2:10" ht="17">
      <c r="B425" s="321"/>
      <c r="F425" s="321"/>
      <c r="J425" s="321"/>
    </row>
    <row r="426" spans="2:10" ht="17">
      <c r="B426" s="321"/>
      <c r="F426" s="321"/>
      <c r="J426" s="321"/>
    </row>
    <row r="427" spans="2:10" ht="17">
      <c r="B427" s="321"/>
      <c r="F427" s="321"/>
      <c r="J427" s="321"/>
    </row>
    <row r="428" spans="2:10" ht="17">
      <c r="B428" s="321"/>
      <c r="F428" s="321"/>
      <c r="J428" s="321"/>
    </row>
    <row r="429" spans="2:10" ht="17">
      <c r="B429" s="321"/>
      <c r="F429" s="321"/>
      <c r="J429" s="321"/>
    </row>
    <row r="430" spans="2:10" ht="17">
      <c r="B430" s="321"/>
      <c r="F430" s="321"/>
      <c r="J430" s="321"/>
    </row>
    <row r="431" spans="2:10" ht="17">
      <c r="B431" s="321"/>
      <c r="F431" s="321"/>
      <c r="J431" s="321"/>
    </row>
    <row r="432" spans="2:10" ht="17">
      <c r="B432" s="321"/>
      <c r="F432" s="321"/>
      <c r="J432" s="321"/>
    </row>
    <row r="433" spans="2:10" ht="17">
      <c r="B433" s="321"/>
      <c r="F433" s="321"/>
      <c r="J433" s="321"/>
    </row>
    <row r="434" spans="2:10" ht="17">
      <c r="B434" s="321"/>
      <c r="F434" s="321"/>
      <c r="J434" s="321"/>
    </row>
    <row r="435" spans="2:10" ht="17">
      <c r="B435" s="321"/>
      <c r="F435" s="321"/>
      <c r="J435" s="321"/>
    </row>
    <row r="436" spans="2:10" ht="17">
      <c r="B436" s="321"/>
      <c r="F436" s="321"/>
      <c r="J436" s="321"/>
    </row>
    <row r="437" spans="2:10" ht="17">
      <c r="B437" s="321"/>
      <c r="F437" s="321"/>
      <c r="J437" s="321"/>
    </row>
    <row r="438" spans="2:10" ht="17">
      <c r="B438" s="321"/>
      <c r="F438" s="321"/>
      <c r="J438" s="321"/>
    </row>
    <row r="439" spans="2:10" ht="17">
      <c r="B439" s="321"/>
      <c r="F439" s="321"/>
      <c r="J439" s="321"/>
    </row>
    <row r="440" spans="2:10" ht="17">
      <c r="B440" s="321"/>
      <c r="F440" s="321"/>
      <c r="J440" s="321"/>
    </row>
    <row r="441" spans="2:10" ht="17">
      <c r="B441" s="321"/>
      <c r="F441" s="321"/>
      <c r="J441" s="321"/>
    </row>
    <row r="442" spans="2:10" ht="17">
      <c r="B442" s="321"/>
      <c r="F442" s="321"/>
      <c r="J442" s="321"/>
    </row>
    <row r="443" spans="2:10" ht="17">
      <c r="B443" s="321"/>
      <c r="F443" s="321"/>
      <c r="J443" s="321"/>
    </row>
    <row r="444" spans="2:10" ht="17">
      <c r="B444" s="321"/>
      <c r="F444" s="321"/>
      <c r="J444" s="321"/>
    </row>
    <row r="445" spans="2:10" ht="17">
      <c r="B445" s="321"/>
      <c r="F445" s="321"/>
      <c r="J445" s="321"/>
    </row>
    <row r="446" spans="2:10" ht="17">
      <c r="B446" s="321"/>
      <c r="F446" s="321"/>
      <c r="J446" s="321"/>
    </row>
    <row r="447" spans="2:10" ht="17">
      <c r="B447" s="321"/>
      <c r="F447" s="321"/>
      <c r="J447" s="321"/>
    </row>
    <row r="448" spans="2:10" ht="17">
      <c r="B448" s="321"/>
      <c r="F448" s="321"/>
      <c r="J448" s="321"/>
    </row>
    <row r="449" spans="2:10" ht="17">
      <c r="B449" s="321"/>
      <c r="F449" s="321"/>
      <c r="J449" s="321"/>
    </row>
    <row r="450" spans="2:10" ht="17">
      <c r="B450" s="321"/>
      <c r="F450" s="321"/>
      <c r="J450" s="321"/>
    </row>
    <row r="451" spans="2:10" ht="17">
      <c r="B451" s="321"/>
      <c r="F451" s="321"/>
      <c r="J451" s="321"/>
    </row>
    <row r="452" spans="2:10" ht="17">
      <c r="B452" s="321"/>
      <c r="F452" s="321"/>
      <c r="J452" s="321"/>
    </row>
    <row r="453" spans="2:10" ht="17">
      <c r="B453" s="321"/>
      <c r="F453" s="321"/>
      <c r="J453" s="321"/>
    </row>
    <row r="454" spans="2:10" ht="17">
      <c r="B454" s="321"/>
      <c r="F454" s="321"/>
      <c r="J454" s="321"/>
    </row>
    <row r="455" spans="2:10" ht="17">
      <c r="B455" s="321"/>
      <c r="F455" s="321"/>
      <c r="J455" s="321"/>
    </row>
    <row r="456" spans="2:10" ht="17">
      <c r="B456" s="321"/>
      <c r="F456" s="321"/>
      <c r="J456" s="321"/>
    </row>
    <row r="457" spans="2:10" ht="17">
      <c r="B457" s="321"/>
      <c r="F457" s="321"/>
      <c r="J457" s="321"/>
    </row>
    <row r="458" spans="2:10" ht="17">
      <c r="B458" s="321"/>
      <c r="F458" s="321"/>
      <c r="J458" s="321"/>
    </row>
    <row r="459" spans="2:10" ht="17">
      <c r="B459" s="321"/>
      <c r="F459" s="321"/>
      <c r="J459" s="321"/>
    </row>
    <row r="460" spans="2:10" ht="17">
      <c r="B460" s="321"/>
      <c r="F460" s="321"/>
      <c r="J460" s="321"/>
    </row>
    <row r="461" spans="2:10" ht="17">
      <c r="B461" s="321"/>
      <c r="F461" s="321"/>
      <c r="J461" s="321"/>
    </row>
    <row r="462" spans="2:10" ht="17">
      <c r="B462" s="321"/>
      <c r="F462" s="321"/>
      <c r="J462" s="321"/>
    </row>
    <row r="463" spans="2:10" ht="17">
      <c r="B463" s="321"/>
      <c r="F463" s="321"/>
      <c r="J463" s="321"/>
    </row>
    <row r="464" spans="2:10" ht="17">
      <c r="B464" s="321"/>
      <c r="F464" s="321"/>
      <c r="J464" s="321"/>
    </row>
    <row r="465" spans="2:10" ht="17">
      <c r="B465" s="321"/>
      <c r="F465" s="321"/>
      <c r="J465" s="321"/>
    </row>
    <row r="466" spans="2:10" ht="17">
      <c r="B466" s="321"/>
      <c r="F466" s="321"/>
      <c r="J466" s="321"/>
    </row>
    <row r="467" spans="2:10" ht="17">
      <c r="B467" s="321"/>
      <c r="F467" s="321"/>
      <c r="J467" s="321"/>
    </row>
    <row r="468" spans="2:10" ht="17">
      <c r="B468" s="321"/>
      <c r="F468" s="321"/>
      <c r="J468" s="321"/>
    </row>
    <row r="469" spans="2:10" ht="17">
      <c r="B469" s="321"/>
      <c r="F469" s="321"/>
      <c r="J469" s="321"/>
    </row>
    <row r="470" spans="2:10" ht="17">
      <c r="B470" s="321"/>
      <c r="F470" s="321"/>
      <c r="J470" s="321"/>
    </row>
    <row r="471" spans="2:10" ht="17">
      <c r="B471" s="321"/>
      <c r="F471" s="321"/>
      <c r="J471" s="321"/>
    </row>
    <row r="472" spans="2:10" ht="17">
      <c r="B472" s="321"/>
      <c r="F472" s="321"/>
      <c r="J472" s="321"/>
    </row>
    <row r="473" spans="2:10" ht="17">
      <c r="B473" s="321"/>
      <c r="F473" s="321"/>
      <c r="J473" s="321"/>
    </row>
    <row r="474" spans="2:10" ht="17">
      <c r="B474" s="321"/>
      <c r="F474" s="321"/>
      <c r="J474" s="321"/>
    </row>
    <row r="475" spans="2:10" ht="17">
      <c r="B475" s="321"/>
      <c r="F475" s="321"/>
      <c r="J475" s="321"/>
    </row>
    <row r="476" spans="2:10" ht="17">
      <c r="B476" s="321"/>
      <c r="F476" s="321"/>
      <c r="J476" s="321"/>
    </row>
    <row r="477" spans="2:10" ht="17">
      <c r="B477" s="321"/>
      <c r="F477" s="321"/>
      <c r="J477" s="321"/>
    </row>
    <row r="478" spans="2:10" ht="17">
      <c r="B478" s="321"/>
      <c r="F478" s="321"/>
      <c r="J478" s="321"/>
    </row>
    <row r="479" spans="2:10" ht="17">
      <c r="B479" s="321"/>
      <c r="F479" s="321"/>
      <c r="J479" s="321"/>
    </row>
    <row r="480" spans="2:10" ht="17">
      <c r="B480" s="321"/>
      <c r="F480" s="321"/>
      <c r="J480" s="321"/>
    </row>
    <row r="481" spans="2:10" ht="17">
      <c r="B481" s="321"/>
      <c r="F481" s="321"/>
      <c r="J481" s="321"/>
    </row>
    <row r="482" spans="2:10" ht="17">
      <c r="B482" s="321"/>
      <c r="F482" s="321"/>
      <c r="J482" s="321"/>
    </row>
    <row r="483" spans="2:10" ht="17">
      <c r="B483" s="321"/>
      <c r="F483" s="321"/>
      <c r="J483" s="321"/>
    </row>
    <row r="484" spans="2:10" ht="17">
      <c r="B484" s="321"/>
      <c r="F484" s="321"/>
      <c r="J484" s="321"/>
    </row>
    <row r="485" spans="2:10" ht="17">
      <c r="B485" s="321"/>
      <c r="F485" s="321"/>
      <c r="J485" s="321"/>
    </row>
    <row r="486" spans="2:10" ht="17">
      <c r="B486" s="321"/>
      <c r="F486" s="321"/>
      <c r="J486" s="321"/>
    </row>
    <row r="487" spans="2:10" ht="17">
      <c r="B487" s="321"/>
      <c r="F487" s="321"/>
      <c r="J487" s="321"/>
    </row>
    <row r="488" spans="2:10" ht="17">
      <c r="B488" s="321"/>
      <c r="F488" s="321"/>
      <c r="J488" s="321"/>
    </row>
    <row r="489" spans="2:10" ht="17">
      <c r="B489" s="321"/>
      <c r="F489" s="321"/>
      <c r="J489" s="321"/>
    </row>
    <row r="490" spans="2:10" ht="17">
      <c r="B490" s="321"/>
      <c r="F490" s="321"/>
      <c r="J490" s="321"/>
    </row>
    <row r="491" spans="2:10" ht="17">
      <c r="B491" s="321"/>
      <c r="F491" s="321"/>
      <c r="J491" s="321"/>
    </row>
    <row r="492" spans="2:10" ht="17">
      <c r="B492" s="321"/>
      <c r="F492" s="321"/>
      <c r="J492" s="321"/>
    </row>
    <row r="493" spans="2:10" ht="17">
      <c r="B493" s="321"/>
      <c r="F493" s="321"/>
      <c r="J493" s="321"/>
    </row>
    <row r="494" spans="2:10" ht="17">
      <c r="B494" s="321"/>
      <c r="F494" s="321"/>
      <c r="J494" s="321"/>
    </row>
    <row r="495" spans="2:10" ht="17">
      <c r="B495" s="321"/>
      <c r="F495" s="321"/>
      <c r="J495" s="321"/>
    </row>
    <row r="496" spans="2:10" ht="17">
      <c r="B496" s="321"/>
      <c r="F496" s="321"/>
      <c r="J496" s="321"/>
    </row>
    <row r="497" spans="2:10" ht="17">
      <c r="B497" s="321"/>
      <c r="F497" s="321"/>
      <c r="J497" s="321"/>
    </row>
    <row r="498" spans="2:10" ht="17">
      <c r="B498" s="321"/>
      <c r="F498" s="321"/>
      <c r="J498" s="321"/>
    </row>
    <row r="499" spans="2:10" ht="17">
      <c r="B499" s="321"/>
      <c r="F499" s="321"/>
      <c r="J499" s="321"/>
    </row>
    <row r="500" spans="2:10" ht="17">
      <c r="B500" s="321"/>
      <c r="F500" s="321"/>
      <c r="J500" s="321"/>
    </row>
    <row r="501" spans="2:10" ht="17">
      <c r="B501" s="321"/>
      <c r="F501" s="321"/>
      <c r="J501" s="321"/>
    </row>
    <row r="502" spans="2:10" ht="17">
      <c r="B502" s="321"/>
      <c r="F502" s="321"/>
      <c r="J502" s="321"/>
    </row>
    <row r="503" spans="2:10" ht="17">
      <c r="B503" s="321"/>
      <c r="F503" s="321"/>
      <c r="J503" s="321"/>
    </row>
    <row r="504" spans="2:10" ht="17">
      <c r="B504" s="321"/>
      <c r="F504" s="321"/>
      <c r="J504" s="321"/>
    </row>
    <row r="505" spans="2:10" ht="17">
      <c r="B505" s="321"/>
      <c r="F505" s="321"/>
      <c r="J505" s="321"/>
    </row>
    <row r="506" spans="2:10" ht="17">
      <c r="B506" s="321"/>
      <c r="F506" s="321"/>
      <c r="J506" s="321"/>
    </row>
    <row r="507" spans="2:10" ht="17">
      <c r="B507" s="321"/>
      <c r="F507" s="321"/>
      <c r="J507" s="321"/>
    </row>
    <row r="508" spans="2:10" ht="17">
      <c r="B508" s="321"/>
      <c r="F508" s="321"/>
      <c r="J508" s="321"/>
    </row>
    <row r="509" spans="2:10" ht="17">
      <c r="B509" s="321"/>
      <c r="F509" s="321"/>
      <c r="J509" s="321"/>
    </row>
    <row r="510" spans="2:10" ht="17">
      <c r="B510" s="321"/>
      <c r="F510" s="321"/>
      <c r="J510" s="321"/>
    </row>
    <row r="511" spans="2:10" ht="17">
      <c r="B511" s="321"/>
      <c r="F511" s="321"/>
      <c r="J511" s="321"/>
    </row>
    <row r="512" spans="2:10" ht="17">
      <c r="B512" s="321"/>
      <c r="F512" s="321"/>
      <c r="J512" s="321"/>
    </row>
    <row r="513" spans="2:10" ht="17">
      <c r="B513" s="321"/>
      <c r="F513" s="321"/>
      <c r="J513" s="321"/>
    </row>
    <row r="514" spans="2:10" ht="17">
      <c r="B514" s="321"/>
      <c r="F514" s="321"/>
      <c r="J514" s="321"/>
    </row>
    <row r="515" spans="2:10" ht="17">
      <c r="B515" s="321"/>
      <c r="F515" s="321"/>
      <c r="J515" s="321"/>
    </row>
    <row r="516" spans="2:10" ht="17">
      <c r="B516" s="321"/>
      <c r="F516" s="321"/>
      <c r="J516" s="321"/>
    </row>
    <row r="517" spans="2:10" ht="17">
      <c r="B517" s="321"/>
      <c r="F517" s="321"/>
      <c r="J517" s="321"/>
    </row>
    <row r="518" spans="2:10" ht="17">
      <c r="B518" s="321"/>
      <c r="F518" s="321"/>
      <c r="J518" s="321"/>
    </row>
    <row r="519" spans="2:10" ht="17">
      <c r="B519" s="321"/>
      <c r="F519" s="321"/>
      <c r="J519" s="321"/>
    </row>
    <row r="520" spans="2:10" ht="17">
      <c r="B520" s="321"/>
      <c r="F520" s="321"/>
      <c r="J520" s="321"/>
    </row>
    <row r="521" spans="2:10" ht="17">
      <c r="B521" s="321"/>
      <c r="F521" s="321"/>
      <c r="J521" s="321"/>
    </row>
    <row r="522" spans="2:10" ht="17">
      <c r="B522" s="321"/>
      <c r="F522" s="321"/>
      <c r="J522" s="321"/>
    </row>
    <row r="523" spans="2:10" ht="17">
      <c r="B523" s="321"/>
      <c r="F523" s="321"/>
      <c r="J523" s="321"/>
    </row>
    <row r="524" spans="2:10" ht="17">
      <c r="B524" s="321"/>
      <c r="F524" s="321"/>
      <c r="J524" s="321"/>
    </row>
    <row r="525" spans="2:10" ht="17">
      <c r="B525" s="321"/>
      <c r="F525" s="321"/>
      <c r="J525" s="321"/>
    </row>
    <row r="526" spans="2:10" ht="17">
      <c r="B526" s="321"/>
      <c r="F526" s="321"/>
      <c r="J526" s="321"/>
    </row>
    <row r="527" spans="2:10" ht="17">
      <c r="B527" s="321"/>
      <c r="F527" s="321"/>
      <c r="J527" s="321"/>
    </row>
    <row r="528" spans="2:10" ht="17">
      <c r="B528" s="321"/>
      <c r="F528" s="321"/>
      <c r="J528" s="321"/>
    </row>
    <row r="529" spans="2:10" ht="17">
      <c r="B529" s="321"/>
      <c r="F529" s="321"/>
      <c r="J529" s="321"/>
    </row>
    <row r="530" spans="2:10" ht="17">
      <c r="B530" s="321"/>
      <c r="F530" s="321"/>
      <c r="J530" s="321"/>
    </row>
    <row r="531" spans="2:10" ht="17">
      <c r="B531" s="321"/>
      <c r="F531" s="321"/>
      <c r="J531" s="321"/>
    </row>
    <row r="532" spans="2:10" ht="17">
      <c r="B532" s="321"/>
      <c r="F532" s="321"/>
      <c r="J532" s="321"/>
    </row>
    <row r="533" spans="2:10" ht="17">
      <c r="B533" s="321"/>
      <c r="F533" s="321"/>
      <c r="J533" s="321"/>
    </row>
    <row r="534" spans="2:10" ht="17">
      <c r="B534" s="321"/>
      <c r="F534" s="321"/>
      <c r="J534" s="321"/>
    </row>
    <row r="535" spans="2:10" ht="17">
      <c r="B535" s="321"/>
      <c r="F535" s="321"/>
      <c r="J535" s="321"/>
    </row>
    <row r="536" spans="2:10" ht="17">
      <c r="B536" s="321"/>
      <c r="F536" s="321"/>
      <c r="J536" s="321"/>
    </row>
    <row r="537" spans="2:10" ht="17">
      <c r="B537" s="321"/>
      <c r="F537" s="321"/>
      <c r="J537" s="321"/>
    </row>
    <row r="538" spans="2:10" ht="17">
      <c r="B538" s="321"/>
      <c r="F538" s="321"/>
      <c r="J538" s="321"/>
    </row>
    <row r="539" spans="2:10" ht="17">
      <c r="B539" s="321"/>
      <c r="F539" s="321"/>
      <c r="J539" s="321"/>
    </row>
    <row r="540" spans="2:10" ht="17">
      <c r="B540" s="321"/>
      <c r="F540" s="321"/>
      <c r="J540" s="321"/>
    </row>
    <row r="541" spans="2:10" ht="17">
      <c r="B541" s="321"/>
      <c r="F541" s="321"/>
      <c r="J541" s="321"/>
    </row>
    <row r="542" spans="2:10" ht="17">
      <c r="B542" s="321"/>
      <c r="F542" s="321"/>
      <c r="J542" s="321"/>
    </row>
    <row r="543" spans="2:10" ht="17">
      <c r="B543" s="321"/>
      <c r="F543" s="321"/>
      <c r="J543" s="321"/>
    </row>
    <row r="544" spans="2:10" ht="17">
      <c r="B544" s="321"/>
      <c r="F544" s="321"/>
      <c r="J544" s="321"/>
    </row>
    <row r="545" spans="2:10" ht="17">
      <c r="B545" s="321"/>
      <c r="F545" s="321"/>
      <c r="J545" s="321"/>
    </row>
    <row r="546" spans="2:10" ht="17">
      <c r="B546" s="321"/>
      <c r="F546" s="321"/>
      <c r="J546" s="321"/>
    </row>
    <row r="547" spans="2:10" ht="17">
      <c r="B547" s="321"/>
      <c r="F547" s="321"/>
      <c r="J547" s="321"/>
    </row>
    <row r="548" spans="2:10" ht="17">
      <c r="B548" s="321"/>
      <c r="F548" s="321"/>
      <c r="J548" s="321"/>
    </row>
    <row r="549" spans="2:10" ht="17">
      <c r="B549" s="321"/>
      <c r="F549" s="321"/>
      <c r="J549" s="321"/>
    </row>
    <row r="550" spans="2:10" ht="17">
      <c r="B550" s="321"/>
      <c r="F550" s="321"/>
      <c r="J550" s="321"/>
    </row>
    <row r="551" spans="2:10" ht="17">
      <c r="B551" s="321"/>
      <c r="F551" s="321"/>
      <c r="J551" s="321"/>
    </row>
    <row r="552" spans="2:10" ht="17">
      <c r="B552" s="321"/>
      <c r="F552" s="321"/>
      <c r="J552" s="321"/>
    </row>
    <row r="553" spans="2:10" ht="17">
      <c r="B553" s="321"/>
      <c r="F553" s="321"/>
      <c r="J553" s="321"/>
    </row>
    <row r="554" spans="2:10" ht="17">
      <c r="B554" s="321"/>
      <c r="F554" s="321"/>
      <c r="J554" s="321"/>
    </row>
    <row r="555" spans="2:10" ht="17">
      <c r="B555" s="321"/>
      <c r="F555" s="321"/>
      <c r="J555" s="321"/>
    </row>
    <row r="556" spans="2:10" ht="17">
      <c r="B556" s="321"/>
      <c r="F556" s="321"/>
      <c r="J556" s="321"/>
    </row>
    <row r="557" spans="2:10" ht="17">
      <c r="B557" s="321"/>
      <c r="F557" s="321"/>
      <c r="J557" s="321"/>
    </row>
    <row r="558" spans="2:10" ht="17">
      <c r="B558" s="321"/>
      <c r="F558" s="321"/>
      <c r="J558" s="321"/>
    </row>
    <row r="559" spans="2:10" ht="17">
      <c r="B559" s="321"/>
      <c r="F559" s="321"/>
      <c r="J559" s="321"/>
    </row>
    <row r="560" spans="2:10" ht="17">
      <c r="B560" s="321"/>
      <c r="F560" s="321"/>
      <c r="J560" s="321"/>
    </row>
    <row r="561" spans="2:10" ht="17">
      <c r="B561" s="321"/>
      <c r="F561" s="321"/>
      <c r="J561" s="321"/>
    </row>
    <row r="562" spans="2:10" ht="17">
      <c r="B562" s="321"/>
      <c r="F562" s="321"/>
      <c r="J562" s="321"/>
    </row>
    <row r="563" spans="2:10" ht="17">
      <c r="B563" s="321"/>
      <c r="F563" s="321"/>
      <c r="J563" s="321"/>
    </row>
    <row r="564" spans="2:10" ht="17">
      <c r="B564" s="321"/>
      <c r="F564" s="321"/>
      <c r="J564" s="321"/>
    </row>
    <row r="565" spans="2:10" ht="17">
      <c r="B565" s="321"/>
      <c r="F565" s="321"/>
      <c r="J565" s="321"/>
    </row>
    <row r="566" spans="2:10" ht="17">
      <c r="B566" s="321"/>
      <c r="F566" s="321"/>
      <c r="J566" s="321"/>
    </row>
    <row r="567" spans="2:10" ht="17">
      <c r="B567" s="321"/>
      <c r="F567" s="321"/>
      <c r="J567" s="321"/>
    </row>
    <row r="568" spans="2:10" ht="17">
      <c r="B568" s="321"/>
      <c r="F568" s="321"/>
      <c r="J568" s="321"/>
    </row>
    <row r="569" spans="2:10" ht="17">
      <c r="B569" s="321"/>
      <c r="F569" s="321"/>
      <c r="J569" s="321"/>
    </row>
    <row r="570" spans="2:10" ht="17">
      <c r="B570" s="321"/>
      <c r="F570" s="321"/>
      <c r="J570" s="321"/>
    </row>
    <row r="571" spans="2:10" ht="17">
      <c r="B571" s="321"/>
      <c r="F571" s="321"/>
      <c r="J571" s="321"/>
    </row>
    <row r="572" spans="2:10" ht="17">
      <c r="B572" s="321"/>
      <c r="F572" s="321"/>
      <c r="J572" s="321"/>
    </row>
    <row r="573" spans="2:10" ht="17">
      <c r="B573" s="321"/>
      <c r="F573" s="321"/>
      <c r="J573" s="321"/>
    </row>
    <row r="574" spans="2:10" ht="17">
      <c r="B574" s="321"/>
      <c r="F574" s="321"/>
      <c r="J574" s="321"/>
    </row>
    <row r="575" spans="2:10" ht="17">
      <c r="B575" s="321"/>
      <c r="F575" s="321"/>
      <c r="J575" s="321"/>
    </row>
    <row r="576" spans="2:10" ht="17">
      <c r="B576" s="321"/>
      <c r="F576" s="321"/>
      <c r="J576" s="321"/>
    </row>
    <row r="577" spans="2:10" ht="17">
      <c r="B577" s="321"/>
      <c r="F577" s="321"/>
      <c r="J577" s="321"/>
    </row>
    <row r="578" spans="2:10" ht="17">
      <c r="B578" s="321"/>
      <c r="F578" s="321"/>
      <c r="J578" s="321"/>
    </row>
    <row r="579" spans="2:10" ht="17">
      <c r="B579" s="321"/>
      <c r="F579" s="321"/>
      <c r="J579" s="321"/>
    </row>
    <row r="580" spans="2:10" ht="17">
      <c r="B580" s="321"/>
      <c r="F580" s="321"/>
      <c r="J580" s="321"/>
    </row>
    <row r="581" spans="2:10" ht="17">
      <c r="B581" s="321"/>
      <c r="F581" s="321"/>
      <c r="J581" s="321"/>
    </row>
    <row r="582" spans="2:10" ht="17">
      <c r="B582" s="321"/>
      <c r="F582" s="321"/>
      <c r="J582" s="321"/>
    </row>
    <row r="583" spans="2:10" ht="17">
      <c r="B583" s="321"/>
      <c r="F583" s="321"/>
      <c r="J583" s="321"/>
    </row>
    <row r="584" spans="2:10" ht="17">
      <c r="B584" s="321"/>
      <c r="F584" s="321"/>
      <c r="J584" s="321"/>
    </row>
    <row r="585" spans="2:10" ht="17">
      <c r="B585" s="321"/>
      <c r="F585" s="321"/>
      <c r="J585" s="321"/>
    </row>
    <row r="586" spans="2:10" ht="17">
      <c r="B586" s="321"/>
      <c r="F586" s="321"/>
      <c r="J586" s="321"/>
    </row>
    <row r="587" spans="2:10" ht="17">
      <c r="B587" s="321"/>
      <c r="F587" s="321"/>
      <c r="J587" s="321"/>
    </row>
    <row r="588" spans="2:10" ht="17">
      <c r="B588" s="321"/>
      <c r="F588" s="321"/>
      <c r="J588" s="321"/>
    </row>
    <row r="589" spans="2:10" ht="17">
      <c r="B589" s="321"/>
      <c r="F589" s="321"/>
      <c r="J589" s="321"/>
    </row>
    <row r="590" spans="2:10" ht="17">
      <c r="B590" s="321"/>
      <c r="F590" s="321"/>
      <c r="J590" s="321"/>
    </row>
    <row r="591" spans="2:10" ht="17">
      <c r="B591" s="321"/>
      <c r="F591" s="321"/>
      <c r="J591" s="321"/>
    </row>
    <row r="592" spans="2:10" ht="17">
      <c r="B592" s="321"/>
      <c r="F592" s="321"/>
      <c r="J592" s="321"/>
    </row>
    <row r="593" spans="2:10" ht="17">
      <c r="B593" s="321"/>
      <c r="F593" s="321"/>
      <c r="J593" s="321"/>
    </row>
    <row r="594" spans="2:10" ht="17">
      <c r="B594" s="321"/>
      <c r="F594" s="321"/>
      <c r="J594" s="321"/>
    </row>
    <row r="595" spans="2:10" ht="17">
      <c r="B595" s="321"/>
      <c r="F595" s="321"/>
      <c r="J595" s="321"/>
    </row>
    <row r="596" spans="2:10" ht="17">
      <c r="B596" s="321"/>
      <c r="F596" s="321"/>
      <c r="J596" s="321"/>
    </row>
    <row r="597" spans="2:10" ht="17">
      <c r="B597" s="321"/>
      <c r="F597" s="321"/>
      <c r="J597" s="321"/>
    </row>
    <row r="598" spans="2:10" ht="17">
      <c r="B598" s="321"/>
      <c r="F598" s="321"/>
      <c r="J598" s="321"/>
    </row>
    <row r="599" spans="2:10" ht="17">
      <c r="B599" s="321"/>
      <c r="F599" s="321"/>
      <c r="J599" s="321"/>
    </row>
    <row r="600" spans="2:10" ht="17">
      <c r="B600" s="321"/>
      <c r="F600" s="321"/>
      <c r="J600" s="321"/>
    </row>
    <row r="601" spans="2:10" ht="17">
      <c r="B601" s="321"/>
      <c r="F601" s="321"/>
      <c r="J601" s="321"/>
    </row>
    <row r="602" spans="2:10" ht="17">
      <c r="B602" s="321"/>
      <c r="F602" s="321"/>
      <c r="J602" s="321"/>
    </row>
    <row r="603" spans="2:10" ht="17">
      <c r="B603" s="321"/>
      <c r="F603" s="321"/>
      <c r="J603" s="321"/>
    </row>
    <row r="604" spans="2:10" ht="17">
      <c r="B604" s="321"/>
      <c r="F604" s="321"/>
      <c r="J604" s="321"/>
    </row>
    <row r="605" spans="2:10" ht="17">
      <c r="B605" s="321"/>
      <c r="F605" s="321"/>
      <c r="J605" s="321"/>
    </row>
    <row r="606" spans="2:10" ht="17">
      <c r="B606" s="321"/>
      <c r="F606" s="321"/>
      <c r="J606" s="321"/>
    </row>
    <row r="607" spans="2:10" ht="17">
      <c r="B607" s="321"/>
      <c r="F607" s="321"/>
      <c r="J607" s="321"/>
    </row>
    <row r="608" spans="2:10" ht="17">
      <c r="B608" s="321"/>
      <c r="F608" s="321"/>
      <c r="J608" s="321"/>
    </row>
    <row r="609" spans="2:10" ht="17">
      <c r="B609" s="321"/>
      <c r="F609" s="321"/>
      <c r="J609" s="321"/>
    </row>
    <row r="610" spans="2:10" ht="17">
      <c r="B610" s="321"/>
      <c r="F610" s="321"/>
      <c r="J610" s="321"/>
    </row>
    <row r="611" spans="2:10" ht="17">
      <c r="B611" s="321"/>
      <c r="F611" s="321"/>
      <c r="J611" s="321"/>
    </row>
    <row r="612" spans="2:10" ht="17">
      <c r="B612" s="321"/>
      <c r="F612" s="321"/>
      <c r="J612" s="321"/>
    </row>
    <row r="613" spans="2:10" ht="17">
      <c r="B613" s="321"/>
      <c r="F613" s="321"/>
      <c r="J613" s="321"/>
    </row>
    <row r="614" spans="2:10" ht="17">
      <c r="B614" s="321"/>
      <c r="F614" s="321"/>
      <c r="J614" s="321"/>
    </row>
    <row r="615" spans="2:10" ht="17">
      <c r="B615" s="321"/>
      <c r="F615" s="321"/>
      <c r="J615" s="321"/>
    </row>
    <row r="616" spans="2:10" ht="17">
      <c r="B616" s="321"/>
      <c r="F616" s="321"/>
      <c r="J616" s="321"/>
    </row>
    <row r="617" spans="2:10" ht="17">
      <c r="B617" s="321"/>
      <c r="F617" s="321"/>
      <c r="J617" s="321"/>
    </row>
    <row r="618" spans="2:10" ht="17">
      <c r="B618" s="321"/>
      <c r="F618" s="321"/>
      <c r="J618" s="321"/>
    </row>
    <row r="619" spans="2:10" ht="17">
      <c r="B619" s="321"/>
      <c r="F619" s="321"/>
      <c r="J619" s="321"/>
    </row>
    <row r="620" spans="2:10" ht="17">
      <c r="B620" s="321"/>
      <c r="F620" s="321"/>
      <c r="J620" s="321"/>
    </row>
    <row r="621" spans="2:10" ht="17">
      <c r="B621" s="321"/>
      <c r="F621" s="321"/>
      <c r="J621" s="321"/>
    </row>
    <row r="622" spans="2:10" ht="17">
      <c r="B622" s="321"/>
      <c r="F622" s="321"/>
      <c r="J622" s="321"/>
    </row>
    <row r="623" spans="2:10" ht="17">
      <c r="B623" s="321"/>
      <c r="F623" s="321"/>
      <c r="J623" s="321"/>
    </row>
    <row r="624" spans="2:10" ht="17">
      <c r="B624" s="321"/>
      <c r="F624" s="321"/>
      <c r="J624" s="321"/>
    </row>
    <row r="625" spans="2:10" ht="17">
      <c r="B625" s="321"/>
      <c r="F625" s="321"/>
      <c r="J625" s="321"/>
    </row>
    <row r="626" spans="2:10" ht="17">
      <c r="B626" s="321"/>
      <c r="F626" s="321"/>
      <c r="J626" s="321"/>
    </row>
    <row r="627" spans="2:10" ht="17">
      <c r="B627" s="321"/>
      <c r="F627" s="321"/>
      <c r="J627" s="321"/>
    </row>
    <row r="628" spans="2:10" ht="17">
      <c r="B628" s="321"/>
      <c r="F628" s="321"/>
      <c r="J628" s="321"/>
    </row>
    <row r="629" spans="2:10" ht="17">
      <c r="B629" s="321"/>
      <c r="F629" s="321"/>
      <c r="J629" s="321"/>
    </row>
    <row r="630" spans="2:10" ht="17">
      <c r="B630" s="321"/>
      <c r="F630" s="321"/>
      <c r="J630" s="321"/>
    </row>
    <row r="631" spans="2:10" ht="17">
      <c r="B631" s="321"/>
      <c r="F631" s="321"/>
      <c r="J631" s="321"/>
    </row>
    <row r="632" spans="2:10" ht="17">
      <c r="B632" s="321"/>
      <c r="F632" s="321"/>
      <c r="J632" s="321"/>
    </row>
    <row r="633" spans="2:10" ht="17">
      <c r="B633" s="321"/>
      <c r="F633" s="321"/>
      <c r="J633" s="321"/>
    </row>
    <row r="634" spans="2:10" ht="17">
      <c r="B634" s="321"/>
      <c r="F634" s="321"/>
      <c r="J634" s="321"/>
    </row>
    <row r="635" spans="2:10" ht="17">
      <c r="B635" s="321"/>
      <c r="F635" s="321"/>
      <c r="J635" s="321"/>
    </row>
    <row r="636" spans="2:10" ht="17">
      <c r="B636" s="321"/>
      <c r="F636" s="321"/>
      <c r="J636" s="321"/>
    </row>
    <row r="637" spans="2:10" ht="17">
      <c r="B637" s="321"/>
      <c r="F637" s="321"/>
      <c r="J637" s="321"/>
    </row>
    <row r="638" spans="2:10" ht="17">
      <c r="B638" s="321"/>
      <c r="F638" s="321"/>
      <c r="J638" s="321"/>
    </row>
    <row r="639" spans="2:10" ht="17">
      <c r="B639" s="321"/>
      <c r="F639" s="321"/>
      <c r="J639" s="321"/>
    </row>
    <row r="640" spans="2:10" ht="17">
      <c r="B640" s="321"/>
      <c r="F640" s="321"/>
      <c r="J640" s="321"/>
    </row>
    <row r="641" spans="2:10" ht="17">
      <c r="B641" s="321"/>
      <c r="F641" s="321"/>
      <c r="J641" s="321"/>
    </row>
    <row r="642" spans="2:10" ht="17">
      <c r="B642" s="321"/>
      <c r="F642" s="321"/>
      <c r="J642" s="321"/>
    </row>
    <row r="643" spans="2:10" ht="17">
      <c r="B643" s="321"/>
      <c r="F643" s="321"/>
      <c r="J643" s="321"/>
    </row>
    <row r="644" spans="2:10" ht="17">
      <c r="B644" s="321"/>
      <c r="F644" s="321"/>
      <c r="J644" s="321"/>
    </row>
    <row r="645" spans="2:10" ht="17">
      <c r="B645" s="321"/>
      <c r="F645" s="321"/>
      <c r="J645" s="321"/>
    </row>
    <row r="646" spans="2:10" ht="17">
      <c r="B646" s="321"/>
      <c r="F646" s="321"/>
      <c r="J646" s="321"/>
    </row>
    <row r="647" spans="2:10" ht="17">
      <c r="B647" s="321"/>
      <c r="F647" s="321"/>
      <c r="J647" s="321"/>
    </row>
    <row r="648" spans="2:10" ht="17">
      <c r="B648" s="321"/>
      <c r="F648" s="321"/>
      <c r="J648" s="321"/>
    </row>
    <row r="649" spans="2:10" ht="17">
      <c r="B649" s="321"/>
      <c r="F649" s="321"/>
      <c r="J649" s="321"/>
    </row>
    <row r="650" spans="2:10" ht="17">
      <c r="B650" s="321"/>
      <c r="F650" s="321"/>
      <c r="J650" s="321"/>
    </row>
    <row r="651" spans="2:10" ht="17">
      <c r="B651" s="321"/>
      <c r="F651" s="321"/>
      <c r="J651" s="321"/>
    </row>
    <row r="652" spans="2:10" ht="17">
      <c r="B652" s="321"/>
      <c r="F652" s="321"/>
      <c r="J652" s="321"/>
    </row>
    <row r="653" spans="2:10" ht="17">
      <c r="B653" s="321"/>
      <c r="F653" s="321"/>
      <c r="J653" s="321"/>
    </row>
    <row r="654" spans="2:10" ht="17">
      <c r="B654" s="321"/>
      <c r="F654" s="321"/>
      <c r="J654" s="321"/>
    </row>
    <row r="655" spans="2:10" ht="17">
      <c r="B655" s="321"/>
      <c r="F655" s="321"/>
      <c r="J655" s="321"/>
    </row>
    <row r="656" spans="2:10" ht="17">
      <c r="B656" s="321"/>
      <c r="F656" s="321"/>
      <c r="J656" s="321"/>
    </row>
    <row r="657" spans="2:10" ht="17">
      <c r="B657" s="321"/>
      <c r="F657" s="321"/>
      <c r="J657" s="321"/>
    </row>
    <row r="658" spans="2:10" ht="17">
      <c r="B658" s="321"/>
      <c r="F658" s="321"/>
      <c r="J658" s="321"/>
    </row>
    <row r="659" spans="2:10" ht="17">
      <c r="B659" s="321"/>
      <c r="F659" s="321"/>
      <c r="J659" s="321"/>
    </row>
    <row r="660" spans="2:10" ht="17">
      <c r="B660" s="321"/>
      <c r="F660" s="321"/>
      <c r="J660" s="321"/>
    </row>
    <row r="661" spans="2:10" ht="17">
      <c r="B661" s="321"/>
      <c r="F661" s="321"/>
      <c r="J661" s="321"/>
    </row>
    <row r="662" spans="2:10" ht="17">
      <c r="B662" s="321"/>
      <c r="F662" s="321"/>
      <c r="J662" s="321"/>
    </row>
    <row r="663" spans="2:10" ht="17">
      <c r="B663" s="321"/>
      <c r="F663" s="321"/>
      <c r="J663" s="321"/>
    </row>
    <row r="664" spans="2:10" ht="17">
      <c r="B664" s="321"/>
      <c r="F664" s="321"/>
      <c r="J664" s="321"/>
    </row>
    <row r="665" spans="2:10" ht="17">
      <c r="B665" s="321"/>
      <c r="F665" s="321"/>
      <c r="J665" s="321"/>
    </row>
    <row r="666" spans="2:10" ht="17">
      <c r="B666" s="321"/>
      <c r="F666" s="321"/>
      <c r="J666" s="321"/>
    </row>
    <row r="667" spans="2:10" ht="17">
      <c r="B667" s="321"/>
      <c r="F667" s="321"/>
      <c r="J667" s="321"/>
    </row>
    <row r="668" spans="2:10" ht="17">
      <c r="B668" s="321"/>
      <c r="F668" s="321"/>
      <c r="J668" s="321"/>
    </row>
    <row r="669" spans="2:10" ht="17">
      <c r="B669" s="321"/>
      <c r="F669" s="321"/>
      <c r="J669" s="321"/>
    </row>
    <row r="670" spans="2:10" ht="17">
      <c r="B670" s="321"/>
      <c r="F670" s="321"/>
      <c r="J670" s="321"/>
    </row>
    <row r="671" spans="2:10" ht="17">
      <c r="B671" s="321"/>
      <c r="F671" s="321"/>
      <c r="J671" s="321"/>
    </row>
    <row r="672" spans="2:10" ht="17">
      <c r="B672" s="321"/>
      <c r="F672" s="321"/>
      <c r="J672" s="321"/>
    </row>
    <row r="673" spans="2:10" ht="17">
      <c r="B673" s="321"/>
      <c r="F673" s="321"/>
      <c r="J673" s="321"/>
    </row>
    <row r="674" spans="2:10" ht="17">
      <c r="B674" s="321"/>
      <c r="F674" s="321"/>
      <c r="J674" s="321"/>
    </row>
    <row r="675" spans="2:10" ht="17">
      <c r="B675" s="321"/>
      <c r="F675" s="321"/>
      <c r="J675" s="321"/>
    </row>
    <row r="676" spans="2:10" ht="17">
      <c r="B676" s="321"/>
      <c r="F676" s="321"/>
      <c r="J676" s="321"/>
    </row>
    <row r="677" spans="2:10" ht="17">
      <c r="B677" s="321"/>
      <c r="F677" s="321"/>
      <c r="J677" s="321"/>
    </row>
    <row r="678" spans="2:10" ht="17">
      <c r="B678" s="321"/>
      <c r="F678" s="321"/>
      <c r="J678" s="321"/>
    </row>
    <row r="679" spans="2:10" ht="17">
      <c r="B679" s="321"/>
      <c r="F679" s="321"/>
      <c r="J679" s="321"/>
    </row>
    <row r="680" spans="2:10" ht="17">
      <c r="B680" s="321"/>
      <c r="F680" s="321"/>
      <c r="J680" s="321"/>
    </row>
    <row r="681" spans="2:10" ht="17">
      <c r="B681" s="321"/>
      <c r="F681" s="321"/>
      <c r="J681" s="321"/>
    </row>
    <row r="682" spans="2:10" ht="17">
      <c r="B682" s="321"/>
      <c r="F682" s="321"/>
      <c r="J682" s="321"/>
    </row>
    <row r="683" spans="2:10" ht="17">
      <c r="B683" s="321"/>
      <c r="F683" s="321"/>
      <c r="J683" s="321"/>
    </row>
    <row r="684" spans="2:10" ht="17">
      <c r="B684" s="321"/>
      <c r="F684" s="321"/>
      <c r="J684" s="321"/>
    </row>
    <row r="685" spans="2:10" ht="17">
      <c r="B685" s="321"/>
      <c r="F685" s="321"/>
      <c r="J685" s="321"/>
    </row>
    <row r="686" spans="2:10" ht="17">
      <c r="B686" s="321"/>
      <c r="F686" s="321"/>
      <c r="J686" s="321"/>
    </row>
    <row r="687" spans="2:10" ht="17">
      <c r="B687" s="321"/>
      <c r="F687" s="321"/>
      <c r="J687" s="321"/>
    </row>
    <row r="688" spans="2:10" ht="17">
      <c r="B688" s="321"/>
      <c r="F688" s="321"/>
      <c r="J688" s="321"/>
    </row>
    <row r="689" spans="2:10" ht="17">
      <c r="B689" s="321"/>
      <c r="F689" s="321"/>
      <c r="J689" s="321"/>
    </row>
    <row r="690" spans="2:10" ht="17">
      <c r="B690" s="321"/>
      <c r="F690" s="321"/>
      <c r="J690" s="321"/>
    </row>
    <row r="691" spans="2:10" ht="17">
      <c r="B691" s="321"/>
      <c r="F691" s="321"/>
      <c r="J691" s="321"/>
    </row>
    <row r="692" spans="2:10" ht="17">
      <c r="B692" s="321"/>
      <c r="F692" s="321"/>
      <c r="J692" s="321"/>
    </row>
    <row r="693" spans="2:10" ht="17">
      <c r="B693" s="321"/>
      <c r="F693" s="321"/>
      <c r="J693" s="321"/>
    </row>
    <row r="694" spans="2:10" ht="17">
      <c r="B694" s="321"/>
      <c r="F694" s="321"/>
      <c r="J694" s="321"/>
    </row>
    <row r="695" spans="2:10" ht="17">
      <c r="B695" s="321"/>
      <c r="F695" s="321"/>
      <c r="J695" s="321"/>
    </row>
    <row r="696" spans="2:10" ht="17">
      <c r="B696" s="321"/>
      <c r="F696" s="321"/>
      <c r="J696" s="321"/>
    </row>
    <row r="697" spans="2:10" ht="17">
      <c r="B697" s="321"/>
      <c r="F697" s="321"/>
      <c r="J697" s="321"/>
    </row>
    <row r="698" spans="2:10" ht="17">
      <c r="B698" s="321"/>
      <c r="F698" s="321"/>
      <c r="J698" s="321"/>
    </row>
    <row r="699" spans="2:10" ht="17">
      <c r="B699" s="321"/>
      <c r="F699" s="321"/>
      <c r="J699" s="321"/>
    </row>
    <row r="700" spans="2:10" ht="17">
      <c r="B700" s="321"/>
      <c r="F700" s="321"/>
      <c r="J700" s="321"/>
    </row>
    <row r="701" spans="2:10" ht="17">
      <c r="B701" s="321"/>
      <c r="F701" s="321"/>
      <c r="J701" s="321"/>
    </row>
    <row r="702" spans="2:10" ht="17">
      <c r="B702" s="321"/>
      <c r="F702" s="321"/>
      <c r="J702" s="321"/>
    </row>
    <row r="703" spans="2:10" ht="17">
      <c r="B703" s="321"/>
      <c r="F703" s="321"/>
      <c r="J703" s="321"/>
    </row>
    <row r="704" spans="2:10" ht="17">
      <c r="B704" s="321"/>
      <c r="F704" s="321"/>
      <c r="J704" s="321"/>
    </row>
    <row r="705" spans="2:10" ht="17">
      <c r="B705" s="321"/>
      <c r="F705" s="321"/>
      <c r="J705" s="321"/>
    </row>
    <row r="706" spans="2:10" ht="17">
      <c r="B706" s="321"/>
      <c r="F706" s="321"/>
      <c r="J706" s="321"/>
    </row>
    <row r="707" spans="2:10" ht="17">
      <c r="B707" s="321"/>
      <c r="F707" s="321"/>
      <c r="J707" s="321"/>
    </row>
    <row r="708" spans="2:10" ht="17">
      <c r="B708" s="321"/>
      <c r="F708" s="321"/>
      <c r="J708" s="321"/>
    </row>
    <row r="709" spans="2:10" ht="17">
      <c r="B709" s="321"/>
      <c r="F709" s="321"/>
      <c r="J709" s="321"/>
    </row>
    <row r="710" spans="2:10" ht="17">
      <c r="B710" s="321"/>
      <c r="F710" s="321"/>
      <c r="J710" s="321"/>
    </row>
    <row r="711" spans="2:10" ht="17">
      <c r="B711" s="321"/>
      <c r="F711" s="321"/>
      <c r="J711" s="321"/>
    </row>
    <row r="712" spans="2:10" ht="17">
      <c r="B712" s="321"/>
      <c r="F712" s="321"/>
      <c r="J712" s="321"/>
    </row>
    <row r="713" spans="2:10" ht="17">
      <c r="B713" s="321"/>
      <c r="F713" s="321"/>
      <c r="J713" s="321"/>
    </row>
    <row r="714" spans="2:10" ht="17">
      <c r="B714" s="321"/>
      <c r="F714" s="321"/>
      <c r="J714" s="321"/>
    </row>
    <row r="715" spans="2:10" ht="17">
      <c r="B715" s="321"/>
      <c r="F715" s="321"/>
      <c r="J715" s="321"/>
    </row>
    <row r="716" spans="2:10" ht="17">
      <c r="B716" s="321"/>
      <c r="F716" s="321"/>
      <c r="J716" s="321"/>
    </row>
    <row r="717" spans="2:10" ht="17">
      <c r="B717" s="321"/>
      <c r="F717" s="321"/>
      <c r="J717" s="321"/>
    </row>
    <row r="718" spans="2:10" ht="17">
      <c r="B718" s="321"/>
      <c r="F718" s="321"/>
      <c r="J718" s="321"/>
    </row>
    <row r="719" spans="2:10" ht="17">
      <c r="B719" s="321"/>
      <c r="F719" s="321"/>
      <c r="J719" s="321"/>
    </row>
    <row r="720" spans="2:10" ht="17">
      <c r="B720" s="321"/>
      <c r="F720" s="321"/>
      <c r="J720" s="321"/>
    </row>
    <row r="721" spans="2:10" ht="17">
      <c r="B721" s="321"/>
      <c r="F721" s="321"/>
      <c r="J721" s="321"/>
    </row>
    <row r="722" spans="2:10" ht="17">
      <c r="B722" s="321"/>
      <c r="F722" s="321"/>
      <c r="J722" s="321"/>
    </row>
    <row r="723" spans="2:10" ht="17">
      <c r="B723" s="321"/>
      <c r="F723" s="321"/>
      <c r="J723" s="321"/>
    </row>
    <row r="724" spans="2:10" ht="17">
      <c r="B724" s="321"/>
      <c r="F724" s="321"/>
      <c r="J724" s="321"/>
    </row>
    <row r="725" spans="2:10" ht="17">
      <c r="B725" s="321"/>
      <c r="F725" s="321"/>
      <c r="J725" s="321"/>
    </row>
    <row r="726" spans="2:10" ht="17">
      <c r="B726" s="321"/>
      <c r="F726" s="321"/>
      <c r="J726" s="321"/>
    </row>
    <row r="727" spans="2:10" ht="17">
      <c r="B727" s="321"/>
      <c r="F727" s="321"/>
      <c r="J727" s="321"/>
    </row>
    <row r="728" spans="2:10" ht="17">
      <c r="B728" s="321"/>
      <c r="F728" s="321"/>
      <c r="J728" s="321"/>
    </row>
    <row r="729" spans="2:10" ht="17">
      <c r="B729" s="321"/>
      <c r="F729" s="321"/>
      <c r="J729" s="321"/>
    </row>
    <row r="730" spans="2:10" ht="17">
      <c r="B730" s="321"/>
      <c r="F730" s="321"/>
      <c r="J730" s="321"/>
    </row>
    <row r="731" spans="2:10" ht="17">
      <c r="B731" s="321"/>
      <c r="F731" s="321"/>
      <c r="J731" s="321"/>
    </row>
    <row r="732" spans="2:10" ht="17">
      <c r="B732" s="321"/>
      <c r="F732" s="321"/>
      <c r="J732" s="321"/>
    </row>
    <row r="733" spans="2:10" ht="17">
      <c r="B733" s="321"/>
      <c r="F733" s="321"/>
      <c r="J733" s="321"/>
    </row>
    <row r="734" spans="2:10" ht="17">
      <c r="B734" s="321"/>
      <c r="F734" s="321"/>
      <c r="J734" s="321"/>
    </row>
    <row r="735" spans="2:10" ht="17">
      <c r="B735" s="321"/>
      <c r="F735" s="321"/>
      <c r="J735" s="321"/>
    </row>
    <row r="736" spans="2:10" ht="17">
      <c r="B736" s="321"/>
      <c r="F736" s="321"/>
      <c r="J736" s="321"/>
    </row>
    <row r="737" spans="2:10" ht="17">
      <c r="B737" s="321"/>
      <c r="F737" s="321"/>
      <c r="J737" s="321"/>
    </row>
    <row r="738" spans="2:10" ht="17">
      <c r="B738" s="321"/>
      <c r="F738" s="321"/>
      <c r="J738" s="321"/>
    </row>
    <row r="739" spans="2:10" ht="17">
      <c r="B739" s="321"/>
      <c r="F739" s="321"/>
      <c r="J739" s="321"/>
    </row>
    <row r="740" spans="2:10" ht="17">
      <c r="B740" s="321"/>
      <c r="F740" s="321"/>
      <c r="J740" s="321"/>
    </row>
    <row r="741" spans="2:10" ht="17">
      <c r="B741" s="321"/>
      <c r="F741" s="321"/>
      <c r="J741" s="321"/>
    </row>
    <row r="742" spans="2:10" ht="17">
      <c r="B742" s="321"/>
      <c r="F742" s="321"/>
      <c r="J742" s="321"/>
    </row>
    <row r="743" spans="2:10" ht="17">
      <c r="B743" s="321"/>
      <c r="F743" s="321"/>
      <c r="J743" s="321"/>
    </row>
    <row r="744" spans="2:10" ht="17">
      <c r="B744" s="321"/>
      <c r="F744" s="321"/>
      <c r="J744" s="321"/>
    </row>
    <row r="745" spans="2:10" ht="17">
      <c r="B745" s="321"/>
      <c r="F745" s="321"/>
      <c r="J745" s="321"/>
    </row>
    <row r="746" spans="2:10" ht="17">
      <c r="B746" s="321"/>
      <c r="F746" s="321"/>
      <c r="J746" s="321"/>
    </row>
    <row r="747" spans="2:10" ht="17">
      <c r="B747" s="321"/>
      <c r="F747" s="321"/>
      <c r="J747" s="321"/>
    </row>
    <row r="748" spans="2:10" ht="17">
      <c r="B748" s="321"/>
      <c r="F748" s="321"/>
      <c r="J748" s="321"/>
    </row>
    <row r="749" spans="2:10" ht="17">
      <c r="B749" s="321"/>
      <c r="F749" s="321"/>
      <c r="J749" s="321"/>
    </row>
    <row r="750" spans="2:10" ht="17">
      <c r="B750" s="321"/>
      <c r="F750" s="321"/>
      <c r="J750" s="321"/>
    </row>
    <row r="751" spans="2:10" ht="17">
      <c r="B751" s="321"/>
      <c r="F751" s="321"/>
      <c r="J751" s="321"/>
    </row>
    <row r="752" spans="2:10" ht="17">
      <c r="B752" s="321"/>
      <c r="F752" s="321"/>
      <c r="J752" s="321"/>
    </row>
    <row r="753" spans="2:10" ht="17">
      <c r="B753" s="321"/>
      <c r="F753" s="321"/>
      <c r="J753" s="321"/>
    </row>
    <row r="754" spans="2:10" ht="17">
      <c r="B754" s="321"/>
      <c r="F754" s="321"/>
      <c r="J754" s="321"/>
    </row>
    <row r="755" spans="2:10" ht="17">
      <c r="B755" s="321"/>
      <c r="F755" s="321"/>
      <c r="J755" s="321"/>
    </row>
    <row r="756" spans="2:10" ht="17">
      <c r="B756" s="321"/>
      <c r="F756" s="321"/>
      <c r="J756" s="321"/>
    </row>
    <row r="757" spans="2:10" ht="17">
      <c r="B757" s="321"/>
      <c r="F757" s="321"/>
      <c r="J757" s="321"/>
    </row>
    <row r="758" spans="2:10" ht="17">
      <c r="B758" s="321"/>
      <c r="F758" s="321"/>
      <c r="J758" s="321"/>
    </row>
    <row r="759" spans="2:10" ht="17">
      <c r="B759" s="321"/>
      <c r="F759" s="321"/>
      <c r="J759" s="321"/>
    </row>
    <row r="760" spans="2:10" ht="17">
      <c r="B760" s="321"/>
      <c r="F760" s="321"/>
      <c r="J760" s="321"/>
    </row>
    <row r="761" spans="2:10" ht="17">
      <c r="B761" s="321"/>
      <c r="F761" s="321"/>
      <c r="J761" s="321"/>
    </row>
    <row r="762" spans="2:10" ht="17">
      <c r="B762" s="321"/>
      <c r="F762" s="321"/>
      <c r="J762" s="321"/>
    </row>
    <row r="763" spans="2:10" ht="17">
      <c r="B763" s="321"/>
      <c r="F763" s="321"/>
      <c r="J763" s="321"/>
    </row>
    <row r="764" spans="2:10" ht="17">
      <c r="B764" s="321"/>
      <c r="F764" s="321"/>
      <c r="J764" s="321"/>
    </row>
    <row r="765" spans="2:10" ht="17">
      <c r="B765" s="321"/>
      <c r="F765" s="321"/>
      <c r="J765" s="321"/>
    </row>
    <row r="766" spans="2:10" ht="17">
      <c r="B766" s="321"/>
      <c r="F766" s="321"/>
      <c r="J766" s="321"/>
    </row>
    <row r="767" spans="2:10" ht="17">
      <c r="B767" s="321"/>
      <c r="F767" s="321"/>
      <c r="J767" s="321"/>
    </row>
    <row r="768" spans="2:10" ht="17">
      <c r="B768" s="321"/>
      <c r="F768" s="321"/>
      <c r="J768" s="321"/>
    </row>
    <row r="769" spans="2:10" ht="17">
      <c r="B769" s="321"/>
      <c r="F769" s="321"/>
      <c r="J769" s="321"/>
    </row>
    <row r="770" spans="2:10" ht="17">
      <c r="B770" s="321"/>
      <c r="F770" s="321"/>
      <c r="J770" s="321"/>
    </row>
    <row r="771" spans="2:10" ht="17">
      <c r="B771" s="321"/>
      <c r="F771" s="321"/>
      <c r="J771" s="321"/>
    </row>
    <row r="772" spans="2:10" ht="17">
      <c r="B772" s="321"/>
      <c r="F772" s="321"/>
      <c r="J772" s="321"/>
    </row>
    <row r="773" spans="2:10" ht="17">
      <c r="B773" s="321"/>
      <c r="F773" s="321"/>
      <c r="J773" s="321"/>
    </row>
    <row r="774" spans="2:10" ht="17">
      <c r="B774" s="321"/>
      <c r="F774" s="321"/>
      <c r="J774" s="321"/>
    </row>
    <row r="775" spans="2:10" ht="17">
      <c r="B775" s="321"/>
      <c r="F775" s="321"/>
      <c r="J775" s="321"/>
    </row>
    <row r="776" spans="2:10" ht="17">
      <c r="B776" s="321"/>
      <c r="F776" s="321"/>
      <c r="J776" s="321"/>
    </row>
    <row r="777" spans="2:10" ht="17">
      <c r="B777" s="321"/>
      <c r="F777" s="321"/>
      <c r="J777" s="321"/>
    </row>
    <row r="778" spans="2:10" ht="17">
      <c r="B778" s="321"/>
      <c r="F778" s="321"/>
      <c r="J778" s="321"/>
    </row>
    <row r="779" spans="2:10" ht="17">
      <c r="B779" s="321"/>
      <c r="F779" s="321"/>
      <c r="J779" s="321"/>
    </row>
    <row r="780" spans="2:10" ht="17">
      <c r="B780" s="321"/>
      <c r="F780" s="321"/>
      <c r="J780" s="321"/>
    </row>
    <row r="781" spans="2:10" ht="17">
      <c r="B781" s="321"/>
      <c r="F781" s="321"/>
      <c r="J781" s="321"/>
    </row>
    <row r="782" spans="2:10" ht="17">
      <c r="B782" s="321"/>
      <c r="F782" s="321"/>
      <c r="J782" s="321"/>
    </row>
    <row r="783" spans="2:10" ht="17">
      <c r="B783" s="321"/>
      <c r="F783" s="321"/>
      <c r="J783" s="321"/>
    </row>
    <row r="784" spans="2:10" ht="17">
      <c r="B784" s="321"/>
      <c r="F784" s="321"/>
      <c r="J784" s="321"/>
    </row>
    <row r="785" spans="2:10" ht="17">
      <c r="B785" s="321"/>
      <c r="F785" s="321"/>
      <c r="J785" s="321"/>
    </row>
    <row r="786" spans="2:10" ht="17">
      <c r="B786" s="321"/>
      <c r="F786" s="321"/>
      <c r="J786" s="321"/>
    </row>
    <row r="787" spans="2:10" ht="17">
      <c r="B787" s="321"/>
      <c r="F787" s="321"/>
      <c r="J787" s="321"/>
    </row>
    <row r="788" spans="2:10" ht="17">
      <c r="B788" s="321"/>
      <c r="F788" s="321"/>
      <c r="J788" s="321"/>
    </row>
    <row r="789" spans="2:10" ht="17">
      <c r="B789" s="321"/>
      <c r="F789" s="321"/>
      <c r="J789" s="321"/>
    </row>
    <row r="790" spans="2:10" ht="17">
      <c r="B790" s="321"/>
      <c r="F790" s="321"/>
      <c r="J790" s="321"/>
    </row>
    <row r="791" spans="2:10" ht="17">
      <c r="B791" s="321"/>
      <c r="F791" s="321"/>
      <c r="J791" s="321"/>
    </row>
    <row r="792" spans="2:10" ht="17">
      <c r="B792" s="321"/>
      <c r="F792" s="321"/>
      <c r="J792" s="321"/>
    </row>
    <row r="793" spans="2:10" ht="17">
      <c r="B793" s="321"/>
      <c r="F793" s="321"/>
      <c r="J793" s="321"/>
    </row>
    <row r="794" spans="2:10" ht="17">
      <c r="B794" s="321"/>
      <c r="F794" s="321"/>
      <c r="J794" s="321"/>
    </row>
    <row r="795" spans="2:10" ht="17">
      <c r="B795" s="321"/>
      <c r="F795" s="321"/>
      <c r="J795" s="321"/>
    </row>
    <row r="796" spans="2:10" ht="17">
      <c r="B796" s="321"/>
      <c r="F796" s="321"/>
      <c r="J796" s="321"/>
    </row>
    <row r="797" spans="2:10" ht="17">
      <c r="B797" s="321"/>
      <c r="F797" s="321"/>
      <c r="J797" s="321"/>
    </row>
    <row r="798" spans="2:10" ht="17">
      <c r="B798" s="321"/>
      <c r="F798" s="321"/>
      <c r="J798" s="321"/>
    </row>
    <row r="799" spans="2:10" ht="17">
      <c r="B799" s="321"/>
      <c r="F799" s="321"/>
      <c r="J799" s="321"/>
    </row>
    <row r="800" spans="2:10" ht="17">
      <c r="B800" s="321"/>
      <c r="F800" s="321"/>
      <c r="J800" s="321"/>
    </row>
    <row r="801" spans="2:10" ht="17">
      <c r="B801" s="321"/>
      <c r="F801" s="321"/>
      <c r="J801" s="321"/>
    </row>
    <row r="802" spans="2:10" ht="17">
      <c r="B802" s="321"/>
      <c r="F802" s="321"/>
      <c r="J802" s="321"/>
    </row>
    <row r="803" spans="2:10" ht="17">
      <c r="B803" s="321"/>
      <c r="F803" s="321"/>
      <c r="J803" s="321"/>
    </row>
    <row r="804" spans="2:10" ht="17">
      <c r="B804" s="321"/>
      <c r="F804" s="321"/>
      <c r="J804" s="321"/>
    </row>
    <row r="805" spans="2:10" ht="17">
      <c r="B805" s="321"/>
      <c r="F805" s="321"/>
      <c r="J805" s="321"/>
    </row>
    <row r="806" spans="2:10" ht="17">
      <c r="B806" s="321"/>
      <c r="F806" s="321"/>
      <c r="J806" s="321"/>
    </row>
    <row r="807" spans="2:10" ht="17">
      <c r="B807" s="321"/>
      <c r="F807" s="321"/>
      <c r="J807" s="321"/>
    </row>
    <row r="808" spans="2:10" ht="17">
      <c r="B808" s="321"/>
      <c r="F808" s="321"/>
      <c r="J808" s="321"/>
    </row>
    <row r="809" spans="2:10" ht="17">
      <c r="B809" s="321"/>
      <c r="F809" s="321"/>
      <c r="J809" s="321"/>
    </row>
    <row r="810" spans="2:10" ht="17">
      <c r="B810" s="321"/>
      <c r="F810" s="321"/>
      <c r="J810" s="321"/>
    </row>
    <row r="811" spans="2:10" ht="17">
      <c r="B811" s="321"/>
      <c r="F811" s="321"/>
      <c r="J811" s="321"/>
    </row>
    <row r="812" spans="2:10" ht="17">
      <c r="B812" s="321"/>
      <c r="F812" s="321"/>
      <c r="J812" s="321"/>
    </row>
    <row r="813" spans="2:10" ht="17">
      <c r="B813" s="321"/>
      <c r="F813" s="321"/>
      <c r="J813" s="321"/>
    </row>
    <row r="814" spans="2:10" ht="17">
      <c r="B814" s="321"/>
      <c r="F814" s="321"/>
      <c r="J814" s="321"/>
    </row>
    <row r="815" spans="2:10" ht="17">
      <c r="B815" s="321"/>
      <c r="F815" s="321"/>
      <c r="J815" s="321"/>
    </row>
    <row r="816" spans="2:10" ht="17">
      <c r="B816" s="321"/>
      <c r="F816" s="321"/>
      <c r="J816" s="321"/>
    </row>
    <row r="817" spans="2:10" ht="17">
      <c r="B817" s="321"/>
      <c r="F817" s="321"/>
      <c r="J817" s="321"/>
    </row>
    <row r="818" spans="2:10" ht="17">
      <c r="B818" s="321"/>
      <c r="F818" s="321"/>
      <c r="J818" s="321"/>
    </row>
    <row r="819" spans="2:10" ht="17">
      <c r="B819" s="321"/>
      <c r="F819" s="321"/>
      <c r="J819" s="321"/>
    </row>
    <row r="820" spans="2:10" ht="17">
      <c r="B820" s="321"/>
      <c r="F820" s="321"/>
      <c r="J820" s="321"/>
    </row>
    <row r="821" spans="2:10" ht="17">
      <c r="B821" s="321"/>
      <c r="F821" s="321"/>
      <c r="J821" s="321"/>
    </row>
    <row r="822" spans="2:10" ht="17">
      <c r="B822" s="321"/>
      <c r="F822" s="321"/>
      <c r="J822" s="321"/>
    </row>
    <row r="823" spans="2:10" ht="17">
      <c r="B823" s="321"/>
      <c r="F823" s="321"/>
      <c r="J823" s="321"/>
    </row>
    <row r="824" spans="2:10" ht="17">
      <c r="B824" s="321"/>
      <c r="F824" s="321"/>
      <c r="J824" s="321"/>
    </row>
    <row r="825" spans="2:10" ht="17">
      <c r="B825" s="321"/>
      <c r="F825" s="321"/>
      <c r="J825" s="321"/>
    </row>
    <row r="826" spans="2:10" ht="17">
      <c r="B826" s="321"/>
      <c r="F826" s="321"/>
      <c r="J826" s="321"/>
    </row>
    <row r="827" spans="2:10" ht="17">
      <c r="B827" s="321"/>
      <c r="F827" s="321"/>
      <c r="J827" s="321"/>
    </row>
    <row r="828" spans="2:10" ht="17">
      <c r="B828" s="321"/>
      <c r="F828" s="321"/>
      <c r="J828" s="321"/>
    </row>
    <row r="829" spans="2:10" ht="17">
      <c r="B829" s="321"/>
      <c r="F829" s="321"/>
      <c r="J829" s="321"/>
    </row>
    <row r="830" spans="2:10" ht="17">
      <c r="B830" s="321"/>
      <c r="F830" s="321"/>
      <c r="J830" s="321"/>
    </row>
    <row r="831" spans="2:10" ht="17">
      <c r="B831" s="321"/>
      <c r="F831" s="321"/>
      <c r="J831" s="321"/>
    </row>
    <row r="832" spans="2:10" ht="17">
      <c r="B832" s="321"/>
      <c r="F832" s="321"/>
      <c r="J832" s="321"/>
    </row>
    <row r="833" spans="2:10" ht="17">
      <c r="B833" s="321"/>
      <c r="F833" s="321"/>
      <c r="J833" s="321"/>
    </row>
    <row r="834" spans="2:10" ht="17">
      <c r="B834" s="321"/>
      <c r="F834" s="321"/>
      <c r="J834" s="321"/>
    </row>
    <row r="835" spans="2:10" ht="17">
      <c r="B835" s="321"/>
      <c r="F835" s="321"/>
      <c r="J835" s="321"/>
    </row>
    <row r="836" spans="2:10" ht="17">
      <c r="B836" s="321"/>
      <c r="F836" s="321"/>
      <c r="J836" s="321"/>
    </row>
    <row r="837" spans="2:10" ht="17">
      <c r="B837" s="321"/>
      <c r="F837" s="321"/>
      <c r="J837" s="321"/>
    </row>
    <row r="838" spans="2:10" ht="17">
      <c r="B838" s="321"/>
      <c r="F838" s="321"/>
      <c r="J838" s="321"/>
    </row>
    <row r="839" spans="2:10" ht="17">
      <c r="B839" s="321"/>
      <c r="F839" s="321"/>
      <c r="J839" s="321"/>
    </row>
    <row r="840" spans="2:10" ht="17">
      <c r="B840" s="321"/>
      <c r="F840" s="321"/>
      <c r="J840" s="321"/>
    </row>
    <row r="841" spans="2:10" ht="17">
      <c r="B841" s="321"/>
      <c r="F841" s="321"/>
      <c r="J841" s="321"/>
    </row>
    <row r="842" spans="2:10" ht="17">
      <c r="B842" s="321"/>
      <c r="F842" s="321"/>
      <c r="J842" s="321"/>
    </row>
    <row r="843" spans="2:10" ht="17">
      <c r="B843" s="321"/>
      <c r="F843" s="321"/>
      <c r="J843" s="321"/>
    </row>
    <row r="844" spans="2:10" ht="17">
      <c r="B844" s="321"/>
      <c r="F844" s="321"/>
      <c r="J844" s="321"/>
    </row>
    <row r="845" spans="2:10" ht="17">
      <c r="B845" s="321"/>
      <c r="F845" s="321"/>
      <c r="J845" s="321"/>
    </row>
    <row r="846" spans="2:10" ht="17">
      <c r="B846" s="321"/>
      <c r="F846" s="321"/>
      <c r="J846" s="321"/>
    </row>
    <row r="847" spans="2:10" ht="17">
      <c r="B847" s="321"/>
      <c r="F847" s="321"/>
      <c r="J847" s="321"/>
    </row>
    <row r="848" spans="2:10" ht="17">
      <c r="B848" s="321"/>
      <c r="F848" s="321"/>
      <c r="J848" s="321"/>
    </row>
    <row r="849" spans="2:10" ht="17">
      <c r="B849" s="321"/>
      <c r="F849" s="321"/>
      <c r="J849" s="321"/>
    </row>
    <row r="850" spans="2:10" ht="17">
      <c r="B850" s="321"/>
      <c r="F850" s="321"/>
      <c r="J850" s="321"/>
    </row>
    <row r="851" spans="2:10" ht="17">
      <c r="B851" s="321"/>
      <c r="F851" s="321"/>
      <c r="J851" s="321"/>
    </row>
    <row r="852" spans="2:10" ht="17">
      <c r="B852" s="321"/>
      <c r="F852" s="321"/>
      <c r="J852" s="321"/>
    </row>
    <row r="853" spans="2:10" ht="17">
      <c r="B853" s="321"/>
      <c r="F853" s="321"/>
      <c r="J853" s="321"/>
    </row>
    <row r="854" spans="2:10" ht="17">
      <c r="B854" s="321"/>
      <c r="F854" s="321"/>
      <c r="J854" s="321"/>
    </row>
    <row r="855" spans="2:10" ht="17">
      <c r="B855" s="321"/>
      <c r="F855" s="321"/>
      <c r="J855" s="321"/>
    </row>
    <row r="856" spans="2:10" ht="17">
      <c r="B856" s="321"/>
      <c r="F856" s="321"/>
      <c r="J856" s="321"/>
    </row>
    <row r="857" spans="2:10" ht="17">
      <c r="B857" s="321"/>
      <c r="F857" s="321"/>
      <c r="J857" s="321"/>
    </row>
    <row r="858" spans="2:10" ht="17">
      <c r="B858" s="321"/>
      <c r="F858" s="321"/>
      <c r="J858" s="321"/>
    </row>
    <row r="859" spans="2:10" ht="17">
      <c r="B859" s="321"/>
      <c r="F859" s="321"/>
      <c r="J859" s="321"/>
    </row>
    <row r="860" spans="2:10" ht="17">
      <c r="B860" s="321"/>
      <c r="F860" s="321"/>
      <c r="J860" s="321"/>
    </row>
    <row r="861" spans="2:10" ht="17">
      <c r="B861" s="321"/>
      <c r="F861" s="321"/>
      <c r="J861" s="321"/>
    </row>
    <row r="862" spans="2:10" ht="17">
      <c r="B862" s="321"/>
      <c r="F862" s="321"/>
      <c r="J862" s="321"/>
    </row>
    <row r="863" spans="2:10" ht="17">
      <c r="B863" s="321"/>
      <c r="F863" s="321"/>
      <c r="J863" s="321"/>
    </row>
    <row r="864" spans="2:10" ht="17">
      <c r="B864" s="321"/>
      <c r="F864" s="321"/>
      <c r="J864" s="321"/>
    </row>
    <row r="865" spans="2:10" ht="17">
      <c r="B865" s="321"/>
      <c r="F865" s="321"/>
      <c r="J865" s="321"/>
    </row>
    <row r="866" spans="2:10" ht="17">
      <c r="B866" s="321"/>
      <c r="F866" s="321"/>
      <c r="J866" s="321"/>
    </row>
    <row r="867" spans="2:10" ht="17">
      <c r="B867" s="321"/>
      <c r="F867" s="321"/>
      <c r="J867" s="321"/>
    </row>
    <row r="868" spans="2:10" ht="17">
      <c r="B868" s="321"/>
      <c r="F868" s="321"/>
      <c r="J868" s="321"/>
    </row>
    <row r="869" spans="2:10" ht="17">
      <c r="B869" s="321"/>
      <c r="F869" s="321"/>
      <c r="J869" s="321"/>
    </row>
    <row r="870" spans="2:10" ht="17">
      <c r="B870" s="321"/>
      <c r="F870" s="321"/>
      <c r="J870" s="321"/>
    </row>
    <row r="871" spans="2:10" ht="17">
      <c r="B871" s="321"/>
      <c r="F871" s="321"/>
      <c r="J871" s="321"/>
    </row>
    <row r="872" spans="2:10" ht="17">
      <c r="B872" s="321"/>
      <c r="F872" s="321"/>
      <c r="J872" s="321"/>
    </row>
    <row r="873" spans="2:10" ht="17">
      <c r="B873" s="321"/>
      <c r="F873" s="321"/>
      <c r="J873" s="321"/>
    </row>
    <row r="874" spans="2:10" ht="17">
      <c r="B874" s="321"/>
      <c r="F874" s="321"/>
      <c r="J874" s="321"/>
    </row>
    <row r="875" spans="2:10" ht="17">
      <c r="B875" s="321"/>
      <c r="F875" s="321"/>
      <c r="J875" s="321"/>
    </row>
    <row r="876" spans="2:10" ht="17">
      <c r="B876" s="321"/>
      <c r="F876" s="321"/>
      <c r="J876" s="321"/>
    </row>
    <row r="877" spans="2:10" ht="17">
      <c r="B877" s="321"/>
      <c r="F877" s="321"/>
      <c r="J877" s="321"/>
    </row>
    <row r="878" spans="2:10" ht="17">
      <c r="B878" s="321"/>
      <c r="F878" s="321"/>
      <c r="J878" s="321"/>
    </row>
    <row r="879" spans="2:10" ht="17">
      <c r="B879" s="321"/>
      <c r="F879" s="321"/>
      <c r="J879" s="321"/>
    </row>
    <row r="880" spans="2:10" ht="17">
      <c r="B880" s="321"/>
      <c r="F880" s="321"/>
      <c r="J880" s="321"/>
    </row>
    <row r="881" spans="2:10" ht="17">
      <c r="B881" s="321"/>
      <c r="F881" s="321"/>
      <c r="J881" s="321"/>
    </row>
    <row r="882" spans="2:10" ht="17">
      <c r="B882" s="321"/>
      <c r="F882" s="321"/>
      <c r="J882" s="321"/>
    </row>
    <row r="883" spans="2:10" ht="17">
      <c r="B883" s="321"/>
      <c r="F883" s="321"/>
      <c r="J883" s="321"/>
    </row>
    <row r="884" spans="2:10" ht="17">
      <c r="B884" s="321"/>
      <c r="F884" s="321"/>
      <c r="J884" s="321"/>
    </row>
    <row r="885" spans="2:10" ht="17">
      <c r="B885" s="321"/>
      <c r="F885" s="321"/>
      <c r="J885" s="321"/>
    </row>
    <row r="886" spans="2:10" ht="17">
      <c r="B886" s="321"/>
      <c r="F886" s="321"/>
      <c r="J886" s="321"/>
    </row>
    <row r="887" spans="2:10" ht="17">
      <c r="B887" s="321"/>
      <c r="F887" s="321"/>
      <c r="J887" s="321"/>
    </row>
    <row r="888" spans="2:10" ht="17">
      <c r="B888" s="321"/>
      <c r="F888" s="321"/>
      <c r="J888" s="321"/>
    </row>
    <row r="889" spans="2:10" ht="17">
      <c r="B889" s="321"/>
      <c r="F889" s="321"/>
      <c r="J889" s="321"/>
    </row>
    <row r="890" spans="2:10" ht="17">
      <c r="B890" s="321"/>
      <c r="F890" s="321"/>
      <c r="J890" s="321"/>
    </row>
    <row r="891" spans="2:10" ht="17">
      <c r="B891" s="321"/>
      <c r="F891" s="321"/>
      <c r="J891" s="321"/>
    </row>
    <row r="892" spans="2:10" ht="17">
      <c r="B892" s="321"/>
      <c r="F892" s="321"/>
      <c r="J892" s="321"/>
    </row>
    <row r="893" spans="2:10" ht="17">
      <c r="B893" s="321"/>
      <c r="F893" s="321"/>
      <c r="J893" s="321"/>
    </row>
    <row r="894" spans="2:10" ht="17">
      <c r="B894" s="321"/>
      <c r="F894" s="321"/>
      <c r="J894" s="321"/>
    </row>
    <row r="895" spans="2:10" ht="17">
      <c r="B895" s="321"/>
      <c r="F895" s="321"/>
      <c r="J895" s="321"/>
    </row>
    <row r="896" spans="2:10" ht="17">
      <c r="B896" s="321"/>
      <c r="F896" s="321"/>
      <c r="J896" s="321"/>
    </row>
    <row r="897" spans="2:10" ht="17">
      <c r="B897" s="321"/>
      <c r="F897" s="321"/>
      <c r="J897" s="321"/>
    </row>
    <row r="898" spans="2:10" ht="17">
      <c r="B898" s="321"/>
      <c r="F898" s="321"/>
      <c r="J898" s="321"/>
    </row>
    <row r="899" spans="2:10" ht="17">
      <c r="B899" s="321"/>
      <c r="F899" s="321"/>
      <c r="J899" s="321"/>
    </row>
    <row r="900" spans="2:10" ht="17">
      <c r="B900" s="321"/>
      <c r="F900" s="321"/>
      <c r="J900" s="321"/>
    </row>
    <row r="901" spans="2:10" ht="17">
      <c r="B901" s="321"/>
      <c r="F901" s="321"/>
      <c r="J901" s="321"/>
    </row>
    <row r="902" spans="2:10" ht="17">
      <c r="B902" s="321"/>
      <c r="F902" s="321"/>
      <c r="J902" s="321"/>
    </row>
    <row r="903" spans="2:10" ht="17">
      <c r="B903" s="321"/>
      <c r="F903" s="321"/>
      <c r="J903" s="321"/>
    </row>
    <row r="904" spans="2:10" ht="17">
      <c r="B904" s="321"/>
      <c r="F904" s="321"/>
      <c r="J904" s="321"/>
    </row>
    <row r="905" spans="2:10" ht="17">
      <c r="B905" s="321"/>
      <c r="F905" s="321"/>
      <c r="J905" s="321"/>
    </row>
    <row r="906" spans="2:10" ht="17">
      <c r="B906" s="321"/>
      <c r="F906" s="321"/>
      <c r="J906" s="321"/>
    </row>
    <row r="907" spans="2:10" ht="17">
      <c r="B907" s="321"/>
      <c r="F907" s="321"/>
      <c r="J907" s="321"/>
    </row>
    <row r="908" spans="2:10" ht="17">
      <c r="B908" s="321"/>
      <c r="F908" s="321"/>
      <c r="J908" s="321"/>
    </row>
    <row r="909" spans="2:10" ht="17">
      <c r="B909" s="321"/>
      <c r="F909" s="321"/>
      <c r="J909" s="321"/>
    </row>
    <row r="910" spans="2:10" ht="17">
      <c r="B910" s="321"/>
      <c r="F910" s="321"/>
      <c r="J910" s="321"/>
    </row>
    <row r="911" spans="2:10" ht="17">
      <c r="B911" s="321"/>
      <c r="F911" s="321"/>
      <c r="J911" s="321"/>
    </row>
    <row r="912" spans="2:10" ht="17">
      <c r="B912" s="321"/>
      <c r="F912" s="321"/>
      <c r="J912" s="321"/>
    </row>
    <row r="913" spans="2:10" ht="17">
      <c r="B913" s="321"/>
      <c r="F913" s="321"/>
      <c r="J913" s="321"/>
    </row>
    <row r="914" spans="2:10" ht="17">
      <c r="B914" s="321"/>
      <c r="F914" s="321"/>
      <c r="J914" s="321"/>
    </row>
    <row r="915" spans="2:10" ht="17">
      <c r="B915" s="321"/>
      <c r="F915" s="321"/>
      <c r="J915" s="321"/>
    </row>
    <row r="916" spans="2:10" ht="17">
      <c r="B916" s="321"/>
      <c r="F916" s="321"/>
      <c r="J916" s="321"/>
    </row>
    <row r="917" spans="2:10" ht="17">
      <c r="B917" s="321"/>
      <c r="F917" s="321"/>
      <c r="J917" s="321"/>
    </row>
    <row r="918" spans="2:10" ht="17">
      <c r="B918" s="321"/>
      <c r="F918" s="321"/>
      <c r="J918" s="321"/>
    </row>
    <row r="919" spans="2:10" ht="17">
      <c r="B919" s="321"/>
      <c r="F919" s="321"/>
      <c r="J919" s="321"/>
    </row>
    <row r="920" spans="2:10" ht="17">
      <c r="B920" s="321"/>
      <c r="F920" s="321"/>
      <c r="J920" s="321"/>
    </row>
    <row r="921" spans="2:10" ht="17">
      <c r="B921" s="321"/>
      <c r="F921" s="321"/>
      <c r="J921" s="321"/>
    </row>
    <row r="922" spans="2:10" ht="17">
      <c r="B922" s="321"/>
      <c r="F922" s="321"/>
      <c r="J922" s="321"/>
    </row>
    <row r="923" spans="2:10" ht="17">
      <c r="B923" s="321"/>
      <c r="F923" s="321"/>
      <c r="J923" s="321"/>
    </row>
    <row r="924" spans="2:10" ht="17">
      <c r="B924" s="321"/>
      <c r="F924" s="321"/>
      <c r="J924" s="321"/>
    </row>
    <row r="925" spans="2:10" ht="17">
      <c r="B925" s="321"/>
      <c r="F925" s="321"/>
      <c r="J925" s="321"/>
    </row>
    <row r="926" spans="2:10" ht="17">
      <c r="B926" s="321"/>
      <c r="F926" s="321"/>
      <c r="J926" s="321"/>
    </row>
    <row r="927" spans="2:10" ht="17">
      <c r="B927" s="321"/>
      <c r="F927" s="321"/>
      <c r="J927" s="321"/>
    </row>
    <row r="928" spans="2:10" ht="17">
      <c r="B928" s="321"/>
      <c r="F928" s="321"/>
      <c r="J928" s="321"/>
    </row>
    <row r="929" spans="2:10" ht="17">
      <c r="B929" s="321"/>
      <c r="F929" s="321"/>
      <c r="J929" s="321"/>
    </row>
    <row r="930" spans="2:10" ht="17">
      <c r="B930" s="321"/>
      <c r="F930" s="321"/>
      <c r="J930" s="321"/>
    </row>
    <row r="931" spans="2:10" ht="17">
      <c r="B931" s="321"/>
      <c r="F931" s="321"/>
      <c r="J931" s="321"/>
    </row>
    <row r="932" spans="2:10" ht="17">
      <c r="B932" s="321"/>
      <c r="F932" s="321"/>
      <c r="J932" s="321"/>
    </row>
    <row r="933" spans="2:10" ht="17">
      <c r="B933" s="321"/>
      <c r="F933" s="321"/>
      <c r="J933" s="321"/>
    </row>
    <row r="934" spans="2:10" ht="17">
      <c r="B934" s="321"/>
      <c r="F934" s="321"/>
      <c r="J934" s="321"/>
    </row>
    <row r="935" spans="2:10" ht="17">
      <c r="B935" s="321"/>
      <c r="F935" s="321"/>
      <c r="J935" s="321"/>
    </row>
    <row r="936" spans="2:10" ht="17">
      <c r="B936" s="321"/>
      <c r="F936" s="321"/>
      <c r="J936" s="321"/>
    </row>
    <row r="937" spans="2:10" ht="17">
      <c r="B937" s="321"/>
      <c r="F937" s="321"/>
      <c r="J937" s="321"/>
    </row>
    <row r="938" spans="2:10" ht="17">
      <c r="B938" s="321"/>
      <c r="F938" s="321"/>
      <c r="J938" s="321"/>
    </row>
    <row r="939" spans="2:10" ht="17">
      <c r="B939" s="321"/>
      <c r="F939" s="321"/>
      <c r="J939" s="321"/>
    </row>
    <row r="940" spans="2:10" ht="17">
      <c r="B940" s="321"/>
      <c r="F940" s="321"/>
      <c r="J940" s="321"/>
    </row>
    <row r="941" spans="2:10" ht="17">
      <c r="B941" s="321"/>
      <c r="F941" s="321"/>
      <c r="J941" s="321"/>
    </row>
    <row r="942" spans="2:10" ht="17">
      <c r="B942" s="321"/>
      <c r="F942" s="321"/>
      <c r="J942" s="321"/>
    </row>
    <row r="943" spans="2:10" ht="17">
      <c r="B943" s="321"/>
      <c r="F943" s="321"/>
      <c r="J943" s="321"/>
    </row>
    <row r="944" spans="2:10" ht="17">
      <c r="B944" s="321"/>
      <c r="F944" s="321"/>
      <c r="J944" s="321"/>
    </row>
    <row r="945" spans="2:10" ht="17">
      <c r="B945" s="321"/>
      <c r="F945" s="321"/>
      <c r="J945" s="321"/>
    </row>
    <row r="946" spans="2:10" ht="17">
      <c r="B946" s="321"/>
      <c r="F946" s="321"/>
      <c r="J946" s="321"/>
    </row>
    <row r="947" spans="2:10" ht="17">
      <c r="B947" s="321"/>
      <c r="F947" s="321"/>
      <c r="J947" s="321"/>
    </row>
    <row r="948" spans="2:10" ht="17">
      <c r="B948" s="321"/>
      <c r="F948" s="321"/>
      <c r="J948" s="321"/>
    </row>
    <row r="949" spans="2:10" ht="17">
      <c r="B949" s="321"/>
      <c r="F949" s="321"/>
      <c r="J949" s="321"/>
    </row>
    <row r="950" spans="2:10" ht="17">
      <c r="B950" s="321"/>
      <c r="F950" s="321"/>
      <c r="J950" s="321"/>
    </row>
    <row r="951" spans="2:10" ht="17">
      <c r="B951" s="321"/>
      <c r="F951" s="321"/>
      <c r="J951" s="321"/>
    </row>
    <row r="952" spans="2:10" ht="17">
      <c r="B952" s="321"/>
      <c r="F952" s="321"/>
      <c r="J952" s="321"/>
    </row>
    <row r="953" spans="2:10" ht="17">
      <c r="B953" s="321"/>
      <c r="F953" s="321"/>
      <c r="J953" s="321"/>
    </row>
    <row r="954" spans="2:10" ht="17">
      <c r="B954" s="321"/>
      <c r="F954" s="321"/>
      <c r="J954" s="321"/>
    </row>
    <row r="955" spans="2:10" ht="17">
      <c r="B955" s="321"/>
      <c r="F955" s="321"/>
      <c r="J955" s="321"/>
    </row>
    <row r="956" spans="2:10" ht="17">
      <c r="B956" s="321"/>
      <c r="F956" s="321"/>
      <c r="J956" s="321"/>
    </row>
    <row r="957" spans="2:10" ht="17">
      <c r="B957" s="321"/>
      <c r="F957" s="321"/>
      <c r="J957" s="321"/>
    </row>
    <row r="958" spans="2:10" ht="17">
      <c r="B958" s="321"/>
      <c r="F958" s="321"/>
      <c r="J958" s="321"/>
    </row>
    <row r="959" spans="2:10" ht="17">
      <c r="B959" s="321"/>
      <c r="F959" s="321"/>
      <c r="J959" s="321"/>
    </row>
    <row r="960" spans="2:10" ht="17">
      <c r="B960" s="321"/>
      <c r="F960" s="321"/>
      <c r="J960" s="321"/>
    </row>
    <row r="961" spans="2:10" ht="17">
      <c r="B961" s="321"/>
      <c r="F961" s="321"/>
      <c r="J961" s="321"/>
    </row>
    <row r="962" spans="2:10" ht="17">
      <c r="B962" s="321"/>
      <c r="F962" s="321"/>
      <c r="J962" s="321"/>
    </row>
    <row r="963" spans="2:10" ht="17">
      <c r="B963" s="321"/>
      <c r="F963" s="321"/>
      <c r="J963" s="321"/>
    </row>
    <row r="964" spans="2:10" ht="17">
      <c r="B964" s="321"/>
      <c r="F964" s="321"/>
      <c r="J964" s="321"/>
    </row>
    <row r="965" spans="2:10" ht="17">
      <c r="B965" s="321"/>
      <c r="F965" s="321"/>
      <c r="J965" s="321"/>
    </row>
    <row r="966" spans="2:10" ht="17">
      <c r="B966" s="321"/>
      <c r="F966" s="321"/>
      <c r="J966" s="321"/>
    </row>
    <row r="967" spans="2:10" ht="17">
      <c r="B967" s="321"/>
      <c r="F967" s="321"/>
      <c r="J967" s="321"/>
    </row>
    <row r="968" spans="2:10" ht="17">
      <c r="B968" s="321"/>
      <c r="F968" s="321"/>
      <c r="J968" s="321"/>
    </row>
    <row r="969" spans="2:10" ht="17">
      <c r="B969" s="321"/>
      <c r="F969" s="321"/>
      <c r="J969" s="321"/>
    </row>
    <row r="970" spans="2:10" ht="17">
      <c r="B970" s="321"/>
      <c r="F970" s="321"/>
      <c r="J970" s="321"/>
    </row>
    <row r="971" spans="2:10" ht="17">
      <c r="B971" s="321"/>
      <c r="F971" s="321"/>
      <c r="J971" s="321"/>
    </row>
    <row r="972" spans="2:10" ht="17">
      <c r="B972" s="321"/>
      <c r="F972" s="321"/>
      <c r="J972" s="321"/>
    </row>
    <row r="973" spans="2:10" ht="17">
      <c r="B973" s="321"/>
      <c r="F973" s="321"/>
      <c r="J973" s="321"/>
    </row>
    <row r="974" spans="2:10" ht="17">
      <c r="B974" s="321"/>
      <c r="F974" s="321"/>
      <c r="J974" s="321"/>
    </row>
    <row r="975" spans="2:10" ht="17">
      <c r="B975" s="321"/>
      <c r="F975" s="321"/>
      <c r="J975" s="321"/>
    </row>
    <row r="976" spans="2:10" ht="17">
      <c r="B976" s="321"/>
      <c r="F976" s="321"/>
      <c r="J976" s="321"/>
    </row>
    <row r="977" spans="2:10" ht="17">
      <c r="B977" s="321"/>
      <c r="F977" s="321"/>
      <c r="J977" s="321"/>
    </row>
    <row r="978" spans="2:10" ht="17">
      <c r="B978" s="321"/>
      <c r="F978" s="321"/>
      <c r="J978" s="321"/>
    </row>
    <row r="979" spans="2:10" ht="17">
      <c r="B979" s="321"/>
      <c r="F979" s="321"/>
      <c r="J979" s="321"/>
    </row>
    <row r="980" spans="2:10" ht="17">
      <c r="B980" s="321"/>
      <c r="F980" s="321"/>
      <c r="J980" s="321"/>
    </row>
    <row r="981" spans="2:10" ht="17">
      <c r="B981" s="321"/>
      <c r="F981" s="321"/>
      <c r="J981" s="321"/>
    </row>
    <row r="982" spans="2:10" ht="17">
      <c r="B982" s="321"/>
      <c r="F982" s="321"/>
      <c r="J982" s="321"/>
    </row>
    <row r="983" spans="2:10" ht="17">
      <c r="B983" s="321"/>
      <c r="F983" s="321"/>
      <c r="J983" s="321"/>
    </row>
    <row r="984" spans="2:10" ht="17">
      <c r="B984" s="321"/>
      <c r="F984" s="321"/>
      <c r="J984" s="321"/>
    </row>
    <row r="985" spans="2:10" ht="17">
      <c r="B985" s="321"/>
      <c r="F985" s="321"/>
      <c r="J985" s="321"/>
    </row>
    <row r="986" spans="2:10" ht="17">
      <c r="B986" s="321"/>
      <c r="F986" s="321"/>
      <c r="J986" s="321"/>
    </row>
    <row r="987" spans="2:10" ht="17">
      <c r="B987" s="321"/>
      <c r="F987" s="321"/>
      <c r="J987" s="321"/>
    </row>
    <row r="988" spans="2:10" ht="17">
      <c r="B988" s="321"/>
      <c r="F988" s="321"/>
      <c r="J988" s="321"/>
    </row>
    <row r="989" spans="2:10" ht="17">
      <c r="B989" s="321"/>
      <c r="F989" s="321"/>
      <c r="J989" s="321"/>
    </row>
    <row r="990" spans="2:10" ht="17">
      <c r="B990" s="321"/>
      <c r="F990" s="321"/>
      <c r="J990" s="321"/>
    </row>
    <row r="991" spans="2:10" ht="17">
      <c r="B991" s="321"/>
      <c r="F991" s="321"/>
      <c r="J991" s="321"/>
    </row>
    <row r="992" spans="2:10" ht="17">
      <c r="B992" s="321"/>
      <c r="F992" s="321"/>
      <c r="J992" s="321"/>
    </row>
    <row r="993" spans="2:10" ht="17">
      <c r="B993" s="321"/>
      <c r="F993" s="321"/>
      <c r="J993" s="321"/>
    </row>
    <row r="994" spans="2:10" ht="17">
      <c r="B994" s="321"/>
      <c r="F994" s="321"/>
      <c r="J994" s="321"/>
    </row>
    <row r="995" spans="2:10" ht="17">
      <c r="B995" s="321"/>
      <c r="F995" s="321"/>
      <c r="J995" s="321"/>
    </row>
    <row r="996" spans="2:10" ht="17">
      <c r="B996" s="321"/>
      <c r="F996" s="321"/>
      <c r="J996" s="321"/>
    </row>
    <row r="997" spans="2:10" ht="17">
      <c r="B997" s="321"/>
      <c r="F997" s="321"/>
      <c r="J997" s="321"/>
    </row>
    <row r="998" spans="2:10" ht="17">
      <c r="B998" s="321"/>
      <c r="F998" s="321"/>
      <c r="J998" s="321"/>
    </row>
    <row r="999" spans="2:10" ht="17">
      <c r="B999" s="321"/>
      <c r="F999" s="321"/>
      <c r="J999" s="321"/>
    </row>
  </sheetData>
  <mergeCells count="21">
    <mergeCell ref="B2:M2"/>
    <mergeCell ref="B8:M8"/>
    <mergeCell ref="D10:E10"/>
    <mergeCell ref="F10:G10"/>
    <mergeCell ref="H10:I10"/>
    <mergeCell ref="J10:K10"/>
    <mergeCell ref="L10:M10"/>
    <mergeCell ref="J11:K11"/>
    <mergeCell ref="J26:K26"/>
    <mergeCell ref="J32:K32"/>
    <mergeCell ref="F27:G27"/>
    <mergeCell ref="B31:C31"/>
    <mergeCell ref="F34:G34"/>
    <mergeCell ref="B37:C37"/>
    <mergeCell ref="B10:C10"/>
    <mergeCell ref="B11:C11"/>
    <mergeCell ref="F11:G11"/>
    <mergeCell ref="F13:G13"/>
    <mergeCell ref="B15:C15"/>
    <mergeCell ref="F15:G15"/>
    <mergeCell ref="F16:G16"/>
  </mergeCells>
  <hyperlinks>
    <hyperlink ref="C4" r:id="rId1" xr:uid="{00000000-0004-0000-0C00-000000000000}"/>
    <hyperlink ref="G4" r:id="rId2" xr:uid="{00000000-0004-0000-0C00-000001000000}"/>
    <hyperlink ref="K4" r:id="rId3" xr:uid="{00000000-0004-0000-0C00-000002000000}"/>
    <hyperlink ref="D10" r:id="rId4" xr:uid="{00000000-0004-0000-0C00-000003000000}"/>
    <hyperlink ref="H10" r:id="rId5" xr:uid="{00000000-0004-0000-0C00-000004000000}"/>
    <hyperlink ref="L10" r:id="rId6" xr:uid="{00000000-0004-0000-0C00-000005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M1000"/>
  <sheetViews>
    <sheetView topLeftCell="A5" workbookViewId="0">
      <selection activeCell="B5" sqref="B5"/>
    </sheetView>
  </sheetViews>
  <sheetFormatPr baseColWidth="10" defaultColWidth="12.6640625" defaultRowHeight="15.75" customHeight="1"/>
  <cols>
    <col min="1" max="1" width="12.6640625" style="31"/>
    <col min="2" max="2" width="147.1640625" style="31" customWidth="1"/>
    <col min="3" max="5" width="12.6640625" style="31"/>
    <col min="6" max="6" width="97" style="31" customWidth="1"/>
    <col min="7" max="9" width="12.6640625" style="31"/>
    <col min="10" max="10" width="145.1640625" style="31" customWidth="1"/>
    <col min="11" max="16384" width="12.6640625" style="31"/>
  </cols>
  <sheetData>
    <row r="1" spans="1:13" ht="17">
      <c r="A1" s="29"/>
      <c r="B1" s="341"/>
      <c r="C1" s="29"/>
      <c r="D1" s="29"/>
      <c r="E1" s="29"/>
      <c r="F1" s="341"/>
      <c r="G1" s="29"/>
      <c r="H1" s="29"/>
      <c r="I1" s="29"/>
      <c r="J1" s="29"/>
      <c r="K1" s="29"/>
      <c r="L1" s="29"/>
      <c r="M1" s="29"/>
    </row>
    <row r="2" spans="1:13" ht="17">
      <c r="A2" s="29"/>
      <c r="B2" s="342" t="s">
        <v>398</v>
      </c>
      <c r="C2" s="36"/>
      <c r="D2" s="36"/>
      <c r="E2" s="36"/>
      <c r="F2" s="36"/>
      <c r="G2" s="36"/>
      <c r="H2" s="36"/>
      <c r="I2" s="36"/>
      <c r="J2" s="36"/>
      <c r="K2" s="36"/>
      <c r="L2" s="36"/>
      <c r="M2" s="36"/>
    </row>
    <row r="3" spans="1:13" ht="17">
      <c r="A3" s="29"/>
      <c r="B3" s="343"/>
      <c r="C3" s="29"/>
      <c r="D3" s="29"/>
      <c r="E3" s="29"/>
      <c r="F3" s="343"/>
      <c r="G3" s="29"/>
      <c r="H3" s="29"/>
      <c r="I3" s="29"/>
      <c r="J3" s="344"/>
      <c r="K3" s="29"/>
      <c r="L3" s="29"/>
      <c r="M3" s="29"/>
    </row>
    <row r="4" spans="1:13" ht="36">
      <c r="A4" s="345"/>
      <c r="B4" s="346" t="s">
        <v>399</v>
      </c>
      <c r="C4" s="347" t="s">
        <v>27</v>
      </c>
      <c r="D4" s="29"/>
      <c r="E4" s="345"/>
      <c r="F4" s="346" t="s">
        <v>342</v>
      </c>
      <c r="G4" s="347" t="s">
        <v>78</v>
      </c>
      <c r="H4" s="29"/>
      <c r="I4" s="345"/>
      <c r="J4" s="348" t="s">
        <v>400</v>
      </c>
      <c r="K4" s="347" t="s">
        <v>27</v>
      </c>
      <c r="L4" s="29"/>
      <c r="M4" s="29"/>
    </row>
    <row r="5" spans="1:13" ht="362" customHeight="1">
      <c r="A5" s="345"/>
      <c r="B5" s="349" t="s">
        <v>401</v>
      </c>
      <c r="C5" s="29"/>
      <c r="D5" s="29"/>
      <c r="E5" s="345"/>
      <c r="F5" s="349" t="s">
        <v>402</v>
      </c>
      <c r="G5" s="29"/>
      <c r="H5" s="29"/>
      <c r="I5" s="345"/>
      <c r="J5" s="349" t="s">
        <v>403</v>
      </c>
      <c r="K5" s="29"/>
      <c r="L5" s="29"/>
      <c r="M5" s="29"/>
    </row>
    <row r="6" spans="1:13" ht="409" customHeight="1">
      <c r="A6" s="345"/>
      <c r="B6" s="350" t="s">
        <v>597</v>
      </c>
      <c r="C6" s="29"/>
      <c r="D6" s="29"/>
      <c r="E6" s="345"/>
      <c r="F6" s="350" t="s">
        <v>404</v>
      </c>
      <c r="G6" s="29"/>
      <c r="H6" s="29"/>
      <c r="I6" s="345"/>
      <c r="J6" s="351" t="s">
        <v>598</v>
      </c>
      <c r="K6" s="29"/>
      <c r="L6" s="29"/>
      <c r="M6" s="29"/>
    </row>
    <row r="7" spans="1:13" ht="144">
      <c r="A7" s="345"/>
      <c r="B7" s="352" t="s">
        <v>599</v>
      </c>
      <c r="C7" s="29"/>
      <c r="D7" s="29"/>
      <c r="E7" s="345"/>
      <c r="F7" s="350" t="s">
        <v>600</v>
      </c>
      <c r="G7" s="29"/>
      <c r="H7" s="29"/>
      <c r="I7" s="345"/>
      <c r="J7" s="351" t="s">
        <v>588</v>
      </c>
      <c r="K7" s="29"/>
      <c r="L7" s="29"/>
      <c r="M7" s="29"/>
    </row>
    <row r="8" spans="1:13" ht="17">
      <c r="A8" s="29"/>
      <c r="B8" s="341"/>
      <c r="C8" s="29"/>
      <c r="D8" s="29"/>
      <c r="E8" s="29"/>
      <c r="F8" s="341"/>
      <c r="G8" s="29"/>
      <c r="H8" s="29"/>
      <c r="I8" s="29"/>
      <c r="J8" s="29"/>
      <c r="K8" s="29"/>
      <c r="L8" s="29"/>
      <c r="M8" s="29"/>
    </row>
    <row r="9" spans="1:13" ht="17">
      <c r="A9" s="29"/>
      <c r="B9" s="342" t="s">
        <v>350</v>
      </c>
      <c r="C9" s="36"/>
      <c r="D9" s="36"/>
      <c r="E9" s="36"/>
      <c r="F9" s="36"/>
      <c r="G9" s="36"/>
      <c r="H9" s="36"/>
      <c r="I9" s="36"/>
      <c r="J9" s="36"/>
      <c r="K9" s="36"/>
      <c r="L9" s="36"/>
      <c r="M9" s="36"/>
    </row>
    <row r="10" spans="1:13" ht="17">
      <c r="A10" s="29"/>
      <c r="B10" s="343"/>
      <c r="C10" s="344"/>
      <c r="D10" s="29"/>
      <c r="E10" s="29"/>
      <c r="F10" s="343"/>
      <c r="G10" s="344"/>
      <c r="H10" s="29"/>
      <c r="I10" s="29"/>
      <c r="J10" s="344"/>
      <c r="K10" s="344"/>
      <c r="L10" s="29"/>
      <c r="M10" s="29"/>
    </row>
    <row r="11" spans="1:13" s="35" customFormat="1" ht="31" customHeight="1">
      <c r="A11" s="353"/>
      <c r="B11" s="354" t="s">
        <v>405</v>
      </c>
      <c r="C11" s="37"/>
      <c r="D11" s="30"/>
      <c r="E11" s="353"/>
      <c r="F11" s="354" t="s">
        <v>342</v>
      </c>
      <c r="G11" s="37"/>
      <c r="H11" s="30"/>
      <c r="I11" s="353"/>
      <c r="J11" s="354" t="s">
        <v>349</v>
      </c>
      <c r="K11" s="37"/>
      <c r="L11" s="30"/>
      <c r="M11" s="30"/>
    </row>
    <row r="12" spans="1:13" s="35" customFormat="1" ht="31" customHeight="1">
      <c r="A12" s="353"/>
      <c r="B12" s="355" t="s">
        <v>406</v>
      </c>
      <c r="C12" s="37"/>
      <c r="D12" s="30"/>
      <c r="E12" s="353"/>
      <c r="F12" s="355" t="s">
        <v>407</v>
      </c>
      <c r="G12" s="37"/>
      <c r="H12" s="30"/>
      <c r="I12" s="353"/>
      <c r="J12" s="355" t="s">
        <v>408</v>
      </c>
      <c r="K12" s="37"/>
      <c r="L12" s="30"/>
      <c r="M12" s="30"/>
    </row>
    <row r="13" spans="1:13" ht="17">
      <c r="A13" s="345"/>
      <c r="B13" s="356" t="s">
        <v>353</v>
      </c>
      <c r="C13" s="357" t="s">
        <v>601</v>
      </c>
      <c r="D13" s="29"/>
      <c r="E13" s="345"/>
      <c r="F13" s="356" t="s">
        <v>353</v>
      </c>
      <c r="G13" s="357" t="s">
        <v>602</v>
      </c>
      <c r="H13" s="29"/>
      <c r="I13" s="345"/>
      <c r="J13" s="358" t="s">
        <v>353</v>
      </c>
      <c r="K13" s="357" t="s">
        <v>601</v>
      </c>
      <c r="L13" s="29"/>
      <c r="M13" s="29"/>
    </row>
    <row r="14" spans="1:13" ht="17">
      <c r="A14" s="345"/>
      <c r="B14" s="356" t="s">
        <v>409</v>
      </c>
      <c r="C14" s="32"/>
      <c r="D14" s="29"/>
      <c r="E14" s="345"/>
      <c r="F14" s="356" t="s">
        <v>410</v>
      </c>
      <c r="G14" s="32"/>
      <c r="H14" s="29"/>
      <c r="I14" s="345"/>
      <c r="J14" s="358" t="s">
        <v>409</v>
      </c>
      <c r="K14" s="32"/>
      <c r="L14" s="29"/>
      <c r="M14" s="29"/>
    </row>
    <row r="15" spans="1:13" ht="17">
      <c r="A15" s="345"/>
      <c r="B15" s="359" t="s">
        <v>411</v>
      </c>
      <c r="C15" s="360">
        <v>5955000</v>
      </c>
      <c r="D15" s="29"/>
      <c r="E15" s="345"/>
      <c r="F15" s="359" t="s">
        <v>411</v>
      </c>
      <c r="G15" s="360">
        <v>3008750</v>
      </c>
      <c r="H15" s="29"/>
      <c r="I15" s="345"/>
      <c r="J15" s="32" t="s">
        <v>412</v>
      </c>
      <c r="K15" s="360">
        <f>K16*150%</f>
        <v>3750000</v>
      </c>
      <c r="L15" s="29"/>
      <c r="M15" s="29"/>
    </row>
    <row r="16" spans="1:13" ht="17">
      <c r="A16" s="345"/>
      <c r="B16" s="359" t="s">
        <v>413</v>
      </c>
      <c r="C16" s="360">
        <v>3350000</v>
      </c>
      <c r="D16" s="29"/>
      <c r="E16" s="345"/>
      <c r="F16" s="359" t="s">
        <v>414</v>
      </c>
      <c r="G16" s="360">
        <v>1805250</v>
      </c>
      <c r="H16" s="29"/>
      <c r="I16" s="345"/>
      <c r="J16" s="32" t="s">
        <v>415</v>
      </c>
      <c r="K16" s="360">
        <v>2500000</v>
      </c>
      <c r="L16" s="29"/>
      <c r="M16" s="29"/>
    </row>
    <row r="17" spans="1:13" ht="17">
      <c r="A17" s="345"/>
      <c r="B17" s="359" t="s">
        <v>416</v>
      </c>
      <c r="C17" s="360">
        <v>3040000</v>
      </c>
      <c r="D17" s="29"/>
      <c r="E17" s="345"/>
      <c r="F17" s="359" t="s">
        <v>417</v>
      </c>
      <c r="G17" s="360">
        <v>1564550</v>
      </c>
      <c r="H17" s="29"/>
      <c r="I17" s="345"/>
      <c r="J17" s="32" t="s">
        <v>418</v>
      </c>
      <c r="K17" s="360">
        <f>K16*130%</f>
        <v>3250000</v>
      </c>
      <c r="L17" s="29"/>
      <c r="M17" s="29"/>
    </row>
    <row r="18" spans="1:13" ht="17">
      <c r="A18" s="345"/>
      <c r="B18" s="359" t="s">
        <v>419</v>
      </c>
      <c r="C18" s="360">
        <v>2893800</v>
      </c>
      <c r="D18" s="29"/>
      <c r="E18" s="345"/>
      <c r="F18" s="359" t="s">
        <v>420</v>
      </c>
      <c r="G18" s="360">
        <v>1504375</v>
      </c>
      <c r="H18" s="29"/>
      <c r="I18" s="345"/>
      <c r="J18" s="345" t="s">
        <v>421</v>
      </c>
      <c r="K18" s="361">
        <v>0.05</v>
      </c>
      <c r="L18" s="29"/>
      <c r="M18" s="29"/>
    </row>
    <row r="19" spans="1:13" ht="17">
      <c r="A19" s="345"/>
      <c r="B19" s="359" t="s">
        <v>422</v>
      </c>
      <c r="C19" s="360">
        <v>2756000</v>
      </c>
      <c r="D19" s="29"/>
      <c r="E19" s="345"/>
      <c r="F19" s="359" t="s">
        <v>423</v>
      </c>
      <c r="G19" s="360">
        <v>1684900</v>
      </c>
      <c r="H19" s="29"/>
      <c r="I19" s="29"/>
      <c r="J19" s="362"/>
      <c r="K19" s="363"/>
      <c r="L19" s="29"/>
      <c r="M19" s="29"/>
    </row>
    <row r="20" spans="1:13" ht="17">
      <c r="A20" s="345"/>
      <c r="B20" s="359" t="s">
        <v>424</v>
      </c>
      <c r="C20" s="360">
        <v>3031600</v>
      </c>
      <c r="D20" s="29"/>
      <c r="E20" s="345"/>
      <c r="F20" s="359" t="s">
        <v>425</v>
      </c>
      <c r="G20" s="360">
        <v>1805250</v>
      </c>
      <c r="H20" s="29"/>
      <c r="I20" s="29"/>
      <c r="J20" s="29"/>
      <c r="K20" s="364"/>
      <c r="L20" s="29"/>
      <c r="M20" s="29"/>
    </row>
    <row r="21" spans="1:13" ht="17">
      <c r="A21" s="345"/>
      <c r="B21" s="359" t="s">
        <v>426</v>
      </c>
      <c r="C21" s="360">
        <v>3169400</v>
      </c>
      <c r="D21" s="29"/>
      <c r="E21" s="29"/>
      <c r="F21" s="365"/>
      <c r="G21" s="366"/>
      <c r="H21" s="29"/>
      <c r="I21" s="29"/>
      <c r="J21" s="29"/>
      <c r="K21" s="364"/>
      <c r="L21" s="29"/>
      <c r="M21" s="29"/>
    </row>
    <row r="22" spans="1:13" ht="17">
      <c r="A22" s="345"/>
      <c r="B22" s="367" t="s">
        <v>427</v>
      </c>
      <c r="C22" s="368">
        <v>3307200</v>
      </c>
      <c r="D22" s="29"/>
      <c r="E22" s="29"/>
      <c r="F22" s="341"/>
      <c r="G22" s="364"/>
      <c r="H22" s="29"/>
      <c r="I22" s="29"/>
      <c r="J22" s="29"/>
      <c r="K22" s="364"/>
      <c r="L22" s="29"/>
      <c r="M22" s="29"/>
    </row>
    <row r="23" spans="1:13" ht="17">
      <c r="A23" s="29"/>
      <c r="B23" s="362"/>
      <c r="C23" s="363"/>
      <c r="D23" s="29"/>
      <c r="E23" s="29"/>
      <c r="F23" s="341"/>
      <c r="G23" s="364"/>
      <c r="H23" s="29"/>
      <c r="I23" s="29"/>
      <c r="J23" s="29"/>
      <c r="K23" s="364"/>
      <c r="L23" s="29"/>
      <c r="M23" s="29"/>
    </row>
    <row r="24" spans="1:13" ht="17">
      <c r="A24" s="29"/>
      <c r="B24" s="341"/>
      <c r="C24" s="364"/>
      <c r="D24" s="29"/>
      <c r="E24" s="29"/>
      <c r="F24" s="341"/>
      <c r="G24" s="364"/>
      <c r="H24" s="29"/>
      <c r="I24" s="29"/>
      <c r="J24" s="33"/>
      <c r="K24" s="369"/>
      <c r="L24" s="29"/>
      <c r="M24" s="29"/>
    </row>
    <row r="25" spans="1:13" ht="17">
      <c r="A25" s="29"/>
      <c r="B25" s="341"/>
      <c r="C25" s="364"/>
      <c r="D25" s="29"/>
      <c r="E25" s="29"/>
      <c r="F25" s="341"/>
      <c r="G25" s="364"/>
      <c r="H25" s="29"/>
      <c r="I25" s="29"/>
      <c r="J25" s="29"/>
      <c r="K25" s="29"/>
      <c r="L25" s="29"/>
      <c r="M25" s="29"/>
    </row>
    <row r="26" spans="1:13" ht="17">
      <c r="A26" s="29"/>
      <c r="B26" s="341"/>
      <c r="C26" s="364"/>
      <c r="D26" s="29"/>
      <c r="E26" s="29"/>
      <c r="F26" s="365"/>
      <c r="G26" s="369"/>
      <c r="H26" s="29"/>
      <c r="I26" s="29"/>
      <c r="J26" s="29"/>
      <c r="K26" s="29"/>
      <c r="L26" s="29"/>
      <c r="M26" s="29"/>
    </row>
    <row r="27" spans="1:13" ht="17">
      <c r="A27" s="29"/>
      <c r="B27" s="341"/>
      <c r="C27" s="364"/>
      <c r="D27" s="29"/>
      <c r="E27" s="29"/>
      <c r="G27" s="34"/>
      <c r="H27" s="29"/>
      <c r="I27" s="29"/>
      <c r="J27" s="29"/>
      <c r="K27" s="29"/>
      <c r="L27" s="29"/>
      <c r="M27" s="29"/>
    </row>
    <row r="28" spans="1:13" ht="17">
      <c r="A28" s="29"/>
      <c r="B28" s="365"/>
      <c r="C28" s="369"/>
      <c r="D28" s="29"/>
      <c r="E28" s="29"/>
      <c r="F28" s="341"/>
      <c r="G28" s="34"/>
      <c r="H28" s="29"/>
      <c r="I28" s="29"/>
      <c r="J28" s="29"/>
      <c r="K28" s="29"/>
      <c r="L28" s="29"/>
      <c r="M28" s="29"/>
    </row>
    <row r="29" spans="1:13" ht="17">
      <c r="A29" s="29"/>
      <c r="B29" s="341"/>
      <c r="C29" s="366"/>
      <c r="D29" s="29"/>
      <c r="E29" s="29"/>
      <c r="F29" s="341"/>
      <c r="G29" s="34"/>
      <c r="H29" s="29"/>
      <c r="I29" s="29"/>
      <c r="J29" s="29"/>
      <c r="K29" s="29"/>
      <c r="L29" s="29"/>
      <c r="M29" s="29"/>
    </row>
    <row r="30" spans="1:13" ht="17">
      <c r="B30" s="341"/>
      <c r="F30" s="341"/>
    </row>
    <row r="31" spans="1:13" ht="17">
      <c r="B31" s="341"/>
      <c r="F31" s="341"/>
    </row>
    <row r="32" spans="1:13" ht="17">
      <c r="B32" s="341"/>
      <c r="F32" s="341"/>
    </row>
    <row r="33" spans="2:6" ht="17">
      <c r="B33" s="341"/>
      <c r="F33" s="341"/>
    </row>
    <row r="34" spans="2:6" ht="17">
      <c r="B34" s="341"/>
      <c r="F34" s="341"/>
    </row>
    <row r="35" spans="2:6" ht="17">
      <c r="B35" s="341"/>
      <c r="F35" s="341"/>
    </row>
    <row r="36" spans="2:6" ht="17">
      <c r="B36" s="341"/>
      <c r="F36" s="341"/>
    </row>
    <row r="37" spans="2:6" ht="17">
      <c r="B37" s="341"/>
      <c r="F37" s="341"/>
    </row>
    <row r="38" spans="2:6" ht="17">
      <c r="B38" s="341"/>
      <c r="F38" s="341"/>
    </row>
    <row r="39" spans="2:6" ht="17">
      <c r="B39" s="341"/>
      <c r="F39" s="341"/>
    </row>
    <row r="40" spans="2:6" ht="17">
      <c r="B40" s="341"/>
      <c r="F40" s="341"/>
    </row>
    <row r="41" spans="2:6" ht="17">
      <c r="B41" s="341"/>
      <c r="F41" s="341"/>
    </row>
    <row r="42" spans="2:6" ht="17">
      <c r="B42" s="341"/>
      <c r="F42" s="341"/>
    </row>
    <row r="43" spans="2:6" ht="17">
      <c r="B43" s="341"/>
      <c r="F43" s="341"/>
    </row>
    <row r="44" spans="2:6" ht="17">
      <c r="B44" s="341"/>
      <c r="F44" s="341"/>
    </row>
    <row r="45" spans="2:6" ht="17">
      <c r="B45" s="341"/>
      <c r="F45" s="341"/>
    </row>
    <row r="46" spans="2:6" ht="17">
      <c r="B46" s="341"/>
      <c r="F46" s="341"/>
    </row>
    <row r="47" spans="2:6" ht="17">
      <c r="B47" s="341"/>
      <c r="F47" s="341"/>
    </row>
    <row r="48" spans="2:6" ht="17">
      <c r="B48" s="341"/>
      <c r="F48" s="341"/>
    </row>
    <row r="49" spans="2:6" ht="17">
      <c r="B49" s="341"/>
      <c r="F49" s="341"/>
    </row>
    <row r="50" spans="2:6" ht="17">
      <c r="B50" s="341"/>
      <c r="F50" s="341"/>
    </row>
    <row r="51" spans="2:6" ht="17">
      <c r="B51" s="341"/>
      <c r="F51" s="341"/>
    </row>
    <row r="52" spans="2:6" ht="17">
      <c r="B52" s="341"/>
      <c r="F52" s="341"/>
    </row>
    <row r="53" spans="2:6" ht="17">
      <c r="B53" s="341"/>
      <c r="F53" s="341"/>
    </row>
    <row r="54" spans="2:6" ht="17">
      <c r="B54" s="341"/>
      <c r="F54" s="341"/>
    </row>
    <row r="55" spans="2:6" ht="17">
      <c r="B55" s="341"/>
      <c r="F55" s="341"/>
    </row>
    <row r="56" spans="2:6" ht="17">
      <c r="B56" s="341"/>
      <c r="F56" s="341"/>
    </row>
    <row r="57" spans="2:6" ht="17">
      <c r="B57" s="341"/>
      <c r="F57" s="341"/>
    </row>
    <row r="58" spans="2:6" ht="17">
      <c r="B58" s="341"/>
      <c r="F58" s="341"/>
    </row>
    <row r="59" spans="2:6" ht="17">
      <c r="B59" s="341"/>
      <c r="F59" s="341"/>
    </row>
    <row r="60" spans="2:6" ht="17">
      <c r="B60" s="341"/>
      <c r="F60" s="341"/>
    </row>
    <row r="61" spans="2:6" ht="17">
      <c r="B61" s="341"/>
      <c r="F61" s="341"/>
    </row>
    <row r="62" spans="2:6" ht="17">
      <c r="B62" s="341"/>
      <c r="F62" s="341"/>
    </row>
    <row r="63" spans="2:6" ht="17">
      <c r="B63" s="341"/>
      <c r="F63" s="341"/>
    </row>
    <row r="64" spans="2:6" ht="17">
      <c r="B64" s="341"/>
      <c r="F64" s="341"/>
    </row>
    <row r="65" spans="2:6" ht="17">
      <c r="B65" s="341"/>
      <c r="F65" s="341"/>
    </row>
    <row r="66" spans="2:6" ht="17">
      <c r="B66" s="341"/>
      <c r="F66" s="341"/>
    </row>
    <row r="67" spans="2:6" ht="17">
      <c r="B67" s="341"/>
      <c r="F67" s="341"/>
    </row>
    <row r="68" spans="2:6" ht="17">
      <c r="B68" s="341"/>
      <c r="F68" s="341"/>
    </row>
    <row r="69" spans="2:6" ht="17">
      <c r="B69" s="341"/>
      <c r="F69" s="341"/>
    </row>
    <row r="70" spans="2:6" ht="17">
      <c r="B70" s="341"/>
      <c r="F70" s="341"/>
    </row>
    <row r="71" spans="2:6" ht="17">
      <c r="B71" s="341"/>
      <c r="F71" s="341"/>
    </row>
    <row r="72" spans="2:6" ht="17">
      <c r="B72" s="341"/>
      <c r="F72" s="341"/>
    </row>
    <row r="73" spans="2:6" ht="17">
      <c r="B73" s="341"/>
      <c r="F73" s="341"/>
    </row>
    <row r="74" spans="2:6" ht="17">
      <c r="B74" s="341"/>
      <c r="F74" s="341"/>
    </row>
    <row r="75" spans="2:6" ht="17">
      <c r="B75" s="341"/>
      <c r="F75" s="341"/>
    </row>
    <row r="76" spans="2:6" ht="17">
      <c r="B76" s="341"/>
      <c r="F76" s="341"/>
    </row>
    <row r="77" spans="2:6" ht="17">
      <c r="B77" s="341"/>
      <c r="F77" s="341"/>
    </row>
    <row r="78" spans="2:6" ht="17">
      <c r="B78" s="341"/>
      <c r="F78" s="341"/>
    </row>
    <row r="79" spans="2:6" ht="17">
      <c r="B79" s="341"/>
      <c r="F79" s="341"/>
    </row>
    <row r="80" spans="2:6" ht="17">
      <c r="B80" s="341"/>
      <c r="F80" s="341"/>
    </row>
    <row r="81" spans="2:6" ht="17">
      <c r="B81" s="341"/>
      <c r="F81" s="341"/>
    </row>
    <row r="82" spans="2:6" ht="17">
      <c r="B82" s="341"/>
      <c r="F82" s="341"/>
    </row>
    <row r="83" spans="2:6" ht="17">
      <c r="B83" s="341"/>
      <c r="F83" s="341"/>
    </row>
    <row r="84" spans="2:6" ht="17">
      <c r="B84" s="341"/>
      <c r="F84" s="341"/>
    </row>
    <row r="85" spans="2:6" ht="17">
      <c r="B85" s="341"/>
      <c r="F85" s="341"/>
    </row>
    <row r="86" spans="2:6" ht="17">
      <c r="B86" s="341"/>
      <c r="F86" s="341"/>
    </row>
    <row r="87" spans="2:6" ht="17">
      <c r="B87" s="341"/>
      <c r="F87" s="341"/>
    </row>
    <row r="88" spans="2:6" ht="17">
      <c r="B88" s="341"/>
      <c r="F88" s="341"/>
    </row>
    <row r="89" spans="2:6" ht="17">
      <c r="B89" s="341"/>
      <c r="F89" s="341"/>
    </row>
    <row r="90" spans="2:6" ht="17">
      <c r="B90" s="341"/>
      <c r="F90" s="341"/>
    </row>
    <row r="91" spans="2:6" ht="17">
      <c r="B91" s="341"/>
      <c r="F91" s="341"/>
    </row>
    <row r="92" spans="2:6" ht="17">
      <c r="B92" s="341"/>
      <c r="F92" s="341"/>
    </row>
    <row r="93" spans="2:6" ht="17">
      <c r="B93" s="341"/>
      <c r="F93" s="341"/>
    </row>
    <row r="94" spans="2:6" ht="17">
      <c r="B94" s="341"/>
      <c r="F94" s="341"/>
    </row>
    <row r="95" spans="2:6" ht="17">
      <c r="B95" s="341"/>
      <c r="F95" s="341"/>
    </row>
    <row r="96" spans="2:6" ht="17">
      <c r="B96" s="341"/>
      <c r="F96" s="341"/>
    </row>
    <row r="97" spans="2:6" ht="17">
      <c r="B97" s="341"/>
      <c r="F97" s="341"/>
    </row>
    <row r="98" spans="2:6" ht="17">
      <c r="B98" s="341"/>
      <c r="F98" s="341"/>
    </row>
    <row r="99" spans="2:6" ht="17">
      <c r="B99" s="341"/>
      <c r="F99" s="341"/>
    </row>
    <row r="100" spans="2:6" ht="17">
      <c r="B100" s="341"/>
      <c r="F100" s="341"/>
    </row>
    <row r="101" spans="2:6" ht="17">
      <c r="B101" s="341"/>
      <c r="F101" s="341"/>
    </row>
    <row r="102" spans="2:6" ht="17">
      <c r="B102" s="341"/>
      <c r="F102" s="341"/>
    </row>
    <row r="103" spans="2:6" ht="17">
      <c r="B103" s="341"/>
      <c r="F103" s="341"/>
    </row>
    <row r="104" spans="2:6" ht="17">
      <c r="B104" s="341"/>
      <c r="F104" s="341"/>
    </row>
    <row r="105" spans="2:6" ht="17">
      <c r="B105" s="341"/>
      <c r="F105" s="341"/>
    </row>
    <row r="106" spans="2:6" ht="17">
      <c r="B106" s="341"/>
      <c r="F106" s="341"/>
    </row>
    <row r="107" spans="2:6" ht="17">
      <c r="B107" s="341"/>
      <c r="F107" s="341"/>
    </row>
    <row r="108" spans="2:6" ht="17">
      <c r="B108" s="341"/>
      <c r="F108" s="341"/>
    </row>
    <row r="109" spans="2:6" ht="17">
      <c r="B109" s="341"/>
      <c r="F109" s="341"/>
    </row>
    <row r="110" spans="2:6" ht="17">
      <c r="B110" s="341"/>
      <c r="F110" s="341"/>
    </row>
    <row r="111" spans="2:6" ht="17">
      <c r="B111" s="341"/>
      <c r="F111" s="341"/>
    </row>
    <row r="112" spans="2:6" ht="17">
      <c r="B112" s="341"/>
      <c r="F112" s="341"/>
    </row>
    <row r="113" spans="2:6" ht="17">
      <c r="B113" s="341"/>
      <c r="F113" s="341"/>
    </row>
    <row r="114" spans="2:6" ht="17">
      <c r="B114" s="341"/>
      <c r="F114" s="341"/>
    </row>
    <row r="115" spans="2:6" ht="17">
      <c r="B115" s="341"/>
      <c r="F115" s="341"/>
    </row>
    <row r="116" spans="2:6" ht="17">
      <c r="B116" s="341"/>
      <c r="F116" s="341"/>
    </row>
    <row r="117" spans="2:6" ht="17">
      <c r="B117" s="341"/>
      <c r="F117" s="341"/>
    </row>
    <row r="118" spans="2:6" ht="17">
      <c r="B118" s="341"/>
      <c r="F118" s="341"/>
    </row>
    <row r="119" spans="2:6" ht="17">
      <c r="B119" s="341"/>
      <c r="F119" s="341"/>
    </row>
    <row r="120" spans="2:6" ht="17">
      <c r="B120" s="341"/>
      <c r="F120" s="341"/>
    </row>
    <row r="121" spans="2:6" ht="17">
      <c r="B121" s="341"/>
      <c r="F121" s="341"/>
    </row>
    <row r="122" spans="2:6" ht="17">
      <c r="B122" s="341"/>
      <c r="F122" s="341"/>
    </row>
    <row r="123" spans="2:6" ht="17">
      <c r="B123" s="341"/>
      <c r="F123" s="341"/>
    </row>
    <row r="124" spans="2:6" ht="17">
      <c r="B124" s="341"/>
      <c r="F124" s="341"/>
    </row>
    <row r="125" spans="2:6" ht="17">
      <c r="B125" s="341"/>
      <c r="F125" s="341"/>
    </row>
    <row r="126" spans="2:6" ht="17">
      <c r="B126" s="341"/>
      <c r="F126" s="341"/>
    </row>
    <row r="127" spans="2:6" ht="17">
      <c r="B127" s="341"/>
      <c r="F127" s="341"/>
    </row>
    <row r="128" spans="2:6" ht="17">
      <c r="B128" s="341"/>
      <c r="F128" s="341"/>
    </row>
    <row r="129" spans="2:6" ht="17">
      <c r="B129" s="341"/>
      <c r="F129" s="341"/>
    </row>
    <row r="130" spans="2:6" ht="17">
      <c r="B130" s="341"/>
      <c r="F130" s="341"/>
    </row>
    <row r="131" spans="2:6" ht="17">
      <c r="B131" s="341"/>
      <c r="F131" s="341"/>
    </row>
    <row r="132" spans="2:6" ht="17">
      <c r="B132" s="341"/>
      <c r="F132" s="341"/>
    </row>
    <row r="133" spans="2:6" ht="17">
      <c r="B133" s="341"/>
      <c r="F133" s="341"/>
    </row>
    <row r="134" spans="2:6" ht="17">
      <c r="B134" s="341"/>
      <c r="F134" s="341"/>
    </row>
    <row r="135" spans="2:6" ht="17">
      <c r="B135" s="341"/>
      <c r="F135" s="341"/>
    </row>
    <row r="136" spans="2:6" ht="17">
      <c r="B136" s="341"/>
      <c r="F136" s="341"/>
    </row>
    <row r="137" spans="2:6" ht="17">
      <c r="B137" s="341"/>
      <c r="F137" s="341"/>
    </row>
    <row r="138" spans="2:6" ht="17">
      <c r="B138" s="341"/>
      <c r="F138" s="341"/>
    </row>
    <row r="139" spans="2:6" ht="17">
      <c r="B139" s="341"/>
      <c r="F139" s="341"/>
    </row>
    <row r="140" spans="2:6" ht="17">
      <c r="B140" s="341"/>
      <c r="F140" s="341"/>
    </row>
    <row r="141" spans="2:6" ht="17">
      <c r="B141" s="341"/>
      <c r="F141" s="341"/>
    </row>
    <row r="142" spans="2:6" ht="17">
      <c r="B142" s="341"/>
      <c r="F142" s="341"/>
    </row>
    <row r="143" spans="2:6" ht="17">
      <c r="B143" s="341"/>
      <c r="F143" s="341"/>
    </row>
    <row r="144" spans="2:6" ht="17">
      <c r="B144" s="341"/>
      <c r="F144" s="341"/>
    </row>
    <row r="145" spans="2:6" ht="17">
      <c r="B145" s="341"/>
      <c r="F145" s="341"/>
    </row>
    <row r="146" spans="2:6" ht="17">
      <c r="B146" s="341"/>
      <c r="F146" s="341"/>
    </row>
    <row r="147" spans="2:6" ht="17">
      <c r="B147" s="341"/>
      <c r="F147" s="341"/>
    </row>
    <row r="148" spans="2:6" ht="17">
      <c r="B148" s="341"/>
      <c r="F148" s="341"/>
    </row>
    <row r="149" spans="2:6" ht="17">
      <c r="B149" s="341"/>
      <c r="F149" s="341"/>
    </row>
    <row r="150" spans="2:6" ht="17">
      <c r="B150" s="341"/>
      <c r="F150" s="341"/>
    </row>
    <row r="151" spans="2:6" ht="17">
      <c r="B151" s="341"/>
      <c r="F151" s="341"/>
    </row>
    <row r="152" spans="2:6" ht="17">
      <c r="B152" s="341"/>
      <c r="F152" s="341"/>
    </row>
    <row r="153" spans="2:6" ht="17">
      <c r="B153" s="341"/>
      <c r="F153" s="341"/>
    </row>
    <row r="154" spans="2:6" ht="17">
      <c r="B154" s="341"/>
      <c r="F154" s="341"/>
    </row>
    <row r="155" spans="2:6" ht="17">
      <c r="B155" s="341"/>
      <c r="F155" s="341"/>
    </row>
    <row r="156" spans="2:6" ht="17">
      <c r="B156" s="341"/>
      <c r="F156" s="341"/>
    </row>
    <row r="157" spans="2:6" ht="17">
      <c r="B157" s="341"/>
      <c r="F157" s="341"/>
    </row>
    <row r="158" spans="2:6" ht="17">
      <c r="B158" s="341"/>
      <c r="F158" s="341"/>
    </row>
    <row r="159" spans="2:6" ht="17">
      <c r="B159" s="341"/>
      <c r="F159" s="341"/>
    </row>
    <row r="160" spans="2:6" ht="17">
      <c r="B160" s="341"/>
      <c r="F160" s="341"/>
    </row>
    <row r="161" spans="2:6" ht="17">
      <c r="B161" s="341"/>
      <c r="F161" s="341"/>
    </row>
    <row r="162" spans="2:6" ht="17">
      <c r="B162" s="341"/>
      <c r="F162" s="341"/>
    </row>
    <row r="163" spans="2:6" ht="17">
      <c r="B163" s="341"/>
      <c r="F163" s="341"/>
    </row>
    <row r="164" spans="2:6" ht="17">
      <c r="B164" s="341"/>
      <c r="F164" s="341"/>
    </row>
    <row r="165" spans="2:6" ht="17">
      <c r="B165" s="341"/>
      <c r="F165" s="341"/>
    </row>
    <row r="166" spans="2:6" ht="17">
      <c r="B166" s="341"/>
      <c r="F166" s="341"/>
    </row>
    <row r="167" spans="2:6" ht="17">
      <c r="B167" s="341"/>
      <c r="F167" s="341"/>
    </row>
    <row r="168" spans="2:6" ht="17">
      <c r="B168" s="341"/>
      <c r="F168" s="341"/>
    </row>
    <row r="169" spans="2:6" ht="17">
      <c r="B169" s="341"/>
      <c r="F169" s="341"/>
    </row>
    <row r="170" spans="2:6" ht="17">
      <c r="B170" s="341"/>
      <c r="F170" s="341"/>
    </row>
    <row r="171" spans="2:6" ht="17">
      <c r="B171" s="341"/>
      <c r="F171" s="341"/>
    </row>
    <row r="172" spans="2:6" ht="17">
      <c r="B172" s="341"/>
      <c r="F172" s="341"/>
    </row>
    <row r="173" spans="2:6" ht="17">
      <c r="B173" s="341"/>
      <c r="F173" s="341"/>
    </row>
    <row r="174" spans="2:6" ht="17">
      <c r="B174" s="341"/>
      <c r="F174" s="341"/>
    </row>
    <row r="175" spans="2:6" ht="17">
      <c r="B175" s="341"/>
      <c r="F175" s="341"/>
    </row>
    <row r="176" spans="2:6" ht="17">
      <c r="B176" s="341"/>
      <c r="F176" s="341"/>
    </row>
    <row r="177" spans="2:6" ht="17">
      <c r="B177" s="341"/>
      <c r="F177" s="341"/>
    </row>
    <row r="178" spans="2:6" ht="17">
      <c r="B178" s="341"/>
      <c r="F178" s="341"/>
    </row>
    <row r="179" spans="2:6" ht="17">
      <c r="B179" s="341"/>
      <c r="F179" s="341"/>
    </row>
    <row r="180" spans="2:6" ht="17">
      <c r="B180" s="341"/>
      <c r="F180" s="341"/>
    </row>
    <row r="181" spans="2:6" ht="17">
      <c r="B181" s="341"/>
      <c r="F181" s="341"/>
    </row>
    <row r="182" spans="2:6" ht="17">
      <c r="B182" s="341"/>
      <c r="F182" s="341"/>
    </row>
    <row r="183" spans="2:6" ht="17">
      <c r="B183" s="341"/>
      <c r="F183" s="341"/>
    </row>
    <row r="184" spans="2:6" ht="17">
      <c r="B184" s="341"/>
      <c r="F184" s="341"/>
    </row>
    <row r="185" spans="2:6" ht="17">
      <c r="B185" s="341"/>
      <c r="F185" s="341"/>
    </row>
    <row r="186" spans="2:6" ht="17">
      <c r="B186" s="341"/>
      <c r="F186" s="341"/>
    </row>
    <row r="187" spans="2:6" ht="17">
      <c r="B187" s="341"/>
      <c r="F187" s="341"/>
    </row>
    <row r="188" spans="2:6" ht="17">
      <c r="B188" s="341"/>
      <c r="F188" s="341"/>
    </row>
    <row r="189" spans="2:6" ht="17">
      <c r="B189" s="341"/>
      <c r="F189" s="341"/>
    </row>
    <row r="190" spans="2:6" ht="17">
      <c r="B190" s="341"/>
      <c r="F190" s="341"/>
    </row>
    <row r="191" spans="2:6" ht="17">
      <c r="B191" s="341"/>
      <c r="F191" s="341"/>
    </row>
    <row r="192" spans="2:6" ht="17">
      <c r="B192" s="341"/>
      <c r="F192" s="341"/>
    </row>
    <row r="193" spans="2:6" ht="17">
      <c r="B193" s="341"/>
      <c r="F193" s="341"/>
    </row>
    <row r="194" spans="2:6" ht="17">
      <c r="B194" s="341"/>
      <c r="F194" s="341"/>
    </row>
    <row r="195" spans="2:6" ht="17">
      <c r="B195" s="341"/>
      <c r="F195" s="341"/>
    </row>
    <row r="196" spans="2:6" ht="17">
      <c r="B196" s="341"/>
      <c r="F196" s="341"/>
    </row>
    <row r="197" spans="2:6" ht="17">
      <c r="B197" s="341"/>
      <c r="F197" s="341"/>
    </row>
    <row r="198" spans="2:6" ht="17">
      <c r="B198" s="341"/>
      <c r="F198" s="341"/>
    </row>
    <row r="199" spans="2:6" ht="17">
      <c r="B199" s="341"/>
      <c r="F199" s="341"/>
    </row>
    <row r="200" spans="2:6" ht="17">
      <c r="B200" s="341"/>
      <c r="F200" s="341"/>
    </row>
    <row r="201" spans="2:6" ht="17">
      <c r="B201" s="341"/>
      <c r="F201" s="341"/>
    </row>
    <row r="202" spans="2:6" ht="17">
      <c r="B202" s="341"/>
      <c r="F202" s="341"/>
    </row>
    <row r="203" spans="2:6" ht="17">
      <c r="B203" s="341"/>
      <c r="F203" s="341"/>
    </row>
    <row r="204" spans="2:6" ht="17">
      <c r="B204" s="341"/>
      <c r="F204" s="341"/>
    </row>
    <row r="205" spans="2:6" ht="17">
      <c r="B205" s="341"/>
      <c r="F205" s="341"/>
    </row>
    <row r="206" spans="2:6" ht="17">
      <c r="B206" s="341"/>
      <c r="F206" s="341"/>
    </row>
    <row r="207" spans="2:6" ht="17">
      <c r="B207" s="341"/>
      <c r="F207" s="341"/>
    </row>
    <row r="208" spans="2:6" ht="17">
      <c r="B208" s="341"/>
      <c r="F208" s="341"/>
    </row>
    <row r="209" spans="2:6" ht="17">
      <c r="B209" s="341"/>
      <c r="F209" s="341"/>
    </row>
    <row r="210" spans="2:6" ht="17">
      <c r="B210" s="341"/>
      <c r="F210" s="341"/>
    </row>
    <row r="211" spans="2:6" ht="17">
      <c r="B211" s="341"/>
      <c r="F211" s="341"/>
    </row>
    <row r="212" spans="2:6" ht="17">
      <c r="B212" s="341"/>
      <c r="F212" s="341"/>
    </row>
    <row r="213" spans="2:6" ht="17">
      <c r="B213" s="341"/>
      <c r="F213" s="341"/>
    </row>
    <row r="214" spans="2:6" ht="17">
      <c r="B214" s="341"/>
      <c r="F214" s="341"/>
    </row>
    <row r="215" spans="2:6" ht="17">
      <c r="B215" s="341"/>
      <c r="F215" s="341"/>
    </row>
    <row r="216" spans="2:6" ht="17">
      <c r="B216" s="341"/>
      <c r="F216" s="341"/>
    </row>
    <row r="217" spans="2:6" ht="17">
      <c r="B217" s="341"/>
      <c r="F217" s="341"/>
    </row>
    <row r="218" spans="2:6" ht="17">
      <c r="B218" s="341"/>
      <c r="F218" s="341"/>
    </row>
    <row r="219" spans="2:6" ht="17">
      <c r="B219" s="341"/>
      <c r="F219" s="341"/>
    </row>
    <row r="220" spans="2:6" ht="17">
      <c r="B220" s="341"/>
      <c r="F220" s="341"/>
    </row>
    <row r="221" spans="2:6" ht="17">
      <c r="B221" s="341"/>
      <c r="F221" s="341"/>
    </row>
    <row r="222" spans="2:6" ht="17">
      <c r="B222" s="341"/>
      <c r="F222" s="341"/>
    </row>
    <row r="223" spans="2:6" ht="17">
      <c r="B223" s="341"/>
      <c r="F223" s="341"/>
    </row>
    <row r="224" spans="2:6" ht="17">
      <c r="B224" s="341"/>
      <c r="F224" s="341"/>
    </row>
    <row r="225" spans="2:6" ht="17">
      <c r="B225" s="341"/>
      <c r="F225" s="341"/>
    </row>
    <row r="226" spans="2:6" ht="17">
      <c r="B226" s="341"/>
      <c r="F226" s="341"/>
    </row>
    <row r="227" spans="2:6" ht="17">
      <c r="B227" s="341"/>
      <c r="F227" s="341"/>
    </row>
    <row r="228" spans="2:6" ht="17">
      <c r="B228" s="341"/>
      <c r="F228" s="341"/>
    </row>
    <row r="229" spans="2:6" ht="17">
      <c r="B229" s="341"/>
      <c r="F229" s="341"/>
    </row>
    <row r="230" spans="2:6" ht="17">
      <c r="B230" s="341"/>
      <c r="F230" s="341"/>
    </row>
    <row r="231" spans="2:6" ht="17">
      <c r="B231" s="341"/>
      <c r="F231" s="341"/>
    </row>
    <row r="232" spans="2:6" ht="17">
      <c r="B232" s="341"/>
      <c r="F232" s="341"/>
    </row>
    <row r="233" spans="2:6" ht="17">
      <c r="B233" s="341"/>
      <c r="F233" s="341"/>
    </row>
    <row r="234" spans="2:6" ht="17">
      <c r="B234" s="341"/>
      <c r="F234" s="341"/>
    </row>
    <row r="235" spans="2:6" ht="17">
      <c r="B235" s="341"/>
      <c r="F235" s="341"/>
    </row>
    <row r="236" spans="2:6" ht="17">
      <c r="B236" s="341"/>
      <c r="F236" s="341"/>
    </row>
    <row r="237" spans="2:6" ht="17">
      <c r="B237" s="341"/>
      <c r="F237" s="341"/>
    </row>
    <row r="238" spans="2:6" ht="17">
      <c r="B238" s="341"/>
      <c r="F238" s="341"/>
    </row>
    <row r="239" spans="2:6" ht="17">
      <c r="B239" s="341"/>
      <c r="F239" s="341"/>
    </row>
    <row r="240" spans="2:6" ht="17">
      <c r="B240" s="341"/>
      <c r="F240" s="341"/>
    </row>
    <row r="241" spans="2:6" ht="17">
      <c r="B241" s="341"/>
      <c r="F241" s="341"/>
    </row>
    <row r="242" spans="2:6" ht="17">
      <c r="B242" s="341"/>
      <c r="F242" s="341"/>
    </row>
    <row r="243" spans="2:6" ht="17">
      <c r="B243" s="341"/>
      <c r="F243" s="341"/>
    </row>
    <row r="244" spans="2:6" ht="17">
      <c r="B244" s="341"/>
      <c r="F244" s="341"/>
    </row>
    <row r="245" spans="2:6" ht="17">
      <c r="B245" s="341"/>
      <c r="F245" s="341"/>
    </row>
    <row r="246" spans="2:6" ht="17">
      <c r="B246" s="341"/>
      <c r="F246" s="341"/>
    </row>
    <row r="247" spans="2:6" ht="17">
      <c r="B247" s="341"/>
      <c r="F247" s="341"/>
    </row>
    <row r="248" spans="2:6" ht="17">
      <c r="B248" s="341"/>
      <c r="F248" s="341"/>
    </row>
    <row r="249" spans="2:6" ht="17">
      <c r="B249" s="341"/>
      <c r="F249" s="341"/>
    </row>
    <row r="250" spans="2:6" ht="17">
      <c r="B250" s="341"/>
      <c r="F250" s="341"/>
    </row>
    <row r="251" spans="2:6" ht="17">
      <c r="B251" s="341"/>
      <c r="F251" s="341"/>
    </row>
    <row r="252" spans="2:6" ht="17">
      <c r="B252" s="341"/>
      <c r="F252" s="341"/>
    </row>
    <row r="253" spans="2:6" ht="17">
      <c r="B253" s="341"/>
      <c r="F253" s="341"/>
    </row>
    <row r="254" spans="2:6" ht="17">
      <c r="B254" s="341"/>
      <c r="F254" s="341"/>
    </row>
    <row r="255" spans="2:6" ht="17">
      <c r="B255" s="341"/>
      <c r="F255" s="341"/>
    </row>
    <row r="256" spans="2:6" ht="17">
      <c r="B256" s="341"/>
      <c r="F256" s="341"/>
    </row>
    <row r="257" spans="2:6" ht="17">
      <c r="B257" s="341"/>
      <c r="F257" s="341"/>
    </row>
    <row r="258" spans="2:6" ht="17">
      <c r="B258" s="341"/>
      <c r="F258" s="341"/>
    </row>
    <row r="259" spans="2:6" ht="17">
      <c r="B259" s="341"/>
      <c r="F259" s="341"/>
    </row>
    <row r="260" spans="2:6" ht="17">
      <c r="B260" s="341"/>
      <c r="F260" s="341"/>
    </row>
    <row r="261" spans="2:6" ht="17">
      <c r="B261" s="341"/>
      <c r="F261" s="341"/>
    </row>
    <row r="262" spans="2:6" ht="17">
      <c r="B262" s="341"/>
      <c r="F262" s="341"/>
    </row>
    <row r="263" spans="2:6" ht="17">
      <c r="B263" s="341"/>
      <c r="F263" s="341"/>
    </row>
    <row r="264" spans="2:6" ht="17">
      <c r="B264" s="341"/>
      <c r="F264" s="341"/>
    </row>
    <row r="265" spans="2:6" ht="17">
      <c r="B265" s="341"/>
      <c r="F265" s="341"/>
    </row>
    <row r="266" spans="2:6" ht="17">
      <c r="B266" s="341"/>
      <c r="F266" s="341"/>
    </row>
    <row r="267" spans="2:6" ht="17">
      <c r="B267" s="341"/>
      <c r="F267" s="341"/>
    </row>
    <row r="268" spans="2:6" ht="17">
      <c r="B268" s="341"/>
      <c r="F268" s="341"/>
    </row>
    <row r="269" spans="2:6" ht="17">
      <c r="B269" s="341"/>
      <c r="F269" s="341"/>
    </row>
    <row r="270" spans="2:6" ht="17">
      <c r="B270" s="341"/>
      <c r="F270" s="341"/>
    </row>
    <row r="271" spans="2:6" ht="17">
      <c r="B271" s="341"/>
      <c r="F271" s="341"/>
    </row>
    <row r="272" spans="2:6" ht="17">
      <c r="B272" s="341"/>
      <c r="F272" s="341"/>
    </row>
    <row r="273" spans="2:6" ht="17">
      <c r="B273" s="341"/>
      <c r="F273" s="341"/>
    </row>
    <row r="274" spans="2:6" ht="17">
      <c r="B274" s="341"/>
      <c r="F274" s="341"/>
    </row>
    <row r="275" spans="2:6" ht="17">
      <c r="B275" s="341"/>
      <c r="F275" s="341"/>
    </row>
    <row r="276" spans="2:6" ht="17">
      <c r="B276" s="341"/>
      <c r="F276" s="341"/>
    </row>
    <row r="277" spans="2:6" ht="17">
      <c r="B277" s="341"/>
      <c r="F277" s="341"/>
    </row>
    <row r="278" spans="2:6" ht="17">
      <c r="B278" s="341"/>
      <c r="F278" s="341"/>
    </row>
    <row r="279" spans="2:6" ht="17">
      <c r="B279" s="341"/>
      <c r="F279" s="341"/>
    </row>
    <row r="280" spans="2:6" ht="17">
      <c r="B280" s="341"/>
      <c r="F280" s="341"/>
    </row>
    <row r="281" spans="2:6" ht="17">
      <c r="B281" s="341"/>
      <c r="F281" s="341"/>
    </row>
    <row r="282" spans="2:6" ht="17">
      <c r="B282" s="341"/>
      <c r="F282" s="341"/>
    </row>
    <row r="283" spans="2:6" ht="17">
      <c r="B283" s="341"/>
      <c r="F283" s="341"/>
    </row>
    <row r="284" spans="2:6" ht="17">
      <c r="B284" s="341"/>
      <c r="F284" s="341"/>
    </row>
    <row r="285" spans="2:6" ht="17">
      <c r="B285" s="341"/>
      <c r="F285" s="341"/>
    </row>
    <row r="286" spans="2:6" ht="17">
      <c r="B286" s="341"/>
      <c r="F286" s="341"/>
    </row>
    <row r="287" spans="2:6" ht="17">
      <c r="B287" s="341"/>
      <c r="F287" s="341"/>
    </row>
    <row r="288" spans="2:6" ht="17">
      <c r="B288" s="341"/>
      <c r="F288" s="341"/>
    </row>
    <row r="289" spans="2:6" ht="17">
      <c r="B289" s="341"/>
      <c r="F289" s="341"/>
    </row>
    <row r="290" spans="2:6" ht="17">
      <c r="B290" s="341"/>
      <c r="F290" s="341"/>
    </row>
    <row r="291" spans="2:6" ht="17">
      <c r="B291" s="341"/>
      <c r="F291" s="341"/>
    </row>
    <row r="292" spans="2:6" ht="17">
      <c r="B292" s="341"/>
      <c r="F292" s="341"/>
    </row>
    <row r="293" spans="2:6" ht="17">
      <c r="B293" s="341"/>
      <c r="F293" s="341"/>
    </row>
    <row r="294" spans="2:6" ht="17">
      <c r="B294" s="341"/>
      <c r="F294" s="341"/>
    </row>
    <row r="295" spans="2:6" ht="17">
      <c r="B295" s="341"/>
      <c r="F295" s="341"/>
    </row>
    <row r="296" spans="2:6" ht="17">
      <c r="B296" s="341"/>
      <c r="F296" s="341"/>
    </row>
    <row r="297" spans="2:6" ht="17">
      <c r="B297" s="341"/>
      <c r="F297" s="341"/>
    </row>
    <row r="298" spans="2:6" ht="17">
      <c r="B298" s="341"/>
      <c r="F298" s="341"/>
    </row>
    <row r="299" spans="2:6" ht="17">
      <c r="B299" s="341"/>
      <c r="F299" s="341"/>
    </row>
    <row r="300" spans="2:6" ht="17">
      <c r="B300" s="341"/>
      <c r="F300" s="341"/>
    </row>
    <row r="301" spans="2:6" ht="17">
      <c r="B301" s="341"/>
      <c r="F301" s="341"/>
    </row>
    <row r="302" spans="2:6" ht="17">
      <c r="B302" s="341"/>
      <c r="F302" s="341"/>
    </row>
    <row r="303" spans="2:6" ht="17">
      <c r="B303" s="341"/>
      <c r="F303" s="341"/>
    </row>
    <row r="304" spans="2:6" ht="17">
      <c r="B304" s="341"/>
      <c r="F304" s="341"/>
    </row>
    <row r="305" spans="2:6" ht="17">
      <c r="B305" s="341"/>
      <c r="F305" s="341"/>
    </row>
    <row r="306" spans="2:6" ht="17">
      <c r="B306" s="341"/>
      <c r="F306" s="341"/>
    </row>
    <row r="307" spans="2:6" ht="17">
      <c r="B307" s="341"/>
      <c r="F307" s="341"/>
    </row>
    <row r="308" spans="2:6" ht="17">
      <c r="B308" s="341"/>
      <c r="F308" s="341"/>
    </row>
    <row r="309" spans="2:6" ht="17">
      <c r="B309" s="341"/>
      <c r="F309" s="341"/>
    </row>
    <row r="310" spans="2:6" ht="17">
      <c r="B310" s="341"/>
      <c r="F310" s="341"/>
    </row>
    <row r="311" spans="2:6" ht="17">
      <c r="B311" s="341"/>
      <c r="F311" s="341"/>
    </row>
    <row r="312" spans="2:6" ht="17">
      <c r="B312" s="341"/>
      <c r="F312" s="341"/>
    </row>
    <row r="313" spans="2:6" ht="17">
      <c r="B313" s="341"/>
      <c r="F313" s="341"/>
    </row>
    <row r="314" spans="2:6" ht="17">
      <c r="B314" s="341"/>
      <c r="F314" s="341"/>
    </row>
    <row r="315" spans="2:6" ht="17">
      <c r="B315" s="341"/>
      <c r="F315" s="341"/>
    </row>
    <row r="316" spans="2:6" ht="17">
      <c r="B316" s="341"/>
      <c r="F316" s="341"/>
    </row>
    <row r="317" spans="2:6" ht="17">
      <c r="B317" s="341"/>
      <c r="F317" s="341"/>
    </row>
    <row r="318" spans="2:6" ht="17">
      <c r="B318" s="341"/>
      <c r="F318" s="341"/>
    </row>
    <row r="319" spans="2:6" ht="17">
      <c r="B319" s="341"/>
      <c r="F319" s="341"/>
    </row>
    <row r="320" spans="2:6" ht="17">
      <c r="B320" s="341"/>
      <c r="F320" s="341"/>
    </row>
    <row r="321" spans="2:6" ht="17">
      <c r="B321" s="341"/>
      <c r="F321" s="341"/>
    </row>
    <row r="322" spans="2:6" ht="17">
      <c r="B322" s="341"/>
      <c r="F322" s="341"/>
    </row>
    <row r="323" spans="2:6" ht="17">
      <c r="B323" s="341"/>
      <c r="F323" s="341"/>
    </row>
    <row r="324" spans="2:6" ht="17">
      <c r="B324" s="341"/>
      <c r="F324" s="341"/>
    </row>
    <row r="325" spans="2:6" ht="17">
      <c r="B325" s="341"/>
      <c r="F325" s="341"/>
    </row>
    <row r="326" spans="2:6" ht="17">
      <c r="B326" s="341"/>
      <c r="F326" s="341"/>
    </row>
    <row r="327" spans="2:6" ht="17">
      <c r="B327" s="341"/>
      <c r="F327" s="341"/>
    </row>
    <row r="328" spans="2:6" ht="17">
      <c r="B328" s="341"/>
      <c r="F328" s="341"/>
    </row>
    <row r="329" spans="2:6" ht="17">
      <c r="B329" s="341"/>
      <c r="F329" s="341"/>
    </row>
    <row r="330" spans="2:6" ht="17">
      <c r="B330" s="341"/>
      <c r="F330" s="341"/>
    </row>
    <row r="331" spans="2:6" ht="17">
      <c r="B331" s="341"/>
      <c r="F331" s="341"/>
    </row>
    <row r="332" spans="2:6" ht="17">
      <c r="B332" s="341"/>
      <c r="F332" s="341"/>
    </row>
    <row r="333" spans="2:6" ht="17">
      <c r="B333" s="341"/>
      <c r="F333" s="341"/>
    </row>
    <row r="334" spans="2:6" ht="17">
      <c r="B334" s="341"/>
      <c r="F334" s="341"/>
    </row>
    <row r="335" spans="2:6" ht="17">
      <c r="B335" s="341"/>
      <c r="F335" s="341"/>
    </row>
    <row r="336" spans="2:6" ht="17">
      <c r="B336" s="341"/>
      <c r="F336" s="341"/>
    </row>
    <row r="337" spans="2:6" ht="17">
      <c r="B337" s="341"/>
      <c r="F337" s="341"/>
    </row>
    <row r="338" spans="2:6" ht="17">
      <c r="B338" s="341"/>
      <c r="F338" s="341"/>
    </row>
    <row r="339" spans="2:6" ht="17">
      <c r="B339" s="341"/>
      <c r="F339" s="341"/>
    </row>
    <row r="340" spans="2:6" ht="17">
      <c r="B340" s="341"/>
      <c r="F340" s="341"/>
    </row>
    <row r="341" spans="2:6" ht="17">
      <c r="B341" s="341"/>
      <c r="F341" s="341"/>
    </row>
    <row r="342" spans="2:6" ht="17">
      <c r="B342" s="341"/>
      <c r="F342" s="341"/>
    </row>
    <row r="343" spans="2:6" ht="17">
      <c r="B343" s="341"/>
      <c r="F343" s="341"/>
    </row>
    <row r="344" spans="2:6" ht="17">
      <c r="B344" s="341"/>
      <c r="F344" s="341"/>
    </row>
    <row r="345" spans="2:6" ht="17">
      <c r="B345" s="341"/>
      <c r="F345" s="341"/>
    </row>
    <row r="346" spans="2:6" ht="17">
      <c r="B346" s="341"/>
      <c r="F346" s="341"/>
    </row>
    <row r="347" spans="2:6" ht="17">
      <c r="B347" s="341"/>
      <c r="F347" s="341"/>
    </row>
    <row r="348" spans="2:6" ht="17">
      <c r="B348" s="341"/>
      <c r="F348" s="341"/>
    </row>
    <row r="349" spans="2:6" ht="17">
      <c r="B349" s="341"/>
      <c r="F349" s="341"/>
    </row>
    <row r="350" spans="2:6" ht="17">
      <c r="B350" s="341"/>
      <c r="F350" s="341"/>
    </row>
    <row r="351" spans="2:6" ht="17">
      <c r="B351" s="341"/>
      <c r="F351" s="341"/>
    </row>
    <row r="352" spans="2:6" ht="17">
      <c r="B352" s="341"/>
      <c r="F352" s="341"/>
    </row>
    <row r="353" spans="2:6" ht="17">
      <c r="B353" s="341"/>
      <c r="F353" s="341"/>
    </row>
    <row r="354" spans="2:6" ht="17">
      <c r="B354" s="341"/>
      <c r="F354" s="341"/>
    </row>
    <row r="355" spans="2:6" ht="17">
      <c r="B355" s="341"/>
      <c r="F355" s="341"/>
    </row>
    <row r="356" spans="2:6" ht="17">
      <c r="B356" s="341"/>
      <c r="F356" s="341"/>
    </row>
    <row r="357" spans="2:6" ht="17">
      <c r="B357" s="341"/>
      <c r="F357" s="341"/>
    </row>
    <row r="358" spans="2:6" ht="17">
      <c r="B358" s="341"/>
      <c r="F358" s="341"/>
    </row>
    <row r="359" spans="2:6" ht="17">
      <c r="B359" s="341"/>
      <c r="F359" s="341"/>
    </row>
    <row r="360" spans="2:6" ht="17">
      <c r="B360" s="341"/>
      <c r="F360" s="341"/>
    </row>
    <row r="361" spans="2:6" ht="17">
      <c r="B361" s="341"/>
      <c r="F361" s="341"/>
    </row>
    <row r="362" spans="2:6" ht="17">
      <c r="B362" s="341"/>
      <c r="F362" s="341"/>
    </row>
    <row r="363" spans="2:6" ht="17">
      <c r="B363" s="341"/>
      <c r="F363" s="341"/>
    </row>
    <row r="364" spans="2:6" ht="17">
      <c r="B364" s="341"/>
      <c r="F364" s="341"/>
    </row>
    <row r="365" spans="2:6" ht="17">
      <c r="B365" s="341"/>
      <c r="F365" s="341"/>
    </row>
    <row r="366" spans="2:6" ht="17">
      <c r="B366" s="341"/>
      <c r="F366" s="341"/>
    </row>
    <row r="367" spans="2:6" ht="17">
      <c r="B367" s="341"/>
      <c r="F367" s="341"/>
    </row>
    <row r="368" spans="2:6" ht="17">
      <c r="B368" s="341"/>
      <c r="F368" s="341"/>
    </row>
    <row r="369" spans="2:6" ht="17">
      <c r="B369" s="341"/>
      <c r="F369" s="341"/>
    </row>
    <row r="370" spans="2:6" ht="17">
      <c r="B370" s="341"/>
      <c r="F370" s="341"/>
    </row>
    <row r="371" spans="2:6" ht="17">
      <c r="B371" s="341"/>
      <c r="F371" s="341"/>
    </row>
    <row r="372" spans="2:6" ht="17">
      <c r="B372" s="341"/>
      <c r="F372" s="341"/>
    </row>
    <row r="373" spans="2:6" ht="17">
      <c r="B373" s="341"/>
      <c r="F373" s="341"/>
    </row>
    <row r="374" spans="2:6" ht="17">
      <c r="B374" s="341"/>
      <c r="F374" s="341"/>
    </row>
    <row r="375" spans="2:6" ht="17">
      <c r="B375" s="341"/>
      <c r="F375" s="341"/>
    </row>
    <row r="376" spans="2:6" ht="17">
      <c r="B376" s="341"/>
      <c r="F376" s="341"/>
    </row>
    <row r="377" spans="2:6" ht="17">
      <c r="B377" s="341"/>
      <c r="F377" s="341"/>
    </row>
    <row r="378" spans="2:6" ht="17">
      <c r="B378" s="341"/>
      <c r="F378" s="341"/>
    </row>
    <row r="379" spans="2:6" ht="17">
      <c r="B379" s="341"/>
      <c r="F379" s="341"/>
    </row>
    <row r="380" spans="2:6" ht="17">
      <c r="B380" s="341"/>
      <c r="F380" s="341"/>
    </row>
    <row r="381" spans="2:6" ht="17">
      <c r="B381" s="341"/>
      <c r="F381" s="341"/>
    </row>
    <row r="382" spans="2:6" ht="17">
      <c r="B382" s="341"/>
      <c r="F382" s="341"/>
    </row>
    <row r="383" spans="2:6" ht="17">
      <c r="B383" s="341"/>
      <c r="F383" s="341"/>
    </row>
    <row r="384" spans="2:6" ht="17">
      <c r="B384" s="341"/>
      <c r="F384" s="341"/>
    </row>
    <row r="385" spans="2:6" ht="17">
      <c r="B385" s="341"/>
      <c r="F385" s="341"/>
    </row>
    <row r="386" spans="2:6" ht="17">
      <c r="B386" s="341"/>
      <c r="F386" s="341"/>
    </row>
    <row r="387" spans="2:6" ht="17">
      <c r="B387" s="341"/>
      <c r="F387" s="341"/>
    </row>
    <row r="388" spans="2:6" ht="17">
      <c r="B388" s="341"/>
      <c r="F388" s="341"/>
    </row>
    <row r="389" spans="2:6" ht="17">
      <c r="B389" s="341"/>
      <c r="F389" s="341"/>
    </row>
    <row r="390" spans="2:6" ht="17">
      <c r="B390" s="341"/>
      <c r="F390" s="341"/>
    </row>
    <row r="391" spans="2:6" ht="17">
      <c r="B391" s="341"/>
      <c r="F391" s="341"/>
    </row>
    <row r="392" spans="2:6" ht="17">
      <c r="B392" s="341"/>
      <c r="F392" s="341"/>
    </row>
    <row r="393" spans="2:6" ht="17">
      <c r="B393" s="341"/>
      <c r="F393" s="341"/>
    </row>
    <row r="394" spans="2:6" ht="17">
      <c r="B394" s="341"/>
      <c r="F394" s="341"/>
    </row>
    <row r="395" spans="2:6" ht="17">
      <c r="B395" s="341"/>
      <c r="F395" s="341"/>
    </row>
    <row r="396" spans="2:6" ht="17">
      <c r="B396" s="341"/>
      <c r="F396" s="341"/>
    </row>
    <row r="397" spans="2:6" ht="17">
      <c r="B397" s="341"/>
      <c r="F397" s="341"/>
    </row>
    <row r="398" spans="2:6" ht="17">
      <c r="B398" s="341"/>
      <c r="F398" s="341"/>
    </row>
    <row r="399" spans="2:6" ht="17">
      <c r="B399" s="341"/>
      <c r="F399" s="341"/>
    </row>
    <row r="400" spans="2:6" ht="17">
      <c r="B400" s="341"/>
      <c r="F400" s="341"/>
    </row>
    <row r="401" spans="2:6" ht="17">
      <c r="B401" s="341"/>
      <c r="F401" s="341"/>
    </row>
    <row r="402" spans="2:6" ht="17">
      <c r="B402" s="341"/>
      <c r="F402" s="341"/>
    </row>
    <row r="403" spans="2:6" ht="17">
      <c r="B403" s="341"/>
      <c r="F403" s="341"/>
    </row>
    <row r="404" spans="2:6" ht="17">
      <c r="B404" s="341"/>
      <c r="F404" s="341"/>
    </row>
    <row r="405" spans="2:6" ht="17">
      <c r="B405" s="341"/>
      <c r="F405" s="341"/>
    </row>
    <row r="406" spans="2:6" ht="17">
      <c r="B406" s="341"/>
      <c r="F406" s="341"/>
    </row>
    <row r="407" spans="2:6" ht="17">
      <c r="B407" s="341"/>
      <c r="F407" s="341"/>
    </row>
    <row r="408" spans="2:6" ht="17">
      <c r="B408" s="341"/>
      <c r="F408" s="341"/>
    </row>
    <row r="409" spans="2:6" ht="17">
      <c r="B409" s="341"/>
      <c r="F409" s="341"/>
    </row>
    <row r="410" spans="2:6" ht="17">
      <c r="B410" s="341"/>
      <c r="F410" s="341"/>
    </row>
    <row r="411" spans="2:6" ht="17">
      <c r="B411" s="341"/>
      <c r="F411" s="341"/>
    </row>
    <row r="412" spans="2:6" ht="17">
      <c r="B412" s="341"/>
      <c r="F412" s="341"/>
    </row>
    <row r="413" spans="2:6" ht="17">
      <c r="B413" s="341"/>
      <c r="F413" s="341"/>
    </row>
    <row r="414" spans="2:6" ht="17">
      <c r="B414" s="341"/>
      <c r="F414" s="341"/>
    </row>
    <row r="415" spans="2:6" ht="17">
      <c r="B415" s="341"/>
      <c r="F415" s="341"/>
    </row>
    <row r="416" spans="2:6" ht="17">
      <c r="B416" s="341"/>
      <c r="F416" s="341"/>
    </row>
    <row r="417" spans="2:6" ht="17">
      <c r="B417" s="341"/>
      <c r="F417" s="341"/>
    </row>
    <row r="418" spans="2:6" ht="17">
      <c r="B418" s="341"/>
      <c r="F418" s="341"/>
    </row>
    <row r="419" spans="2:6" ht="17">
      <c r="B419" s="341"/>
      <c r="F419" s="341"/>
    </row>
    <row r="420" spans="2:6" ht="17">
      <c r="B420" s="341"/>
      <c r="F420" s="341"/>
    </row>
    <row r="421" spans="2:6" ht="17">
      <c r="B421" s="341"/>
      <c r="F421" s="341"/>
    </row>
    <row r="422" spans="2:6" ht="17">
      <c r="B422" s="341"/>
      <c r="F422" s="341"/>
    </row>
    <row r="423" spans="2:6" ht="17">
      <c r="B423" s="341"/>
      <c r="F423" s="341"/>
    </row>
    <row r="424" spans="2:6" ht="17">
      <c r="B424" s="341"/>
      <c r="F424" s="341"/>
    </row>
    <row r="425" spans="2:6" ht="17">
      <c r="B425" s="341"/>
      <c r="F425" s="341"/>
    </row>
    <row r="426" spans="2:6" ht="17">
      <c r="B426" s="341"/>
      <c r="F426" s="341"/>
    </row>
    <row r="427" spans="2:6" ht="17">
      <c r="B427" s="341"/>
      <c r="F427" s="341"/>
    </row>
    <row r="428" spans="2:6" ht="17">
      <c r="B428" s="341"/>
      <c r="F428" s="341"/>
    </row>
    <row r="429" spans="2:6" ht="17">
      <c r="B429" s="341"/>
      <c r="F429" s="341"/>
    </row>
    <row r="430" spans="2:6" ht="17">
      <c r="B430" s="341"/>
      <c r="F430" s="341"/>
    </row>
    <row r="431" spans="2:6" ht="17">
      <c r="B431" s="341"/>
      <c r="F431" s="341"/>
    </row>
    <row r="432" spans="2:6" ht="17">
      <c r="B432" s="341"/>
      <c r="F432" s="341"/>
    </row>
    <row r="433" spans="2:6" ht="17">
      <c r="B433" s="341"/>
      <c r="F433" s="341"/>
    </row>
    <row r="434" spans="2:6" ht="17">
      <c r="B434" s="341"/>
      <c r="F434" s="341"/>
    </row>
    <row r="435" spans="2:6" ht="17">
      <c r="B435" s="341"/>
      <c r="F435" s="341"/>
    </row>
    <row r="436" spans="2:6" ht="17">
      <c r="B436" s="341"/>
      <c r="F436" s="341"/>
    </row>
    <row r="437" spans="2:6" ht="17">
      <c r="B437" s="341"/>
      <c r="F437" s="341"/>
    </row>
    <row r="438" spans="2:6" ht="17">
      <c r="B438" s="341"/>
      <c r="F438" s="341"/>
    </row>
    <row r="439" spans="2:6" ht="17">
      <c r="B439" s="341"/>
      <c r="F439" s="341"/>
    </row>
    <row r="440" spans="2:6" ht="17">
      <c r="B440" s="341"/>
      <c r="F440" s="341"/>
    </row>
    <row r="441" spans="2:6" ht="17">
      <c r="B441" s="341"/>
      <c r="F441" s="341"/>
    </row>
    <row r="442" spans="2:6" ht="17">
      <c r="B442" s="341"/>
      <c r="F442" s="341"/>
    </row>
    <row r="443" spans="2:6" ht="17">
      <c r="B443" s="341"/>
      <c r="F443" s="341"/>
    </row>
    <row r="444" spans="2:6" ht="17">
      <c r="B444" s="341"/>
      <c r="F444" s="341"/>
    </row>
    <row r="445" spans="2:6" ht="17">
      <c r="B445" s="341"/>
      <c r="F445" s="341"/>
    </row>
    <row r="446" spans="2:6" ht="17">
      <c r="B446" s="341"/>
      <c r="F446" s="341"/>
    </row>
    <row r="447" spans="2:6" ht="17">
      <c r="B447" s="341"/>
      <c r="F447" s="341"/>
    </row>
    <row r="448" spans="2:6" ht="17">
      <c r="B448" s="341"/>
      <c r="F448" s="341"/>
    </row>
    <row r="449" spans="2:6" ht="17">
      <c r="B449" s="341"/>
      <c r="F449" s="341"/>
    </row>
    <row r="450" spans="2:6" ht="17">
      <c r="B450" s="341"/>
      <c r="F450" s="341"/>
    </row>
    <row r="451" spans="2:6" ht="17">
      <c r="B451" s="341"/>
      <c r="F451" s="341"/>
    </row>
    <row r="452" spans="2:6" ht="17">
      <c r="B452" s="341"/>
      <c r="F452" s="341"/>
    </row>
    <row r="453" spans="2:6" ht="17">
      <c r="B453" s="341"/>
      <c r="F453" s="341"/>
    </row>
    <row r="454" spans="2:6" ht="17">
      <c r="B454" s="341"/>
      <c r="F454" s="341"/>
    </row>
    <row r="455" spans="2:6" ht="17">
      <c r="B455" s="341"/>
      <c r="F455" s="341"/>
    </row>
    <row r="456" spans="2:6" ht="17">
      <c r="B456" s="341"/>
      <c r="F456" s="341"/>
    </row>
    <row r="457" spans="2:6" ht="17">
      <c r="B457" s="341"/>
      <c r="F457" s="341"/>
    </row>
    <row r="458" spans="2:6" ht="17">
      <c r="B458" s="341"/>
      <c r="F458" s="341"/>
    </row>
    <row r="459" spans="2:6" ht="17">
      <c r="B459" s="341"/>
      <c r="F459" s="341"/>
    </row>
    <row r="460" spans="2:6" ht="17">
      <c r="B460" s="341"/>
      <c r="F460" s="341"/>
    </row>
    <row r="461" spans="2:6" ht="17">
      <c r="B461" s="341"/>
      <c r="F461" s="341"/>
    </row>
    <row r="462" spans="2:6" ht="17">
      <c r="B462" s="341"/>
      <c r="F462" s="341"/>
    </row>
    <row r="463" spans="2:6" ht="17">
      <c r="B463" s="341"/>
      <c r="F463" s="341"/>
    </row>
    <row r="464" spans="2:6" ht="17">
      <c r="B464" s="341"/>
      <c r="F464" s="341"/>
    </row>
    <row r="465" spans="2:6" ht="17">
      <c r="B465" s="341"/>
      <c r="F465" s="341"/>
    </row>
    <row r="466" spans="2:6" ht="17">
      <c r="B466" s="341"/>
      <c r="F466" s="341"/>
    </row>
    <row r="467" spans="2:6" ht="17">
      <c r="B467" s="341"/>
      <c r="F467" s="341"/>
    </row>
    <row r="468" spans="2:6" ht="17">
      <c r="B468" s="341"/>
      <c r="F468" s="341"/>
    </row>
    <row r="469" spans="2:6" ht="17">
      <c r="B469" s="341"/>
      <c r="F469" s="341"/>
    </row>
    <row r="470" spans="2:6" ht="17">
      <c r="B470" s="341"/>
      <c r="F470" s="341"/>
    </row>
    <row r="471" spans="2:6" ht="17">
      <c r="B471" s="341"/>
      <c r="F471" s="341"/>
    </row>
    <row r="472" spans="2:6" ht="17">
      <c r="B472" s="341"/>
      <c r="F472" s="341"/>
    </row>
    <row r="473" spans="2:6" ht="17">
      <c r="B473" s="341"/>
      <c r="F473" s="341"/>
    </row>
    <row r="474" spans="2:6" ht="17">
      <c r="B474" s="341"/>
      <c r="F474" s="341"/>
    </row>
    <row r="475" spans="2:6" ht="17">
      <c r="B475" s="341"/>
      <c r="F475" s="341"/>
    </row>
    <row r="476" spans="2:6" ht="17">
      <c r="B476" s="341"/>
      <c r="F476" s="341"/>
    </row>
    <row r="477" spans="2:6" ht="17">
      <c r="B477" s="341"/>
      <c r="F477" s="341"/>
    </row>
    <row r="478" spans="2:6" ht="17">
      <c r="B478" s="341"/>
      <c r="F478" s="341"/>
    </row>
    <row r="479" spans="2:6" ht="17">
      <c r="B479" s="341"/>
      <c r="F479" s="341"/>
    </row>
    <row r="480" spans="2:6" ht="17">
      <c r="B480" s="341"/>
      <c r="F480" s="341"/>
    </row>
    <row r="481" spans="2:6" ht="17">
      <c r="B481" s="341"/>
      <c r="F481" s="341"/>
    </row>
    <row r="482" spans="2:6" ht="17">
      <c r="B482" s="341"/>
      <c r="F482" s="341"/>
    </row>
    <row r="483" spans="2:6" ht="17">
      <c r="B483" s="341"/>
      <c r="F483" s="341"/>
    </row>
    <row r="484" spans="2:6" ht="17">
      <c r="B484" s="341"/>
      <c r="F484" s="341"/>
    </row>
    <row r="485" spans="2:6" ht="17">
      <c r="B485" s="341"/>
      <c r="F485" s="341"/>
    </row>
    <row r="486" spans="2:6" ht="17">
      <c r="B486" s="341"/>
      <c r="F486" s="341"/>
    </row>
    <row r="487" spans="2:6" ht="17">
      <c r="B487" s="341"/>
      <c r="F487" s="341"/>
    </row>
    <row r="488" spans="2:6" ht="17">
      <c r="B488" s="341"/>
      <c r="F488" s="341"/>
    </row>
    <row r="489" spans="2:6" ht="17">
      <c r="B489" s="341"/>
      <c r="F489" s="341"/>
    </row>
    <row r="490" spans="2:6" ht="17">
      <c r="B490" s="341"/>
      <c r="F490" s="341"/>
    </row>
    <row r="491" spans="2:6" ht="17">
      <c r="B491" s="341"/>
      <c r="F491" s="341"/>
    </row>
    <row r="492" spans="2:6" ht="17">
      <c r="B492" s="341"/>
      <c r="F492" s="341"/>
    </row>
    <row r="493" spans="2:6" ht="17">
      <c r="B493" s="341"/>
      <c r="F493" s="341"/>
    </row>
    <row r="494" spans="2:6" ht="17">
      <c r="B494" s="341"/>
      <c r="F494" s="341"/>
    </row>
    <row r="495" spans="2:6" ht="17">
      <c r="B495" s="341"/>
      <c r="F495" s="341"/>
    </row>
    <row r="496" spans="2:6" ht="17">
      <c r="B496" s="341"/>
      <c r="F496" s="341"/>
    </row>
    <row r="497" spans="2:6" ht="17">
      <c r="B497" s="341"/>
      <c r="F497" s="341"/>
    </row>
    <row r="498" spans="2:6" ht="17">
      <c r="B498" s="341"/>
      <c r="F498" s="341"/>
    </row>
    <row r="499" spans="2:6" ht="17">
      <c r="B499" s="341"/>
      <c r="F499" s="341"/>
    </row>
    <row r="500" spans="2:6" ht="17">
      <c r="B500" s="341"/>
      <c r="F500" s="341"/>
    </row>
    <row r="501" spans="2:6" ht="17">
      <c r="B501" s="341"/>
      <c r="F501" s="341"/>
    </row>
    <row r="502" spans="2:6" ht="17">
      <c r="B502" s="341"/>
      <c r="F502" s="341"/>
    </row>
    <row r="503" spans="2:6" ht="17">
      <c r="B503" s="341"/>
      <c r="F503" s="341"/>
    </row>
    <row r="504" spans="2:6" ht="17">
      <c r="B504" s="341"/>
      <c r="F504" s="341"/>
    </row>
    <row r="505" spans="2:6" ht="17">
      <c r="B505" s="341"/>
      <c r="F505" s="341"/>
    </row>
    <row r="506" spans="2:6" ht="17">
      <c r="B506" s="341"/>
      <c r="F506" s="341"/>
    </row>
    <row r="507" spans="2:6" ht="17">
      <c r="B507" s="341"/>
      <c r="F507" s="341"/>
    </row>
    <row r="508" spans="2:6" ht="17">
      <c r="B508" s="341"/>
      <c r="F508" s="341"/>
    </row>
    <row r="509" spans="2:6" ht="17">
      <c r="B509" s="341"/>
      <c r="F509" s="341"/>
    </row>
    <row r="510" spans="2:6" ht="17">
      <c r="B510" s="341"/>
      <c r="F510" s="341"/>
    </row>
    <row r="511" spans="2:6" ht="17">
      <c r="B511" s="341"/>
      <c r="F511" s="341"/>
    </row>
    <row r="512" spans="2:6" ht="17">
      <c r="B512" s="341"/>
      <c r="F512" s="341"/>
    </row>
    <row r="513" spans="2:6" ht="17">
      <c r="B513" s="341"/>
      <c r="F513" s="341"/>
    </row>
    <row r="514" spans="2:6" ht="17">
      <c r="B514" s="341"/>
      <c r="F514" s="341"/>
    </row>
    <row r="515" spans="2:6" ht="17">
      <c r="B515" s="341"/>
      <c r="F515" s="341"/>
    </row>
    <row r="516" spans="2:6" ht="17">
      <c r="B516" s="341"/>
      <c r="F516" s="341"/>
    </row>
    <row r="517" spans="2:6" ht="17">
      <c r="B517" s="341"/>
      <c r="F517" s="341"/>
    </row>
    <row r="518" spans="2:6" ht="17">
      <c r="B518" s="341"/>
      <c r="F518" s="341"/>
    </row>
    <row r="519" spans="2:6" ht="17">
      <c r="B519" s="341"/>
      <c r="F519" s="341"/>
    </row>
    <row r="520" spans="2:6" ht="17">
      <c r="B520" s="341"/>
      <c r="F520" s="341"/>
    </row>
    <row r="521" spans="2:6" ht="17">
      <c r="B521" s="341"/>
      <c r="F521" s="341"/>
    </row>
    <row r="522" spans="2:6" ht="17">
      <c r="B522" s="341"/>
      <c r="F522" s="341"/>
    </row>
    <row r="523" spans="2:6" ht="17">
      <c r="B523" s="341"/>
      <c r="F523" s="341"/>
    </row>
    <row r="524" spans="2:6" ht="17">
      <c r="B524" s="341"/>
      <c r="F524" s="341"/>
    </row>
    <row r="525" spans="2:6" ht="17">
      <c r="B525" s="341"/>
      <c r="F525" s="341"/>
    </row>
    <row r="526" spans="2:6" ht="17">
      <c r="B526" s="341"/>
      <c r="F526" s="341"/>
    </row>
    <row r="527" spans="2:6" ht="17">
      <c r="B527" s="341"/>
      <c r="F527" s="341"/>
    </row>
    <row r="528" spans="2:6" ht="17">
      <c r="B528" s="341"/>
      <c r="F528" s="341"/>
    </row>
    <row r="529" spans="2:6" ht="17">
      <c r="B529" s="341"/>
      <c r="F529" s="341"/>
    </row>
    <row r="530" spans="2:6" ht="17">
      <c r="B530" s="341"/>
      <c r="F530" s="341"/>
    </row>
    <row r="531" spans="2:6" ht="17">
      <c r="B531" s="341"/>
      <c r="F531" s="341"/>
    </row>
    <row r="532" spans="2:6" ht="17">
      <c r="B532" s="341"/>
      <c r="F532" s="341"/>
    </row>
    <row r="533" spans="2:6" ht="17">
      <c r="B533" s="341"/>
      <c r="F533" s="341"/>
    </row>
    <row r="534" spans="2:6" ht="17">
      <c r="B534" s="341"/>
      <c r="F534" s="341"/>
    </row>
    <row r="535" spans="2:6" ht="17">
      <c r="B535" s="341"/>
      <c r="F535" s="341"/>
    </row>
    <row r="536" spans="2:6" ht="17">
      <c r="B536" s="341"/>
      <c r="F536" s="341"/>
    </row>
    <row r="537" spans="2:6" ht="17">
      <c r="B537" s="341"/>
      <c r="F537" s="341"/>
    </row>
    <row r="538" spans="2:6" ht="17">
      <c r="B538" s="341"/>
      <c r="F538" s="341"/>
    </row>
    <row r="539" spans="2:6" ht="17">
      <c r="B539" s="341"/>
      <c r="F539" s="341"/>
    </row>
    <row r="540" spans="2:6" ht="17">
      <c r="B540" s="341"/>
      <c r="F540" s="341"/>
    </row>
    <row r="541" spans="2:6" ht="17">
      <c r="B541" s="341"/>
      <c r="F541" s="341"/>
    </row>
    <row r="542" spans="2:6" ht="17">
      <c r="B542" s="341"/>
      <c r="F542" s="341"/>
    </row>
    <row r="543" spans="2:6" ht="17">
      <c r="B543" s="341"/>
      <c r="F543" s="341"/>
    </row>
    <row r="544" spans="2:6" ht="17">
      <c r="B544" s="341"/>
      <c r="F544" s="341"/>
    </row>
    <row r="545" spans="2:6" ht="17">
      <c r="B545" s="341"/>
      <c r="F545" s="341"/>
    </row>
    <row r="546" spans="2:6" ht="17">
      <c r="B546" s="341"/>
      <c r="F546" s="341"/>
    </row>
    <row r="547" spans="2:6" ht="17">
      <c r="B547" s="341"/>
      <c r="F547" s="341"/>
    </row>
    <row r="548" spans="2:6" ht="17">
      <c r="B548" s="341"/>
      <c r="F548" s="341"/>
    </row>
    <row r="549" spans="2:6" ht="17">
      <c r="B549" s="341"/>
      <c r="F549" s="341"/>
    </row>
    <row r="550" spans="2:6" ht="17">
      <c r="B550" s="341"/>
      <c r="F550" s="341"/>
    </row>
    <row r="551" spans="2:6" ht="17">
      <c r="B551" s="341"/>
      <c r="F551" s="341"/>
    </row>
    <row r="552" spans="2:6" ht="17">
      <c r="B552" s="341"/>
      <c r="F552" s="341"/>
    </row>
    <row r="553" spans="2:6" ht="17">
      <c r="B553" s="341"/>
      <c r="F553" s="341"/>
    </row>
    <row r="554" spans="2:6" ht="17">
      <c r="B554" s="341"/>
      <c r="F554" s="341"/>
    </row>
    <row r="555" spans="2:6" ht="17">
      <c r="B555" s="341"/>
      <c r="F555" s="341"/>
    </row>
    <row r="556" spans="2:6" ht="17">
      <c r="B556" s="341"/>
      <c r="F556" s="341"/>
    </row>
    <row r="557" spans="2:6" ht="17">
      <c r="B557" s="341"/>
      <c r="F557" s="341"/>
    </row>
    <row r="558" spans="2:6" ht="17">
      <c r="B558" s="341"/>
      <c r="F558" s="341"/>
    </row>
    <row r="559" spans="2:6" ht="17">
      <c r="B559" s="341"/>
      <c r="F559" s="341"/>
    </row>
    <row r="560" spans="2:6" ht="17">
      <c r="B560" s="341"/>
      <c r="F560" s="341"/>
    </row>
    <row r="561" spans="2:6" ht="17">
      <c r="B561" s="341"/>
      <c r="F561" s="341"/>
    </row>
    <row r="562" spans="2:6" ht="17">
      <c r="B562" s="341"/>
      <c r="F562" s="341"/>
    </row>
    <row r="563" spans="2:6" ht="17">
      <c r="B563" s="341"/>
      <c r="F563" s="341"/>
    </row>
    <row r="564" spans="2:6" ht="17">
      <c r="B564" s="341"/>
      <c r="F564" s="341"/>
    </row>
    <row r="565" spans="2:6" ht="17">
      <c r="B565" s="341"/>
      <c r="F565" s="341"/>
    </row>
    <row r="566" spans="2:6" ht="17">
      <c r="B566" s="341"/>
      <c r="F566" s="341"/>
    </row>
    <row r="567" spans="2:6" ht="17">
      <c r="B567" s="341"/>
      <c r="F567" s="341"/>
    </row>
    <row r="568" spans="2:6" ht="17">
      <c r="B568" s="341"/>
      <c r="F568" s="341"/>
    </row>
    <row r="569" spans="2:6" ht="17">
      <c r="B569" s="341"/>
      <c r="F569" s="341"/>
    </row>
    <row r="570" spans="2:6" ht="17">
      <c r="B570" s="341"/>
      <c r="F570" s="341"/>
    </row>
    <row r="571" spans="2:6" ht="17">
      <c r="B571" s="341"/>
      <c r="F571" s="341"/>
    </row>
    <row r="572" spans="2:6" ht="17">
      <c r="B572" s="341"/>
      <c r="F572" s="341"/>
    </row>
    <row r="573" spans="2:6" ht="17">
      <c r="B573" s="341"/>
      <c r="F573" s="341"/>
    </row>
    <row r="574" spans="2:6" ht="17">
      <c r="B574" s="341"/>
      <c r="F574" s="341"/>
    </row>
    <row r="575" spans="2:6" ht="17">
      <c r="B575" s="341"/>
      <c r="F575" s="341"/>
    </row>
    <row r="576" spans="2:6" ht="17">
      <c r="B576" s="341"/>
      <c r="F576" s="341"/>
    </row>
    <row r="577" spans="2:6" ht="17">
      <c r="B577" s="341"/>
      <c r="F577" s="341"/>
    </row>
    <row r="578" spans="2:6" ht="17">
      <c r="B578" s="341"/>
      <c r="F578" s="341"/>
    </row>
    <row r="579" spans="2:6" ht="17">
      <c r="B579" s="341"/>
      <c r="F579" s="341"/>
    </row>
    <row r="580" spans="2:6" ht="17">
      <c r="B580" s="341"/>
      <c r="F580" s="341"/>
    </row>
    <row r="581" spans="2:6" ht="17">
      <c r="B581" s="341"/>
      <c r="F581" s="341"/>
    </row>
    <row r="582" spans="2:6" ht="17">
      <c r="B582" s="341"/>
      <c r="F582" s="341"/>
    </row>
    <row r="583" spans="2:6" ht="17">
      <c r="B583" s="341"/>
      <c r="F583" s="341"/>
    </row>
    <row r="584" spans="2:6" ht="17">
      <c r="B584" s="341"/>
      <c r="F584" s="341"/>
    </row>
    <row r="585" spans="2:6" ht="17">
      <c r="B585" s="341"/>
      <c r="F585" s="341"/>
    </row>
    <row r="586" spans="2:6" ht="17">
      <c r="B586" s="341"/>
      <c r="F586" s="341"/>
    </row>
    <row r="587" spans="2:6" ht="17">
      <c r="B587" s="341"/>
      <c r="F587" s="341"/>
    </row>
    <row r="588" spans="2:6" ht="17">
      <c r="B588" s="341"/>
      <c r="F588" s="341"/>
    </row>
    <row r="589" spans="2:6" ht="17">
      <c r="B589" s="341"/>
      <c r="F589" s="341"/>
    </row>
    <row r="590" spans="2:6" ht="17">
      <c r="B590" s="341"/>
      <c r="F590" s="341"/>
    </row>
    <row r="591" spans="2:6" ht="17">
      <c r="B591" s="341"/>
      <c r="F591" s="341"/>
    </row>
    <row r="592" spans="2:6" ht="17">
      <c r="B592" s="341"/>
      <c r="F592" s="341"/>
    </row>
    <row r="593" spans="2:6" ht="17">
      <c r="B593" s="341"/>
      <c r="F593" s="341"/>
    </row>
    <row r="594" spans="2:6" ht="17">
      <c r="B594" s="341"/>
      <c r="F594" s="341"/>
    </row>
    <row r="595" spans="2:6" ht="17">
      <c r="B595" s="341"/>
      <c r="F595" s="341"/>
    </row>
    <row r="596" spans="2:6" ht="17">
      <c r="B596" s="341"/>
      <c r="F596" s="341"/>
    </row>
    <row r="597" spans="2:6" ht="17">
      <c r="B597" s="341"/>
      <c r="F597" s="341"/>
    </row>
    <row r="598" spans="2:6" ht="17">
      <c r="B598" s="341"/>
      <c r="F598" s="341"/>
    </row>
    <row r="599" spans="2:6" ht="17">
      <c r="B599" s="341"/>
      <c r="F599" s="341"/>
    </row>
    <row r="600" spans="2:6" ht="17">
      <c r="B600" s="341"/>
      <c r="F600" s="341"/>
    </row>
    <row r="601" spans="2:6" ht="17">
      <c r="B601" s="341"/>
      <c r="F601" s="341"/>
    </row>
    <row r="602" spans="2:6" ht="17">
      <c r="B602" s="341"/>
      <c r="F602" s="341"/>
    </row>
    <row r="603" spans="2:6" ht="17">
      <c r="B603" s="341"/>
      <c r="F603" s="341"/>
    </row>
    <row r="604" spans="2:6" ht="17">
      <c r="B604" s="341"/>
      <c r="F604" s="341"/>
    </row>
    <row r="605" spans="2:6" ht="17">
      <c r="B605" s="341"/>
      <c r="F605" s="341"/>
    </row>
    <row r="606" spans="2:6" ht="17">
      <c r="B606" s="341"/>
      <c r="F606" s="341"/>
    </row>
    <row r="607" spans="2:6" ht="17">
      <c r="B607" s="341"/>
      <c r="F607" s="341"/>
    </row>
    <row r="608" spans="2:6" ht="17">
      <c r="B608" s="341"/>
      <c r="F608" s="341"/>
    </row>
    <row r="609" spans="2:6" ht="17">
      <c r="B609" s="341"/>
      <c r="F609" s="341"/>
    </row>
    <row r="610" spans="2:6" ht="17">
      <c r="B610" s="341"/>
      <c r="F610" s="341"/>
    </row>
    <row r="611" spans="2:6" ht="17">
      <c r="B611" s="341"/>
      <c r="F611" s="341"/>
    </row>
    <row r="612" spans="2:6" ht="17">
      <c r="B612" s="341"/>
      <c r="F612" s="341"/>
    </row>
    <row r="613" spans="2:6" ht="17">
      <c r="B613" s="341"/>
      <c r="F613" s="341"/>
    </row>
    <row r="614" spans="2:6" ht="17">
      <c r="B614" s="341"/>
      <c r="F614" s="341"/>
    </row>
    <row r="615" spans="2:6" ht="17">
      <c r="B615" s="341"/>
      <c r="F615" s="341"/>
    </row>
    <row r="616" spans="2:6" ht="17">
      <c r="B616" s="341"/>
      <c r="F616" s="341"/>
    </row>
    <row r="617" spans="2:6" ht="17">
      <c r="B617" s="341"/>
      <c r="F617" s="341"/>
    </row>
    <row r="618" spans="2:6" ht="17">
      <c r="B618" s="341"/>
      <c r="F618" s="341"/>
    </row>
    <row r="619" spans="2:6" ht="17">
      <c r="B619" s="341"/>
      <c r="F619" s="341"/>
    </row>
    <row r="620" spans="2:6" ht="17">
      <c r="B620" s="341"/>
      <c r="F620" s="341"/>
    </row>
    <row r="621" spans="2:6" ht="17">
      <c r="B621" s="341"/>
      <c r="F621" s="341"/>
    </row>
    <row r="622" spans="2:6" ht="17">
      <c r="B622" s="341"/>
      <c r="F622" s="341"/>
    </row>
    <row r="623" spans="2:6" ht="17">
      <c r="B623" s="341"/>
      <c r="F623" s="341"/>
    </row>
    <row r="624" spans="2:6" ht="17">
      <c r="B624" s="341"/>
      <c r="F624" s="341"/>
    </row>
    <row r="625" spans="2:6" ht="17">
      <c r="B625" s="341"/>
      <c r="F625" s="341"/>
    </row>
    <row r="626" spans="2:6" ht="17">
      <c r="B626" s="341"/>
      <c r="F626" s="341"/>
    </row>
    <row r="627" spans="2:6" ht="17">
      <c r="B627" s="341"/>
      <c r="F627" s="341"/>
    </row>
    <row r="628" spans="2:6" ht="17">
      <c r="B628" s="341"/>
      <c r="F628" s="341"/>
    </row>
    <row r="629" spans="2:6" ht="17">
      <c r="B629" s="341"/>
      <c r="F629" s="341"/>
    </row>
    <row r="630" spans="2:6" ht="17">
      <c r="B630" s="341"/>
      <c r="F630" s="341"/>
    </row>
    <row r="631" spans="2:6" ht="17">
      <c r="B631" s="341"/>
      <c r="F631" s="341"/>
    </row>
    <row r="632" spans="2:6" ht="17">
      <c r="B632" s="341"/>
      <c r="F632" s="341"/>
    </row>
    <row r="633" spans="2:6" ht="17">
      <c r="B633" s="341"/>
      <c r="F633" s="341"/>
    </row>
    <row r="634" spans="2:6" ht="17">
      <c r="B634" s="341"/>
      <c r="F634" s="341"/>
    </row>
    <row r="635" spans="2:6" ht="17">
      <c r="B635" s="341"/>
      <c r="F635" s="341"/>
    </row>
    <row r="636" spans="2:6" ht="17">
      <c r="B636" s="341"/>
      <c r="F636" s="341"/>
    </row>
    <row r="637" spans="2:6" ht="17">
      <c r="B637" s="341"/>
      <c r="F637" s="341"/>
    </row>
    <row r="638" spans="2:6" ht="17">
      <c r="B638" s="341"/>
      <c r="F638" s="341"/>
    </row>
    <row r="639" spans="2:6" ht="17">
      <c r="B639" s="341"/>
      <c r="F639" s="341"/>
    </row>
    <row r="640" spans="2:6" ht="17">
      <c r="B640" s="341"/>
      <c r="F640" s="341"/>
    </row>
    <row r="641" spans="2:6" ht="17">
      <c r="B641" s="341"/>
      <c r="F641" s="341"/>
    </row>
    <row r="642" spans="2:6" ht="17">
      <c r="B642" s="341"/>
      <c r="F642" s="341"/>
    </row>
    <row r="643" spans="2:6" ht="17">
      <c r="B643" s="341"/>
      <c r="F643" s="341"/>
    </row>
    <row r="644" spans="2:6" ht="17">
      <c r="B644" s="341"/>
      <c r="F644" s="341"/>
    </row>
    <row r="645" spans="2:6" ht="17">
      <c r="B645" s="341"/>
      <c r="F645" s="341"/>
    </row>
    <row r="646" spans="2:6" ht="17">
      <c r="B646" s="341"/>
      <c r="F646" s="341"/>
    </row>
    <row r="647" spans="2:6" ht="17">
      <c r="B647" s="341"/>
      <c r="F647" s="341"/>
    </row>
    <row r="648" spans="2:6" ht="17">
      <c r="B648" s="341"/>
      <c r="F648" s="341"/>
    </row>
    <row r="649" spans="2:6" ht="17">
      <c r="B649" s="341"/>
      <c r="F649" s="341"/>
    </row>
    <row r="650" spans="2:6" ht="17">
      <c r="B650" s="341"/>
      <c r="F650" s="341"/>
    </row>
    <row r="651" spans="2:6" ht="17">
      <c r="B651" s="341"/>
      <c r="F651" s="341"/>
    </row>
    <row r="652" spans="2:6" ht="17">
      <c r="B652" s="341"/>
      <c r="F652" s="341"/>
    </row>
    <row r="653" spans="2:6" ht="17">
      <c r="B653" s="341"/>
      <c r="F653" s="341"/>
    </row>
    <row r="654" spans="2:6" ht="17">
      <c r="B654" s="341"/>
      <c r="F654" s="341"/>
    </row>
    <row r="655" spans="2:6" ht="17">
      <c r="B655" s="341"/>
      <c r="F655" s="341"/>
    </row>
    <row r="656" spans="2:6" ht="17">
      <c r="B656" s="341"/>
      <c r="F656" s="341"/>
    </row>
    <row r="657" spans="2:6" ht="17">
      <c r="B657" s="341"/>
      <c r="F657" s="341"/>
    </row>
    <row r="658" spans="2:6" ht="17">
      <c r="B658" s="341"/>
      <c r="F658" s="341"/>
    </row>
    <row r="659" spans="2:6" ht="17">
      <c r="B659" s="341"/>
      <c r="F659" s="341"/>
    </row>
    <row r="660" spans="2:6" ht="17">
      <c r="B660" s="341"/>
      <c r="F660" s="341"/>
    </row>
    <row r="661" spans="2:6" ht="17">
      <c r="B661" s="341"/>
      <c r="F661" s="341"/>
    </row>
    <row r="662" spans="2:6" ht="17">
      <c r="B662" s="341"/>
      <c r="F662" s="341"/>
    </row>
    <row r="663" spans="2:6" ht="17">
      <c r="B663" s="341"/>
      <c r="F663" s="341"/>
    </row>
    <row r="664" spans="2:6" ht="17">
      <c r="B664" s="341"/>
      <c r="F664" s="341"/>
    </row>
    <row r="665" spans="2:6" ht="17">
      <c r="B665" s="341"/>
      <c r="F665" s="341"/>
    </row>
    <row r="666" spans="2:6" ht="17">
      <c r="B666" s="341"/>
      <c r="F666" s="341"/>
    </row>
    <row r="667" spans="2:6" ht="17">
      <c r="B667" s="341"/>
      <c r="F667" s="341"/>
    </row>
    <row r="668" spans="2:6" ht="17">
      <c r="B668" s="341"/>
      <c r="F668" s="341"/>
    </row>
    <row r="669" spans="2:6" ht="17">
      <c r="B669" s="341"/>
      <c r="F669" s="341"/>
    </row>
    <row r="670" spans="2:6" ht="17">
      <c r="B670" s="341"/>
      <c r="F670" s="341"/>
    </row>
    <row r="671" spans="2:6" ht="17">
      <c r="B671" s="341"/>
      <c r="F671" s="341"/>
    </row>
    <row r="672" spans="2:6" ht="17">
      <c r="B672" s="341"/>
      <c r="F672" s="341"/>
    </row>
    <row r="673" spans="2:6" ht="17">
      <c r="B673" s="341"/>
      <c r="F673" s="341"/>
    </row>
    <row r="674" spans="2:6" ht="17">
      <c r="B674" s="341"/>
      <c r="F674" s="341"/>
    </row>
    <row r="675" spans="2:6" ht="17">
      <c r="B675" s="341"/>
      <c r="F675" s="341"/>
    </row>
    <row r="676" spans="2:6" ht="17">
      <c r="B676" s="341"/>
      <c r="F676" s="341"/>
    </row>
    <row r="677" spans="2:6" ht="17">
      <c r="B677" s="341"/>
      <c r="F677" s="341"/>
    </row>
    <row r="678" spans="2:6" ht="17">
      <c r="B678" s="341"/>
      <c r="F678" s="341"/>
    </row>
    <row r="679" spans="2:6" ht="17">
      <c r="B679" s="341"/>
      <c r="F679" s="341"/>
    </row>
    <row r="680" spans="2:6" ht="17">
      <c r="B680" s="341"/>
      <c r="F680" s="341"/>
    </row>
    <row r="681" spans="2:6" ht="17">
      <c r="B681" s="341"/>
      <c r="F681" s="341"/>
    </row>
    <row r="682" spans="2:6" ht="17">
      <c r="B682" s="341"/>
      <c r="F682" s="341"/>
    </row>
    <row r="683" spans="2:6" ht="17">
      <c r="B683" s="341"/>
      <c r="F683" s="341"/>
    </row>
    <row r="684" spans="2:6" ht="17">
      <c r="B684" s="341"/>
      <c r="F684" s="341"/>
    </row>
    <row r="685" spans="2:6" ht="17">
      <c r="B685" s="341"/>
      <c r="F685" s="341"/>
    </row>
    <row r="686" spans="2:6" ht="17">
      <c r="B686" s="341"/>
      <c r="F686" s="341"/>
    </row>
    <row r="687" spans="2:6" ht="17">
      <c r="B687" s="341"/>
      <c r="F687" s="341"/>
    </row>
    <row r="688" spans="2:6" ht="17">
      <c r="B688" s="341"/>
      <c r="F688" s="341"/>
    </row>
    <row r="689" spans="2:6" ht="17">
      <c r="B689" s="341"/>
      <c r="F689" s="341"/>
    </row>
    <row r="690" spans="2:6" ht="17">
      <c r="B690" s="341"/>
      <c r="F690" s="341"/>
    </row>
    <row r="691" spans="2:6" ht="17">
      <c r="B691" s="341"/>
      <c r="F691" s="341"/>
    </row>
    <row r="692" spans="2:6" ht="17">
      <c r="B692" s="341"/>
      <c r="F692" s="341"/>
    </row>
    <row r="693" spans="2:6" ht="17">
      <c r="B693" s="341"/>
      <c r="F693" s="341"/>
    </row>
    <row r="694" spans="2:6" ht="17">
      <c r="B694" s="341"/>
      <c r="F694" s="341"/>
    </row>
    <row r="695" spans="2:6" ht="17">
      <c r="B695" s="341"/>
      <c r="F695" s="341"/>
    </row>
    <row r="696" spans="2:6" ht="17">
      <c r="B696" s="341"/>
      <c r="F696" s="341"/>
    </row>
    <row r="697" spans="2:6" ht="17">
      <c r="B697" s="341"/>
      <c r="F697" s="341"/>
    </row>
    <row r="698" spans="2:6" ht="17">
      <c r="B698" s="341"/>
      <c r="F698" s="341"/>
    </row>
    <row r="699" spans="2:6" ht="17">
      <c r="B699" s="341"/>
      <c r="F699" s="341"/>
    </row>
    <row r="700" spans="2:6" ht="17">
      <c r="B700" s="341"/>
      <c r="F700" s="341"/>
    </row>
    <row r="701" spans="2:6" ht="17">
      <c r="B701" s="341"/>
      <c r="F701" s="341"/>
    </row>
    <row r="702" spans="2:6" ht="17">
      <c r="B702" s="341"/>
      <c r="F702" s="341"/>
    </row>
    <row r="703" spans="2:6" ht="17">
      <c r="B703" s="341"/>
      <c r="F703" s="341"/>
    </row>
    <row r="704" spans="2:6" ht="17">
      <c r="B704" s="341"/>
      <c r="F704" s="341"/>
    </row>
    <row r="705" spans="2:6" ht="17">
      <c r="B705" s="341"/>
      <c r="F705" s="341"/>
    </row>
    <row r="706" spans="2:6" ht="17">
      <c r="B706" s="341"/>
      <c r="F706" s="341"/>
    </row>
    <row r="707" spans="2:6" ht="17">
      <c r="B707" s="341"/>
      <c r="F707" s="341"/>
    </row>
    <row r="708" spans="2:6" ht="17">
      <c r="B708" s="341"/>
      <c r="F708" s="341"/>
    </row>
    <row r="709" spans="2:6" ht="17">
      <c r="B709" s="341"/>
      <c r="F709" s="341"/>
    </row>
    <row r="710" spans="2:6" ht="17">
      <c r="B710" s="341"/>
      <c r="F710" s="341"/>
    </row>
    <row r="711" spans="2:6" ht="17">
      <c r="B711" s="341"/>
      <c r="F711" s="341"/>
    </row>
    <row r="712" spans="2:6" ht="17">
      <c r="B712" s="341"/>
      <c r="F712" s="341"/>
    </row>
    <row r="713" spans="2:6" ht="17">
      <c r="B713" s="341"/>
      <c r="F713" s="341"/>
    </row>
    <row r="714" spans="2:6" ht="17">
      <c r="B714" s="341"/>
      <c r="F714" s="341"/>
    </row>
    <row r="715" spans="2:6" ht="17">
      <c r="B715" s="341"/>
      <c r="F715" s="341"/>
    </row>
    <row r="716" spans="2:6" ht="17">
      <c r="B716" s="341"/>
      <c r="F716" s="341"/>
    </row>
    <row r="717" spans="2:6" ht="17">
      <c r="B717" s="341"/>
      <c r="F717" s="341"/>
    </row>
    <row r="718" spans="2:6" ht="17">
      <c r="B718" s="341"/>
      <c r="F718" s="341"/>
    </row>
    <row r="719" spans="2:6" ht="17">
      <c r="B719" s="341"/>
      <c r="F719" s="341"/>
    </row>
    <row r="720" spans="2:6" ht="17">
      <c r="B720" s="341"/>
      <c r="F720" s="341"/>
    </row>
    <row r="721" spans="2:6" ht="17">
      <c r="B721" s="341"/>
      <c r="F721" s="341"/>
    </row>
    <row r="722" spans="2:6" ht="17">
      <c r="B722" s="341"/>
      <c r="F722" s="341"/>
    </row>
    <row r="723" spans="2:6" ht="17">
      <c r="B723" s="341"/>
      <c r="F723" s="341"/>
    </row>
    <row r="724" spans="2:6" ht="17">
      <c r="B724" s="341"/>
      <c r="F724" s="341"/>
    </row>
    <row r="725" spans="2:6" ht="17">
      <c r="B725" s="341"/>
      <c r="F725" s="341"/>
    </row>
    <row r="726" spans="2:6" ht="17">
      <c r="B726" s="341"/>
      <c r="F726" s="341"/>
    </row>
    <row r="727" spans="2:6" ht="17">
      <c r="B727" s="341"/>
      <c r="F727" s="341"/>
    </row>
    <row r="728" spans="2:6" ht="17">
      <c r="B728" s="341"/>
      <c r="F728" s="341"/>
    </row>
    <row r="729" spans="2:6" ht="17">
      <c r="B729" s="341"/>
      <c r="F729" s="341"/>
    </row>
    <row r="730" spans="2:6" ht="17">
      <c r="B730" s="341"/>
      <c r="F730" s="341"/>
    </row>
    <row r="731" spans="2:6" ht="17">
      <c r="B731" s="341"/>
      <c r="F731" s="341"/>
    </row>
    <row r="732" spans="2:6" ht="17">
      <c r="B732" s="341"/>
      <c r="F732" s="341"/>
    </row>
    <row r="733" spans="2:6" ht="17">
      <c r="B733" s="341"/>
      <c r="F733" s="341"/>
    </row>
    <row r="734" spans="2:6" ht="17">
      <c r="B734" s="341"/>
      <c r="F734" s="341"/>
    </row>
    <row r="735" spans="2:6" ht="17">
      <c r="B735" s="341"/>
      <c r="F735" s="341"/>
    </row>
    <row r="736" spans="2:6" ht="17">
      <c r="B736" s="341"/>
      <c r="F736" s="341"/>
    </row>
    <row r="737" spans="2:6" ht="17">
      <c r="B737" s="341"/>
      <c r="F737" s="341"/>
    </row>
    <row r="738" spans="2:6" ht="17">
      <c r="B738" s="341"/>
      <c r="F738" s="341"/>
    </row>
    <row r="739" spans="2:6" ht="17">
      <c r="B739" s="341"/>
      <c r="F739" s="341"/>
    </row>
    <row r="740" spans="2:6" ht="17">
      <c r="B740" s="341"/>
      <c r="F740" s="341"/>
    </row>
    <row r="741" spans="2:6" ht="17">
      <c r="B741" s="341"/>
      <c r="F741" s="341"/>
    </row>
    <row r="742" spans="2:6" ht="17">
      <c r="B742" s="341"/>
      <c r="F742" s="341"/>
    </row>
    <row r="743" spans="2:6" ht="17">
      <c r="B743" s="341"/>
      <c r="F743" s="341"/>
    </row>
    <row r="744" spans="2:6" ht="17">
      <c r="B744" s="341"/>
      <c r="F744" s="341"/>
    </row>
    <row r="745" spans="2:6" ht="17">
      <c r="B745" s="341"/>
      <c r="F745" s="341"/>
    </row>
    <row r="746" spans="2:6" ht="17">
      <c r="B746" s="341"/>
      <c r="F746" s="341"/>
    </row>
    <row r="747" spans="2:6" ht="17">
      <c r="B747" s="341"/>
      <c r="F747" s="341"/>
    </row>
    <row r="748" spans="2:6" ht="17">
      <c r="B748" s="341"/>
      <c r="F748" s="341"/>
    </row>
    <row r="749" spans="2:6" ht="17">
      <c r="B749" s="341"/>
      <c r="F749" s="341"/>
    </row>
    <row r="750" spans="2:6" ht="17">
      <c r="B750" s="341"/>
      <c r="F750" s="341"/>
    </row>
    <row r="751" spans="2:6" ht="17">
      <c r="B751" s="341"/>
      <c r="F751" s="341"/>
    </row>
    <row r="752" spans="2:6" ht="17">
      <c r="B752" s="341"/>
      <c r="F752" s="341"/>
    </row>
    <row r="753" spans="2:6" ht="17">
      <c r="B753" s="341"/>
      <c r="F753" s="341"/>
    </row>
    <row r="754" spans="2:6" ht="17">
      <c r="B754" s="341"/>
      <c r="F754" s="341"/>
    </row>
    <row r="755" spans="2:6" ht="17">
      <c r="B755" s="341"/>
      <c r="F755" s="341"/>
    </row>
    <row r="756" spans="2:6" ht="17">
      <c r="B756" s="341"/>
      <c r="F756" s="341"/>
    </row>
    <row r="757" spans="2:6" ht="17">
      <c r="B757" s="341"/>
      <c r="F757" s="341"/>
    </row>
    <row r="758" spans="2:6" ht="17">
      <c r="B758" s="341"/>
      <c r="F758" s="341"/>
    </row>
    <row r="759" spans="2:6" ht="17">
      <c r="B759" s="341"/>
      <c r="F759" s="341"/>
    </row>
    <row r="760" spans="2:6" ht="17">
      <c r="B760" s="341"/>
      <c r="F760" s="341"/>
    </row>
    <row r="761" spans="2:6" ht="17">
      <c r="B761" s="341"/>
      <c r="F761" s="341"/>
    </row>
    <row r="762" spans="2:6" ht="17">
      <c r="B762" s="341"/>
      <c r="F762" s="341"/>
    </row>
    <row r="763" spans="2:6" ht="17">
      <c r="B763" s="341"/>
      <c r="F763" s="341"/>
    </row>
    <row r="764" spans="2:6" ht="17">
      <c r="B764" s="341"/>
      <c r="F764" s="341"/>
    </row>
    <row r="765" spans="2:6" ht="17">
      <c r="B765" s="341"/>
      <c r="F765" s="341"/>
    </row>
    <row r="766" spans="2:6" ht="17">
      <c r="B766" s="341"/>
      <c r="F766" s="341"/>
    </row>
    <row r="767" spans="2:6" ht="17">
      <c r="B767" s="341"/>
      <c r="F767" s="341"/>
    </row>
    <row r="768" spans="2:6" ht="17">
      <c r="B768" s="341"/>
      <c r="F768" s="341"/>
    </row>
    <row r="769" spans="2:6" ht="17">
      <c r="B769" s="341"/>
      <c r="F769" s="341"/>
    </row>
    <row r="770" spans="2:6" ht="17">
      <c r="B770" s="341"/>
      <c r="F770" s="341"/>
    </row>
    <row r="771" spans="2:6" ht="17">
      <c r="B771" s="341"/>
      <c r="F771" s="341"/>
    </row>
    <row r="772" spans="2:6" ht="17">
      <c r="B772" s="341"/>
      <c r="F772" s="341"/>
    </row>
    <row r="773" spans="2:6" ht="17">
      <c r="B773" s="341"/>
      <c r="F773" s="341"/>
    </row>
    <row r="774" spans="2:6" ht="17">
      <c r="B774" s="341"/>
      <c r="F774" s="341"/>
    </row>
    <row r="775" spans="2:6" ht="17">
      <c r="B775" s="341"/>
      <c r="F775" s="341"/>
    </row>
    <row r="776" spans="2:6" ht="17">
      <c r="B776" s="341"/>
      <c r="F776" s="341"/>
    </row>
    <row r="777" spans="2:6" ht="17">
      <c r="B777" s="341"/>
      <c r="F777" s="341"/>
    </row>
    <row r="778" spans="2:6" ht="17">
      <c r="B778" s="341"/>
      <c r="F778" s="341"/>
    </row>
    <row r="779" spans="2:6" ht="17">
      <c r="B779" s="341"/>
      <c r="F779" s="341"/>
    </row>
    <row r="780" spans="2:6" ht="17">
      <c r="B780" s="341"/>
      <c r="F780" s="341"/>
    </row>
    <row r="781" spans="2:6" ht="17">
      <c r="B781" s="341"/>
      <c r="F781" s="341"/>
    </row>
    <row r="782" spans="2:6" ht="17">
      <c r="B782" s="341"/>
      <c r="F782" s="341"/>
    </row>
    <row r="783" spans="2:6" ht="17">
      <c r="B783" s="341"/>
      <c r="F783" s="341"/>
    </row>
    <row r="784" spans="2:6" ht="17">
      <c r="B784" s="341"/>
      <c r="F784" s="341"/>
    </row>
    <row r="785" spans="2:6" ht="17">
      <c r="B785" s="341"/>
      <c r="F785" s="341"/>
    </row>
    <row r="786" spans="2:6" ht="17">
      <c r="B786" s="341"/>
      <c r="F786" s="341"/>
    </row>
    <row r="787" spans="2:6" ht="17">
      <c r="B787" s="341"/>
      <c r="F787" s="341"/>
    </row>
    <row r="788" spans="2:6" ht="17">
      <c r="B788" s="341"/>
      <c r="F788" s="341"/>
    </row>
    <row r="789" spans="2:6" ht="17">
      <c r="B789" s="341"/>
      <c r="F789" s="341"/>
    </row>
    <row r="790" spans="2:6" ht="17">
      <c r="B790" s="341"/>
      <c r="F790" s="341"/>
    </row>
    <row r="791" spans="2:6" ht="17">
      <c r="B791" s="341"/>
      <c r="F791" s="341"/>
    </row>
    <row r="792" spans="2:6" ht="17">
      <c r="B792" s="341"/>
      <c r="F792" s="341"/>
    </row>
    <row r="793" spans="2:6" ht="17">
      <c r="B793" s="341"/>
      <c r="F793" s="341"/>
    </row>
    <row r="794" spans="2:6" ht="17">
      <c r="B794" s="341"/>
      <c r="F794" s="341"/>
    </row>
    <row r="795" spans="2:6" ht="17">
      <c r="B795" s="341"/>
      <c r="F795" s="341"/>
    </row>
    <row r="796" spans="2:6" ht="17">
      <c r="B796" s="341"/>
      <c r="F796" s="341"/>
    </row>
    <row r="797" spans="2:6" ht="17">
      <c r="B797" s="341"/>
      <c r="F797" s="341"/>
    </row>
    <row r="798" spans="2:6" ht="17">
      <c r="B798" s="341"/>
      <c r="F798" s="341"/>
    </row>
    <row r="799" spans="2:6" ht="17">
      <c r="B799" s="341"/>
      <c r="F799" s="341"/>
    </row>
    <row r="800" spans="2:6" ht="17">
      <c r="B800" s="341"/>
      <c r="F800" s="341"/>
    </row>
    <row r="801" spans="2:6" ht="17">
      <c r="B801" s="341"/>
      <c r="F801" s="341"/>
    </row>
    <row r="802" spans="2:6" ht="17">
      <c r="B802" s="341"/>
      <c r="F802" s="341"/>
    </row>
    <row r="803" spans="2:6" ht="17">
      <c r="B803" s="341"/>
      <c r="F803" s="341"/>
    </row>
    <row r="804" spans="2:6" ht="17">
      <c r="B804" s="341"/>
      <c r="F804" s="341"/>
    </row>
    <row r="805" spans="2:6" ht="17">
      <c r="B805" s="341"/>
      <c r="F805" s="341"/>
    </row>
    <row r="806" spans="2:6" ht="17">
      <c r="B806" s="341"/>
      <c r="F806" s="341"/>
    </row>
    <row r="807" spans="2:6" ht="17">
      <c r="B807" s="341"/>
      <c r="F807" s="341"/>
    </row>
    <row r="808" spans="2:6" ht="17">
      <c r="B808" s="341"/>
      <c r="F808" s="341"/>
    </row>
    <row r="809" spans="2:6" ht="17">
      <c r="B809" s="341"/>
      <c r="F809" s="341"/>
    </row>
    <row r="810" spans="2:6" ht="17">
      <c r="B810" s="341"/>
      <c r="F810" s="341"/>
    </row>
    <row r="811" spans="2:6" ht="17">
      <c r="B811" s="341"/>
      <c r="F811" s="341"/>
    </row>
    <row r="812" spans="2:6" ht="17">
      <c r="B812" s="341"/>
      <c r="F812" s="341"/>
    </row>
    <row r="813" spans="2:6" ht="17">
      <c r="B813" s="341"/>
      <c r="F813" s="341"/>
    </row>
    <row r="814" spans="2:6" ht="17">
      <c r="B814" s="341"/>
      <c r="F814" s="341"/>
    </row>
    <row r="815" spans="2:6" ht="17">
      <c r="B815" s="341"/>
      <c r="F815" s="341"/>
    </row>
    <row r="816" spans="2:6" ht="17">
      <c r="B816" s="341"/>
      <c r="F816" s="341"/>
    </row>
    <row r="817" spans="2:6" ht="17">
      <c r="B817" s="341"/>
      <c r="F817" s="341"/>
    </row>
    <row r="818" spans="2:6" ht="17">
      <c r="B818" s="341"/>
      <c r="F818" s="341"/>
    </row>
    <row r="819" spans="2:6" ht="17">
      <c r="B819" s="341"/>
      <c r="F819" s="341"/>
    </row>
    <row r="820" spans="2:6" ht="17">
      <c r="B820" s="341"/>
      <c r="F820" s="341"/>
    </row>
    <row r="821" spans="2:6" ht="17">
      <c r="B821" s="341"/>
      <c r="F821" s="341"/>
    </row>
    <row r="822" spans="2:6" ht="17">
      <c r="B822" s="341"/>
      <c r="F822" s="341"/>
    </row>
    <row r="823" spans="2:6" ht="17">
      <c r="B823" s="341"/>
      <c r="F823" s="341"/>
    </row>
    <row r="824" spans="2:6" ht="17">
      <c r="B824" s="341"/>
      <c r="F824" s="341"/>
    </row>
    <row r="825" spans="2:6" ht="17">
      <c r="B825" s="341"/>
      <c r="F825" s="341"/>
    </row>
    <row r="826" spans="2:6" ht="17">
      <c r="B826" s="341"/>
      <c r="F826" s="341"/>
    </row>
    <row r="827" spans="2:6" ht="17">
      <c r="B827" s="341"/>
      <c r="F827" s="341"/>
    </row>
    <row r="828" spans="2:6" ht="17">
      <c r="B828" s="341"/>
      <c r="F828" s="341"/>
    </row>
    <row r="829" spans="2:6" ht="17">
      <c r="B829" s="341"/>
      <c r="F829" s="341"/>
    </row>
    <row r="830" spans="2:6" ht="17">
      <c r="B830" s="341"/>
      <c r="F830" s="341"/>
    </row>
    <row r="831" spans="2:6" ht="17">
      <c r="B831" s="341"/>
      <c r="F831" s="341"/>
    </row>
    <row r="832" spans="2:6" ht="17">
      <c r="B832" s="341"/>
      <c r="F832" s="341"/>
    </row>
    <row r="833" spans="2:6" ht="17">
      <c r="B833" s="341"/>
      <c r="F833" s="341"/>
    </row>
    <row r="834" spans="2:6" ht="17">
      <c r="B834" s="341"/>
      <c r="F834" s="341"/>
    </row>
    <row r="835" spans="2:6" ht="17">
      <c r="B835" s="341"/>
      <c r="F835" s="341"/>
    </row>
    <row r="836" spans="2:6" ht="17">
      <c r="B836" s="341"/>
      <c r="F836" s="341"/>
    </row>
    <row r="837" spans="2:6" ht="17">
      <c r="B837" s="341"/>
      <c r="F837" s="341"/>
    </row>
    <row r="838" spans="2:6" ht="17">
      <c r="B838" s="341"/>
      <c r="F838" s="341"/>
    </row>
    <row r="839" spans="2:6" ht="17">
      <c r="B839" s="341"/>
      <c r="F839" s="341"/>
    </row>
    <row r="840" spans="2:6" ht="17">
      <c r="B840" s="341"/>
      <c r="F840" s="341"/>
    </row>
    <row r="841" spans="2:6" ht="17">
      <c r="B841" s="341"/>
      <c r="F841" s="341"/>
    </row>
    <row r="842" spans="2:6" ht="17">
      <c r="B842" s="341"/>
      <c r="F842" s="341"/>
    </row>
    <row r="843" spans="2:6" ht="17">
      <c r="B843" s="341"/>
      <c r="F843" s="341"/>
    </row>
    <row r="844" spans="2:6" ht="17">
      <c r="B844" s="341"/>
      <c r="F844" s="341"/>
    </row>
    <row r="845" spans="2:6" ht="17">
      <c r="B845" s="341"/>
      <c r="F845" s="341"/>
    </row>
    <row r="846" spans="2:6" ht="17">
      <c r="B846" s="341"/>
      <c r="F846" s="341"/>
    </row>
    <row r="847" spans="2:6" ht="17">
      <c r="B847" s="341"/>
      <c r="F847" s="341"/>
    </row>
    <row r="848" spans="2:6" ht="17">
      <c r="B848" s="341"/>
      <c r="F848" s="341"/>
    </row>
    <row r="849" spans="2:6" ht="17">
      <c r="B849" s="341"/>
      <c r="F849" s="341"/>
    </row>
    <row r="850" spans="2:6" ht="17">
      <c r="B850" s="341"/>
      <c r="F850" s="341"/>
    </row>
    <row r="851" spans="2:6" ht="17">
      <c r="B851" s="341"/>
      <c r="F851" s="341"/>
    </row>
    <row r="852" spans="2:6" ht="17">
      <c r="B852" s="341"/>
      <c r="F852" s="341"/>
    </row>
    <row r="853" spans="2:6" ht="17">
      <c r="B853" s="341"/>
      <c r="F853" s="341"/>
    </row>
    <row r="854" spans="2:6" ht="17">
      <c r="B854" s="341"/>
      <c r="F854" s="341"/>
    </row>
    <row r="855" spans="2:6" ht="17">
      <c r="B855" s="341"/>
      <c r="F855" s="341"/>
    </row>
    <row r="856" spans="2:6" ht="17">
      <c r="B856" s="341"/>
      <c r="F856" s="341"/>
    </row>
    <row r="857" spans="2:6" ht="17">
      <c r="B857" s="341"/>
      <c r="F857" s="341"/>
    </row>
    <row r="858" spans="2:6" ht="17">
      <c r="B858" s="341"/>
      <c r="F858" s="341"/>
    </row>
    <row r="859" spans="2:6" ht="17">
      <c r="B859" s="341"/>
      <c r="F859" s="341"/>
    </row>
    <row r="860" spans="2:6" ht="17">
      <c r="B860" s="341"/>
      <c r="F860" s="341"/>
    </row>
    <row r="861" spans="2:6" ht="17">
      <c r="B861" s="341"/>
      <c r="F861" s="341"/>
    </row>
    <row r="862" spans="2:6" ht="17">
      <c r="B862" s="341"/>
      <c r="F862" s="341"/>
    </row>
    <row r="863" spans="2:6" ht="17">
      <c r="B863" s="341"/>
      <c r="F863" s="341"/>
    </row>
    <row r="864" spans="2:6" ht="17">
      <c r="B864" s="341"/>
      <c r="F864" s="341"/>
    </row>
    <row r="865" spans="2:6" ht="17">
      <c r="B865" s="341"/>
      <c r="F865" s="341"/>
    </row>
    <row r="866" spans="2:6" ht="17">
      <c r="B866" s="341"/>
      <c r="F866" s="341"/>
    </row>
    <row r="867" spans="2:6" ht="17">
      <c r="B867" s="341"/>
      <c r="F867" s="341"/>
    </row>
    <row r="868" spans="2:6" ht="17">
      <c r="B868" s="341"/>
      <c r="F868" s="341"/>
    </row>
    <row r="869" spans="2:6" ht="17">
      <c r="B869" s="341"/>
      <c r="F869" s="341"/>
    </row>
    <row r="870" spans="2:6" ht="17">
      <c r="B870" s="341"/>
      <c r="F870" s="341"/>
    </row>
    <row r="871" spans="2:6" ht="17">
      <c r="B871" s="341"/>
      <c r="F871" s="341"/>
    </row>
    <row r="872" spans="2:6" ht="17">
      <c r="B872" s="341"/>
      <c r="F872" s="341"/>
    </row>
    <row r="873" spans="2:6" ht="17">
      <c r="B873" s="341"/>
      <c r="F873" s="341"/>
    </row>
    <row r="874" spans="2:6" ht="17">
      <c r="B874" s="341"/>
      <c r="F874" s="341"/>
    </row>
    <row r="875" spans="2:6" ht="17">
      <c r="B875" s="341"/>
      <c r="F875" s="341"/>
    </row>
    <row r="876" spans="2:6" ht="17">
      <c r="B876" s="341"/>
      <c r="F876" s="341"/>
    </row>
    <row r="877" spans="2:6" ht="17">
      <c r="B877" s="341"/>
      <c r="F877" s="341"/>
    </row>
    <row r="878" spans="2:6" ht="17">
      <c r="B878" s="341"/>
      <c r="F878" s="341"/>
    </row>
    <row r="879" spans="2:6" ht="17">
      <c r="B879" s="341"/>
      <c r="F879" s="341"/>
    </row>
    <row r="880" spans="2:6" ht="17">
      <c r="B880" s="341"/>
      <c r="F880" s="341"/>
    </row>
    <row r="881" spans="2:6" ht="17">
      <c r="B881" s="341"/>
      <c r="F881" s="341"/>
    </row>
    <row r="882" spans="2:6" ht="17">
      <c r="B882" s="341"/>
      <c r="F882" s="341"/>
    </row>
    <row r="883" spans="2:6" ht="17">
      <c r="B883" s="341"/>
      <c r="F883" s="341"/>
    </row>
    <row r="884" spans="2:6" ht="17">
      <c r="B884" s="341"/>
      <c r="F884" s="341"/>
    </row>
    <row r="885" spans="2:6" ht="17">
      <c r="B885" s="341"/>
      <c r="F885" s="341"/>
    </row>
    <row r="886" spans="2:6" ht="17">
      <c r="B886" s="341"/>
      <c r="F886" s="341"/>
    </row>
    <row r="887" spans="2:6" ht="17">
      <c r="B887" s="341"/>
      <c r="F887" s="341"/>
    </row>
    <row r="888" spans="2:6" ht="17">
      <c r="B888" s="341"/>
      <c r="F888" s="341"/>
    </row>
    <row r="889" spans="2:6" ht="17">
      <c r="B889" s="341"/>
      <c r="F889" s="341"/>
    </row>
    <row r="890" spans="2:6" ht="17">
      <c r="B890" s="341"/>
      <c r="F890" s="341"/>
    </row>
    <row r="891" spans="2:6" ht="17">
      <c r="B891" s="341"/>
      <c r="F891" s="341"/>
    </row>
    <row r="892" spans="2:6" ht="17">
      <c r="B892" s="341"/>
      <c r="F892" s="341"/>
    </row>
    <row r="893" spans="2:6" ht="17">
      <c r="B893" s="341"/>
      <c r="F893" s="341"/>
    </row>
    <row r="894" spans="2:6" ht="17">
      <c r="B894" s="341"/>
      <c r="F894" s="341"/>
    </row>
    <row r="895" spans="2:6" ht="17">
      <c r="B895" s="341"/>
      <c r="F895" s="341"/>
    </row>
    <row r="896" spans="2:6" ht="17">
      <c r="B896" s="341"/>
      <c r="F896" s="341"/>
    </row>
    <row r="897" spans="2:6" ht="17">
      <c r="B897" s="341"/>
      <c r="F897" s="341"/>
    </row>
    <row r="898" spans="2:6" ht="17">
      <c r="B898" s="341"/>
      <c r="F898" s="341"/>
    </row>
    <row r="899" spans="2:6" ht="17">
      <c r="B899" s="341"/>
      <c r="F899" s="341"/>
    </row>
    <row r="900" spans="2:6" ht="17">
      <c r="B900" s="341"/>
      <c r="F900" s="341"/>
    </row>
    <row r="901" spans="2:6" ht="17">
      <c r="B901" s="341"/>
      <c r="F901" s="341"/>
    </row>
    <row r="902" spans="2:6" ht="17">
      <c r="B902" s="341"/>
      <c r="F902" s="341"/>
    </row>
    <row r="903" spans="2:6" ht="17">
      <c r="B903" s="341"/>
      <c r="F903" s="341"/>
    </row>
    <row r="904" spans="2:6" ht="17">
      <c r="B904" s="341"/>
      <c r="F904" s="341"/>
    </row>
    <row r="905" spans="2:6" ht="17">
      <c r="B905" s="341"/>
      <c r="F905" s="341"/>
    </row>
    <row r="906" spans="2:6" ht="17">
      <c r="B906" s="341"/>
      <c r="F906" s="341"/>
    </row>
    <row r="907" spans="2:6" ht="17">
      <c r="B907" s="341"/>
      <c r="F907" s="341"/>
    </row>
    <row r="908" spans="2:6" ht="17">
      <c r="B908" s="341"/>
      <c r="F908" s="341"/>
    </row>
    <row r="909" spans="2:6" ht="17">
      <c r="B909" s="341"/>
      <c r="F909" s="341"/>
    </row>
    <row r="910" spans="2:6" ht="17">
      <c r="B910" s="341"/>
      <c r="F910" s="341"/>
    </row>
    <row r="911" spans="2:6" ht="17">
      <c r="B911" s="341"/>
      <c r="F911" s="341"/>
    </row>
    <row r="912" spans="2:6" ht="17">
      <c r="B912" s="341"/>
      <c r="F912" s="341"/>
    </row>
    <row r="913" spans="2:6" ht="17">
      <c r="B913" s="341"/>
      <c r="F913" s="341"/>
    </row>
    <row r="914" spans="2:6" ht="17">
      <c r="B914" s="341"/>
      <c r="F914" s="341"/>
    </row>
    <row r="915" spans="2:6" ht="17">
      <c r="B915" s="341"/>
      <c r="F915" s="341"/>
    </row>
    <row r="916" spans="2:6" ht="17">
      <c r="B916" s="341"/>
      <c r="F916" s="341"/>
    </row>
    <row r="917" spans="2:6" ht="17">
      <c r="B917" s="341"/>
      <c r="F917" s="341"/>
    </row>
    <row r="918" spans="2:6" ht="17">
      <c r="B918" s="341"/>
      <c r="F918" s="341"/>
    </row>
    <row r="919" spans="2:6" ht="17">
      <c r="B919" s="341"/>
      <c r="F919" s="341"/>
    </row>
    <row r="920" spans="2:6" ht="17">
      <c r="B920" s="341"/>
      <c r="F920" s="341"/>
    </row>
    <row r="921" spans="2:6" ht="17">
      <c r="B921" s="341"/>
      <c r="F921" s="341"/>
    </row>
    <row r="922" spans="2:6" ht="17">
      <c r="B922" s="341"/>
      <c r="F922" s="341"/>
    </row>
    <row r="923" spans="2:6" ht="17">
      <c r="B923" s="341"/>
      <c r="F923" s="341"/>
    </row>
    <row r="924" spans="2:6" ht="17">
      <c r="B924" s="341"/>
      <c r="F924" s="341"/>
    </row>
    <row r="925" spans="2:6" ht="17">
      <c r="B925" s="341"/>
      <c r="F925" s="341"/>
    </row>
    <row r="926" spans="2:6" ht="17">
      <c r="B926" s="341"/>
      <c r="F926" s="341"/>
    </row>
    <row r="927" spans="2:6" ht="17">
      <c r="B927" s="341"/>
      <c r="F927" s="341"/>
    </row>
    <row r="928" spans="2:6" ht="17">
      <c r="B928" s="341"/>
      <c r="F928" s="341"/>
    </row>
    <row r="929" spans="2:6" ht="17">
      <c r="B929" s="341"/>
      <c r="F929" s="341"/>
    </row>
    <row r="930" spans="2:6" ht="17">
      <c r="B930" s="341"/>
      <c r="F930" s="341"/>
    </row>
    <row r="931" spans="2:6" ht="17">
      <c r="B931" s="341"/>
      <c r="F931" s="341"/>
    </row>
    <row r="932" spans="2:6" ht="17">
      <c r="B932" s="341"/>
      <c r="F932" s="341"/>
    </row>
    <row r="933" spans="2:6" ht="17">
      <c r="B933" s="341"/>
      <c r="F933" s="341"/>
    </row>
    <row r="934" spans="2:6" ht="17">
      <c r="B934" s="341"/>
      <c r="F934" s="341"/>
    </row>
    <row r="935" spans="2:6" ht="17">
      <c r="B935" s="341"/>
      <c r="F935" s="341"/>
    </row>
    <row r="936" spans="2:6" ht="17">
      <c r="B936" s="341"/>
      <c r="F936" s="341"/>
    </row>
    <row r="937" spans="2:6" ht="17">
      <c r="B937" s="341"/>
      <c r="F937" s="341"/>
    </row>
    <row r="938" spans="2:6" ht="17">
      <c r="B938" s="341"/>
      <c r="F938" s="341"/>
    </row>
    <row r="939" spans="2:6" ht="17">
      <c r="B939" s="341"/>
      <c r="F939" s="341"/>
    </row>
    <row r="940" spans="2:6" ht="17">
      <c r="B940" s="341"/>
      <c r="F940" s="341"/>
    </row>
    <row r="941" spans="2:6" ht="17">
      <c r="B941" s="341"/>
      <c r="F941" s="341"/>
    </row>
    <row r="942" spans="2:6" ht="17">
      <c r="B942" s="341"/>
      <c r="F942" s="341"/>
    </row>
    <row r="943" spans="2:6" ht="17">
      <c r="B943" s="341"/>
      <c r="F943" s="341"/>
    </row>
    <row r="944" spans="2:6" ht="17">
      <c r="B944" s="341"/>
      <c r="F944" s="341"/>
    </row>
    <row r="945" spans="2:6" ht="17">
      <c r="B945" s="341"/>
      <c r="F945" s="341"/>
    </row>
    <row r="946" spans="2:6" ht="17">
      <c r="B946" s="341"/>
      <c r="F946" s="341"/>
    </row>
    <row r="947" spans="2:6" ht="17">
      <c r="B947" s="341"/>
      <c r="F947" s="341"/>
    </row>
    <row r="948" spans="2:6" ht="17">
      <c r="B948" s="341"/>
      <c r="F948" s="341"/>
    </row>
    <row r="949" spans="2:6" ht="17">
      <c r="B949" s="341"/>
      <c r="F949" s="341"/>
    </row>
    <row r="950" spans="2:6" ht="17">
      <c r="B950" s="341"/>
      <c r="F950" s="341"/>
    </row>
    <row r="951" spans="2:6" ht="17">
      <c r="B951" s="341"/>
      <c r="F951" s="341"/>
    </row>
    <row r="952" spans="2:6" ht="17">
      <c r="B952" s="341"/>
      <c r="F952" s="341"/>
    </row>
    <row r="953" spans="2:6" ht="17">
      <c r="B953" s="341"/>
      <c r="F953" s="341"/>
    </row>
    <row r="954" spans="2:6" ht="17">
      <c r="B954" s="341"/>
      <c r="F954" s="341"/>
    </row>
    <row r="955" spans="2:6" ht="17">
      <c r="B955" s="341"/>
      <c r="F955" s="341"/>
    </row>
    <row r="956" spans="2:6" ht="17">
      <c r="B956" s="341"/>
      <c r="F956" s="341"/>
    </row>
    <row r="957" spans="2:6" ht="17">
      <c r="B957" s="341"/>
      <c r="F957" s="341"/>
    </row>
    <row r="958" spans="2:6" ht="17">
      <c r="B958" s="341"/>
      <c r="F958" s="341"/>
    </row>
    <row r="959" spans="2:6" ht="17">
      <c r="B959" s="341"/>
      <c r="F959" s="341"/>
    </row>
    <row r="960" spans="2:6" ht="17">
      <c r="B960" s="341"/>
      <c r="F960" s="341"/>
    </row>
    <row r="961" spans="2:6" ht="17">
      <c r="B961" s="341"/>
      <c r="F961" s="341"/>
    </row>
    <row r="962" spans="2:6" ht="17">
      <c r="B962" s="341"/>
      <c r="F962" s="341"/>
    </row>
    <row r="963" spans="2:6" ht="17">
      <c r="B963" s="341"/>
      <c r="F963" s="341"/>
    </row>
    <row r="964" spans="2:6" ht="17">
      <c r="B964" s="341"/>
      <c r="F964" s="341"/>
    </row>
    <row r="965" spans="2:6" ht="17">
      <c r="B965" s="341"/>
      <c r="F965" s="341"/>
    </row>
    <row r="966" spans="2:6" ht="17">
      <c r="B966" s="341"/>
      <c r="F966" s="341"/>
    </row>
    <row r="967" spans="2:6" ht="17">
      <c r="B967" s="341"/>
      <c r="F967" s="341"/>
    </row>
    <row r="968" spans="2:6" ht="17">
      <c r="B968" s="341"/>
      <c r="F968" s="341"/>
    </row>
    <row r="969" spans="2:6" ht="17">
      <c r="B969" s="341"/>
      <c r="F969" s="341"/>
    </row>
    <row r="970" spans="2:6" ht="17">
      <c r="B970" s="341"/>
      <c r="F970" s="341"/>
    </row>
    <row r="971" spans="2:6" ht="17">
      <c r="B971" s="341"/>
      <c r="F971" s="341"/>
    </row>
    <row r="972" spans="2:6" ht="17">
      <c r="B972" s="341"/>
      <c r="F972" s="341"/>
    </row>
    <row r="973" spans="2:6" ht="17">
      <c r="B973" s="341"/>
      <c r="F973" s="341"/>
    </row>
    <row r="974" spans="2:6" ht="17">
      <c r="B974" s="341"/>
      <c r="F974" s="341"/>
    </row>
    <row r="975" spans="2:6" ht="17">
      <c r="B975" s="341"/>
      <c r="F975" s="341"/>
    </row>
    <row r="976" spans="2:6" ht="17">
      <c r="B976" s="341"/>
      <c r="F976" s="341"/>
    </row>
    <row r="977" spans="2:6" ht="17">
      <c r="B977" s="341"/>
      <c r="F977" s="341"/>
    </row>
    <row r="978" spans="2:6" ht="17">
      <c r="B978" s="341"/>
      <c r="F978" s="341"/>
    </row>
    <row r="979" spans="2:6" ht="17">
      <c r="B979" s="341"/>
      <c r="F979" s="341"/>
    </row>
    <row r="980" spans="2:6" ht="17">
      <c r="B980" s="341"/>
      <c r="F980" s="341"/>
    </row>
    <row r="981" spans="2:6" ht="17">
      <c r="B981" s="341"/>
      <c r="F981" s="341"/>
    </row>
    <row r="982" spans="2:6" ht="17">
      <c r="B982" s="341"/>
      <c r="F982" s="341"/>
    </row>
    <row r="983" spans="2:6" ht="17">
      <c r="B983" s="341"/>
      <c r="F983" s="341"/>
    </row>
    <row r="984" spans="2:6" ht="17">
      <c r="B984" s="341"/>
      <c r="F984" s="341"/>
    </row>
    <row r="985" spans="2:6" ht="17">
      <c r="B985" s="341"/>
      <c r="F985" s="341"/>
    </row>
    <row r="986" spans="2:6" ht="17">
      <c r="B986" s="341"/>
      <c r="F986" s="341"/>
    </row>
    <row r="987" spans="2:6" ht="17">
      <c r="B987" s="341"/>
      <c r="F987" s="341"/>
    </row>
    <row r="988" spans="2:6" ht="17">
      <c r="B988" s="341"/>
      <c r="F988" s="341"/>
    </row>
    <row r="989" spans="2:6" ht="17">
      <c r="B989" s="341"/>
      <c r="F989" s="341"/>
    </row>
    <row r="990" spans="2:6" ht="17">
      <c r="B990" s="341"/>
      <c r="F990" s="341"/>
    </row>
    <row r="991" spans="2:6" ht="17">
      <c r="B991" s="341"/>
      <c r="F991" s="341"/>
    </row>
    <row r="992" spans="2:6" ht="17">
      <c r="B992" s="341"/>
      <c r="F992" s="341"/>
    </row>
    <row r="993" spans="2:6" ht="17">
      <c r="B993" s="341"/>
      <c r="F993" s="341"/>
    </row>
    <row r="994" spans="2:6" ht="17">
      <c r="B994" s="341"/>
      <c r="F994" s="341"/>
    </row>
    <row r="995" spans="2:6" ht="17">
      <c r="B995" s="341"/>
      <c r="F995" s="341"/>
    </row>
    <row r="996" spans="2:6" ht="17">
      <c r="B996" s="341"/>
      <c r="F996" s="341"/>
    </row>
    <row r="997" spans="2:6" ht="17">
      <c r="B997" s="341"/>
      <c r="F997" s="341"/>
    </row>
    <row r="998" spans="2:6" ht="17">
      <c r="B998" s="341"/>
      <c r="F998" s="341"/>
    </row>
    <row r="999" spans="2:6" ht="17">
      <c r="B999" s="341"/>
      <c r="F999" s="341"/>
    </row>
    <row r="1000" spans="2:6" ht="17">
      <c r="B1000" s="341"/>
      <c r="F1000" s="341"/>
    </row>
  </sheetData>
  <mergeCells count="8">
    <mergeCell ref="B12:C12"/>
    <mergeCell ref="F12:G12"/>
    <mergeCell ref="J12:K12"/>
    <mergeCell ref="B2:M2"/>
    <mergeCell ref="B9:M9"/>
    <mergeCell ref="B11:C11"/>
    <mergeCell ref="F11:G11"/>
    <mergeCell ref="J11:K11"/>
  </mergeCells>
  <hyperlinks>
    <hyperlink ref="C4" r:id="rId1" xr:uid="{00000000-0004-0000-0D00-000000000000}"/>
    <hyperlink ref="G4" r:id="rId2" xr:uid="{00000000-0004-0000-0D00-000001000000}"/>
    <hyperlink ref="K4" r:id="rId3" xr:uid="{00000000-0004-0000-0D00-000002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2:J14"/>
  <sheetViews>
    <sheetView showGridLines="0" topLeftCell="E5" workbookViewId="0">
      <selection activeCell="F9" sqref="F9"/>
    </sheetView>
  </sheetViews>
  <sheetFormatPr baseColWidth="10" defaultColWidth="12.6640625" defaultRowHeight="15.75" customHeight="1"/>
  <cols>
    <col min="1" max="1" width="12.6640625" style="63"/>
    <col min="2" max="2" width="49.6640625" style="63" customWidth="1"/>
    <col min="3" max="3" width="62.33203125" style="63" customWidth="1"/>
    <col min="4" max="4" width="12.6640625" style="63"/>
    <col min="5" max="5" width="36.1640625" style="63" bestFit="1" customWidth="1"/>
    <col min="6" max="6" width="79.6640625" style="63" bestFit="1" customWidth="1"/>
    <col min="7" max="7" width="12.6640625" style="63"/>
    <col min="8" max="8" width="51.1640625" style="63" customWidth="1"/>
    <col min="9" max="9" width="63.5" style="63" customWidth="1"/>
    <col min="10" max="10" width="8.1640625" style="63" customWidth="1"/>
    <col min="11" max="16384" width="12.6640625" style="63"/>
  </cols>
  <sheetData>
    <row r="2" spans="2:10" s="63" customFormat="1" ht="15.75" customHeight="1">
      <c r="B2" s="370" t="s">
        <v>428</v>
      </c>
      <c r="C2" s="70"/>
      <c r="D2" s="70"/>
      <c r="E2" s="70"/>
      <c r="F2" s="70"/>
      <c r="G2" s="70"/>
      <c r="H2" s="70"/>
      <c r="I2" s="70"/>
    </row>
    <row r="3" spans="2:10" s="63" customFormat="1" ht="15.75" customHeight="1">
      <c r="B3" s="371"/>
      <c r="C3" s="371"/>
      <c r="D3" s="371"/>
      <c r="E3" s="371"/>
      <c r="F3" s="371"/>
      <c r="G3" s="371"/>
      <c r="H3" s="371"/>
      <c r="I3" s="371"/>
    </row>
    <row r="4" spans="2:10" s="63" customFormat="1" ht="15.75" customHeight="1">
      <c r="B4" s="105" t="s">
        <v>429</v>
      </c>
      <c r="C4" s="107"/>
      <c r="D4" s="372" t="s">
        <v>78</v>
      </c>
      <c r="E4" s="105" t="s">
        <v>430</v>
      </c>
      <c r="F4" s="107"/>
      <c r="G4" s="372" t="s">
        <v>78</v>
      </c>
      <c r="H4" s="105" t="s">
        <v>431</v>
      </c>
      <c r="I4" s="107"/>
      <c r="J4" s="373" t="s">
        <v>78</v>
      </c>
    </row>
    <row r="5" spans="2:10" s="63" customFormat="1" ht="15.75" customHeight="1">
      <c r="B5" s="120" t="s">
        <v>347</v>
      </c>
      <c r="C5" s="374">
        <v>20000000</v>
      </c>
      <c r="D5" s="104"/>
      <c r="E5" s="120" t="s">
        <v>347</v>
      </c>
      <c r="F5" s="374">
        <v>10900000</v>
      </c>
      <c r="G5" s="104"/>
      <c r="H5" s="120" t="s">
        <v>347</v>
      </c>
      <c r="I5" s="374">
        <v>36466640</v>
      </c>
    </row>
    <row r="6" spans="2:10" s="63" customFormat="1" ht="25" customHeight="1">
      <c r="B6" s="375" t="s">
        <v>432</v>
      </c>
      <c r="C6" s="107"/>
      <c r="D6" s="104"/>
      <c r="E6" s="120" t="s">
        <v>433</v>
      </c>
      <c r="F6" s="120" t="s">
        <v>434</v>
      </c>
      <c r="G6" s="104"/>
      <c r="H6" s="120" t="s">
        <v>433</v>
      </c>
      <c r="I6" s="120" t="s">
        <v>434</v>
      </c>
    </row>
    <row r="7" spans="2:10" s="63" customFormat="1" ht="27" customHeight="1">
      <c r="B7" s="120" t="s">
        <v>435</v>
      </c>
      <c r="C7" s="120" t="s">
        <v>436</v>
      </c>
      <c r="D7" s="104"/>
      <c r="E7" s="375" t="s">
        <v>432</v>
      </c>
      <c r="F7" s="107"/>
      <c r="G7" s="104"/>
      <c r="H7" s="375" t="s">
        <v>432</v>
      </c>
      <c r="I7" s="107"/>
    </row>
    <row r="8" spans="2:10" s="63" customFormat="1" ht="124" customHeight="1">
      <c r="B8" s="153" t="s">
        <v>437</v>
      </c>
      <c r="C8" s="153" t="s">
        <v>438</v>
      </c>
      <c r="D8" s="104"/>
      <c r="E8" s="120" t="s">
        <v>435</v>
      </c>
      <c r="F8" s="120" t="s">
        <v>439</v>
      </c>
      <c r="G8" s="104"/>
      <c r="H8" s="120" t="s">
        <v>440</v>
      </c>
      <c r="I8" s="153" t="s">
        <v>441</v>
      </c>
    </row>
    <row r="9" spans="2:10" s="63" customFormat="1" ht="73" customHeight="1">
      <c r="B9" s="120" t="s">
        <v>442</v>
      </c>
      <c r="C9" s="153" t="s">
        <v>443</v>
      </c>
      <c r="D9" s="104"/>
      <c r="E9" s="153" t="s">
        <v>444</v>
      </c>
      <c r="F9" s="120" t="s">
        <v>445</v>
      </c>
      <c r="G9" s="104"/>
      <c r="H9" s="375" t="s">
        <v>446</v>
      </c>
      <c r="I9" s="107"/>
    </row>
    <row r="10" spans="2:10" s="63" customFormat="1" ht="28" customHeight="1">
      <c r="B10" s="120" t="s">
        <v>447</v>
      </c>
      <c r="C10" s="120" t="s">
        <v>448</v>
      </c>
      <c r="D10" s="104"/>
      <c r="E10" s="120" t="s">
        <v>449</v>
      </c>
      <c r="F10" s="120" t="s">
        <v>450</v>
      </c>
      <c r="G10" s="104"/>
      <c r="H10" s="120" t="s">
        <v>435</v>
      </c>
      <c r="I10" s="120" t="s">
        <v>451</v>
      </c>
    </row>
    <row r="11" spans="2:10" s="63" customFormat="1" ht="36">
      <c r="B11" s="375" t="s">
        <v>452</v>
      </c>
      <c r="C11" s="107"/>
      <c r="D11" s="104"/>
      <c r="E11" s="153" t="s">
        <v>453</v>
      </c>
      <c r="F11" s="120" t="s">
        <v>454</v>
      </c>
      <c r="G11" s="104"/>
      <c r="H11" s="153" t="s">
        <v>444</v>
      </c>
      <c r="I11" s="120" t="s">
        <v>451</v>
      </c>
    </row>
    <row r="12" spans="2:10" s="63" customFormat="1" ht="108">
      <c r="B12" s="376" t="s">
        <v>455</v>
      </c>
      <c r="C12" s="377" t="s">
        <v>456</v>
      </c>
      <c r="D12" s="378"/>
      <c r="E12" s="120" t="s">
        <v>457</v>
      </c>
      <c r="F12" s="153" t="s">
        <v>458</v>
      </c>
      <c r="G12" s="104"/>
      <c r="H12" s="120" t="s">
        <v>459</v>
      </c>
      <c r="I12" s="120" t="s">
        <v>460</v>
      </c>
    </row>
    <row r="13" spans="2:10" s="63" customFormat="1" ht="143" customHeight="1">
      <c r="B13" s="376" t="s">
        <v>461</v>
      </c>
      <c r="C13" s="377" t="s">
        <v>462</v>
      </c>
      <c r="D13" s="378"/>
      <c r="E13" s="120" t="s">
        <v>447</v>
      </c>
      <c r="F13" s="120" t="s">
        <v>448</v>
      </c>
      <c r="G13" s="104"/>
      <c r="H13" s="120" t="s">
        <v>447</v>
      </c>
      <c r="I13" s="120" t="s">
        <v>463</v>
      </c>
    </row>
    <row r="14" spans="2:10" s="63" customFormat="1" ht="377">
      <c r="B14" s="376" t="s">
        <v>464</v>
      </c>
      <c r="C14" s="377" t="s">
        <v>465</v>
      </c>
      <c r="D14" s="378"/>
      <c r="E14" s="120" t="s">
        <v>466</v>
      </c>
      <c r="F14" s="153" t="s">
        <v>467</v>
      </c>
      <c r="G14" s="104"/>
      <c r="H14" s="120" t="s">
        <v>468</v>
      </c>
      <c r="I14" s="120" t="s">
        <v>469</v>
      </c>
    </row>
  </sheetData>
  <mergeCells count="9">
    <mergeCell ref="B6:C6"/>
    <mergeCell ref="B11:C11"/>
    <mergeCell ref="B2:I2"/>
    <mergeCell ref="B4:C4"/>
    <mergeCell ref="E4:F4"/>
    <mergeCell ref="H4:I4"/>
    <mergeCell ref="E7:F7"/>
    <mergeCell ref="H7:I7"/>
    <mergeCell ref="H9:I9"/>
  </mergeCells>
  <hyperlinks>
    <hyperlink ref="D4" r:id="rId1" xr:uid="{00000000-0004-0000-0E00-000000000000}"/>
    <hyperlink ref="G4" r:id="rId2" xr:uid="{00000000-0004-0000-0E00-000001000000}"/>
    <hyperlink ref="J4" r:id="rId3" location="toc-31-san-pham-an-phat-tron-doi" xr:uid="{00000000-0004-0000-0E00-000002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BN23"/>
  <sheetViews>
    <sheetView showGridLines="0" workbookViewId="0">
      <pane xSplit="1" topLeftCell="B1" activePane="topRight" state="frozen"/>
      <selection pane="topRight" activeCell="A18" sqref="A18"/>
    </sheetView>
  </sheetViews>
  <sheetFormatPr baseColWidth="10" defaultColWidth="15.5" defaultRowHeight="15.75" customHeight="1"/>
  <cols>
    <col min="1" max="1" width="66.5" style="63" customWidth="1"/>
    <col min="2" max="16384" width="15.5" style="63"/>
  </cols>
  <sheetData>
    <row r="1" spans="1:66" ht="15.75" customHeight="1">
      <c r="A1" s="51" t="s">
        <v>237</v>
      </c>
      <c r="B1" s="279">
        <v>2024</v>
      </c>
      <c r="C1" s="53">
        <v>2025</v>
      </c>
      <c r="D1" s="53">
        <f t="shared" ref="D1:BN1" si="0">C1+1</f>
        <v>2026</v>
      </c>
      <c r="E1" s="53">
        <f t="shared" si="0"/>
        <v>2027</v>
      </c>
      <c r="F1" s="53">
        <f t="shared" si="0"/>
        <v>2028</v>
      </c>
      <c r="G1" s="53">
        <f t="shared" si="0"/>
        <v>2029</v>
      </c>
      <c r="H1" s="53">
        <f t="shared" si="0"/>
        <v>2030</v>
      </c>
      <c r="I1" s="53">
        <f t="shared" si="0"/>
        <v>2031</v>
      </c>
      <c r="J1" s="53">
        <f t="shared" si="0"/>
        <v>2032</v>
      </c>
      <c r="K1" s="53">
        <f t="shared" si="0"/>
        <v>2033</v>
      </c>
      <c r="L1" s="53">
        <f t="shared" si="0"/>
        <v>2034</v>
      </c>
      <c r="M1" s="53">
        <f t="shared" si="0"/>
        <v>2035</v>
      </c>
      <c r="N1" s="53">
        <f t="shared" si="0"/>
        <v>2036</v>
      </c>
      <c r="O1" s="53">
        <f t="shared" si="0"/>
        <v>2037</v>
      </c>
      <c r="P1" s="53">
        <f t="shared" si="0"/>
        <v>2038</v>
      </c>
      <c r="Q1" s="53">
        <f t="shared" si="0"/>
        <v>2039</v>
      </c>
      <c r="R1" s="53">
        <f t="shared" si="0"/>
        <v>2040</v>
      </c>
      <c r="S1" s="53">
        <f t="shared" si="0"/>
        <v>2041</v>
      </c>
      <c r="T1" s="53">
        <f t="shared" si="0"/>
        <v>2042</v>
      </c>
      <c r="U1" s="53">
        <f t="shared" si="0"/>
        <v>2043</v>
      </c>
      <c r="V1" s="53">
        <f t="shared" si="0"/>
        <v>2044</v>
      </c>
      <c r="W1" s="53">
        <f t="shared" si="0"/>
        <v>2045</v>
      </c>
      <c r="X1" s="57">
        <f t="shared" si="0"/>
        <v>2046</v>
      </c>
      <c r="Y1" s="57">
        <f t="shared" si="0"/>
        <v>2047</v>
      </c>
      <c r="Z1" s="57">
        <f t="shared" si="0"/>
        <v>2048</v>
      </c>
      <c r="AA1" s="57">
        <f t="shared" si="0"/>
        <v>2049</v>
      </c>
      <c r="AB1" s="57">
        <f t="shared" si="0"/>
        <v>2050</v>
      </c>
      <c r="AC1" s="57">
        <f t="shared" si="0"/>
        <v>2051</v>
      </c>
      <c r="AD1" s="57">
        <f t="shared" si="0"/>
        <v>2052</v>
      </c>
      <c r="AE1" s="57">
        <f t="shared" si="0"/>
        <v>2053</v>
      </c>
      <c r="AF1" s="57">
        <f t="shared" si="0"/>
        <v>2054</v>
      </c>
      <c r="AG1" s="57">
        <f t="shared" si="0"/>
        <v>2055</v>
      </c>
      <c r="AH1" s="57">
        <f t="shared" si="0"/>
        <v>2056</v>
      </c>
      <c r="AI1" s="57">
        <f t="shared" si="0"/>
        <v>2057</v>
      </c>
      <c r="AJ1" s="57">
        <f t="shared" si="0"/>
        <v>2058</v>
      </c>
      <c r="AK1" s="57">
        <f t="shared" si="0"/>
        <v>2059</v>
      </c>
      <c r="AL1" s="57">
        <f t="shared" si="0"/>
        <v>2060</v>
      </c>
      <c r="AM1" s="57">
        <f t="shared" si="0"/>
        <v>2061</v>
      </c>
      <c r="AN1" s="57">
        <f t="shared" si="0"/>
        <v>2062</v>
      </c>
      <c r="AO1" s="57">
        <f t="shared" si="0"/>
        <v>2063</v>
      </c>
      <c r="AP1" s="57">
        <f t="shared" si="0"/>
        <v>2064</v>
      </c>
      <c r="AQ1" s="57">
        <f t="shared" si="0"/>
        <v>2065</v>
      </c>
      <c r="AR1" s="57">
        <f t="shared" si="0"/>
        <v>2066</v>
      </c>
      <c r="AS1" s="57">
        <f t="shared" si="0"/>
        <v>2067</v>
      </c>
      <c r="AT1" s="57">
        <f t="shared" si="0"/>
        <v>2068</v>
      </c>
      <c r="AU1" s="57">
        <f t="shared" si="0"/>
        <v>2069</v>
      </c>
      <c r="AV1" s="57">
        <f t="shared" si="0"/>
        <v>2070</v>
      </c>
      <c r="AW1" s="57">
        <f t="shared" si="0"/>
        <v>2071</v>
      </c>
      <c r="AX1" s="57">
        <f t="shared" si="0"/>
        <v>2072</v>
      </c>
      <c r="AY1" s="59">
        <f t="shared" si="0"/>
        <v>2073</v>
      </c>
      <c r="AZ1" s="280">
        <f t="shared" si="0"/>
        <v>2074</v>
      </c>
      <c r="BA1" s="62">
        <f t="shared" si="0"/>
        <v>2075</v>
      </c>
      <c r="BB1" s="62">
        <f t="shared" si="0"/>
        <v>2076</v>
      </c>
      <c r="BC1" s="62">
        <f t="shared" si="0"/>
        <v>2077</v>
      </c>
      <c r="BD1" s="62">
        <f t="shared" si="0"/>
        <v>2078</v>
      </c>
      <c r="BE1" s="62">
        <f t="shared" si="0"/>
        <v>2079</v>
      </c>
      <c r="BF1" s="62">
        <f t="shared" si="0"/>
        <v>2080</v>
      </c>
      <c r="BG1" s="62">
        <f t="shared" si="0"/>
        <v>2081</v>
      </c>
      <c r="BH1" s="62">
        <f t="shared" si="0"/>
        <v>2082</v>
      </c>
      <c r="BI1" s="62">
        <f t="shared" si="0"/>
        <v>2083</v>
      </c>
      <c r="BJ1" s="62">
        <f t="shared" si="0"/>
        <v>2084</v>
      </c>
      <c r="BK1" s="62">
        <f t="shared" si="0"/>
        <v>2085</v>
      </c>
      <c r="BL1" s="62">
        <f t="shared" si="0"/>
        <v>2086</v>
      </c>
      <c r="BM1" s="62">
        <f t="shared" si="0"/>
        <v>2087</v>
      </c>
      <c r="BN1" s="62">
        <f t="shared" si="0"/>
        <v>2088</v>
      </c>
    </row>
    <row r="2" spans="1:66" ht="15.75" customHeight="1">
      <c r="A2" s="64" t="s">
        <v>238</v>
      </c>
      <c r="B2" s="65">
        <v>0</v>
      </c>
      <c r="C2" s="66">
        <v>1</v>
      </c>
      <c r="D2" s="66">
        <v>2</v>
      </c>
      <c r="E2" s="66">
        <f t="shared" ref="E2:BN2" si="1">D2+1</f>
        <v>3</v>
      </c>
      <c r="F2" s="66">
        <f t="shared" si="1"/>
        <v>4</v>
      </c>
      <c r="G2" s="66">
        <f t="shared" si="1"/>
        <v>5</v>
      </c>
      <c r="H2" s="66">
        <f t="shared" si="1"/>
        <v>6</v>
      </c>
      <c r="I2" s="66">
        <f t="shared" si="1"/>
        <v>7</v>
      </c>
      <c r="J2" s="66">
        <f t="shared" si="1"/>
        <v>8</v>
      </c>
      <c r="K2" s="66">
        <f t="shared" si="1"/>
        <v>9</v>
      </c>
      <c r="L2" s="66">
        <f t="shared" si="1"/>
        <v>10</v>
      </c>
      <c r="M2" s="66">
        <f t="shared" si="1"/>
        <v>11</v>
      </c>
      <c r="N2" s="66">
        <f t="shared" si="1"/>
        <v>12</v>
      </c>
      <c r="O2" s="66">
        <f t="shared" si="1"/>
        <v>13</v>
      </c>
      <c r="P2" s="66">
        <f t="shared" si="1"/>
        <v>14</v>
      </c>
      <c r="Q2" s="66">
        <f t="shared" si="1"/>
        <v>15</v>
      </c>
      <c r="R2" s="66">
        <f t="shared" si="1"/>
        <v>16</v>
      </c>
      <c r="S2" s="66">
        <f t="shared" si="1"/>
        <v>17</v>
      </c>
      <c r="T2" s="66">
        <f t="shared" si="1"/>
        <v>18</v>
      </c>
      <c r="U2" s="66">
        <f t="shared" si="1"/>
        <v>19</v>
      </c>
      <c r="V2" s="66">
        <f t="shared" si="1"/>
        <v>20</v>
      </c>
      <c r="W2" s="66">
        <f t="shared" si="1"/>
        <v>21</v>
      </c>
      <c r="X2" s="66">
        <f t="shared" si="1"/>
        <v>22</v>
      </c>
      <c r="Y2" s="66">
        <f t="shared" si="1"/>
        <v>23</v>
      </c>
      <c r="Z2" s="66">
        <f t="shared" si="1"/>
        <v>24</v>
      </c>
      <c r="AA2" s="66">
        <f t="shared" si="1"/>
        <v>25</v>
      </c>
      <c r="AB2" s="66">
        <f t="shared" si="1"/>
        <v>26</v>
      </c>
      <c r="AC2" s="66">
        <f t="shared" si="1"/>
        <v>27</v>
      </c>
      <c r="AD2" s="66">
        <f t="shared" si="1"/>
        <v>28</v>
      </c>
      <c r="AE2" s="66">
        <f t="shared" si="1"/>
        <v>29</v>
      </c>
      <c r="AF2" s="66">
        <f t="shared" si="1"/>
        <v>30</v>
      </c>
      <c r="AG2" s="66">
        <f t="shared" si="1"/>
        <v>31</v>
      </c>
      <c r="AH2" s="66">
        <f t="shared" si="1"/>
        <v>32</v>
      </c>
      <c r="AI2" s="66">
        <f t="shared" si="1"/>
        <v>33</v>
      </c>
      <c r="AJ2" s="66">
        <f t="shared" si="1"/>
        <v>34</v>
      </c>
      <c r="AK2" s="66">
        <f t="shared" si="1"/>
        <v>35</v>
      </c>
      <c r="AL2" s="66">
        <f t="shared" si="1"/>
        <v>36</v>
      </c>
      <c r="AM2" s="66">
        <f t="shared" si="1"/>
        <v>37</v>
      </c>
      <c r="AN2" s="66">
        <f t="shared" si="1"/>
        <v>38</v>
      </c>
      <c r="AO2" s="66">
        <f t="shared" si="1"/>
        <v>39</v>
      </c>
      <c r="AP2" s="66">
        <f t="shared" si="1"/>
        <v>40</v>
      </c>
      <c r="AQ2" s="66">
        <f t="shared" si="1"/>
        <v>41</v>
      </c>
      <c r="AR2" s="66">
        <f t="shared" si="1"/>
        <v>42</v>
      </c>
      <c r="AS2" s="66">
        <f t="shared" si="1"/>
        <v>43</v>
      </c>
      <c r="AT2" s="66">
        <f t="shared" si="1"/>
        <v>44</v>
      </c>
      <c r="AU2" s="66">
        <f t="shared" si="1"/>
        <v>45</v>
      </c>
      <c r="AV2" s="66">
        <f t="shared" si="1"/>
        <v>46</v>
      </c>
      <c r="AW2" s="66">
        <f t="shared" si="1"/>
        <v>47</v>
      </c>
      <c r="AX2" s="66">
        <f t="shared" si="1"/>
        <v>48</v>
      </c>
      <c r="AY2" s="66">
        <f t="shared" si="1"/>
        <v>49</v>
      </c>
      <c r="AZ2" s="66">
        <f t="shared" si="1"/>
        <v>50</v>
      </c>
      <c r="BA2" s="66">
        <f t="shared" si="1"/>
        <v>51</v>
      </c>
      <c r="BB2" s="66">
        <f t="shared" si="1"/>
        <v>52</v>
      </c>
      <c r="BC2" s="66">
        <f t="shared" si="1"/>
        <v>53</v>
      </c>
      <c r="BD2" s="66">
        <f t="shared" si="1"/>
        <v>54</v>
      </c>
      <c r="BE2" s="66">
        <f t="shared" si="1"/>
        <v>55</v>
      </c>
      <c r="BF2" s="66">
        <f t="shared" si="1"/>
        <v>56</v>
      </c>
      <c r="BG2" s="66">
        <f t="shared" si="1"/>
        <v>57</v>
      </c>
      <c r="BH2" s="66">
        <f t="shared" si="1"/>
        <v>58</v>
      </c>
      <c r="BI2" s="66">
        <f t="shared" si="1"/>
        <v>59</v>
      </c>
      <c r="BJ2" s="66">
        <f t="shared" si="1"/>
        <v>60</v>
      </c>
      <c r="BK2" s="66">
        <f t="shared" si="1"/>
        <v>61</v>
      </c>
      <c r="BL2" s="66">
        <f t="shared" si="1"/>
        <v>62</v>
      </c>
      <c r="BM2" s="66">
        <f t="shared" si="1"/>
        <v>63</v>
      </c>
      <c r="BN2" s="66">
        <f t="shared" si="1"/>
        <v>64</v>
      </c>
    </row>
    <row r="3" spans="1:66" ht="15.75" customHeight="1">
      <c r="A3" s="64" t="s">
        <v>239</v>
      </c>
      <c r="B3" s="65"/>
      <c r="C3" s="67">
        <f>'3. Financial drivers '!G26</f>
        <v>2.9499999999999998E-2</v>
      </c>
      <c r="D3" s="67">
        <f>'3. Financial drivers '!G27</f>
        <v>2.4899999999999999E-2</v>
      </c>
      <c r="E3" s="67">
        <f>'3. Financial drivers '!G28</f>
        <v>2.8000000000000001E-2</v>
      </c>
      <c r="F3" s="67">
        <f>'3. Financial drivers '!G29</f>
        <v>2.9000000000000001E-2</v>
      </c>
      <c r="G3" s="67">
        <f>'3. Financial drivers '!G30</f>
        <v>2.9000000000000001E-2</v>
      </c>
      <c r="H3" s="67">
        <f>'3. Financial drivers '!G31</f>
        <v>2.9000000000000001E-2</v>
      </c>
      <c r="I3" s="67">
        <f>'3. Financial drivers '!$G$32</f>
        <v>2.8810000000000002E-2</v>
      </c>
      <c r="J3" s="67">
        <f>'3. Financial drivers '!$G$32</f>
        <v>2.8810000000000002E-2</v>
      </c>
      <c r="K3" s="67">
        <f>'3. Financial drivers '!$G$32</f>
        <v>2.8810000000000002E-2</v>
      </c>
      <c r="L3" s="67">
        <f>'3. Financial drivers '!$G$32</f>
        <v>2.8810000000000002E-2</v>
      </c>
      <c r="M3" s="67">
        <f>'3. Financial drivers '!$G$32</f>
        <v>2.8810000000000002E-2</v>
      </c>
      <c r="N3" s="67">
        <f>'3. Financial drivers '!$G$32</f>
        <v>2.8810000000000002E-2</v>
      </c>
      <c r="O3" s="67">
        <f>'3. Financial drivers '!$G$32</f>
        <v>2.8810000000000002E-2</v>
      </c>
      <c r="P3" s="67">
        <f>'3. Financial drivers '!$G$32</f>
        <v>2.8810000000000002E-2</v>
      </c>
      <c r="Q3" s="67">
        <f>'3. Financial drivers '!$G$32</f>
        <v>2.8810000000000002E-2</v>
      </c>
      <c r="R3" s="67">
        <f>'3. Financial drivers '!$G$32</f>
        <v>2.8810000000000002E-2</v>
      </c>
      <c r="S3" s="67">
        <f>'3. Financial drivers '!$G$32</f>
        <v>2.8810000000000002E-2</v>
      </c>
      <c r="T3" s="67">
        <f>'3. Financial drivers '!$G$32</f>
        <v>2.8810000000000002E-2</v>
      </c>
      <c r="U3" s="67">
        <f>'3. Financial drivers '!$G$32</f>
        <v>2.8810000000000002E-2</v>
      </c>
      <c r="V3" s="67">
        <f>'3. Financial drivers '!$G$32</f>
        <v>2.8810000000000002E-2</v>
      </c>
      <c r="W3" s="67">
        <f>'3. Financial drivers '!$G$32</f>
        <v>2.8810000000000002E-2</v>
      </c>
      <c r="X3" s="67">
        <f>'3. Financial drivers '!$G$32</f>
        <v>2.8810000000000002E-2</v>
      </c>
      <c r="Y3" s="67">
        <f>'3. Financial drivers '!$G$32</f>
        <v>2.8810000000000002E-2</v>
      </c>
      <c r="Z3" s="67">
        <f>'3. Financial drivers '!$G$32</f>
        <v>2.8810000000000002E-2</v>
      </c>
      <c r="AA3" s="67">
        <f>'3. Financial drivers '!$G$32</f>
        <v>2.8810000000000002E-2</v>
      </c>
      <c r="AB3" s="67">
        <f>'3. Financial drivers '!$G$32</f>
        <v>2.8810000000000002E-2</v>
      </c>
      <c r="AC3" s="67">
        <f>'3. Financial drivers '!$G$32</f>
        <v>2.8810000000000002E-2</v>
      </c>
      <c r="AD3" s="67">
        <f>'3. Financial drivers '!$G$32</f>
        <v>2.8810000000000002E-2</v>
      </c>
      <c r="AE3" s="67">
        <f>'3. Financial drivers '!$G$32</f>
        <v>2.8810000000000002E-2</v>
      </c>
      <c r="AF3" s="67">
        <f>'3. Financial drivers '!$G$32</f>
        <v>2.8810000000000002E-2</v>
      </c>
      <c r="AG3" s="67">
        <f>'3. Financial drivers '!$G$32</f>
        <v>2.8810000000000002E-2</v>
      </c>
      <c r="AH3" s="67">
        <f>'3. Financial drivers '!$G$32</f>
        <v>2.8810000000000002E-2</v>
      </c>
      <c r="AI3" s="67">
        <f>'3. Financial drivers '!$G$32</f>
        <v>2.8810000000000002E-2</v>
      </c>
      <c r="AJ3" s="67">
        <f>'3. Financial drivers '!$G$32</f>
        <v>2.8810000000000002E-2</v>
      </c>
      <c r="AK3" s="67">
        <f>'3. Financial drivers '!$G$32</f>
        <v>2.8810000000000002E-2</v>
      </c>
      <c r="AL3" s="67">
        <f>'3. Financial drivers '!$G$32</f>
        <v>2.8810000000000002E-2</v>
      </c>
      <c r="AM3" s="67">
        <f>'3. Financial drivers '!$G$32</f>
        <v>2.8810000000000002E-2</v>
      </c>
      <c r="AN3" s="67">
        <f>'3. Financial drivers '!$G$32</f>
        <v>2.8810000000000002E-2</v>
      </c>
      <c r="AO3" s="67">
        <f>'3. Financial drivers '!$G$32</f>
        <v>2.8810000000000002E-2</v>
      </c>
      <c r="AP3" s="67">
        <f>'3. Financial drivers '!$G$32</f>
        <v>2.8810000000000002E-2</v>
      </c>
      <c r="AQ3" s="67">
        <f>'3. Financial drivers '!$G$32</f>
        <v>2.8810000000000002E-2</v>
      </c>
      <c r="AR3" s="67">
        <f>'3. Financial drivers '!$G$32</f>
        <v>2.8810000000000002E-2</v>
      </c>
      <c r="AS3" s="67">
        <f>'3. Financial drivers '!$G$32</f>
        <v>2.8810000000000002E-2</v>
      </c>
      <c r="AT3" s="67">
        <f>'3. Financial drivers '!$G$32</f>
        <v>2.8810000000000002E-2</v>
      </c>
      <c r="AU3" s="67">
        <f>'3. Financial drivers '!$G$32</f>
        <v>2.8810000000000002E-2</v>
      </c>
      <c r="AV3" s="67">
        <f>'3. Financial drivers '!$G$32</f>
        <v>2.8810000000000002E-2</v>
      </c>
      <c r="AW3" s="67">
        <f>'3. Financial drivers '!$G$32</f>
        <v>2.8810000000000002E-2</v>
      </c>
      <c r="AX3" s="67">
        <f>'3. Financial drivers '!$G$32</f>
        <v>2.8810000000000002E-2</v>
      </c>
      <c r="AY3" s="67">
        <f>'3. Financial drivers '!$G$32</f>
        <v>2.8810000000000002E-2</v>
      </c>
      <c r="AZ3" s="67">
        <f>'3. Financial drivers '!$G$32</f>
        <v>2.8810000000000002E-2</v>
      </c>
      <c r="BA3" s="67">
        <f>'3. Financial drivers '!$G$32</f>
        <v>2.8810000000000002E-2</v>
      </c>
      <c r="BB3" s="67">
        <f>'3. Financial drivers '!$G$32</f>
        <v>2.8810000000000002E-2</v>
      </c>
      <c r="BC3" s="67">
        <f>'3. Financial drivers '!$G$32</f>
        <v>2.8810000000000002E-2</v>
      </c>
      <c r="BD3" s="67">
        <f>'3. Financial drivers '!$G$32</f>
        <v>2.8810000000000002E-2</v>
      </c>
      <c r="BE3" s="67">
        <f>'3. Financial drivers '!$G$32</f>
        <v>2.8810000000000002E-2</v>
      </c>
      <c r="BF3" s="67">
        <f>'3. Financial drivers '!$G$32</f>
        <v>2.8810000000000002E-2</v>
      </c>
      <c r="BG3" s="67">
        <f>'3. Financial drivers '!$G$32</f>
        <v>2.8810000000000002E-2</v>
      </c>
      <c r="BH3" s="67">
        <f>'3. Financial drivers '!$G$32</f>
        <v>2.8810000000000002E-2</v>
      </c>
      <c r="BI3" s="67">
        <f>'3. Financial drivers '!$G$32</f>
        <v>2.8810000000000002E-2</v>
      </c>
      <c r="BJ3" s="67">
        <f>'3. Financial drivers '!$G$32</f>
        <v>2.8810000000000002E-2</v>
      </c>
      <c r="BK3" s="67">
        <f>'3. Financial drivers '!$G$32</f>
        <v>2.8810000000000002E-2</v>
      </c>
      <c r="BL3" s="67">
        <f>'3. Financial drivers '!$G$32</f>
        <v>2.8810000000000002E-2</v>
      </c>
      <c r="BM3" s="67">
        <f>'3. Financial drivers '!$G$32</f>
        <v>2.8810000000000002E-2</v>
      </c>
      <c r="BN3" s="67">
        <f>'3. Financial drivers '!$G$32</f>
        <v>2.8810000000000002E-2</v>
      </c>
    </row>
    <row r="4" spans="1:66" ht="15.75" customHeight="1">
      <c r="A4" s="68" t="s">
        <v>470</v>
      </c>
    </row>
    <row r="5" spans="1:66" ht="15.75" customHeight="1">
      <c r="A5" s="99" t="s">
        <v>471</v>
      </c>
      <c r="B5" s="99"/>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99"/>
      <c r="BL5" s="99"/>
      <c r="BM5" s="99"/>
      <c r="BN5" s="99"/>
    </row>
    <row r="6" spans="1:66" ht="15.75" customHeight="1">
      <c r="A6" s="379" t="s">
        <v>472</v>
      </c>
      <c r="B6" s="99"/>
      <c r="C6" s="99">
        <v>10990000</v>
      </c>
      <c r="D6" s="99">
        <f t="shared" ref="D6:BN6" si="2">C6*(1+D3)</f>
        <v>11263651</v>
      </c>
      <c r="E6" s="99">
        <f t="shared" si="2"/>
        <v>11579033.228</v>
      </c>
      <c r="F6" s="99">
        <f t="shared" si="2"/>
        <v>11914825.191612</v>
      </c>
      <c r="G6" s="99">
        <f t="shared" si="2"/>
        <v>12260355.122168746</v>
      </c>
      <c r="H6" s="99">
        <f t="shared" si="2"/>
        <v>12615905.420711638</v>
      </c>
      <c r="I6" s="99">
        <f t="shared" si="2"/>
        <v>12979369.65588234</v>
      </c>
      <c r="J6" s="99">
        <f t="shared" si="2"/>
        <v>13353305.29566831</v>
      </c>
      <c r="K6" s="99">
        <f t="shared" si="2"/>
        <v>13738014.021236513</v>
      </c>
      <c r="L6" s="99">
        <f t="shared" si="2"/>
        <v>14133806.205188336</v>
      </c>
      <c r="M6" s="99">
        <f t="shared" si="2"/>
        <v>14541001.161959812</v>
      </c>
      <c r="N6" s="99">
        <f t="shared" si="2"/>
        <v>14959927.405435875</v>
      </c>
      <c r="O6" s="99">
        <f t="shared" si="2"/>
        <v>15390922.913986482</v>
      </c>
      <c r="P6" s="99">
        <f t="shared" si="2"/>
        <v>15834335.403138433</v>
      </c>
      <c r="Q6" s="99">
        <f t="shared" si="2"/>
        <v>16290522.60610285</v>
      </c>
      <c r="R6" s="99">
        <f t="shared" si="2"/>
        <v>16759852.562384674</v>
      </c>
      <c r="S6" s="99">
        <f t="shared" si="2"/>
        <v>17242703.914706975</v>
      </c>
      <c r="T6" s="99">
        <f t="shared" si="2"/>
        <v>17739466.214489684</v>
      </c>
      <c r="U6" s="99">
        <f t="shared" si="2"/>
        <v>18250540.236129131</v>
      </c>
      <c r="V6" s="99">
        <f t="shared" si="2"/>
        <v>18776338.30033201</v>
      </c>
      <c r="W6" s="99">
        <f t="shared" si="2"/>
        <v>19317284.606764574</v>
      </c>
      <c r="X6" s="99">
        <f t="shared" si="2"/>
        <v>19873815.576285463</v>
      </c>
      <c r="Y6" s="99">
        <f t="shared" si="2"/>
        <v>20446380.203038245</v>
      </c>
      <c r="Z6" s="99">
        <f t="shared" si="2"/>
        <v>21035440.416687779</v>
      </c>
      <c r="AA6" s="99">
        <f t="shared" si="2"/>
        <v>21641471.455092553</v>
      </c>
      <c r="AB6" s="99">
        <f t="shared" si="2"/>
        <v>22264962.247713771</v>
      </c>
      <c r="AC6" s="99">
        <f t="shared" si="2"/>
        <v>22906415.810070403</v>
      </c>
      <c r="AD6" s="99">
        <f t="shared" si="2"/>
        <v>23566349.649558533</v>
      </c>
      <c r="AE6" s="99">
        <f t="shared" si="2"/>
        <v>24245296.182962313</v>
      </c>
      <c r="AF6" s="99">
        <f t="shared" si="2"/>
        <v>24943803.165993456</v>
      </c>
      <c r="AG6" s="99">
        <f t="shared" si="2"/>
        <v>25662434.135205727</v>
      </c>
      <c r="AH6" s="99">
        <f t="shared" si="2"/>
        <v>26401768.862641003</v>
      </c>
      <c r="AI6" s="99">
        <f t="shared" si="2"/>
        <v>27162403.82357369</v>
      </c>
      <c r="AJ6" s="99">
        <f t="shared" si="2"/>
        <v>27944952.677730847</v>
      </c>
      <c r="AK6" s="99">
        <f t="shared" si="2"/>
        <v>28750046.764376272</v>
      </c>
      <c r="AL6" s="99">
        <f t="shared" si="2"/>
        <v>29578335.611657951</v>
      </c>
      <c r="AM6" s="99">
        <f t="shared" si="2"/>
        <v>30430487.460629817</v>
      </c>
      <c r="AN6" s="99">
        <f t="shared" si="2"/>
        <v>31307189.804370563</v>
      </c>
      <c r="AO6" s="99">
        <f t="shared" si="2"/>
        <v>32209149.942634478</v>
      </c>
      <c r="AP6" s="99">
        <f t="shared" si="2"/>
        <v>33137095.552481778</v>
      </c>
      <c r="AQ6" s="99">
        <f t="shared" si="2"/>
        <v>34091775.275348775</v>
      </c>
      <c r="AR6" s="99">
        <f t="shared" si="2"/>
        <v>35073959.32103157</v>
      </c>
      <c r="AS6" s="99">
        <f t="shared" si="2"/>
        <v>36084440.089070491</v>
      </c>
      <c r="AT6" s="99">
        <f t="shared" si="2"/>
        <v>37124032.80803661</v>
      </c>
      <c r="AU6" s="99">
        <f t="shared" si="2"/>
        <v>38193576.193236142</v>
      </c>
      <c r="AV6" s="99">
        <f t="shared" si="2"/>
        <v>39293933.123363279</v>
      </c>
      <c r="AW6" s="99">
        <f t="shared" si="2"/>
        <v>40425991.336647376</v>
      </c>
      <c r="AX6" s="99">
        <f t="shared" si="2"/>
        <v>41590664.147056185</v>
      </c>
      <c r="AY6" s="99">
        <f t="shared" si="2"/>
        <v>42788891.181132875</v>
      </c>
      <c r="AZ6" s="99">
        <f t="shared" si="2"/>
        <v>44021639.136061311</v>
      </c>
      <c r="BA6" s="99">
        <f t="shared" si="2"/>
        <v>45289902.559571236</v>
      </c>
      <c r="BB6" s="99">
        <f t="shared" si="2"/>
        <v>46594704.652312487</v>
      </c>
      <c r="BC6" s="99">
        <f t="shared" si="2"/>
        <v>47937098.093345612</v>
      </c>
      <c r="BD6" s="99">
        <f t="shared" si="2"/>
        <v>49318165.889414899</v>
      </c>
      <c r="BE6" s="99">
        <f t="shared" si="2"/>
        <v>50739022.248688944</v>
      </c>
      <c r="BF6" s="99">
        <f t="shared" si="2"/>
        <v>52200813.479673669</v>
      </c>
      <c r="BG6" s="99">
        <f t="shared" si="2"/>
        <v>53704718.916023068</v>
      </c>
      <c r="BH6" s="99">
        <f t="shared" si="2"/>
        <v>55251951.86799369</v>
      </c>
      <c r="BI6" s="99">
        <f t="shared" si="2"/>
        <v>56843760.601310588</v>
      </c>
      <c r="BJ6" s="99">
        <f t="shared" si="2"/>
        <v>58481429.344234347</v>
      </c>
      <c r="BK6" s="99">
        <f t="shared" si="2"/>
        <v>60166279.32364174</v>
      </c>
      <c r="BL6" s="99">
        <f t="shared" si="2"/>
        <v>61899669.830955856</v>
      </c>
      <c r="BM6" s="99">
        <f t="shared" si="2"/>
        <v>63682999.318785697</v>
      </c>
      <c r="BN6" s="99">
        <f t="shared" si="2"/>
        <v>65517706.529159911</v>
      </c>
    </row>
    <row r="7" spans="1:66" ht="15.75" customHeight="1">
      <c r="A7" s="379" t="s">
        <v>473</v>
      </c>
      <c r="B7" s="99"/>
      <c r="C7" s="99">
        <v>23990000</v>
      </c>
      <c r="D7" s="99">
        <f t="shared" ref="D7:BN7" si="3">C7*(1+D3)</f>
        <v>24587350.999999996</v>
      </c>
      <c r="E7" s="99">
        <f t="shared" si="3"/>
        <v>25275796.827999998</v>
      </c>
      <c r="F7" s="99">
        <f t="shared" si="3"/>
        <v>26008794.936011996</v>
      </c>
      <c r="G7" s="99">
        <f t="shared" si="3"/>
        <v>26763049.989156343</v>
      </c>
      <c r="H7" s="99">
        <f t="shared" si="3"/>
        <v>27539178.438841876</v>
      </c>
      <c r="I7" s="99">
        <f t="shared" si="3"/>
        <v>28332582.169664912</v>
      </c>
      <c r="J7" s="99">
        <f t="shared" si="3"/>
        <v>29148843.861972958</v>
      </c>
      <c r="K7" s="99">
        <f t="shared" si="3"/>
        <v>29988622.053636398</v>
      </c>
      <c r="L7" s="99">
        <f t="shared" si="3"/>
        <v>30852594.255001664</v>
      </c>
      <c r="M7" s="99">
        <f t="shared" si="3"/>
        <v>31741457.495488264</v>
      </c>
      <c r="N7" s="99">
        <f t="shared" si="3"/>
        <v>32655928.88593328</v>
      </c>
      <c r="O7" s="99">
        <f t="shared" si="3"/>
        <v>33596746.197137021</v>
      </c>
      <c r="P7" s="99">
        <f t="shared" si="3"/>
        <v>34564668.455076538</v>
      </c>
      <c r="Q7" s="99">
        <f t="shared" si="3"/>
        <v>35560476.553267293</v>
      </c>
      <c r="R7" s="99">
        <f t="shared" si="3"/>
        <v>36584973.882766925</v>
      </c>
      <c r="S7" s="99">
        <f t="shared" si="3"/>
        <v>37638986.980329439</v>
      </c>
      <c r="T7" s="99">
        <f t="shared" si="3"/>
        <v>38723366.195232727</v>
      </c>
      <c r="U7" s="99">
        <f t="shared" si="3"/>
        <v>39838986.37531738</v>
      </c>
      <c r="V7" s="99">
        <f t="shared" si="3"/>
        <v>40986747.572790273</v>
      </c>
      <c r="W7" s="99">
        <f t="shared" si="3"/>
        <v>42167575.770362362</v>
      </c>
      <c r="X7" s="99">
        <f t="shared" si="3"/>
        <v>43382423.628306501</v>
      </c>
      <c r="Y7" s="99">
        <f t="shared" si="3"/>
        <v>44632271.253038011</v>
      </c>
      <c r="Z7" s="99">
        <f t="shared" si="3"/>
        <v>45918126.987838037</v>
      </c>
      <c r="AA7" s="99">
        <f t="shared" si="3"/>
        <v>47241028.226357654</v>
      </c>
      <c r="AB7" s="99">
        <f t="shared" si="3"/>
        <v>48602042.249559015</v>
      </c>
      <c r="AC7" s="99">
        <f t="shared" si="3"/>
        <v>50002267.086768813</v>
      </c>
      <c r="AD7" s="99">
        <f t="shared" si="3"/>
        <v>51442832.401538625</v>
      </c>
      <c r="AE7" s="99">
        <f t="shared" si="3"/>
        <v>52924900.403026953</v>
      </c>
      <c r="AF7" s="99">
        <f t="shared" si="3"/>
        <v>54449666.783638157</v>
      </c>
      <c r="AG7" s="99">
        <f t="shared" si="3"/>
        <v>56018361.683674775</v>
      </c>
      <c r="AH7" s="99">
        <f t="shared" si="3"/>
        <v>57632250.683781445</v>
      </c>
      <c r="AI7" s="99">
        <f t="shared" si="3"/>
        <v>59292635.825981192</v>
      </c>
      <c r="AJ7" s="99">
        <f t="shared" si="3"/>
        <v>61000856.664127707</v>
      </c>
      <c r="AK7" s="99">
        <f t="shared" si="3"/>
        <v>62758291.344621226</v>
      </c>
      <c r="AL7" s="99">
        <f t="shared" si="3"/>
        <v>64566357.718259767</v>
      </c>
      <c r="AM7" s="99">
        <f t="shared" si="3"/>
        <v>66426514.484122828</v>
      </c>
      <c r="AN7" s="99">
        <f t="shared" si="3"/>
        <v>68340262.366410404</v>
      </c>
      <c r="AO7" s="99">
        <f t="shared" si="3"/>
        <v>70309145.325186685</v>
      </c>
      <c r="AP7" s="99">
        <f t="shared" si="3"/>
        <v>72334751.802005306</v>
      </c>
      <c r="AQ7" s="99">
        <f t="shared" si="3"/>
        <v>74418716.001421079</v>
      </c>
      <c r="AR7" s="99">
        <f t="shared" si="3"/>
        <v>76562719.209422022</v>
      </c>
      <c r="AS7" s="99">
        <f t="shared" si="3"/>
        <v>78768491.149845466</v>
      </c>
      <c r="AT7" s="99">
        <f t="shared" si="3"/>
        <v>81037811.379872516</v>
      </c>
      <c r="AU7" s="99">
        <f t="shared" si="3"/>
        <v>83372510.725726649</v>
      </c>
      <c r="AV7" s="99">
        <f t="shared" si="3"/>
        <v>85774472.759734839</v>
      </c>
      <c r="AW7" s="99">
        <f t="shared" si="3"/>
        <v>88245635.319942802</v>
      </c>
      <c r="AX7" s="99">
        <f t="shared" si="3"/>
        <v>90787992.073510349</v>
      </c>
      <c r="AY7" s="99">
        <f t="shared" si="3"/>
        <v>93403594.125148177</v>
      </c>
      <c r="AZ7" s="99">
        <f t="shared" si="3"/>
        <v>96094551.671893701</v>
      </c>
      <c r="BA7" s="99">
        <f t="shared" si="3"/>
        <v>98863035.705560952</v>
      </c>
      <c r="BB7" s="99">
        <f t="shared" si="3"/>
        <v>101711279.76423816</v>
      </c>
      <c r="BC7" s="99">
        <f t="shared" si="3"/>
        <v>104641581.73424587</v>
      </c>
      <c r="BD7" s="99">
        <f t="shared" si="3"/>
        <v>107656305.70400949</v>
      </c>
      <c r="BE7" s="99">
        <f t="shared" si="3"/>
        <v>110757883.871342</v>
      </c>
      <c r="BF7" s="99">
        <f t="shared" si="3"/>
        <v>113948818.50567536</v>
      </c>
      <c r="BG7" s="99">
        <f t="shared" si="3"/>
        <v>117231683.96682386</v>
      </c>
      <c r="BH7" s="99">
        <f t="shared" si="3"/>
        <v>120609128.78190805</v>
      </c>
      <c r="BI7" s="99">
        <f t="shared" si="3"/>
        <v>124083877.78211482</v>
      </c>
      <c r="BJ7" s="99">
        <f t="shared" si="3"/>
        <v>127658734.30101755</v>
      </c>
      <c r="BK7" s="99">
        <f t="shared" si="3"/>
        <v>131336582.43622987</v>
      </c>
      <c r="BL7" s="99">
        <f t="shared" si="3"/>
        <v>135120389.37621766</v>
      </c>
      <c r="BM7" s="99">
        <f t="shared" si="3"/>
        <v>139013207.79414651</v>
      </c>
      <c r="BN7" s="99">
        <f t="shared" si="3"/>
        <v>143018178.31069586</v>
      </c>
    </row>
    <row r="8" spans="1:66" ht="15.75" customHeight="1">
      <c r="A8" s="379" t="s">
        <v>474</v>
      </c>
      <c r="B8" s="99"/>
      <c r="C8" s="99">
        <v>14990000</v>
      </c>
      <c r="D8" s="99">
        <f t="shared" ref="D8:BN8" si="4">C8*(1+D3)</f>
        <v>15363250.999999998</v>
      </c>
      <c r="E8" s="99">
        <f t="shared" si="4"/>
        <v>15793422.027999999</v>
      </c>
      <c r="F8" s="99">
        <f t="shared" si="4"/>
        <v>16251431.266811997</v>
      </c>
      <c r="G8" s="99">
        <f t="shared" si="4"/>
        <v>16722722.773549544</v>
      </c>
      <c r="H8" s="99">
        <f t="shared" si="4"/>
        <v>17207681.733982477</v>
      </c>
      <c r="I8" s="99">
        <f t="shared" si="4"/>
        <v>17703435.044738512</v>
      </c>
      <c r="J8" s="99">
        <f t="shared" si="4"/>
        <v>18213471.008377429</v>
      </c>
      <c r="K8" s="99">
        <f t="shared" si="4"/>
        <v>18738201.108128782</v>
      </c>
      <c r="L8" s="99">
        <f t="shared" si="4"/>
        <v>19278048.682053972</v>
      </c>
      <c r="M8" s="99">
        <f t="shared" si="4"/>
        <v>19833449.264583945</v>
      </c>
      <c r="N8" s="99">
        <f t="shared" si="4"/>
        <v>20404850.937896609</v>
      </c>
      <c r="O8" s="99">
        <f t="shared" si="4"/>
        <v>20992714.693417411</v>
      </c>
      <c r="P8" s="99">
        <f t="shared" si="4"/>
        <v>21597514.803734768</v>
      </c>
      <c r="Q8" s="99">
        <f t="shared" si="4"/>
        <v>22219739.205230366</v>
      </c>
      <c r="R8" s="99">
        <f t="shared" si="4"/>
        <v>22859889.891733054</v>
      </c>
      <c r="S8" s="99">
        <f t="shared" si="4"/>
        <v>23518483.319513883</v>
      </c>
      <c r="T8" s="99">
        <f t="shared" si="4"/>
        <v>24196050.82394908</v>
      </c>
      <c r="U8" s="99">
        <f t="shared" si="4"/>
        <v>24893139.048187055</v>
      </c>
      <c r="V8" s="99">
        <f t="shared" si="4"/>
        <v>25610310.384165324</v>
      </c>
      <c r="W8" s="99">
        <f t="shared" si="4"/>
        <v>26348143.426333126</v>
      </c>
      <c r="X8" s="99">
        <f t="shared" si="4"/>
        <v>27107233.438445784</v>
      </c>
      <c r="Y8" s="99">
        <f t="shared" si="4"/>
        <v>27888192.833807409</v>
      </c>
      <c r="Z8" s="99">
        <f t="shared" si="4"/>
        <v>28691651.669349398</v>
      </c>
      <c r="AA8" s="99">
        <f t="shared" si="4"/>
        <v>29518258.153943356</v>
      </c>
      <c r="AB8" s="99">
        <f t="shared" si="4"/>
        <v>30368679.171358462</v>
      </c>
      <c r="AC8" s="99">
        <f t="shared" si="4"/>
        <v>31243600.818285301</v>
      </c>
      <c r="AD8" s="99">
        <f t="shared" si="4"/>
        <v>32143728.957860101</v>
      </c>
      <c r="AE8" s="99">
        <f t="shared" si="4"/>
        <v>33069789.789136052</v>
      </c>
      <c r="AF8" s="99">
        <f t="shared" si="4"/>
        <v>34022530.432961062</v>
      </c>
      <c r="AG8" s="99">
        <f t="shared" si="4"/>
        <v>35002719.534734666</v>
      </c>
      <c r="AH8" s="99">
        <f t="shared" si="4"/>
        <v>36011147.884530373</v>
      </c>
      <c r="AI8" s="99">
        <f t="shared" si="4"/>
        <v>37048629.055083692</v>
      </c>
      <c r="AJ8" s="99">
        <f t="shared" si="4"/>
        <v>38116000.058160655</v>
      </c>
      <c r="AK8" s="99">
        <f t="shared" si="4"/>
        <v>39214122.019836262</v>
      </c>
      <c r="AL8" s="99">
        <f t="shared" si="4"/>
        <v>40343880.875227742</v>
      </c>
      <c r="AM8" s="99">
        <f t="shared" si="4"/>
        <v>41506188.08324305</v>
      </c>
      <c r="AN8" s="99">
        <f t="shared" si="4"/>
        <v>42701981.361921281</v>
      </c>
      <c r="AO8" s="99">
        <f t="shared" si="4"/>
        <v>43932225.444958232</v>
      </c>
      <c r="AP8" s="99">
        <f t="shared" si="4"/>
        <v>45197912.860027477</v>
      </c>
      <c r="AQ8" s="99">
        <f t="shared" si="4"/>
        <v>46500064.729524866</v>
      </c>
      <c r="AR8" s="99">
        <f t="shared" si="4"/>
        <v>47839731.59438248</v>
      </c>
      <c r="AS8" s="99">
        <f t="shared" si="4"/>
        <v>49217994.26161664</v>
      </c>
      <c r="AT8" s="99">
        <f t="shared" si="4"/>
        <v>50635964.676293813</v>
      </c>
      <c r="AU8" s="99">
        <f t="shared" si="4"/>
        <v>52094786.818617836</v>
      </c>
      <c r="AV8" s="99">
        <f t="shared" si="4"/>
        <v>53595637.626862213</v>
      </c>
      <c r="AW8" s="99">
        <f t="shared" si="4"/>
        <v>55139727.946892112</v>
      </c>
      <c r="AX8" s="99">
        <f t="shared" si="4"/>
        <v>56728303.509042077</v>
      </c>
      <c r="AY8" s="99">
        <f t="shared" si="4"/>
        <v>58362645.933137581</v>
      </c>
      <c r="AZ8" s="99">
        <f t="shared" si="4"/>
        <v>60044073.762471274</v>
      </c>
      <c r="BA8" s="99">
        <f t="shared" si="4"/>
        <v>61773943.527568072</v>
      </c>
      <c r="BB8" s="99">
        <f t="shared" si="4"/>
        <v>63553650.840597309</v>
      </c>
      <c r="BC8" s="99">
        <f t="shared" si="4"/>
        <v>65384631.521314919</v>
      </c>
      <c r="BD8" s="99">
        <f t="shared" si="4"/>
        <v>67268362.755444005</v>
      </c>
      <c r="BE8" s="99">
        <f t="shared" si="4"/>
        <v>69206364.286428347</v>
      </c>
      <c r="BF8" s="99">
        <f t="shared" si="4"/>
        <v>71200199.641520351</v>
      </c>
      <c r="BG8" s="99">
        <f t="shared" si="4"/>
        <v>73251477.393192559</v>
      </c>
      <c r="BH8" s="99">
        <f t="shared" si="4"/>
        <v>75361852.456890434</v>
      </c>
      <c r="BI8" s="99">
        <f t="shared" si="4"/>
        <v>77533027.426173449</v>
      </c>
      <c r="BJ8" s="99">
        <f t="shared" si="4"/>
        <v>79766753.946321502</v>
      </c>
      <c r="BK8" s="99">
        <f t="shared" si="4"/>
        <v>82064834.127515018</v>
      </c>
      <c r="BL8" s="99">
        <f t="shared" si="4"/>
        <v>84429121.998728722</v>
      </c>
      <c r="BM8" s="99">
        <f t="shared" si="4"/>
        <v>86861525.003512099</v>
      </c>
      <c r="BN8" s="99">
        <f t="shared" si="4"/>
        <v>89364005.538863286</v>
      </c>
    </row>
    <row r="9" spans="1:66" ht="15.75" customHeight="1">
      <c r="A9" s="379" t="s">
        <v>475</v>
      </c>
      <c r="B9" s="99"/>
      <c r="C9" s="99">
        <v>29900000</v>
      </c>
      <c r="D9" s="99">
        <f t="shared" ref="D9:BN9" si="5">C9*(1+D3)</f>
        <v>30644509.999999996</v>
      </c>
      <c r="E9" s="99">
        <f t="shared" si="5"/>
        <v>31502556.279999997</v>
      </c>
      <c r="F9" s="99">
        <f t="shared" si="5"/>
        <v>32416130.412119996</v>
      </c>
      <c r="G9" s="99">
        <f t="shared" si="5"/>
        <v>33356198.194071472</v>
      </c>
      <c r="H9" s="99">
        <f t="shared" si="5"/>
        <v>34323527.941699542</v>
      </c>
      <c r="I9" s="99">
        <f t="shared" si="5"/>
        <v>35312388.781699903</v>
      </c>
      <c r="J9" s="99">
        <f t="shared" si="5"/>
        <v>36329738.702500679</v>
      </c>
      <c r="K9" s="99">
        <f t="shared" si="5"/>
        <v>37376398.474519722</v>
      </c>
      <c r="L9" s="99">
        <f t="shared" si="5"/>
        <v>38453212.514570639</v>
      </c>
      <c r="M9" s="99">
        <f t="shared" si="5"/>
        <v>39561049.567115419</v>
      </c>
      <c r="N9" s="99">
        <f t="shared" si="5"/>
        <v>40700803.405144013</v>
      </c>
      <c r="O9" s="99">
        <f t="shared" si="5"/>
        <v>41873393.551246211</v>
      </c>
      <c r="P9" s="99">
        <f t="shared" si="5"/>
        <v>43079766.019457616</v>
      </c>
      <c r="Q9" s="99">
        <f t="shared" si="5"/>
        <v>44320894.078478187</v>
      </c>
      <c r="R9" s="99">
        <f t="shared" si="5"/>
        <v>45597779.036879145</v>
      </c>
      <c r="S9" s="99">
        <f t="shared" si="5"/>
        <v>46911451.050931633</v>
      </c>
      <c r="T9" s="99">
        <f t="shared" si="5"/>
        <v>48262969.955708973</v>
      </c>
      <c r="U9" s="99">
        <f t="shared" si="5"/>
        <v>49653426.120132945</v>
      </c>
      <c r="V9" s="99">
        <f t="shared" si="5"/>
        <v>51083941.326653972</v>
      </c>
      <c r="W9" s="99">
        <f t="shared" si="5"/>
        <v>52555669.676274873</v>
      </c>
      <c r="X9" s="99">
        <f t="shared" si="5"/>
        <v>54069798.519648351</v>
      </c>
      <c r="Y9" s="99">
        <f t="shared" si="5"/>
        <v>55627549.414999418</v>
      </c>
      <c r="Z9" s="99">
        <f t="shared" si="5"/>
        <v>57230179.113645554</v>
      </c>
      <c r="AA9" s="99">
        <f t="shared" si="5"/>
        <v>58878980.573909685</v>
      </c>
      <c r="AB9" s="99">
        <f t="shared" si="5"/>
        <v>60575284.004244022</v>
      </c>
      <c r="AC9" s="99">
        <f t="shared" si="5"/>
        <v>62320457.936406292</v>
      </c>
      <c r="AD9" s="99">
        <f t="shared" si="5"/>
        <v>64115910.329554155</v>
      </c>
      <c r="AE9" s="99">
        <f t="shared" si="5"/>
        <v>65963089.70614861</v>
      </c>
      <c r="AF9" s="99">
        <f t="shared" si="5"/>
        <v>67863486.320582747</v>
      </c>
      <c r="AG9" s="99">
        <f t="shared" si="5"/>
        <v>69818633.361478731</v>
      </c>
      <c r="AH9" s="99">
        <f t="shared" si="5"/>
        <v>71830108.188622937</v>
      </c>
      <c r="AI9" s="99">
        <f t="shared" si="5"/>
        <v>73899533.605537161</v>
      </c>
      <c r="AJ9" s="99">
        <f t="shared" si="5"/>
        <v>76028579.16871269</v>
      </c>
      <c r="AK9" s="99">
        <f t="shared" si="5"/>
        <v>78218962.534563303</v>
      </c>
      <c r="AL9" s="99">
        <f t="shared" si="5"/>
        <v>80472450.845184073</v>
      </c>
      <c r="AM9" s="99">
        <f t="shared" si="5"/>
        <v>82790862.154033825</v>
      </c>
      <c r="AN9" s="99">
        <f t="shared" si="5"/>
        <v>85176066.892691538</v>
      </c>
      <c r="AO9" s="99">
        <f t="shared" si="5"/>
        <v>87629989.379869983</v>
      </c>
      <c r="AP9" s="99">
        <f t="shared" si="5"/>
        <v>90154609.373904034</v>
      </c>
      <c r="AQ9" s="99">
        <f t="shared" si="5"/>
        <v>92751963.669966206</v>
      </c>
      <c r="AR9" s="99">
        <f t="shared" si="5"/>
        <v>95424147.743297935</v>
      </c>
      <c r="AS9" s="99">
        <f t="shared" si="5"/>
        <v>98173317.439782351</v>
      </c>
      <c r="AT9" s="99">
        <f t="shared" si="5"/>
        <v>101001690.71522248</v>
      </c>
      <c r="AU9" s="99">
        <f t="shared" si="5"/>
        <v>103911549.42472804</v>
      </c>
      <c r="AV9" s="99">
        <f t="shared" si="5"/>
        <v>106905241.16365445</v>
      </c>
      <c r="AW9" s="99">
        <f t="shared" si="5"/>
        <v>109985181.16157933</v>
      </c>
      <c r="AX9" s="99">
        <f t="shared" si="5"/>
        <v>113153854.23084442</v>
      </c>
      <c r="AY9" s="99">
        <f t="shared" si="5"/>
        <v>116413816.77123505</v>
      </c>
      <c r="AZ9" s="99">
        <f t="shared" si="5"/>
        <v>119767698.83241433</v>
      </c>
      <c r="BA9" s="99">
        <f t="shared" si="5"/>
        <v>123218206.23577619</v>
      </c>
      <c r="BB9" s="99">
        <f t="shared" si="5"/>
        <v>126768122.7574289</v>
      </c>
      <c r="BC9" s="99">
        <f t="shared" si="5"/>
        <v>130420312.37407042</v>
      </c>
      <c r="BD9" s="99">
        <f t="shared" si="5"/>
        <v>134177721.57356739</v>
      </c>
      <c r="BE9" s="99">
        <f t="shared" si="5"/>
        <v>138043381.73210186</v>
      </c>
      <c r="BF9" s="99">
        <f t="shared" si="5"/>
        <v>142020411.55980372</v>
      </c>
      <c r="BG9" s="99">
        <f t="shared" si="5"/>
        <v>146112019.61684167</v>
      </c>
      <c r="BH9" s="99">
        <f t="shared" si="5"/>
        <v>150321506.90200287</v>
      </c>
      <c r="BI9" s="99">
        <f t="shared" si="5"/>
        <v>154652269.51584956</v>
      </c>
      <c r="BJ9" s="99">
        <f t="shared" si="5"/>
        <v>159107801.40060118</v>
      </c>
      <c r="BK9" s="99">
        <f t="shared" si="5"/>
        <v>163691697.1589525</v>
      </c>
      <c r="BL9" s="99">
        <f t="shared" si="5"/>
        <v>168407654.95410192</v>
      </c>
      <c r="BM9" s="99">
        <f t="shared" si="5"/>
        <v>173259479.49332958</v>
      </c>
      <c r="BN9" s="99">
        <f t="shared" si="5"/>
        <v>178251085.09753242</v>
      </c>
    </row>
    <row r="10" spans="1:66" ht="15.75" customHeight="1">
      <c r="A10" s="380"/>
    </row>
    <row r="11" spans="1:66" ht="15.75" customHeight="1">
      <c r="A11" s="68" t="s">
        <v>476</v>
      </c>
    </row>
    <row r="12" spans="1:66" ht="15.75" customHeight="1">
      <c r="A12" s="379" t="s">
        <v>477</v>
      </c>
      <c r="B12" s="99"/>
      <c r="C12" s="99">
        <v>74990000</v>
      </c>
      <c r="D12" s="99">
        <f t="shared" ref="D12:BN12" si="6">C12*(1+D3)</f>
        <v>76857251</v>
      </c>
      <c r="E12" s="99">
        <f t="shared" si="6"/>
        <v>79009254.027999997</v>
      </c>
      <c r="F12" s="99">
        <f t="shared" si="6"/>
        <v>81300522.394811988</v>
      </c>
      <c r="G12" s="99">
        <f t="shared" si="6"/>
        <v>83658237.54426153</v>
      </c>
      <c r="H12" s="99">
        <f t="shared" si="6"/>
        <v>86084326.433045104</v>
      </c>
      <c r="I12" s="99">
        <f t="shared" si="6"/>
        <v>88564415.877581134</v>
      </c>
      <c r="J12" s="99">
        <f t="shared" si="6"/>
        <v>91115956.699014246</v>
      </c>
      <c r="K12" s="99">
        <f t="shared" si="6"/>
        <v>93741007.411512852</v>
      </c>
      <c r="L12" s="99">
        <f t="shared" si="6"/>
        <v>96441685.835038543</v>
      </c>
      <c r="M12" s="99">
        <f t="shared" si="6"/>
        <v>99220170.803946003</v>
      </c>
      <c r="N12" s="99">
        <f t="shared" si="6"/>
        <v>102078703.92480768</v>
      </c>
      <c r="O12" s="99">
        <f t="shared" si="6"/>
        <v>105019591.38488139</v>
      </c>
      <c r="P12" s="99">
        <f t="shared" si="6"/>
        <v>108045205.81267983</v>
      </c>
      <c r="Q12" s="99">
        <f t="shared" si="6"/>
        <v>111157988.19214313</v>
      </c>
      <c r="R12" s="99">
        <f t="shared" si="6"/>
        <v>114360449.83195877</v>
      </c>
      <c r="S12" s="99">
        <f t="shared" si="6"/>
        <v>117655174.39161751</v>
      </c>
      <c r="T12" s="99">
        <f t="shared" si="6"/>
        <v>121044819.96584001</v>
      </c>
      <c r="U12" s="99">
        <f t="shared" si="6"/>
        <v>124532121.22905587</v>
      </c>
      <c r="V12" s="99">
        <f t="shared" si="6"/>
        <v>128119891.64166497</v>
      </c>
      <c r="W12" s="99">
        <f t="shared" si="6"/>
        <v>131811025.71986133</v>
      </c>
      <c r="X12" s="99">
        <f t="shared" si="6"/>
        <v>135608501.37085053</v>
      </c>
      <c r="Y12" s="99">
        <f t="shared" si="6"/>
        <v>139515382.29534474</v>
      </c>
      <c r="Z12" s="99">
        <f t="shared" si="6"/>
        <v>143534820.45927364</v>
      </c>
      <c r="AA12" s="99">
        <f t="shared" si="6"/>
        <v>147670058.63670531</v>
      </c>
      <c r="AB12" s="99">
        <f t="shared" si="6"/>
        <v>151924433.02602878</v>
      </c>
      <c r="AC12" s="99">
        <f t="shared" si="6"/>
        <v>156301375.94150868</v>
      </c>
      <c r="AD12" s="99">
        <f t="shared" si="6"/>
        <v>160804418.58238354</v>
      </c>
      <c r="AE12" s="99">
        <f t="shared" si="6"/>
        <v>165437193.881742</v>
      </c>
      <c r="AF12" s="99">
        <f t="shared" si="6"/>
        <v>170203439.437475</v>
      </c>
      <c r="AG12" s="99">
        <f t="shared" si="6"/>
        <v>175107000.52766865</v>
      </c>
      <c r="AH12" s="99">
        <f t="shared" si="6"/>
        <v>180151833.21287078</v>
      </c>
      <c r="AI12" s="99">
        <f t="shared" si="6"/>
        <v>185342007.52773359</v>
      </c>
      <c r="AJ12" s="99">
        <f t="shared" si="6"/>
        <v>190681710.76460761</v>
      </c>
      <c r="AK12" s="99">
        <f t="shared" si="6"/>
        <v>196175250.85173595</v>
      </c>
      <c r="AL12" s="99">
        <f t="shared" si="6"/>
        <v>201827059.82877445</v>
      </c>
      <c r="AM12" s="99">
        <f t="shared" si="6"/>
        <v>207641697.42244145</v>
      </c>
      <c r="AN12" s="99">
        <f t="shared" si="6"/>
        <v>213623854.725182</v>
      </c>
      <c r="AO12" s="99">
        <f t="shared" si="6"/>
        <v>219778357.9798145</v>
      </c>
      <c r="AP12" s="99">
        <f t="shared" si="6"/>
        <v>226110172.47321296</v>
      </c>
      <c r="AQ12" s="99">
        <f t="shared" si="6"/>
        <v>232624406.54216623</v>
      </c>
      <c r="AR12" s="99">
        <f t="shared" si="6"/>
        <v>239326315.69464603</v>
      </c>
      <c r="AS12" s="99">
        <f t="shared" si="6"/>
        <v>246221306.84980878</v>
      </c>
      <c r="AT12" s="99">
        <f t="shared" si="6"/>
        <v>253314942.70015177</v>
      </c>
      <c r="AU12" s="99">
        <f t="shared" si="6"/>
        <v>260612946.19934314</v>
      </c>
      <c r="AV12" s="99">
        <f t="shared" si="6"/>
        <v>268121205.17934623</v>
      </c>
      <c r="AW12" s="99">
        <f t="shared" si="6"/>
        <v>275845777.10056323</v>
      </c>
      <c r="AX12" s="99">
        <f t="shared" si="6"/>
        <v>283792893.93883044</v>
      </c>
      <c r="AY12" s="99">
        <f t="shared" si="6"/>
        <v>291968967.21320814</v>
      </c>
      <c r="AZ12" s="99">
        <f t="shared" si="6"/>
        <v>300380593.15862066</v>
      </c>
      <c r="BA12" s="99">
        <f t="shared" si="6"/>
        <v>309034558.04752052</v>
      </c>
      <c r="BB12" s="99">
        <f t="shared" si="6"/>
        <v>317937843.66486961</v>
      </c>
      <c r="BC12" s="99">
        <f t="shared" si="6"/>
        <v>327097632.94085449</v>
      </c>
      <c r="BD12" s="99">
        <f t="shared" si="6"/>
        <v>336521315.74588048</v>
      </c>
      <c r="BE12" s="99">
        <f t="shared" si="6"/>
        <v>346216494.85251927</v>
      </c>
      <c r="BF12" s="99">
        <f t="shared" si="6"/>
        <v>356190992.06922036</v>
      </c>
      <c r="BG12" s="99">
        <f t="shared" si="6"/>
        <v>366452854.55073458</v>
      </c>
      <c r="BH12" s="99">
        <f t="shared" si="6"/>
        <v>377010361.29034126</v>
      </c>
      <c r="BI12" s="99">
        <f t="shared" si="6"/>
        <v>387872029.79911602</v>
      </c>
      <c r="BJ12" s="99">
        <f t="shared" si="6"/>
        <v>399046622.97762853</v>
      </c>
      <c r="BK12" s="99">
        <f t="shared" si="6"/>
        <v>410543156.18561399</v>
      </c>
      <c r="BL12" s="99">
        <f t="shared" si="6"/>
        <v>422370904.51532155</v>
      </c>
      <c r="BM12" s="99">
        <f t="shared" si="6"/>
        <v>434539410.27440798</v>
      </c>
      <c r="BN12" s="99">
        <f t="shared" si="6"/>
        <v>447058490.68441367</v>
      </c>
    </row>
    <row r="13" spans="1:66" ht="15.75" customHeight="1">
      <c r="A13" s="379" t="s">
        <v>478</v>
      </c>
      <c r="B13" s="99"/>
      <c r="C13" s="99">
        <v>79990000</v>
      </c>
      <c r="D13" s="99">
        <f t="shared" ref="D13:BN13" si="7">C13*(1+D3)</f>
        <v>81981751</v>
      </c>
      <c r="E13" s="99">
        <f t="shared" si="7"/>
        <v>84277240.027999997</v>
      </c>
      <c r="F13" s="99">
        <f t="shared" si="7"/>
        <v>86721279.988811985</v>
      </c>
      <c r="G13" s="99">
        <f t="shared" si="7"/>
        <v>89236197.108487532</v>
      </c>
      <c r="H13" s="99">
        <f t="shared" si="7"/>
        <v>91824046.824633658</v>
      </c>
      <c r="I13" s="99">
        <f t="shared" si="7"/>
        <v>94469497.61365135</v>
      </c>
      <c r="J13" s="99">
        <f t="shared" si="7"/>
        <v>97191163.839900643</v>
      </c>
      <c r="K13" s="99">
        <f t="shared" si="7"/>
        <v>99991241.270128176</v>
      </c>
      <c r="L13" s="99">
        <f t="shared" si="7"/>
        <v>102871988.93112057</v>
      </c>
      <c r="M13" s="99">
        <f t="shared" si="7"/>
        <v>105835730.93222615</v>
      </c>
      <c r="N13" s="99">
        <f t="shared" si="7"/>
        <v>108884858.34038359</v>
      </c>
      <c r="O13" s="99">
        <f t="shared" si="7"/>
        <v>112021831.10917003</v>
      </c>
      <c r="P13" s="99">
        <f t="shared" si="7"/>
        <v>115249180.06342523</v>
      </c>
      <c r="Q13" s="99">
        <f t="shared" si="7"/>
        <v>118569508.94105251</v>
      </c>
      <c r="R13" s="99">
        <f t="shared" si="7"/>
        <v>121985496.49364424</v>
      </c>
      <c r="S13" s="99">
        <f t="shared" si="7"/>
        <v>125499898.64762613</v>
      </c>
      <c r="T13" s="99">
        <f t="shared" si="7"/>
        <v>129115550.72766425</v>
      </c>
      <c r="U13" s="99">
        <f t="shared" si="7"/>
        <v>132835369.74412826</v>
      </c>
      <c r="V13" s="99">
        <f t="shared" si="7"/>
        <v>136662356.74645659</v>
      </c>
      <c r="W13" s="99">
        <f t="shared" si="7"/>
        <v>140599599.244322</v>
      </c>
      <c r="X13" s="99">
        <f t="shared" si="7"/>
        <v>144650273.69855091</v>
      </c>
      <c r="Y13" s="99">
        <f t="shared" si="7"/>
        <v>148817648.08380616</v>
      </c>
      <c r="Z13" s="99">
        <f t="shared" si="7"/>
        <v>153105084.52510062</v>
      </c>
      <c r="AA13" s="99">
        <f t="shared" si="7"/>
        <v>157516042.01026878</v>
      </c>
      <c r="AB13" s="99">
        <f t="shared" si="7"/>
        <v>162054079.18058461</v>
      </c>
      <c r="AC13" s="99">
        <f t="shared" si="7"/>
        <v>166722857.20177725</v>
      </c>
      <c r="AD13" s="99">
        <f t="shared" si="7"/>
        <v>171526142.71776044</v>
      </c>
      <c r="AE13" s="99">
        <f t="shared" si="7"/>
        <v>176467810.88945913</v>
      </c>
      <c r="AF13" s="99">
        <f t="shared" si="7"/>
        <v>181551848.52118444</v>
      </c>
      <c r="AG13" s="99">
        <f t="shared" si="7"/>
        <v>186782357.27707976</v>
      </c>
      <c r="AH13" s="99">
        <f t="shared" si="7"/>
        <v>192163556.99023244</v>
      </c>
      <c r="AI13" s="99">
        <f t="shared" si="7"/>
        <v>197699789.06712103</v>
      </c>
      <c r="AJ13" s="99">
        <f t="shared" si="7"/>
        <v>203395519.99014479</v>
      </c>
      <c r="AK13" s="99">
        <f t="shared" si="7"/>
        <v>209255344.92106086</v>
      </c>
      <c r="AL13" s="99">
        <f t="shared" si="7"/>
        <v>215283991.40823662</v>
      </c>
      <c r="AM13" s="99">
        <f t="shared" si="7"/>
        <v>221486323.20070791</v>
      </c>
      <c r="AN13" s="99">
        <f t="shared" si="7"/>
        <v>227867344.1721203</v>
      </c>
      <c r="AO13" s="99">
        <f t="shared" si="7"/>
        <v>234432202.35771909</v>
      </c>
      <c r="AP13" s="99">
        <f t="shared" si="7"/>
        <v>241186194.10764498</v>
      </c>
      <c r="AQ13" s="99">
        <f t="shared" si="7"/>
        <v>248134768.35988623</v>
      </c>
      <c r="AR13" s="99">
        <f t="shared" si="7"/>
        <v>255283531.03633454</v>
      </c>
      <c r="AS13" s="99">
        <f t="shared" si="7"/>
        <v>262638249.56549135</v>
      </c>
      <c r="AT13" s="99">
        <f t="shared" si="7"/>
        <v>270204857.53547317</v>
      </c>
      <c r="AU13" s="99">
        <f t="shared" si="7"/>
        <v>277989459.48107016</v>
      </c>
      <c r="AV13" s="99">
        <f t="shared" si="7"/>
        <v>285998335.80871981</v>
      </c>
      <c r="AW13" s="99">
        <f t="shared" si="7"/>
        <v>294237947.86336905</v>
      </c>
      <c r="AX13" s="99">
        <f t="shared" si="7"/>
        <v>302714943.14131272</v>
      </c>
      <c r="AY13" s="99">
        <f t="shared" si="7"/>
        <v>311436160.65321392</v>
      </c>
      <c r="AZ13" s="99">
        <f t="shared" si="7"/>
        <v>320408636.44163299</v>
      </c>
      <c r="BA13" s="99">
        <f t="shared" si="7"/>
        <v>329639609.25751644</v>
      </c>
      <c r="BB13" s="99">
        <f t="shared" si="7"/>
        <v>339136526.40022552</v>
      </c>
      <c r="BC13" s="99">
        <f t="shared" si="7"/>
        <v>348907049.72581601</v>
      </c>
      <c r="BD13" s="99">
        <f t="shared" si="7"/>
        <v>358959061.82841676</v>
      </c>
      <c r="BE13" s="99">
        <f t="shared" si="7"/>
        <v>369300672.39969343</v>
      </c>
      <c r="BF13" s="99">
        <f t="shared" si="7"/>
        <v>379940224.7715286</v>
      </c>
      <c r="BG13" s="99">
        <f t="shared" si="7"/>
        <v>390886302.64719635</v>
      </c>
      <c r="BH13" s="99">
        <f t="shared" si="7"/>
        <v>402147737.02646208</v>
      </c>
      <c r="BI13" s="99">
        <f t="shared" si="7"/>
        <v>413733613.33019447</v>
      </c>
      <c r="BJ13" s="99">
        <f t="shared" si="7"/>
        <v>425653278.73023736</v>
      </c>
      <c r="BK13" s="99">
        <f t="shared" si="7"/>
        <v>437916349.6904555</v>
      </c>
      <c r="BL13" s="99">
        <f t="shared" si="7"/>
        <v>450532719.72503752</v>
      </c>
      <c r="BM13" s="99">
        <f t="shared" si="7"/>
        <v>463512567.38031584</v>
      </c>
      <c r="BN13" s="99">
        <f t="shared" si="7"/>
        <v>476866364.44654274</v>
      </c>
    </row>
    <row r="14" spans="1:66" ht="15.75" customHeight="1">
      <c r="A14" s="379" t="s">
        <v>479</v>
      </c>
      <c r="B14" s="99"/>
      <c r="C14" s="99">
        <v>89990000</v>
      </c>
      <c r="D14" s="99">
        <f t="shared" ref="D14:BN14" si="8">C14*(1+D3)</f>
        <v>92230751</v>
      </c>
      <c r="E14" s="99">
        <f t="shared" si="8"/>
        <v>94813212.027999997</v>
      </c>
      <c r="F14" s="99">
        <f t="shared" si="8"/>
        <v>97562795.176811993</v>
      </c>
      <c r="G14" s="99">
        <f t="shared" si="8"/>
        <v>100392116.23693953</v>
      </c>
      <c r="H14" s="99">
        <f t="shared" si="8"/>
        <v>103303487.60781077</v>
      </c>
      <c r="I14" s="99">
        <f t="shared" si="8"/>
        <v>106279661.0857918</v>
      </c>
      <c r="J14" s="99">
        <f t="shared" si="8"/>
        <v>109341578.12167346</v>
      </c>
      <c r="K14" s="99">
        <f t="shared" si="8"/>
        <v>112491708.98735888</v>
      </c>
      <c r="L14" s="99">
        <f t="shared" si="8"/>
        <v>115732595.1232847</v>
      </c>
      <c r="M14" s="99">
        <f t="shared" si="8"/>
        <v>119066851.18878654</v>
      </c>
      <c r="N14" s="99">
        <f t="shared" si="8"/>
        <v>122497167.17153548</v>
      </c>
      <c r="O14" s="99">
        <f t="shared" si="8"/>
        <v>126026310.55774741</v>
      </c>
      <c r="P14" s="99">
        <f t="shared" si="8"/>
        <v>129657128.56491612</v>
      </c>
      <c r="Q14" s="99">
        <f t="shared" si="8"/>
        <v>133392550.43887135</v>
      </c>
      <c r="R14" s="99">
        <f t="shared" si="8"/>
        <v>137235589.81701523</v>
      </c>
      <c r="S14" s="99">
        <f t="shared" si="8"/>
        <v>141189347.15964344</v>
      </c>
      <c r="T14" s="99">
        <f t="shared" si="8"/>
        <v>145257012.25131276</v>
      </c>
      <c r="U14" s="99">
        <f t="shared" si="8"/>
        <v>149441866.7742731</v>
      </c>
      <c r="V14" s="99">
        <f t="shared" si="8"/>
        <v>153747286.95603991</v>
      </c>
      <c r="W14" s="99">
        <f t="shared" si="8"/>
        <v>158176746.29324341</v>
      </c>
      <c r="X14" s="99">
        <f t="shared" si="8"/>
        <v>162733818.35395175</v>
      </c>
      <c r="Y14" s="99">
        <f t="shared" si="8"/>
        <v>167422179.66072911</v>
      </c>
      <c r="Z14" s="99">
        <f t="shared" si="8"/>
        <v>172245612.6567547</v>
      </c>
      <c r="AA14" s="99">
        <f t="shared" si="8"/>
        <v>177208008.7573958</v>
      </c>
      <c r="AB14" s="99">
        <f t="shared" si="8"/>
        <v>182313371.48969638</v>
      </c>
      <c r="AC14" s="99">
        <f t="shared" si="8"/>
        <v>187565819.72231454</v>
      </c>
      <c r="AD14" s="99">
        <f t="shared" si="8"/>
        <v>192969590.98851442</v>
      </c>
      <c r="AE14" s="99">
        <f t="shared" si="8"/>
        <v>198529044.90489352</v>
      </c>
      <c r="AF14" s="99">
        <f t="shared" si="8"/>
        <v>204248666.68860349</v>
      </c>
      <c r="AG14" s="99">
        <f t="shared" si="8"/>
        <v>210133070.77590215</v>
      </c>
      <c r="AH14" s="99">
        <f t="shared" si="8"/>
        <v>216187004.54495588</v>
      </c>
      <c r="AI14" s="99">
        <f t="shared" si="8"/>
        <v>222415352.14589605</v>
      </c>
      <c r="AJ14" s="99">
        <f t="shared" si="8"/>
        <v>228823138.4412193</v>
      </c>
      <c r="AK14" s="99">
        <f t="shared" si="8"/>
        <v>235415533.05971083</v>
      </c>
      <c r="AL14" s="99">
        <f t="shared" si="8"/>
        <v>242197854.56716111</v>
      </c>
      <c r="AM14" s="99">
        <f t="shared" si="8"/>
        <v>249175574.75724101</v>
      </c>
      <c r="AN14" s="99">
        <f t="shared" si="8"/>
        <v>256354323.06599712</v>
      </c>
      <c r="AO14" s="99">
        <f t="shared" si="8"/>
        <v>263739891.11352849</v>
      </c>
      <c r="AP14" s="99">
        <f t="shared" si="8"/>
        <v>271338237.37650925</v>
      </c>
      <c r="AQ14" s="99">
        <f t="shared" si="8"/>
        <v>279155491.99532646</v>
      </c>
      <c r="AR14" s="99">
        <f t="shared" si="8"/>
        <v>287197961.71971184</v>
      </c>
      <c r="AS14" s="99">
        <f t="shared" si="8"/>
        <v>295472134.99685675</v>
      </c>
      <c r="AT14" s="99">
        <f t="shared" si="8"/>
        <v>303984687.2061162</v>
      </c>
      <c r="AU14" s="99">
        <f t="shared" si="8"/>
        <v>312742486.04452443</v>
      </c>
      <c r="AV14" s="99">
        <f t="shared" si="8"/>
        <v>321752597.06746715</v>
      </c>
      <c r="AW14" s="99">
        <f t="shared" si="8"/>
        <v>331022289.38898087</v>
      </c>
      <c r="AX14" s="99">
        <f t="shared" si="8"/>
        <v>340559041.5462774</v>
      </c>
      <c r="AY14" s="99">
        <f t="shared" si="8"/>
        <v>350370547.53322566</v>
      </c>
      <c r="AZ14" s="99">
        <f t="shared" si="8"/>
        <v>360464723.00765789</v>
      </c>
      <c r="BA14" s="99">
        <f t="shared" si="8"/>
        <v>370849711.67750853</v>
      </c>
      <c r="BB14" s="99">
        <f t="shared" si="8"/>
        <v>381533891.87093753</v>
      </c>
      <c r="BC14" s="99">
        <f t="shared" si="8"/>
        <v>392525883.29573923</v>
      </c>
      <c r="BD14" s="99">
        <f t="shared" si="8"/>
        <v>403834553.9934895</v>
      </c>
      <c r="BE14" s="99">
        <f t="shared" si="8"/>
        <v>415469027.49404192</v>
      </c>
      <c r="BF14" s="99">
        <f t="shared" si="8"/>
        <v>427438690.17614526</v>
      </c>
      <c r="BG14" s="99">
        <f t="shared" si="8"/>
        <v>439753198.84012002</v>
      </c>
      <c r="BH14" s="99">
        <f t="shared" si="8"/>
        <v>452422488.4987039</v>
      </c>
      <c r="BI14" s="99">
        <f t="shared" si="8"/>
        <v>465456780.39235157</v>
      </c>
      <c r="BJ14" s="99">
        <f t="shared" si="8"/>
        <v>478866590.23545521</v>
      </c>
      <c r="BK14" s="99">
        <f t="shared" si="8"/>
        <v>492662736.70013869</v>
      </c>
      <c r="BL14" s="99">
        <f t="shared" si="8"/>
        <v>506856350.14446968</v>
      </c>
      <c r="BM14" s="99">
        <f t="shared" si="8"/>
        <v>521458881.59213185</v>
      </c>
      <c r="BN14" s="99">
        <f t="shared" si="8"/>
        <v>536482111.97080117</v>
      </c>
    </row>
    <row r="15" spans="1:66" ht="15.75" customHeight="1">
      <c r="A15" s="379" t="s">
        <v>480</v>
      </c>
      <c r="B15" s="99"/>
      <c r="C15" s="99">
        <v>98990000</v>
      </c>
      <c r="D15" s="99">
        <f t="shared" ref="D15:BN15" si="9">C15*(1+D3)</f>
        <v>101454850.99999999</v>
      </c>
      <c r="E15" s="99">
        <f t="shared" si="9"/>
        <v>104295586.82799999</v>
      </c>
      <c r="F15" s="99">
        <f t="shared" si="9"/>
        <v>107320158.84601198</v>
      </c>
      <c r="G15" s="99">
        <f t="shared" si="9"/>
        <v>110432443.45254631</v>
      </c>
      <c r="H15" s="99">
        <f t="shared" si="9"/>
        <v>113634984.31267014</v>
      </c>
      <c r="I15" s="99">
        <f t="shared" si="9"/>
        <v>116908808.21071817</v>
      </c>
      <c r="J15" s="99">
        <f t="shared" si="9"/>
        <v>120276950.97526896</v>
      </c>
      <c r="K15" s="99">
        <f t="shared" si="9"/>
        <v>123742129.93286645</v>
      </c>
      <c r="L15" s="99">
        <f t="shared" si="9"/>
        <v>127307140.69623233</v>
      </c>
      <c r="M15" s="99">
        <f t="shared" si="9"/>
        <v>130974859.41969079</v>
      </c>
      <c r="N15" s="99">
        <f t="shared" si="9"/>
        <v>134748245.11957207</v>
      </c>
      <c r="O15" s="99">
        <f t="shared" si="9"/>
        <v>138630342.06146693</v>
      </c>
      <c r="P15" s="99">
        <f t="shared" si="9"/>
        <v>142624282.21625778</v>
      </c>
      <c r="Q15" s="99">
        <f t="shared" si="9"/>
        <v>146733287.78690818</v>
      </c>
      <c r="R15" s="99">
        <f t="shared" si="9"/>
        <v>150960673.80804899</v>
      </c>
      <c r="S15" s="99">
        <f t="shared" si="9"/>
        <v>155309850.82045889</v>
      </c>
      <c r="T15" s="99">
        <f t="shared" si="9"/>
        <v>159784327.62259632</v>
      </c>
      <c r="U15" s="99">
        <f t="shared" si="9"/>
        <v>164387714.10140333</v>
      </c>
      <c r="V15" s="99">
        <f t="shared" si="9"/>
        <v>169123724.14466476</v>
      </c>
      <c r="W15" s="99">
        <f t="shared" si="9"/>
        <v>173996178.63727257</v>
      </c>
      <c r="X15" s="99">
        <f t="shared" si="9"/>
        <v>179009008.54381239</v>
      </c>
      <c r="Y15" s="99">
        <f t="shared" si="9"/>
        <v>184166258.07995963</v>
      </c>
      <c r="Z15" s="99">
        <f t="shared" si="9"/>
        <v>189472087.97524327</v>
      </c>
      <c r="AA15" s="99">
        <f t="shared" si="9"/>
        <v>194930778.82981002</v>
      </c>
      <c r="AB15" s="99">
        <f t="shared" si="9"/>
        <v>200546734.56789684</v>
      </c>
      <c r="AC15" s="99">
        <f t="shared" si="9"/>
        <v>206324485.99079794</v>
      </c>
      <c r="AD15" s="99">
        <f t="shared" si="9"/>
        <v>212268694.43219283</v>
      </c>
      <c r="AE15" s="99">
        <f t="shared" si="9"/>
        <v>218384155.51878431</v>
      </c>
      <c r="AF15" s="99">
        <f t="shared" si="9"/>
        <v>224675803.0392805</v>
      </c>
      <c r="AG15" s="99">
        <f t="shared" si="9"/>
        <v>231148712.92484218</v>
      </c>
      <c r="AH15" s="99">
        <f t="shared" si="9"/>
        <v>237808107.34420687</v>
      </c>
      <c r="AI15" s="99">
        <f t="shared" si="9"/>
        <v>244659358.91679347</v>
      </c>
      <c r="AJ15" s="99">
        <f t="shared" si="9"/>
        <v>251707995.04718629</v>
      </c>
      <c r="AK15" s="99">
        <f t="shared" si="9"/>
        <v>258959702.38449574</v>
      </c>
      <c r="AL15" s="99">
        <f t="shared" si="9"/>
        <v>266420331.41019306</v>
      </c>
      <c r="AM15" s="99">
        <f t="shared" si="9"/>
        <v>274095901.15812069</v>
      </c>
      <c r="AN15" s="99">
        <f t="shared" si="9"/>
        <v>281992604.07048613</v>
      </c>
      <c r="AO15" s="99">
        <f t="shared" si="9"/>
        <v>290116810.99375683</v>
      </c>
      <c r="AP15" s="99">
        <f t="shared" si="9"/>
        <v>298475076.31848699</v>
      </c>
      <c r="AQ15" s="99">
        <f t="shared" si="9"/>
        <v>307074143.26722258</v>
      </c>
      <c r="AR15" s="99">
        <f t="shared" si="9"/>
        <v>315920949.33475125</v>
      </c>
      <c r="AS15" s="99">
        <f t="shared" si="9"/>
        <v>325022631.8850854</v>
      </c>
      <c r="AT15" s="99">
        <f t="shared" si="9"/>
        <v>334386533.90969473</v>
      </c>
      <c r="AU15" s="99">
        <f t="shared" si="9"/>
        <v>344020209.95163304</v>
      </c>
      <c r="AV15" s="99">
        <f t="shared" si="9"/>
        <v>353931432.20033956</v>
      </c>
      <c r="AW15" s="99">
        <f t="shared" si="9"/>
        <v>364128196.76203132</v>
      </c>
      <c r="AX15" s="99">
        <f t="shared" si="9"/>
        <v>374618730.11074543</v>
      </c>
      <c r="AY15" s="99">
        <f t="shared" si="9"/>
        <v>385411495.725236</v>
      </c>
      <c r="AZ15" s="99">
        <f t="shared" si="9"/>
        <v>396515200.91708004</v>
      </c>
      <c r="BA15" s="99">
        <f t="shared" si="9"/>
        <v>407938803.85550112</v>
      </c>
      <c r="BB15" s="99">
        <f t="shared" si="9"/>
        <v>419691520.79457808</v>
      </c>
      <c r="BC15" s="99">
        <f t="shared" si="9"/>
        <v>431782833.50866985</v>
      </c>
      <c r="BD15" s="99">
        <f t="shared" si="9"/>
        <v>444222496.94205463</v>
      </c>
      <c r="BE15" s="99">
        <f t="shared" si="9"/>
        <v>457020547.07895523</v>
      </c>
      <c r="BF15" s="99">
        <f t="shared" si="9"/>
        <v>470187309.04029995</v>
      </c>
      <c r="BG15" s="99">
        <f t="shared" si="9"/>
        <v>483733405.41375101</v>
      </c>
      <c r="BH15" s="99">
        <f t="shared" si="9"/>
        <v>497669764.82372117</v>
      </c>
      <c r="BI15" s="99">
        <f t="shared" si="9"/>
        <v>512007630.74829257</v>
      </c>
      <c r="BJ15" s="99">
        <f t="shared" si="9"/>
        <v>526758570.59015089</v>
      </c>
      <c r="BK15" s="99">
        <f t="shared" si="9"/>
        <v>541934485.0088532</v>
      </c>
      <c r="BL15" s="99">
        <f t="shared" si="9"/>
        <v>557547617.52195823</v>
      </c>
      <c r="BM15" s="99">
        <f t="shared" si="9"/>
        <v>573610564.38276589</v>
      </c>
      <c r="BN15" s="99">
        <f t="shared" si="9"/>
        <v>590136284.74263334</v>
      </c>
    </row>
    <row r="16" spans="1:66" ht="15.75" customHeight="1">
      <c r="A16" s="99"/>
      <c r="B16" s="99"/>
      <c r="C16" s="99"/>
      <c r="D16" s="99"/>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99"/>
      <c r="BB16" s="99"/>
      <c r="BC16" s="99"/>
      <c r="BD16" s="99"/>
      <c r="BE16" s="99"/>
      <c r="BF16" s="99"/>
      <c r="BG16" s="99"/>
      <c r="BH16" s="99"/>
      <c r="BI16" s="99"/>
      <c r="BJ16" s="99"/>
      <c r="BK16" s="99"/>
      <c r="BL16" s="99"/>
      <c r="BM16" s="99"/>
      <c r="BN16" s="99"/>
    </row>
    <row r="17" spans="1:66" ht="15.75" customHeight="1">
      <c r="A17" s="99" t="s">
        <v>481</v>
      </c>
      <c r="B17" s="99"/>
      <c r="C17" s="99"/>
      <c r="D17" s="99"/>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row>
    <row r="18" spans="1:66" ht="15.75" customHeight="1">
      <c r="A18" s="379" t="s">
        <v>482</v>
      </c>
      <c r="B18" s="99"/>
      <c r="C18" s="99">
        <v>64990000</v>
      </c>
      <c r="D18" s="99">
        <f t="shared" ref="D18:BN18" si="10">C18*(1+D3)</f>
        <v>66608250.999999993</v>
      </c>
      <c r="E18" s="99">
        <f t="shared" si="10"/>
        <v>68473282.027999997</v>
      </c>
      <c r="F18" s="99">
        <f t="shared" si="10"/>
        <v>70459007.206811994</v>
      </c>
      <c r="G18" s="99">
        <f t="shared" si="10"/>
        <v>72502318.415809542</v>
      </c>
      <c r="H18" s="99">
        <f t="shared" si="10"/>
        <v>74604885.649868011</v>
      </c>
      <c r="I18" s="99">
        <f t="shared" si="10"/>
        <v>76754252.405440703</v>
      </c>
      <c r="J18" s="99">
        <f t="shared" si="10"/>
        <v>78965542.417241454</v>
      </c>
      <c r="K18" s="99">
        <f t="shared" si="10"/>
        <v>81240539.694282174</v>
      </c>
      <c r="L18" s="99">
        <f t="shared" si="10"/>
        <v>83581079.642874449</v>
      </c>
      <c r="M18" s="99">
        <f t="shared" si="10"/>
        <v>85989050.547385663</v>
      </c>
      <c r="N18" s="99">
        <f t="shared" si="10"/>
        <v>88466395.09365584</v>
      </c>
      <c r="O18" s="99">
        <f t="shared" si="10"/>
        <v>91015111.936304063</v>
      </c>
      <c r="P18" s="99">
        <f t="shared" si="10"/>
        <v>93637257.311188981</v>
      </c>
      <c r="Q18" s="99">
        <f t="shared" si="10"/>
        <v>96334946.694324329</v>
      </c>
      <c r="R18" s="99">
        <f t="shared" si="10"/>
        <v>99110356.508587807</v>
      </c>
      <c r="S18" s="99">
        <f t="shared" si="10"/>
        <v>101965725.87960023</v>
      </c>
      <c r="T18" s="99">
        <f t="shared" si="10"/>
        <v>104903358.44219151</v>
      </c>
      <c r="U18" s="99">
        <f t="shared" si="10"/>
        <v>107925624.19891106</v>
      </c>
      <c r="V18" s="99">
        <f t="shared" si="10"/>
        <v>111034961.43208168</v>
      </c>
      <c r="W18" s="99">
        <f t="shared" si="10"/>
        <v>114233878.67093995</v>
      </c>
      <c r="X18" s="99">
        <f t="shared" si="10"/>
        <v>117524956.71544974</v>
      </c>
      <c r="Y18" s="99">
        <f t="shared" si="10"/>
        <v>120910850.71842185</v>
      </c>
      <c r="Z18" s="99">
        <f t="shared" si="10"/>
        <v>124394292.32761958</v>
      </c>
      <c r="AA18" s="99">
        <f t="shared" si="10"/>
        <v>127978091.8895783</v>
      </c>
      <c r="AB18" s="99">
        <f t="shared" si="10"/>
        <v>131665140.71691705</v>
      </c>
      <c r="AC18" s="99">
        <f t="shared" si="10"/>
        <v>135458413.42097142</v>
      </c>
      <c r="AD18" s="99">
        <f t="shared" si="10"/>
        <v>139360970.31162962</v>
      </c>
      <c r="AE18" s="99">
        <f t="shared" si="10"/>
        <v>143375959.86630768</v>
      </c>
      <c r="AF18" s="99">
        <f t="shared" si="10"/>
        <v>147506621.27005601</v>
      </c>
      <c r="AG18" s="99">
        <f t="shared" si="10"/>
        <v>151756287.02884632</v>
      </c>
      <c r="AH18" s="99">
        <f t="shared" si="10"/>
        <v>156128385.65814739</v>
      </c>
      <c r="AI18" s="99">
        <f t="shared" si="10"/>
        <v>160626444.44895864</v>
      </c>
      <c r="AJ18" s="99">
        <f t="shared" si="10"/>
        <v>165254092.31353313</v>
      </c>
      <c r="AK18" s="99">
        <f t="shared" si="10"/>
        <v>170015062.71308601</v>
      </c>
      <c r="AL18" s="99">
        <f t="shared" si="10"/>
        <v>174913196.66985002</v>
      </c>
      <c r="AM18" s="99">
        <f t="shared" si="10"/>
        <v>179952445.86590841</v>
      </c>
      <c r="AN18" s="99">
        <f t="shared" si="10"/>
        <v>185136875.83130524</v>
      </c>
      <c r="AO18" s="99">
        <f t="shared" si="10"/>
        <v>190470669.22400513</v>
      </c>
      <c r="AP18" s="99">
        <f t="shared" si="10"/>
        <v>195958129.20434871</v>
      </c>
      <c r="AQ18" s="99">
        <f t="shared" si="10"/>
        <v>201603682.906726</v>
      </c>
      <c r="AR18" s="99">
        <f t="shared" si="10"/>
        <v>207411885.01126876</v>
      </c>
      <c r="AS18" s="99">
        <f t="shared" si="10"/>
        <v>213387421.41844341</v>
      </c>
      <c r="AT18" s="99">
        <f t="shared" si="10"/>
        <v>219535113.02950877</v>
      </c>
      <c r="AU18" s="99">
        <f t="shared" si="10"/>
        <v>225859919.6358889</v>
      </c>
      <c r="AV18" s="99">
        <f t="shared" si="10"/>
        <v>232366943.92059886</v>
      </c>
      <c r="AW18" s="99">
        <f t="shared" si="10"/>
        <v>239061435.57495132</v>
      </c>
      <c r="AX18" s="99">
        <f t="shared" si="10"/>
        <v>245948795.53386566</v>
      </c>
      <c r="AY18" s="99">
        <f t="shared" si="10"/>
        <v>253034580.33319634</v>
      </c>
      <c r="AZ18" s="99">
        <f t="shared" si="10"/>
        <v>260324506.59259573</v>
      </c>
      <c r="BA18" s="99">
        <f t="shared" si="10"/>
        <v>267824455.6275284</v>
      </c>
      <c r="BB18" s="99">
        <f t="shared" si="10"/>
        <v>275540478.19415748</v>
      </c>
      <c r="BC18" s="99">
        <f t="shared" si="10"/>
        <v>283478799.37093115</v>
      </c>
      <c r="BD18" s="99">
        <f t="shared" si="10"/>
        <v>291645823.58080769</v>
      </c>
      <c r="BE18" s="99">
        <f t="shared" si="10"/>
        <v>300048139.75817078</v>
      </c>
      <c r="BF18" s="99">
        <f t="shared" si="10"/>
        <v>308692526.66460371</v>
      </c>
      <c r="BG18" s="99">
        <f t="shared" si="10"/>
        <v>317585958.35781091</v>
      </c>
      <c r="BH18" s="99">
        <f t="shared" si="10"/>
        <v>326735609.81809944</v>
      </c>
      <c r="BI18" s="99">
        <f t="shared" si="10"/>
        <v>336148862.73695886</v>
      </c>
      <c r="BJ18" s="99">
        <f t="shared" si="10"/>
        <v>345833311.47241062</v>
      </c>
      <c r="BK18" s="99">
        <f t="shared" si="10"/>
        <v>355796769.1759308</v>
      </c>
      <c r="BL18" s="99">
        <f t="shared" si="10"/>
        <v>366047274.09588939</v>
      </c>
      <c r="BM18" s="99">
        <f t="shared" si="10"/>
        <v>376593096.06259197</v>
      </c>
      <c r="BN18" s="99">
        <f t="shared" si="10"/>
        <v>387442743.16015524</v>
      </c>
    </row>
    <row r="19" spans="1:66" ht="15.75" customHeight="1">
      <c r="A19" s="99"/>
      <c r="B19" s="99"/>
      <c r="C19" s="99"/>
      <c r="D19" s="99"/>
      <c r="E19" s="99"/>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99"/>
      <c r="BJ19" s="99"/>
      <c r="BK19" s="99"/>
      <c r="BL19" s="99"/>
      <c r="BM19" s="99"/>
      <c r="BN19" s="99"/>
    </row>
    <row r="20" spans="1:66" ht="15.75" customHeight="1">
      <c r="A20" s="99" t="s">
        <v>483</v>
      </c>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99"/>
      <c r="BJ20" s="99"/>
      <c r="BK20" s="99"/>
      <c r="BL20" s="99"/>
      <c r="BM20" s="99"/>
      <c r="BN20" s="99"/>
    </row>
    <row r="21" spans="1:66" ht="15.75" customHeight="1">
      <c r="A21" s="379" t="s">
        <v>484</v>
      </c>
      <c r="B21" s="99"/>
      <c r="C21" s="99">
        <v>79990000</v>
      </c>
      <c r="D21" s="99">
        <f t="shared" ref="D21:BN21" si="11">C21*(1+D3)</f>
        <v>81981751</v>
      </c>
      <c r="E21" s="99">
        <f t="shared" si="11"/>
        <v>84277240.027999997</v>
      </c>
      <c r="F21" s="99">
        <f t="shared" si="11"/>
        <v>86721279.988811985</v>
      </c>
      <c r="G21" s="99">
        <f t="shared" si="11"/>
        <v>89236197.108487532</v>
      </c>
      <c r="H21" s="99">
        <f t="shared" si="11"/>
        <v>91824046.824633658</v>
      </c>
      <c r="I21" s="99">
        <f t="shared" si="11"/>
        <v>94469497.61365135</v>
      </c>
      <c r="J21" s="99">
        <f t="shared" si="11"/>
        <v>97191163.839900643</v>
      </c>
      <c r="K21" s="99">
        <f t="shared" si="11"/>
        <v>99991241.270128176</v>
      </c>
      <c r="L21" s="99">
        <f t="shared" si="11"/>
        <v>102871988.93112057</v>
      </c>
      <c r="M21" s="99">
        <f t="shared" si="11"/>
        <v>105835730.93222615</v>
      </c>
      <c r="N21" s="99">
        <f t="shared" si="11"/>
        <v>108884858.34038359</v>
      </c>
      <c r="O21" s="99">
        <f t="shared" si="11"/>
        <v>112021831.10917003</v>
      </c>
      <c r="P21" s="99">
        <f t="shared" si="11"/>
        <v>115249180.06342523</v>
      </c>
      <c r="Q21" s="99">
        <f t="shared" si="11"/>
        <v>118569508.94105251</v>
      </c>
      <c r="R21" s="99">
        <f t="shared" si="11"/>
        <v>121985496.49364424</v>
      </c>
      <c r="S21" s="99">
        <f t="shared" si="11"/>
        <v>125499898.64762613</v>
      </c>
      <c r="T21" s="99">
        <f t="shared" si="11"/>
        <v>129115550.72766425</v>
      </c>
      <c r="U21" s="99">
        <f t="shared" si="11"/>
        <v>132835369.74412826</v>
      </c>
      <c r="V21" s="99">
        <f t="shared" si="11"/>
        <v>136662356.74645659</v>
      </c>
      <c r="W21" s="99">
        <f t="shared" si="11"/>
        <v>140599599.244322</v>
      </c>
      <c r="X21" s="99">
        <f t="shared" si="11"/>
        <v>144650273.69855091</v>
      </c>
      <c r="Y21" s="99">
        <f t="shared" si="11"/>
        <v>148817648.08380616</v>
      </c>
      <c r="Z21" s="99">
        <f t="shared" si="11"/>
        <v>153105084.52510062</v>
      </c>
      <c r="AA21" s="99">
        <f t="shared" si="11"/>
        <v>157516042.01026878</v>
      </c>
      <c r="AB21" s="99">
        <f t="shared" si="11"/>
        <v>162054079.18058461</v>
      </c>
      <c r="AC21" s="99">
        <f t="shared" si="11"/>
        <v>166722857.20177725</v>
      </c>
      <c r="AD21" s="99">
        <f t="shared" si="11"/>
        <v>171526142.71776044</v>
      </c>
      <c r="AE21" s="99">
        <f t="shared" si="11"/>
        <v>176467810.88945913</v>
      </c>
      <c r="AF21" s="99">
        <f t="shared" si="11"/>
        <v>181551848.52118444</v>
      </c>
      <c r="AG21" s="99">
        <f t="shared" si="11"/>
        <v>186782357.27707976</v>
      </c>
      <c r="AH21" s="99">
        <f t="shared" si="11"/>
        <v>192163556.99023244</v>
      </c>
      <c r="AI21" s="99">
        <f t="shared" si="11"/>
        <v>197699789.06712103</v>
      </c>
      <c r="AJ21" s="99">
        <f t="shared" si="11"/>
        <v>203395519.99014479</v>
      </c>
      <c r="AK21" s="99">
        <f t="shared" si="11"/>
        <v>209255344.92106086</v>
      </c>
      <c r="AL21" s="99">
        <f t="shared" si="11"/>
        <v>215283991.40823662</v>
      </c>
      <c r="AM21" s="99">
        <f t="shared" si="11"/>
        <v>221486323.20070791</v>
      </c>
      <c r="AN21" s="99">
        <f t="shared" si="11"/>
        <v>227867344.1721203</v>
      </c>
      <c r="AO21" s="99">
        <f t="shared" si="11"/>
        <v>234432202.35771909</v>
      </c>
      <c r="AP21" s="99">
        <f t="shared" si="11"/>
        <v>241186194.10764498</v>
      </c>
      <c r="AQ21" s="99">
        <f t="shared" si="11"/>
        <v>248134768.35988623</v>
      </c>
      <c r="AR21" s="99">
        <f t="shared" si="11"/>
        <v>255283531.03633454</v>
      </c>
      <c r="AS21" s="99">
        <f t="shared" si="11"/>
        <v>262638249.56549135</v>
      </c>
      <c r="AT21" s="99">
        <f t="shared" si="11"/>
        <v>270204857.53547317</v>
      </c>
      <c r="AU21" s="99">
        <f t="shared" si="11"/>
        <v>277989459.48107016</v>
      </c>
      <c r="AV21" s="99">
        <f t="shared" si="11"/>
        <v>285998335.80871981</v>
      </c>
      <c r="AW21" s="99">
        <f t="shared" si="11"/>
        <v>294237947.86336905</v>
      </c>
      <c r="AX21" s="99">
        <f t="shared" si="11"/>
        <v>302714943.14131272</v>
      </c>
      <c r="AY21" s="99">
        <f t="shared" si="11"/>
        <v>311436160.65321392</v>
      </c>
      <c r="AZ21" s="99">
        <f t="shared" si="11"/>
        <v>320408636.44163299</v>
      </c>
      <c r="BA21" s="99">
        <f t="shared" si="11"/>
        <v>329639609.25751644</v>
      </c>
      <c r="BB21" s="99">
        <f t="shared" si="11"/>
        <v>339136526.40022552</v>
      </c>
      <c r="BC21" s="99">
        <f t="shared" si="11"/>
        <v>348907049.72581601</v>
      </c>
      <c r="BD21" s="99">
        <f t="shared" si="11"/>
        <v>358959061.82841676</v>
      </c>
      <c r="BE21" s="99">
        <f t="shared" si="11"/>
        <v>369300672.39969343</v>
      </c>
      <c r="BF21" s="99">
        <f t="shared" si="11"/>
        <v>379940224.7715286</v>
      </c>
      <c r="BG21" s="99">
        <f t="shared" si="11"/>
        <v>390886302.64719635</v>
      </c>
      <c r="BH21" s="99">
        <f t="shared" si="11"/>
        <v>402147737.02646208</v>
      </c>
      <c r="BI21" s="99">
        <f t="shared" si="11"/>
        <v>413733613.33019447</v>
      </c>
      <c r="BJ21" s="99">
        <f t="shared" si="11"/>
        <v>425653278.73023736</v>
      </c>
      <c r="BK21" s="99">
        <f t="shared" si="11"/>
        <v>437916349.6904555</v>
      </c>
      <c r="BL21" s="99">
        <f t="shared" si="11"/>
        <v>450532719.72503752</v>
      </c>
      <c r="BM21" s="99">
        <f t="shared" si="11"/>
        <v>463512567.38031584</v>
      </c>
      <c r="BN21" s="99">
        <f t="shared" si="11"/>
        <v>476866364.44654274</v>
      </c>
    </row>
    <row r="22" spans="1:66" ht="15.75" customHeight="1">
      <c r="A22" s="379" t="s">
        <v>485</v>
      </c>
      <c r="B22" s="99"/>
      <c r="C22" s="99">
        <v>77900000</v>
      </c>
      <c r="D22" s="99">
        <f t="shared" ref="D22:BN22" si="12">C22*(1+D3)</f>
        <v>79839710</v>
      </c>
      <c r="E22" s="99">
        <f t="shared" si="12"/>
        <v>82075221.879999995</v>
      </c>
      <c r="F22" s="99">
        <f t="shared" si="12"/>
        <v>84455403.314519987</v>
      </c>
      <c r="G22" s="99">
        <f t="shared" si="12"/>
        <v>86904610.010641053</v>
      </c>
      <c r="H22" s="99">
        <f t="shared" si="12"/>
        <v>89424843.700949639</v>
      </c>
      <c r="I22" s="99">
        <f t="shared" si="12"/>
        <v>92001173.447973996</v>
      </c>
      <c r="J22" s="99">
        <f t="shared" si="12"/>
        <v>94651727.255010128</v>
      </c>
      <c r="K22" s="99">
        <f t="shared" si="12"/>
        <v>97378643.517226964</v>
      </c>
      <c r="L22" s="99">
        <f t="shared" si="12"/>
        <v>100184122.23695828</v>
      </c>
      <c r="M22" s="99">
        <f t="shared" si="12"/>
        <v>103070426.79860505</v>
      </c>
      <c r="N22" s="99">
        <f t="shared" si="12"/>
        <v>106039885.79467286</v>
      </c>
      <c r="O22" s="99">
        <f t="shared" si="12"/>
        <v>109094894.90441738</v>
      </c>
      <c r="P22" s="99">
        <f t="shared" si="12"/>
        <v>112237918.82661365</v>
      </c>
      <c r="Q22" s="99">
        <f t="shared" si="12"/>
        <v>115471493.2680084</v>
      </c>
      <c r="R22" s="99">
        <f t="shared" si="12"/>
        <v>118798226.98905972</v>
      </c>
      <c r="S22" s="99">
        <f t="shared" si="12"/>
        <v>122220803.90861453</v>
      </c>
      <c r="T22" s="99">
        <f t="shared" si="12"/>
        <v>125741985.26922172</v>
      </c>
      <c r="U22" s="99">
        <f t="shared" si="12"/>
        <v>129364611.86482801</v>
      </c>
      <c r="V22" s="99">
        <f t="shared" si="12"/>
        <v>133091606.3326537</v>
      </c>
      <c r="W22" s="99">
        <f t="shared" si="12"/>
        <v>136925975.51109746</v>
      </c>
      <c r="X22" s="99">
        <f t="shared" si="12"/>
        <v>140870812.86557218</v>
      </c>
      <c r="Y22" s="99">
        <f t="shared" si="12"/>
        <v>144929300.98422933</v>
      </c>
      <c r="Z22" s="99">
        <f t="shared" si="12"/>
        <v>149104714.14558497</v>
      </c>
      <c r="AA22" s="99">
        <f t="shared" si="12"/>
        <v>153400420.96011928</v>
      </c>
      <c r="AB22" s="99">
        <f t="shared" si="12"/>
        <v>157819887.0879803</v>
      </c>
      <c r="AC22" s="99">
        <f t="shared" si="12"/>
        <v>162366678.03498501</v>
      </c>
      <c r="AD22" s="99">
        <f t="shared" si="12"/>
        <v>167044462.02917293</v>
      </c>
      <c r="AE22" s="99">
        <f t="shared" si="12"/>
        <v>171857012.9802334</v>
      </c>
      <c r="AF22" s="99">
        <f t="shared" si="12"/>
        <v>176808213.52419391</v>
      </c>
      <c r="AG22" s="99">
        <f t="shared" si="12"/>
        <v>181902058.15582594</v>
      </c>
      <c r="AH22" s="99">
        <f t="shared" si="12"/>
        <v>187142656.45129529</v>
      </c>
      <c r="AI22" s="99">
        <f t="shared" si="12"/>
        <v>192534236.3836571</v>
      </c>
      <c r="AJ22" s="99">
        <f t="shared" si="12"/>
        <v>198081147.73387027</v>
      </c>
      <c r="AK22" s="99">
        <f t="shared" si="12"/>
        <v>203787865.60008308</v>
      </c>
      <c r="AL22" s="99">
        <f t="shared" si="12"/>
        <v>209658994.00802147</v>
      </c>
      <c r="AM22" s="99">
        <f t="shared" si="12"/>
        <v>215699269.62539259</v>
      </c>
      <c r="AN22" s="99">
        <f t="shared" si="12"/>
        <v>221913565.58330014</v>
      </c>
      <c r="AO22" s="99">
        <f t="shared" si="12"/>
        <v>228306895.40775502</v>
      </c>
      <c r="AP22" s="99">
        <f t="shared" si="12"/>
        <v>234884417.06445244</v>
      </c>
      <c r="AQ22" s="99">
        <f t="shared" si="12"/>
        <v>241651437.12007931</v>
      </c>
      <c r="AR22" s="99">
        <f t="shared" si="12"/>
        <v>248613415.02350879</v>
      </c>
      <c r="AS22" s="99">
        <f t="shared" si="12"/>
        <v>255775967.51033607</v>
      </c>
      <c r="AT22" s="99">
        <f t="shared" si="12"/>
        <v>263144873.13430884</v>
      </c>
      <c r="AU22" s="99">
        <f t="shared" si="12"/>
        <v>270726076.9293083</v>
      </c>
      <c r="AV22" s="99">
        <f t="shared" si="12"/>
        <v>278525695.20564169</v>
      </c>
      <c r="AW22" s="99">
        <f t="shared" si="12"/>
        <v>286550020.4845162</v>
      </c>
      <c r="AX22" s="99">
        <f t="shared" si="12"/>
        <v>294805526.57467514</v>
      </c>
      <c r="AY22" s="99">
        <f t="shared" si="12"/>
        <v>303298873.79529154</v>
      </c>
      <c r="AZ22" s="99">
        <f t="shared" si="12"/>
        <v>312036914.34933388</v>
      </c>
      <c r="BA22" s="99">
        <f t="shared" si="12"/>
        <v>321026697.85173821</v>
      </c>
      <c r="BB22" s="99">
        <f t="shared" si="12"/>
        <v>330275477.01684678</v>
      </c>
      <c r="BC22" s="99">
        <f t="shared" si="12"/>
        <v>339790713.50970215</v>
      </c>
      <c r="BD22" s="99">
        <f t="shared" si="12"/>
        <v>349580083.96591669</v>
      </c>
      <c r="BE22" s="99">
        <f t="shared" si="12"/>
        <v>359651486.18497473</v>
      </c>
      <c r="BF22" s="99">
        <f t="shared" si="12"/>
        <v>370013045.50196385</v>
      </c>
      <c r="BG22" s="99">
        <f t="shared" si="12"/>
        <v>380673121.34287542</v>
      </c>
      <c r="BH22" s="99">
        <f t="shared" si="12"/>
        <v>391640313.96876365</v>
      </c>
      <c r="BI22" s="99">
        <f t="shared" si="12"/>
        <v>402923471.4142037</v>
      </c>
      <c r="BJ22" s="99">
        <f t="shared" si="12"/>
        <v>414531696.62564689</v>
      </c>
      <c r="BK22" s="99">
        <f t="shared" si="12"/>
        <v>426474354.80543178</v>
      </c>
      <c r="BL22" s="99">
        <f t="shared" si="12"/>
        <v>438761080.96737629</v>
      </c>
      <c r="BM22" s="99">
        <f t="shared" si="12"/>
        <v>451401787.71004641</v>
      </c>
      <c r="BN22" s="99">
        <f t="shared" si="12"/>
        <v>464406673.21397287</v>
      </c>
    </row>
    <row r="23" spans="1:66" ht="15.75" customHeight="1">
      <c r="A23" s="379" t="s">
        <v>486</v>
      </c>
      <c r="B23" s="99"/>
      <c r="C23" s="99">
        <v>79990000</v>
      </c>
      <c r="D23" s="99">
        <f t="shared" ref="D23:BN23" si="13">C23*(1+D3)</f>
        <v>81981751</v>
      </c>
      <c r="E23" s="99">
        <f t="shared" si="13"/>
        <v>84277240.027999997</v>
      </c>
      <c r="F23" s="99">
        <f t="shared" si="13"/>
        <v>86721279.988811985</v>
      </c>
      <c r="G23" s="99">
        <f t="shared" si="13"/>
        <v>89236197.108487532</v>
      </c>
      <c r="H23" s="99">
        <f t="shared" si="13"/>
        <v>91824046.824633658</v>
      </c>
      <c r="I23" s="99">
        <f t="shared" si="13"/>
        <v>94469497.61365135</v>
      </c>
      <c r="J23" s="99">
        <f t="shared" si="13"/>
        <v>97191163.839900643</v>
      </c>
      <c r="K23" s="99">
        <f t="shared" si="13"/>
        <v>99991241.270128176</v>
      </c>
      <c r="L23" s="99">
        <f t="shared" si="13"/>
        <v>102871988.93112057</v>
      </c>
      <c r="M23" s="99">
        <f t="shared" si="13"/>
        <v>105835730.93222615</v>
      </c>
      <c r="N23" s="99">
        <f t="shared" si="13"/>
        <v>108884858.34038359</v>
      </c>
      <c r="O23" s="99">
        <f t="shared" si="13"/>
        <v>112021831.10917003</v>
      </c>
      <c r="P23" s="99">
        <f t="shared" si="13"/>
        <v>115249180.06342523</v>
      </c>
      <c r="Q23" s="99">
        <f t="shared" si="13"/>
        <v>118569508.94105251</v>
      </c>
      <c r="R23" s="99">
        <f t="shared" si="13"/>
        <v>121985496.49364424</v>
      </c>
      <c r="S23" s="99">
        <f t="shared" si="13"/>
        <v>125499898.64762613</v>
      </c>
      <c r="T23" s="99">
        <f t="shared" si="13"/>
        <v>129115550.72766425</v>
      </c>
      <c r="U23" s="99">
        <f t="shared" si="13"/>
        <v>132835369.74412826</v>
      </c>
      <c r="V23" s="99">
        <f t="shared" si="13"/>
        <v>136662356.74645659</v>
      </c>
      <c r="W23" s="99">
        <f t="shared" si="13"/>
        <v>140599599.244322</v>
      </c>
      <c r="X23" s="99">
        <f t="shared" si="13"/>
        <v>144650273.69855091</v>
      </c>
      <c r="Y23" s="99">
        <f t="shared" si="13"/>
        <v>148817648.08380616</v>
      </c>
      <c r="Z23" s="99">
        <f t="shared" si="13"/>
        <v>153105084.52510062</v>
      </c>
      <c r="AA23" s="99">
        <f t="shared" si="13"/>
        <v>157516042.01026878</v>
      </c>
      <c r="AB23" s="99">
        <f t="shared" si="13"/>
        <v>162054079.18058461</v>
      </c>
      <c r="AC23" s="99">
        <f t="shared" si="13"/>
        <v>166722857.20177725</v>
      </c>
      <c r="AD23" s="99">
        <f t="shared" si="13"/>
        <v>171526142.71776044</v>
      </c>
      <c r="AE23" s="99">
        <f t="shared" si="13"/>
        <v>176467810.88945913</v>
      </c>
      <c r="AF23" s="99">
        <f t="shared" si="13"/>
        <v>181551848.52118444</v>
      </c>
      <c r="AG23" s="99">
        <f t="shared" si="13"/>
        <v>186782357.27707976</v>
      </c>
      <c r="AH23" s="99">
        <f t="shared" si="13"/>
        <v>192163556.99023244</v>
      </c>
      <c r="AI23" s="99">
        <f t="shared" si="13"/>
        <v>197699789.06712103</v>
      </c>
      <c r="AJ23" s="99">
        <f t="shared" si="13"/>
        <v>203395519.99014479</v>
      </c>
      <c r="AK23" s="99">
        <f t="shared" si="13"/>
        <v>209255344.92106086</v>
      </c>
      <c r="AL23" s="99">
        <f t="shared" si="13"/>
        <v>215283991.40823662</v>
      </c>
      <c r="AM23" s="99">
        <f t="shared" si="13"/>
        <v>221486323.20070791</v>
      </c>
      <c r="AN23" s="99">
        <f t="shared" si="13"/>
        <v>227867344.1721203</v>
      </c>
      <c r="AO23" s="99">
        <f t="shared" si="13"/>
        <v>234432202.35771909</v>
      </c>
      <c r="AP23" s="99">
        <f t="shared" si="13"/>
        <v>241186194.10764498</v>
      </c>
      <c r="AQ23" s="99">
        <f t="shared" si="13"/>
        <v>248134768.35988623</v>
      </c>
      <c r="AR23" s="99">
        <f t="shared" si="13"/>
        <v>255283531.03633454</v>
      </c>
      <c r="AS23" s="99">
        <f t="shared" si="13"/>
        <v>262638249.56549135</v>
      </c>
      <c r="AT23" s="99">
        <f t="shared" si="13"/>
        <v>270204857.53547317</v>
      </c>
      <c r="AU23" s="99">
        <f t="shared" si="13"/>
        <v>277989459.48107016</v>
      </c>
      <c r="AV23" s="99">
        <f t="shared" si="13"/>
        <v>285998335.80871981</v>
      </c>
      <c r="AW23" s="99">
        <f t="shared" si="13"/>
        <v>294237947.86336905</v>
      </c>
      <c r="AX23" s="99">
        <f t="shared" si="13"/>
        <v>302714943.14131272</v>
      </c>
      <c r="AY23" s="99">
        <f t="shared" si="13"/>
        <v>311436160.65321392</v>
      </c>
      <c r="AZ23" s="99">
        <f t="shared" si="13"/>
        <v>320408636.44163299</v>
      </c>
      <c r="BA23" s="99">
        <f t="shared" si="13"/>
        <v>329639609.25751644</v>
      </c>
      <c r="BB23" s="99">
        <f t="shared" si="13"/>
        <v>339136526.40022552</v>
      </c>
      <c r="BC23" s="99">
        <f t="shared" si="13"/>
        <v>348907049.72581601</v>
      </c>
      <c r="BD23" s="99">
        <f t="shared" si="13"/>
        <v>358959061.82841676</v>
      </c>
      <c r="BE23" s="99">
        <f t="shared" si="13"/>
        <v>369300672.39969343</v>
      </c>
      <c r="BF23" s="99">
        <f t="shared" si="13"/>
        <v>379940224.7715286</v>
      </c>
      <c r="BG23" s="99">
        <f t="shared" si="13"/>
        <v>390886302.64719635</v>
      </c>
      <c r="BH23" s="99">
        <f t="shared" si="13"/>
        <v>402147737.02646208</v>
      </c>
      <c r="BI23" s="99">
        <f t="shared" si="13"/>
        <v>413733613.33019447</v>
      </c>
      <c r="BJ23" s="99">
        <f t="shared" si="13"/>
        <v>425653278.73023736</v>
      </c>
      <c r="BK23" s="99">
        <f t="shared" si="13"/>
        <v>437916349.6904555</v>
      </c>
      <c r="BL23" s="99">
        <f t="shared" si="13"/>
        <v>450532719.72503752</v>
      </c>
      <c r="BM23" s="99">
        <f t="shared" si="13"/>
        <v>463512567.38031584</v>
      </c>
      <c r="BN23" s="99">
        <f t="shared" si="13"/>
        <v>476866364.44654274</v>
      </c>
    </row>
  </sheetData>
  <hyperlinks>
    <hyperlink ref="A6" r:id="rId1" xr:uid="{00000000-0004-0000-0F00-000000000000}"/>
    <hyperlink ref="A7" r:id="rId2" xr:uid="{00000000-0004-0000-0F00-000001000000}"/>
    <hyperlink ref="A8" r:id="rId3" xr:uid="{00000000-0004-0000-0F00-000002000000}"/>
    <hyperlink ref="A9" r:id="rId4" xr:uid="{00000000-0004-0000-0F00-000003000000}"/>
    <hyperlink ref="A12" r:id="rId5" xr:uid="{00000000-0004-0000-0F00-000004000000}"/>
    <hyperlink ref="A13" r:id="rId6" xr:uid="{00000000-0004-0000-0F00-000005000000}"/>
    <hyperlink ref="A14" r:id="rId7" xr:uid="{00000000-0004-0000-0F00-000006000000}"/>
    <hyperlink ref="A15" r:id="rId8" xr:uid="{00000000-0004-0000-0F00-000007000000}"/>
    <hyperlink ref="A18" r:id="rId9" xr:uid="{00000000-0004-0000-0F00-000008000000}"/>
    <hyperlink ref="A21" r:id="rId10" xr:uid="{00000000-0004-0000-0F00-000009000000}"/>
    <hyperlink ref="A22" r:id="rId11" xr:uid="{00000000-0004-0000-0F00-00000A000000}"/>
    <hyperlink ref="A23" r:id="rId12" xr:uid="{00000000-0004-0000-0F00-00000B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X32"/>
  <sheetViews>
    <sheetView showGridLines="0" topLeftCell="A9" zoomScale="125" zoomScaleNormal="114" workbookViewId="0">
      <pane xSplit="1" topLeftCell="I1" activePane="topRight" state="frozen"/>
      <selection activeCell="A9" sqref="A9"/>
      <selection pane="topRight" activeCell="A22" sqref="A22"/>
    </sheetView>
  </sheetViews>
  <sheetFormatPr baseColWidth="10" defaultColWidth="40.1640625" defaultRowHeight="15.75" customHeight="1"/>
  <cols>
    <col min="1" max="1" width="48.6640625" style="63" customWidth="1"/>
    <col min="2" max="24" width="27.6640625" style="63" customWidth="1"/>
    <col min="25" max="16384" width="40.1640625" style="63"/>
  </cols>
  <sheetData>
    <row r="1" spans="1:24" ht="15.75" customHeight="1">
      <c r="A1" s="51" t="s">
        <v>237</v>
      </c>
      <c r="B1" s="60">
        <v>2066</v>
      </c>
      <c r="C1" s="60">
        <f t="shared" ref="C1:X1" si="0">B1+1</f>
        <v>2067</v>
      </c>
      <c r="D1" s="60">
        <f t="shared" si="0"/>
        <v>2068</v>
      </c>
      <c r="E1" s="60">
        <f t="shared" si="0"/>
        <v>2069</v>
      </c>
      <c r="F1" s="60">
        <f t="shared" si="0"/>
        <v>2070</v>
      </c>
      <c r="G1" s="60">
        <f t="shared" si="0"/>
        <v>2071</v>
      </c>
      <c r="H1" s="60">
        <f t="shared" si="0"/>
        <v>2072</v>
      </c>
      <c r="I1" s="381">
        <f t="shared" si="0"/>
        <v>2073</v>
      </c>
      <c r="J1" s="60">
        <f t="shared" si="0"/>
        <v>2074</v>
      </c>
      <c r="K1" s="61">
        <f t="shared" si="0"/>
        <v>2075</v>
      </c>
      <c r="L1" s="62">
        <f t="shared" si="0"/>
        <v>2076</v>
      </c>
      <c r="M1" s="62">
        <f t="shared" si="0"/>
        <v>2077</v>
      </c>
      <c r="N1" s="62">
        <f t="shared" si="0"/>
        <v>2078</v>
      </c>
      <c r="O1" s="62">
        <f t="shared" si="0"/>
        <v>2079</v>
      </c>
      <c r="P1" s="62">
        <f t="shared" si="0"/>
        <v>2080</v>
      </c>
      <c r="Q1" s="62">
        <f t="shared" si="0"/>
        <v>2081</v>
      </c>
      <c r="R1" s="62">
        <f t="shared" si="0"/>
        <v>2082</v>
      </c>
      <c r="S1" s="62">
        <f t="shared" si="0"/>
        <v>2083</v>
      </c>
      <c r="T1" s="62">
        <f t="shared" si="0"/>
        <v>2084</v>
      </c>
      <c r="U1" s="62">
        <f t="shared" si="0"/>
        <v>2085</v>
      </c>
      <c r="V1" s="62">
        <f t="shared" si="0"/>
        <v>2086</v>
      </c>
      <c r="W1" s="62">
        <f t="shared" si="0"/>
        <v>2087</v>
      </c>
      <c r="X1" s="62">
        <f t="shared" si="0"/>
        <v>2088</v>
      </c>
    </row>
    <row r="2" spans="1:24" ht="15.75" customHeight="1">
      <c r="A2" s="64" t="s">
        <v>238</v>
      </c>
      <c r="B2" s="66">
        <v>42</v>
      </c>
      <c r="C2" s="66">
        <f t="shared" ref="C2:X2" si="1">B2+1</f>
        <v>43</v>
      </c>
      <c r="D2" s="66">
        <f t="shared" si="1"/>
        <v>44</v>
      </c>
      <c r="E2" s="66">
        <f t="shared" si="1"/>
        <v>45</v>
      </c>
      <c r="F2" s="66">
        <f t="shared" si="1"/>
        <v>46</v>
      </c>
      <c r="G2" s="66">
        <f t="shared" si="1"/>
        <v>47</v>
      </c>
      <c r="H2" s="66">
        <f t="shared" si="1"/>
        <v>48</v>
      </c>
      <c r="I2" s="66">
        <f t="shared" si="1"/>
        <v>49</v>
      </c>
      <c r="J2" s="66">
        <f t="shared" si="1"/>
        <v>50</v>
      </c>
      <c r="K2" s="66">
        <f t="shared" si="1"/>
        <v>51</v>
      </c>
      <c r="L2" s="66">
        <f t="shared" si="1"/>
        <v>52</v>
      </c>
      <c r="M2" s="66">
        <f t="shared" si="1"/>
        <v>53</v>
      </c>
      <c r="N2" s="66">
        <f t="shared" si="1"/>
        <v>54</v>
      </c>
      <c r="O2" s="66">
        <f t="shared" si="1"/>
        <v>55</v>
      </c>
      <c r="P2" s="66">
        <f t="shared" si="1"/>
        <v>56</v>
      </c>
      <c r="Q2" s="66">
        <f t="shared" si="1"/>
        <v>57</v>
      </c>
      <c r="R2" s="66">
        <f t="shared" si="1"/>
        <v>58</v>
      </c>
      <c r="S2" s="66">
        <f t="shared" si="1"/>
        <v>59</v>
      </c>
      <c r="T2" s="66">
        <f t="shared" si="1"/>
        <v>60</v>
      </c>
      <c r="U2" s="66">
        <f t="shared" si="1"/>
        <v>61</v>
      </c>
      <c r="V2" s="66">
        <f t="shared" si="1"/>
        <v>62</v>
      </c>
      <c r="W2" s="66">
        <f t="shared" si="1"/>
        <v>63</v>
      </c>
      <c r="X2" s="66">
        <f t="shared" si="1"/>
        <v>64</v>
      </c>
    </row>
    <row r="3" spans="1:24" ht="15.75" customHeight="1">
      <c r="A3" s="64" t="s">
        <v>239</v>
      </c>
      <c r="B3" s="67">
        <f>'3. Financial drivers '!$G$32</f>
        <v>2.8810000000000002E-2</v>
      </c>
      <c r="C3" s="67">
        <f>'3. Financial drivers '!$G$32</f>
        <v>2.8810000000000002E-2</v>
      </c>
      <c r="D3" s="67">
        <f>'3. Financial drivers '!$G$32</f>
        <v>2.8810000000000002E-2</v>
      </c>
      <c r="E3" s="67">
        <f>'3. Financial drivers '!$G$32</f>
        <v>2.8810000000000002E-2</v>
      </c>
      <c r="F3" s="67">
        <f>'3. Financial drivers '!$G$32</f>
        <v>2.8810000000000002E-2</v>
      </c>
      <c r="G3" s="67">
        <f>'3. Financial drivers '!$G$32</f>
        <v>2.8810000000000002E-2</v>
      </c>
      <c r="H3" s="67">
        <f>'3. Financial drivers '!$G$32</f>
        <v>2.8810000000000002E-2</v>
      </c>
      <c r="I3" s="67">
        <f>'3. Financial drivers '!$G$32</f>
        <v>2.8810000000000002E-2</v>
      </c>
      <c r="J3" s="67">
        <f>'3. Financial drivers '!$G$32</f>
        <v>2.8810000000000002E-2</v>
      </c>
      <c r="K3" s="67">
        <f>'3. Financial drivers '!$G$32</f>
        <v>2.8810000000000002E-2</v>
      </c>
      <c r="L3" s="67">
        <f>'3. Financial drivers '!$G$32</f>
        <v>2.8810000000000002E-2</v>
      </c>
      <c r="M3" s="67">
        <f>'3. Financial drivers '!$G$32</f>
        <v>2.8810000000000002E-2</v>
      </c>
      <c r="N3" s="67">
        <f>'3. Financial drivers '!$G$32</f>
        <v>2.8810000000000002E-2</v>
      </c>
      <c r="O3" s="67">
        <f>'3. Financial drivers '!$G$32</f>
        <v>2.8810000000000002E-2</v>
      </c>
      <c r="P3" s="67">
        <f>'3. Financial drivers '!$G$32</f>
        <v>2.8810000000000002E-2</v>
      </c>
      <c r="Q3" s="67">
        <f>'3. Financial drivers '!$G$32</f>
        <v>2.8810000000000002E-2</v>
      </c>
      <c r="R3" s="67">
        <f>'3. Financial drivers '!$G$32</f>
        <v>2.8810000000000002E-2</v>
      </c>
      <c r="S3" s="67">
        <f>'3. Financial drivers '!$G$32</f>
        <v>2.8810000000000002E-2</v>
      </c>
      <c r="T3" s="67">
        <f>'3. Financial drivers '!$G$32</f>
        <v>2.8810000000000002E-2</v>
      </c>
      <c r="U3" s="67">
        <f>'3. Financial drivers '!$G$32</f>
        <v>2.8810000000000002E-2</v>
      </c>
      <c r="V3" s="67">
        <f>'3. Financial drivers '!$G$32</f>
        <v>2.8810000000000002E-2</v>
      </c>
      <c r="W3" s="67">
        <f>'3. Financial drivers '!$G$32</f>
        <v>2.8810000000000002E-2</v>
      </c>
      <c r="X3" s="67">
        <f>'3. Financial drivers '!$G$32</f>
        <v>2.8810000000000002E-2</v>
      </c>
    </row>
    <row r="4" spans="1:24" ht="15.75" customHeight="1">
      <c r="A4" s="64" t="s">
        <v>240</v>
      </c>
      <c r="B4" s="77"/>
      <c r="C4" s="382" t="s">
        <v>487</v>
      </c>
      <c r="D4" s="383"/>
      <c r="E4" s="383"/>
      <c r="F4" s="383"/>
      <c r="G4" s="383"/>
      <c r="H4" s="383"/>
      <c r="I4" s="383"/>
      <c r="J4" s="383"/>
      <c r="K4" s="383"/>
      <c r="L4" s="383"/>
      <c r="M4" s="383"/>
      <c r="N4" s="384"/>
      <c r="O4" s="80"/>
      <c r="P4" s="80"/>
      <c r="Q4" s="80"/>
      <c r="R4" s="80"/>
      <c r="S4" s="80"/>
      <c r="T4" s="80"/>
      <c r="U4" s="80"/>
      <c r="V4" s="80"/>
      <c r="W4" s="80"/>
      <c r="X4" s="385" t="s">
        <v>243</v>
      </c>
    </row>
    <row r="5" spans="1:24" ht="15.75" customHeight="1">
      <c r="A5" s="68" t="s">
        <v>244</v>
      </c>
      <c r="B5" s="80"/>
      <c r="C5" s="386"/>
      <c r="D5" s="70"/>
      <c r="E5" s="70"/>
      <c r="F5" s="70"/>
      <c r="G5" s="70"/>
      <c r="H5" s="70"/>
      <c r="I5" s="70"/>
      <c r="J5" s="70"/>
      <c r="K5" s="70"/>
      <c r="L5" s="70"/>
      <c r="M5" s="70"/>
      <c r="N5" s="282"/>
      <c r="O5" s="66"/>
      <c r="P5" s="66"/>
      <c r="Q5" s="66"/>
      <c r="R5" s="66"/>
      <c r="S5" s="66"/>
      <c r="T5" s="66"/>
      <c r="U5" s="66"/>
      <c r="V5" s="66"/>
      <c r="W5" s="66"/>
      <c r="X5" s="70"/>
    </row>
    <row r="8" spans="1:24" ht="15.75" customHeight="1">
      <c r="A8" s="299" t="s">
        <v>288</v>
      </c>
      <c r="B8" s="299"/>
      <c r="C8" s="299"/>
      <c r="D8" s="299"/>
      <c r="E8" s="299"/>
      <c r="F8" s="299"/>
      <c r="G8" s="299"/>
      <c r="H8" s="299"/>
      <c r="I8" s="299"/>
      <c r="J8" s="299"/>
      <c r="K8" s="299"/>
      <c r="L8" s="299"/>
      <c r="M8" s="299"/>
      <c r="N8" s="299"/>
      <c r="O8" s="299"/>
      <c r="P8" s="299"/>
      <c r="Q8" s="299"/>
      <c r="R8" s="299"/>
      <c r="S8" s="299"/>
      <c r="T8" s="299"/>
      <c r="U8" s="299"/>
      <c r="V8" s="299"/>
      <c r="W8" s="299"/>
      <c r="X8" s="299"/>
    </row>
    <row r="9" spans="1:24" ht="15.75" customHeight="1">
      <c r="A9" s="68" t="s">
        <v>488</v>
      </c>
      <c r="B9" s="99">
        <f>'7. Human capital &amp; pension valu'!AR43</f>
        <v>545764155.95368361</v>
      </c>
      <c r="C9" s="99">
        <f>'7. Human capital &amp; pension valu'!AS43</f>
        <v>545764155.95368361</v>
      </c>
      <c r="D9" s="99">
        <f>'7. Human capital &amp; pension valu'!AT43</f>
        <v>545764155.95368361</v>
      </c>
      <c r="E9" s="99">
        <f>'7. Human capital &amp; pension valu'!AU43</f>
        <v>545764155.95368361</v>
      </c>
      <c r="F9" s="99">
        <f>'7. Human capital &amp; pension valu'!AV43</f>
        <v>545764155.95368361</v>
      </c>
      <c r="G9" s="99">
        <f>'7. Human capital &amp; pension valu'!AW43</f>
        <v>545764155.95368361</v>
      </c>
      <c r="H9" s="99">
        <f>'7. Human capital &amp; pension valu'!AX43</f>
        <v>545764155.95368361</v>
      </c>
      <c r="I9" s="99">
        <f>'7. Human capital &amp; pension valu'!AY43</f>
        <v>545764155.95368361</v>
      </c>
      <c r="J9" s="99">
        <f>'7. Human capital &amp; pension valu'!AZ43</f>
        <v>545764155.95368361</v>
      </c>
      <c r="K9" s="99">
        <f>'7. Human capital &amp; pension valu'!BA43</f>
        <v>545764155.95368361</v>
      </c>
      <c r="L9" s="99">
        <f>'7. Human capital &amp; pension valu'!BB43</f>
        <v>545764155.95368361</v>
      </c>
      <c r="M9" s="99">
        <f>'7. Human capital &amp; pension valu'!BC43</f>
        <v>545764155.95368361</v>
      </c>
      <c r="N9" s="99">
        <f>'7. Human capital &amp; pension valu'!BD43</f>
        <v>545764155.95368361</v>
      </c>
      <c r="O9" s="99">
        <f>'7. Human capital &amp; pension valu'!BE43</f>
        <v>545764155.95368361</v>
      </c>
      <c r="P9" s="99">
        <f>'7. Human capital &amp; pension valu'!BF43</f>
        <v>545764155.95368361</v>
      </c>
      <c r="Q9" s="99">
        <f>'7. Human capital &amp; pension valu'!BG43</f>
        <v>545764155.95368361</v>
      </c>
      <c r="R9" s="99">
        <f>'7. Human capital &amp; pension valu'!BH43</f>
        <v>545764155.95368361</v>
      </c>
      <c r="S9" s="99">
        <f>'7. Human capital &amp; pension valu'!BI43</f>
        <v>545764155.95368361</v>
      </c>
      <c r="T9" s="99">
        <f>'7. Human capital &amp; pension valu'!BJ43</f>
        <v>545764155.95368361</v>
      </c>
      <c r="U9" s="99">
        <f>'7. Human capital &amp; pension valu'!BK43</f>
        <v>545764155.95368361</v>
      </c>
      <c r="V9" s="99">
        <f>'7. Human capital &amp; pension valu'!BL43</f>
        <v>545764155.95368361</v>
      </c>
      <c r="W9" s="99">
        <f>'7. Human capital &amp; pension valu'!BM43</f>
        <v>545764155.95368361</v>
      </c>
      <c r="X9" s="99">
        <f>'7. Human capital &amp; pension valu'!BN43</f>
        <v>545764155.95368361</v>
      </c>
    </row>
    <row r="10" spans="1:24" ht="15.75" customHeight="1">
      <c r="A10" s="68" t="s">
        <v>489</v>
      </c>
      <c r="B10" s="99">
        <f>'7. Human capital &amp; pension valu'!AR51</f>
        <v>621859488.10509443</v>
      </c>
      <c r="C10" s="99">
        <f>'7. Human capital &amp; pension valu'!AS51</f>
        <v>621859488.10509443</v>
      </c>
      <c r="D10" s="99">
        <f>'7. Human capital &amp; pension valu'!AT51</f>
        <v>621859488.10509443</v>
      </c>
      <c r="E10" s="99">
        <f>'7. Human capital &amp; pension valu'!AU51</f>
        <v>621859488.10509443</v>
      </c>
      <c r="F10" s="99">
        <f>'7. Human capital &amp; pension valu'!AV51</f>
        <v>621859488.10509443</v>
      </c>
      <c r="G10" s="99">
        <f>'7. Human capital &amp; pension valu'!AW51</f>
        <v>621859488.10509443</v>
      </c>
      <c r="H10" s="99">
        <f>'7. Human capital &amp; pension valu'!AX51</f>
        <v>621859488.10509443</v>
      </c>
      <c r="I10" s="99">
        <f>'7. Human capital &amp; pension valu'!AY51</f>
        <v>621859488.10509443</v>
      </c>
      <c r="J10" s="99">
        <f>'7. Human capital &amp; pension valu'!AZ51</f>
        <v>621859488.10509443</v>
      </c>
      <c r="K10" s="99">
        <f>'7. Human capital &amp; pension valu'!BA51</f>
        <v>621859488.10509443</v>
      </c>
      <c r="L10" s="99">
        <f>'7. Human capital &amp; pension valu'!BB51</f>
        <v>621859488.10509443</v>
      </c>
      <c r="M10" s="99">
        <f>'7. Human capital &amp; pension valu'!BC51</f>
        <v>621859488.10509443</v>
      </c>
      <c r="N10" s="99">
        <f>'7. Human capital &amp; pension valu'!BD51</f>
        <v>621859488.10509443</v>
      </c>
      <c r="O10" s="99">
        <f>'7. Human capital &amp; pension valu'!BE51</f>
        <v>621859488.10509443</v>
      </c>
      <c r="P10" s="99">
        <f>'7. Human capital &amp; pension valu'!BF51</f>
        <v>621859488.10509443</v>
      </c>
      <c r="Q10" s="99">
        <f>'7. Human capital &amp; pension valu'!BG51</f>
        <v>621859488.10509443</v>
      </c>
      <c r="R10" s="99">
        <f>'7. Human capital &amp; pension valu'!BH51</f>
        <v>621859488.10509443</v>
      </c>
      <c r="S10" s="99">
        <f>'7. Human capital &amp; pension valu'!BI51</f>
        <v>621859488.10509443</v>
      </c>
      <c r="T10" s="99">
        <f>'7. Human capital &amp; pension valu'!BJ51</f>
        <v>621859488.10509443</v>
      </c>
      <c r="U10" s="99">
        <f>'7. Human capital &amp; pension valu'!BK51</f>
        <v>621859488.10509443</v>
      </c>
      <c r="V10" s="99">
        <f>'7. Human capital &amp; pension valu'!BL51</f>
        <v>621859488.10509443</v>
      </c>
      <c r="W10" s="99">
        <f>'7. Human capital &amp; pension valu'!BM51</f>
        <v>621859488.10509443</v>
      </c>
      <c r="X10" s="99">
        <f>'7. Human capital &amp; pension valu'!BN51</f>
        <v>621859488.10509443</v>
      </c>
    </row>
    <row r="11" spans="1:24" ht="15.75" customHeight="1">
      <c r="A11" s="68" t="s">
        <v>214</v>
      </c>
      <c r="B11" s="99">
        <f t="array" ref="B11:X11" ca="1">TRANSPOSE('21. Monte Carlo Simulation '!Q44:Q66)</f>
        <v>2340132141.9181595</v>
      </c>
      <c r="C11" s="99">
        <f ca="1"/>
        <v>2960239071.1015778</v>
      </c>
      <c r="D11" s="99">
        <f ca="1"/>
        <v>2853803773.741333</v>
      </c>
      <c r="E11" s="99">
        <f ca="1"/>
        <v>3279381660.980011</v>
      </c>
      <c r="F11" s="99">
        <f ca="1"/>
        <v>2940731853.2959366</v>
      </c>
      <c r="G11" s="99">
        <f ca="1"/>
        <v>3376382890.5893555</v>
      </c>
      <c r="H11" s="99">
        <f ca="1"/>
        <v>3228282108.9928436</v>
      </c>
      <c r="I11" s="99">
        <f ca="1"/>
        <v>3502809679.4043427</v>
      </c>
      <c r="J11" s="99">
        <f ca="1"/>
        <v>3882357268.2076569</v>
      </c>
      <c r="K11" s="99">
        <f ca="1"/>
        <v>3951400981.5670166</v>
      </c>
      <c r="L11" s="99">
        <f ca="1"/>
        <v>4647722121.8173828</v>
      </c>
      <c r="M11" s="99">
        <f ca="1"/>
        <v>4305328831.6624603</v>
      </c>
      <c r="N11" s="99">
        <f ca="1"/>
        <v>4757736373.741806</v>
      </c>
      <c r="O11" s="99">
        <f ca="1"/>
        <v>4150956384.7402496</v>
      </c>
      <c r="P11" s="99">
        <f ca="1"/>
        <v>3820834991.9877472</v>
      </c>
      <c r="Q11" s="99">
        <f ca="1"/>
        <v>4881268780.2835846</v>
      </c>
      <c r="R11" s="99">
        <f ca="1"/>
        <v>4657925711.3238983</v>
      </c>
      <c r="S11" s="99">
        <f ca="1"/>
        <v>5159980630.3105011</v>
      </c>
      <c r="T11" s="99">
        <f ca="1"/>
        <v>5614654072.7247925</v>
      </c>
      <c r="U11" s="99">
        <f ca="1"/>
        <v>5389294343.4281158</v>
      </c>
      <c r="V11" s="99">
        <f ca="1"/>
        <v>5867180819.6085358</v>
      </c>
      <c r="W11" s="99">
        <f ca="1"/>
        <v>5438646981.020874</v>
      </c>
      <c r="X11" s="99">
        <f ca="1"/>
        <v>7128403739.0552368</v>
      </c>
    </row>
    <row r="12" spans="1:24" ht="15.75" customHeight="1">
      <c r="A12" s="100" t="s">
        <v>291</v>
      </c>
      <c r="B12" s="102">
        <f t="shared" ref="B12:X12" ca="1" si="2">SUM(B9:B11)</f>
        <v>3507755785.9769373</v>
      </c>
      <c r="C12" s="102">
        <f t="shared" ca="1" si="2"/>
        <v>4127862715.1603556</v>
      </c>
      <c r="D12" s="102">
        <f t="shared" ca="1" si="2"/>
        <v>4021427417.8001108</v>
      </c>
      <c r="E12" s="102">
        <f t="shared" ca="1" si="2"/>
        <v>4447005305.0387888</v>
      </c>
      <c r="F12" s="102">
        <f t="shared" ca="1" si="2"/>
        <v>4108355497.3547144</v>
      </c>
      <c r="G12" s="102">
        <f t="shared" ca="1" si="2"/>
        <v>4544006534.6481333</v>
      </c>
      <c r="H12" s="102">
        <f t="shared" ca="1" si="2"/>
        <v>4395905753.0516214</v>
      </c>
      <c r="I12" s="102">
        <f t="shared" ca="1" si="2"/>
        <v>4670433323.4631205</v>
      </c>
      <c r="J12" s="102">
        <f t="shared" ca="1" si="2"/>
        <v>5049980912.2664347</v>
      </c>
      <c r="K12" s="102">
        <f t="shared" ca="1" si="2"/>
        <v>5119024625.6257944</v>
      </c>
      <c r="L12" s="102">
        <f t="shared" ca="1" si="2"/>
        <v>5815345765.8761606</v>
      </c>
      <c r="M12" s="102">
        <f t="shared" ca="1" si="2"/>
        <v>5472952475.7212381</v>
      </c>
      <c r="N12" s="102">
        <f t="shared" ca="1" si="2"/>
        <v>5925360017.8005838</v>
      </c>
      <c r="O12" s="102">
        <f t="shared" ca="1" si="2"/>
        <v>5318580028.7990274</v>
      </c>
      <c r="P12" s="102">
        <f t="shared" ca="1" si="2"/>
        <v>4988458636.046525</v>
      </c>
      <c r="Q12" s="102">
        <f t="shared" ca="1" si="2"/>
        <v>6048892424.3423624</v>
      </c>
      <c r="R12" s="102">
        <f t="shared" ca="1" si="2"/>
        <v>5825549355.3826761</v>
      </c>
      <c r="S12" s="102">
        <f t="shared" ca="1" si="2"/>
        <v>6327604274.3692789</v>
      </c>
      <c r="T12" s="102">
        <f t="shared" ca="1" si="2"/>
        <v>6782277716.7835703</v>
      </c>
      <c r="U12" s="102">
        <f t="shared" ca="1" si="2"/>
        <v>6556917987.4868937</v>
      </c>
      <c r="V12" s="102">
        <f t="shared" ca="1" si="2"/>
        <v>7034804463.6673136</v>
      </c>
      <c r="W12" s="102">
        <f t="shared" ca="1" si="2"/>
        <v>6606270625.0796518</v>
      </c>
      <c r="X12" s="102">
        <f t="shared" ca="1" si="2"/>
        <v>8296027383.1140146</v>
      </c>
    </row>
    <row r="14" spans="1:24" ht="15.75" customHeight="1">
      <c r="A14" s="299" t="s">
        <v>292</v>
      </c>
      <c r="B14" s="299"/>
      <c r="C14" s="299"/>
      <c r="D14" s="299"/>
      <c r="E14" s="299"/>
      <c r="F14" s="299"/>
      <c r="G14" s="299"/>
      <c r="H14" s="299"/>
      <c r="I14" s="299"/>
      <c r="J14" s="299"/>
      <c r="K14" s="299"/>
      <c r="L14" s="299"/>
      <c r="M14" s="299"/>
      <c r="N14" s="299"/>
      <c r="O14" s="299"/>
      <c r="P14" s="299"/>
      <c r="Q14" s="299"/>
      <c r="R14" s="299"/>
      <c r="S14" s="299"/>
      <c r="T14" s="299"/>
      <c r="U14" s="299"/>
      <c r="V14" s="299"/>
      <c r="W14" s="299"/>
      <c r="X14" s="299"/>
    </row>
    <row r="15" spans="1:24" ht="15.75" customHeight="1">
      <c r="A15" s="68" t="s">
        <v>294</v>
      </c>
      <c r="B15" s="99">
        <f>'8. Budget Estimate'!AQ18*(1+B3)</f>
        <v>229783900.92031625</v>
      </c>
      <c r="C15" s="99">
        <f t="shared" ref="C15:X15" si="3">B15*(1+C3)</f>
        <v>236403975.10583055</v>
      </c>
      <c r="D15" s="99">
        <f t="shared" si="3"/>
        <v>243214773.62862954</v>
      </c>
      <c r="E15" s="99">
        <f t="shared" si="3"/>
        <v>250221791.25687036</v>
      </c>
      <c r="F15" s="99">
        <f t="shared" si="3"/>
        <v>257430681.0629808</v>
      </c>
      <c r="G15" s="99">
        <f t="shared" si="3"/>
        <v>264847258.98440528</v>
      </c>
      <c r="H15" s="99">
        <f t="shared" si="3"/>
        <v>272477508.515746</v>
      </c>
      <c r="I15" s="99">
        <f t="shared" si="3"/>
        <v>280327585.53608465</v>
      </c>
      <c r="J15" s="99">
        <f t="shared" si="3"/>
        <v>288403823.27537924</v>
      </c>
      <c r="K15" s="99">
        <f t="shared" si="3"/>
        <v>296712737.42394292</v>
      </c>
      <c r="L15" s="99">
        <f t="shared" si="3"/>
        <v>305261031.38912672</v>
      </c>
      <c r="M15" s="99">
        <f t="shared" si="3"/>
        <v>314055601.70344746</v>
      </c>
      <c r="N15" s="99">
        <f t="shared" si="3"/>
        <v>323103543.58852381</v>
      </c>
      <c r="O15" s="99">
        <f t="shared" si="3"/>
        <v>332412156.67930919</v>
      </c>
      <c r="P15" s="99">
        <f t="shared" si="3"/>
        <v>341988950.91324008</v>
      </c>
      <c r="Q15" s="99">
        <f t="shared" si="3"/>
        <v>351841652.58905053</v>
      </c>
      <c r="R15" s="99">
        <f t="shared" si="3"/>
        <v>361978210.60014105</v>
      </c>
      <c r="S15" s="99">
        <f t="shared" si="3"/>
        <v>372406802.84753114</v>
      </c>
      <c r="T15" s="99">
        <f t="shared" si="3"/>
        <v>383135842.83756852</v>
      </c>
      <c r="U15" s="99">
        <f t="shared" si="3"/>
        <v>394173986.46971887</v>
      </c>
      <c r="V15" s="99">
        <f t="shared" si="3"/>
        <v>405530139.01991147</v>
      </c>
      <c r="W15" s="99">
        <f t="shared" si="3"/>
        <v>417213462.32507509</v>
      </c>
      <c r="X15" s="99">
        <f t="shared" si="3"/>
        <v>429233382.1746605</v>
      </c>
    </row>
    <row r="16" spans="1:24" ht="15.75" customHeight="1">
      <c r="A16" s="68" t="s">
        <v>295</v>
      </c>
      <c r="B16" s="99">
        <f>'8. Budget Estimate'!AQ19*(1+B3)</f>
        <v>76594633.640105382</v>
      </c>
      <c r="C16" s="99">
        <f t="shared" ref="C16:X16" si="4">B16*(1+C3)</f>
        <v>78801325.035276815</v>
      </c>
      <c r="D16" s="99">
        <f t="shared" si="4"/>
        <v>81071591.209543139</v>
      </c>
      <c r="E16" s="99">
        <f t="shared" si="4"/>
        <v>83407263.75229007</v>
      </c>
      <c r="F16" s="99">
        <f t="shared" si="4"/>
        <v>85810227.020993546</v>
      </c>
      <c r="G16" s="99">
        <f t="shared" si="4"/>
        <v>88282419.661468372</v>
      </c>
      <c r="H16" s="99">
        <f t="shared" si="4"/>
        <v>90825836.171915278</v>
      </c>
      <c r="I16" s="99">
        <f t="shared" si="4"/>
        <v>93442528.512028158</v>
      </c>
      <c r="J16" s="99">
        <f t="shared" si="4"/>
        <v>96134607.758459687</v>
      </c>
      <c r="K16" s="99">
        <f t="shared" si="4"/>
        <v>98904245.80798091</v>
      </c>
      <c r="L16" s="99">
        <f t="shared" si="4"/>
        <v>101753677.12970884</v>
      </c>
      <c r="M16" s="99">
        <f t="shared" si="4"/>
        <v>104685200.56781575</v>
      </c>
      <c r="N16" s="99">
        <f t="shared" si="4"/>
        <v>107701181.19617452</v>
      </c>
      <c r="O16" s="99">
        <f t="shared" si="4"/>
        <v>110804052.2264363</v>
      </c>
      <c r="P16" s="99">
        <f t="shared" si="4"/>
        <v>113996316.97107993</v>
      </c>
      <c r="Q16" s="99">
        <f t="shared" si="4"/>
        <v>117280550.86301674</v>
      </c>
      <c r="R16" s="99">
        <f t="shared" si="4"/>
        <v>120659403.53338026</v>
      </c>
      <c r="S16" s="99">
        <f t="shared" si="4"/>
        <v>124135600.94917694</v>
      </c>
      <c r="T16" s="99">
        <f t="shared" si="4"/>
        <v>127711947.61252272</v>
      </c>
      <c r="U16" s="99">
        <f t="shared" si="4"/>
        <v>131391328.82323951</v>
      </c>
      <c r="V16" s="99">
        <f t="shared" si="4"/>
        <v>135176713.00663704</v>
      </c>
      <c r="W16" s="99">
        <f t="shared" si="4"/>
        <v>139071154.10835826</v>
      </c>
      <c r="X16" s="99">
        <f t="shared" si="4"/>
        <v>143077794.05822006</v>
      </c>
    </row>
    <row r="17" spans="1:24" ht="15.75" customHeight="1">
      <c r="A17" s="68" t="s">
        <v>296</v>
      </c>
      <c r="B17" s="99">
        <f>'8. Budget Estimate'!AQ20*(1+B3)</f>
        <v>57445975.230079062</v>
      </c>
      <c r="C17" s="99">
        <f t="shared" ref="C17:X17" si="5">B17*(1+C3)</f>
        <v>59100993.776457638</v>
      </c>
      <c r="D17" s="99">
        <f t="shared" si="5"/>
        <v>60803693.407157384</v>
      </c>
      <c r="E17" s="99">
        <f t="shared" si="5"/>
        <v>62555447.81421759</v>
      </c>
      <c r="F17" s="99">
        <f t="shared" si="5"/>
        <v>64357670.2657452</v>
      </c>
      <c r="G17" s="99">
        <f t="shared" si="5"/>
        <v>66211814.74610132</v>
      </c>
      <c r="H17" s="99">
        <f t="shared" si="5"/>
        <v>68119377.128936499</v>
      </c>
      <c r="I17" s="99">
        <f t="shared" si="5"/>
        <v>70081896.384021163</v>
      </c>
      <c r="J17" s="99">
        <f t="shared" si="5"/>
        <v>72100955.81884481</v>
      </c>
      <c r="K17" s="99">
        <f t="shared" si="5"/>
        <v>74178184.355985731</v>
      </c>
      <c r="L17" s="99">
        <f t="shared" si="5"/>
        <v>76315257.84728168</v>
      </c>
      <c r="M17" s="99">
        <f t="shared" si="5"/>
        <v>78513900.425861865</v>
      </c>
      <c r="N17" s="99">
        <f t="shared" si="5"/>
        <v>80775885.897130951</v>
      </c>
      <c r="O17" s="99">
        <f t="shared" si="5"/>
        <v>83103039.169827297</v>
      </c>
      <c r="P17" s="99">
        <f t="shared" si="5"/>
        <v>85497237.728310019</v>
      </c>
      <c r="Q17" s="99">
        <f t="shared" si="5"/>
        <v>87960413.147262633</v>
      </c>
      <c r="R17" s="99">
        <f t="shared" si="5"/>
        <v>90494552.650035262</v>
      </c>
      <c r="S17" s="99">
        <f t="shared" si="5"/>
        <v>93101700.711882785</v>
      </c>
      <c r="T17" s="99">
        <f t="shared" si="5"/>
        <v>95783960.70939213</v>
      </c>
      <c r="U17" s="99">
        <f t="shared" si="5"/>
        <v>98543496.617429718</v>
      </c>
      <c r="V17" s="99">
        <f t="shared" si="5"/>
        <v>101382534.75497787</v>
      </c>
      <c r="W17" s="99">
        <f t="shared" si="5"/>
        <v>104303365.58126877</v>
      </c>
      <c r="X17" s="99">
        <f t="shared" si="5"/>
        <v>107308345.54366513</v>
      </c>
    </row>
    <row r="18" spans="1:24" ht="15.75" customHeight="1">
      <c r="A18" s="68" t="s">
        <v>297</v>
      </c>
      <c r="B18" s="99">
        <f>'8. Budget Estimate'!AQ21*(1+B3)</f>
        <v>5744597.5230079051</v>
      </c>
      <c r="C18" s="99">
        <f t="shared" ref="C18:X18" si="6">B18*(1+C3)</f>
        <v>5910099.3776457626</v>
      </c>
      <c r="D18" s="99">
        <f t="shared" si="6"/>
        <v>6080369.3407157371</v>
      </c>
      <c r="E18" s="99">
        <f t="shared" si="6"/>
        <v>6255544.7814217573</v>
      </c>
      <c r="F18" s="99">
        <f t="shared" si="6"/>
        <v>6435767.0265745185</v>
      </c>
      <c r="G18" s="99">
        <f t="shared" si="6"/>
        <v>6621181.4746101303</v>
      </c>
      <c r="H18" s="99">
        <f t="shared" si="6"/>
        <v>6811937.7128936481</v>
      </c>
      <c r="I18" s="99">
        <f t="shared" si="6"/>
        <v>7008189.6384021137</v>
      </c>
      <c r="J18" s="99">
        <f t="shared" si="6"/>
        <v>7210095.5818844782</v>
      </c>
      <c r="K18" s="99">
        <f t="shared" si="6"/>
        <v>7417818.4355985699</v>
      </c>
      <c r="L18" s="99">
        <f t="shared" si="6"/>
        <v>7631525.7847281648</v>
      </c>
      <c r="M18" s="99">
        <f t="shared" si="6"/>
        <v>7851390.0425861832</v>
      </c>
      <c r="N18" s="99">
        <f t="shared" si="6"/>
        <v>8077588.589713091</v>
      </c>
      <c r="O18" s="99">
        <f t="shared" si="6"/>
        <v>8310303.9169827253</v>
      </c>
      <c r="P18" s="99">
        <f t="shared" si="6"/>
        <v>8549723.7728309985</v>
      </c>
      <c r="Q18" s="99">
        <f t="shared" si="6"/>
        <v>8796041.3147262596</v>
      </c>
      <c r="R18" s="99">
        <f t="shared" si="6"/>
        <v>9049455.2650035229</v>
      </c>
      <c r="S18" s="99">
        <f t="shared" si="6"/>
        <v>9310170.0711882748</v>
      </c>
      <c r="T18" s="99">
        <f t="shared" si="6"/>
        <v>9578396.0709392093</v>
      </c>
      <c r="U18" s="99">
        <f t="shared" si="6"/>
        <v>9854349.6617429685</v>
      </c>
      <c r="V18" s="99">
        <f t="shared" si="6"/>
        <v>10138253.475497784</v>
      </c>
      <c r="W18" s="99">
        <f t="shared" si="6"/>
        <v>10430336.558126876</v>
      </c>
      <c r="X18" s="99">
        <f t="shared" si="6"/>
        <v>10730834.554366512</v>
      </c>
    </row>
    <row r="19" spans="1:24" ht="15.75" customHeight="1">
      <c r="A19" s="68" t="s">
        <v>298</v>
      </c>
      <c r="B19" s="99">
        <f>'8. Budget Estimate'!AQ22*(1+B3)</f>
        <v>13404060.887018442</v>
      </c>
      <c r="C19" s="99">
        <f t="shared" ref="C19:X19" si="7">B19*(1+C3)</f>
        <v>13790231.881173443</v>
      </c>
      <c r="D19" s="99">
        <f t="shared" si="7"/>
        <v>14187528.46167005</v>
      </c>
      <c r="E19" s="99">
        <f t="shared" si="7"/>
        <v>14596271.156650765</v>
      </c>
      <c r="F19" s="99">
        <f t="shared" si="7"/>
        <v>15016789.728673873</v>
      </c>
      <c r="G19" s="99">
        <f t="shared" si="7"/>
        <v>15449423.440756967</v>
      </c>
      <c r="H19" s="99">
        <f t="shared" si="7"/>
        <v>15894521.330085175</v>
      </c>
      <c r="I19" s="99">
        <f t="shared" si="7"/>
        <v>16352442.489604929</v>
      </c>
      <c r="J19" s="99">
        <f t="shared" si="7"/>
        <v>16823556.357730448</v>
      </c>
      <c r="K19" s="99">
        <f t="shared" si="7"/>
        <v>17308243.016396664</v>
      </c>
      <c r="L19" s="99">
        <f t="shared" si="7"/>
        <v>17806893.497699052</v>
      </c>
      <c r="M19" s="99">
        <f t="shared" si="7"/>
        <v>18319910.09936776</v>
      </c>
      <c r="N19" s="99">
        <f t="shared" si="7"/>
        <v>18847706.709330544</v>
      </c>
      <c r="O19" s="99">
        <f t="shared" si="7"/>
        <v>19390709.139626358</v>
      </c>
      <c r="P19" s="99">
        <f t="shared" si="7"/>
        <v>19949355.469938993</v>
      </c>
      <c r="Q19" s="99">
        <f t="shared" si="7"/>
        <v>20524096.401027936</v>
      </c>
      <c r="R19" s="99">
        <f t="shared" si="7"/>
        <v>21115395.61834155</v>
      </c>
      <c r="S19" s="99">
        <f t="shared" si="7"/>
        <v>21723730.166105971</v>
      </c>
      <c r="T19" s="99">
        <f t="shared" si="7"/>
        <v>22349590.832191482</v>
      </c>
      <c r="U19" s="99">
        <f t="shared" si="7"/>
        <v>22993482.544066917</v>
      </c>
      <c r="V19" s="99">
        <f t="shared" si="7"/>
        <v>23655924.776161484</v>
      </c>
      <c r="W19" s="99">
        <f t="shared" si="7"/>
        <v>24337451.968962695</v>
      </c>
      <c r="X19" s="99">
        <f t="shared" si="7"/>
        <v>25038613.960188512</v>
      </c>
    </row>
    <row r="20" spans="1:24" ht="15.75" customHeight="1">
      <c r="A20" s="68" t="s">
        <v>299</v>
      </c>
      <c r="B20" s="99">
        <f>'8. Budget Estimate'!AQ23*(1+B3)</f>
        <v>7659463.3640105398</v>
      </c>
      <c r="C20" s="99">
        <f t="shared" ref="C20:X20" si="8">B20*(1+C3)</f>
        <v>7880132.5035276832</v>
      </c>
      <c r="D20" s="99">
        <f t="shared" si="8"/>
        <v>8107159.1209543161</v>
      </c>
      <c r="E20" s="99">
        <f t="shared" si="8"/>
        <v>8340726.3752290104</v>
      </c>
      <c r="F20" s="99">
        <f t="shared" si="8"/>
        <v>8581022.7020993587</v>
      </c>
      <c r="G20" s="99">
        <f t="shared" si="8"/>
        <v>8828241.9661468416</v>
      </c>
      <c r="H20" s="99">
        <f t="shared" si="8"/>
        <v>9082583.6171915326</v>
      </c>
      <c r="I20" s="99">
        <f t="shared" si="8"/>
        <v>9344252.8512028214</v>
      </c>
      <c r="J20" s="99">
        <f t="shared" si="8"/>
        <v>9613460.7758459747</v>
      </c>
      <c r="K20" s="99">
        <f t="shared" si="8"/>
        <v>9890424.580798097</v>
      </c>
      <c r="L20" s="99">
        <f t="shared" si="8"/>
        <v>10175367.71297089</v>
      </c>
      <c r="M20" s="99">
        <f t="shared" si="8"/>
        <v>10468520.056781581</v>
      </c>
      <c r="N20" s="99">
        <f t="shared" si="8"/>
        <v>10770118.119617458</v>
      </c>
      <c r="O20" s="99">
        <f t="shared" si="8"/>
        <v>11080405.222643638</v>
      </c>
      <c r="P20" s="99">
        <f t="shared" si="8"/>
        <v>11399631.697108001</v>
      </c>
      <c r="Q20" s="99">
        <f t="shared" si="8"/>
        <v>11728055.086301683</v>
      </c>
      <c r="R20" s="99">
        <f t="shared" si="8"/>
        <v>12065940.353338035</v>
      </c>
      <c r="S20" s="99">
        <f t="shared" si="8"/>
        <v>12413560.094917703</v>
      </c>
      <c r="T20" s="99">
        <f t="shared" si="8"/>
        <v>12771194.761252282</v>
      </c>
      <c r="U20" s="99">
        <f t="shared" si="8"/>
        <v>13139132.88232396</v>
      </c>
      <c r="V20" s="99">
        <f t="shared" si="8"/>
        <v>13517671.300663713</v>
      </c>
      <c r="W20" s="99">
        <f t="shared" si="8"/>
        <v>13907115.410835834</v>
      </c>
      <c r="X20" s="99">
        <f t="shared" si="8"/>
        <v>14307779.405822014</v>
      </c>
    </row>
    <row r="21" spans="1:24" ht="15.75" customHeight="1">
      <c r="A21" s="68" t="s">
        <v>300</v>
      </c>
      <c r="B21" s="99">
        <f>'8. Budget Estimate'!AQ24*(1+B3)</f>
        <v>95743292.050131693</v>
      </c>
      <c r="C21" s="99">
        <f t="shared" ref="C21:X21" si="9">B21*(1+C3)</f>
        <v>98501656.294095993</v>
      </c>
      <c r="D21" s="99">
        <f t="shared" si="9"/>
        <v>101339489.0119289</v>
      </c>
      <c r="E21" s="99">
        <f t="shared" si="9"/>
        <v>104259079.69036257</v>
      </c>
      <c r="F21" s="99">
        <f t="shared" si="9"/>
        <v>107262783.77624191</v>
      </c>
      <c r="G21" s="99">
        <f t="shared" si="9"/>
        <v>110353024.57683544</v>
      </c>
      <c r="H21" s="99">
        <f t="shared" si="9"/>
        <v>113532295.21489407</v>
      </c>
      <c r="I21" s="99">
        <f t="shared" si="9"/>
        <v>116803160.64003517</v>
      </c>
      <c r="J21" s="99">
        <f t="shared" si="9"/>
        <v>120168259.69807458</v>
      </c>
      <c r="K21" s="99">
        <f t="shared" si="9"/>
        <v>123630307.2599761</v>
      </c>
      <c r="L21" s="99">
        <f t="shared" si="9"/>
        <v>127192096.41213602</v>
      </c>
      <c r="M21" s="99">
        <f t="shared" si="9"/>
        <v>130856500.70976965</v>
      </c>
      <c r="N21" s="99">
        <f t="shared" si="9"/>
        <v>134626476.49521813</v>
      </c>
      <c r="O21" s="99">
        <f t="shared" si="9"/>
        <v>138505065.28304535</v>
      </c>
      <c r="P21" s="99">
        <f t="shared" si="9"/>
        <v>142495396.2138499</v>
      </c>
      <c r="Q21" s="99">
        <f t="shared" si="9"/>
        <v>146600688.57877091</v>
      </c>
      <c r="R21" s="99">
        <f t="shared" si="9"/>
        <v>150824254.41672531</v>
      </c>
      <c r="S21" s="99">
        <f t="shared" si="9"/>
        <v>155169501.18647116</v>
      </c>
      <c r="T21" s="99">
        <f t="shared" si="9"/>
        <v>159639934.5156534</v>
      </c>
      <c r="U21" s="99">
        <f t="shared" si="9"/>
        <v>164239161.02904937</v>
      </c>
      <c r="V21" s="99">
        <f t="shared" si="9"/>
        <v>168970891.25829628</v>
      </c>
      <c r="W21" s="99">
        <f t="shared" si="9"/>
        <v>173838942.6354478</v>
      </c>
      <c r="X21" s="99">
        <f t="shared" si="9"/>
        <v>178847242.57277507</v>
      </c>
    </row>
    <row r="22" spans="1:24" ht="15.75" customHeight="1">
      <c r="A22" s="68" t="s">
        <v>301</v>
      </c>
      <c r="B22" s="99">
        <f>'8. Budget Estimate'!AQ25*(1+B3)</f>
        <v>32552719.297044795</v>
      </c>
      <c r="C22" s="99">
        <f t="shared" ref="C22:X22" si="10">B22*(1+C3)</f>
        <v>33490563.139992654</v>
      </c>
      <c r="D22" s="99">
        <f t="shared" si="10"/>
        <v>34455426.264055841</v>
      </c>
      <c r="E22" s="99">
        <f t="shared" si="10"/>
        <v>35448087.094723292</v>
      </c>
      <c r="F22" s="99">
        <f t="shared" si="10"/>
        <v>36469346.483922273</v>
      </c>
      <c r="G22" s="99">
        <f t="shared" si="10"/>
        <v>37520028.356124073</v>
      </c>
      <c r="H22" s="99">
        <f t="shared" si="10"/>
        <v>38600980.373064011</v>
      </c>
      <c r="I22" s="99">
        <f t="shared" si="10"/>
        <v>39713074.617611982</v>
      </c>
      <c r="J22" s="99">
        <f t="shared" si="10"/>
        <v>40857208.297345385</v>
      </c>
      <c r="K22" s="99">
        <f t="shared" si="10"/>
        <v>42034304.468391903</v>
      </c>
      <c r="L22" s="99">
        <f t="shared" si="10"/>
        <v>43245312.780126274</v>
      </c>
      <c r="M22" s="99">
        <f t="shared" si="10"/>
        <v>44491210.241321713</v>
      </c>
      <c r="N22" s="99">
        <f t="shared" si="10"/>
        <v>45773002.008374192</v>
      </c>
      <c r="O22" s="99">
        <f t="shared" si="10"/>
        <v>47091722.196235456</v>
      </c>
      <c r="P22" s="99">
        <f t="shared" si="10"/>
        <v>48448434.712709002</v>
      </c>
      <c r="Q22" s="99">
        <f t="shared" si="10"/>
        <v>49844234.116782151</v>
      </c>
      <c r="R22" s="99">
        <f t="shared" si="10"/>
        <v>51280246.501686648</v>
      </c>
      <c r="S22" s="99">
        <f t="shared" si="10"/>
        <v>52757630.403400242</v>
      </c>
      <c r="T22" s="99">
        <f t="shared" si="10"/>
        <v>54277577.7353222</v>
      </c>
      <c r="U22" s="99">
        <f t="shared" si="10"/>
        <v>55841314.749876834</v>
      </c>
      <c r="V22" s="99">
        <f t="shared" si="10"/>
        <v>57450103.027820788</v>
      </c>
      <c r="W22" s="99">
        <f t="shared" si="10"/>
        <v>59105240.496052302</v>
      </c>
      <c r="X22" s="99">
        <f t="shared" si="10"/>
        <v>60808062.474743567</v>
      </c>
    </row>
    <row r="23" spans="1:24" ht="15.75" customHeight="1">
      <c r="A23" s="68" t="s">
        <v>302</v>
      </c>
      <c r="B23" s="99">
        <f>'8. Budget Estimate'!AQ26*(1+B3)</f>
        <v>76594633.640105382</v>
      </c>
      <c r="C23" s="99">
        <f t="shared" ref="C23:X23" si="11">B23*(1+C3)</f>
        <v>78801325.035276815</v>
      </c>
      <c r="D23" s="99">
        <f t="shared" si="11"/>
        <v>81071591.209543139</v>
      </c>
      <c r="E23" s="99">
        <f t="shared" si="11"/>
        <v>83407263.75229007</v>
      </c>
      <c r="F23" s="99">
        <f t="shared" si="11"/>
        <v>85810227.020993546</v>
      </c>
      <c r="G23" s="99">
        <f t="shared" si="11"/>
        <v>88282419.661468372</v>
      </c>
      <c r="H23" s="99">
        <f t="shared" si="11"/>
        <v>90825836.171915278</v>
      </c>
      <c r="I23" s="99">
        <f t="shared" si="11"/>
        <v>93442528.512028158</v>
      </c>
      <c r="J23" s="99">
        <f t="shared" si="11"/>
        <v>96134607.758459687</v>
      </c>
      <c r="K23" s="99">
        <f t="shared" si="11"/>
        <v>98904245.80798091</v>
      </c>
      <c r="L23" s="99">
        <f t="shared" si="11"/>
        <v>101753677.12970884</v>
      </c>
      <c r="M23" s="99">
        <f t="shared" si="11"/>
        <v>104685200.56781575</v>
      </c>
      <c r="N23" s="99">
        <f t="shared" si="11"/>
        <v>107701181.19617452</v>
      </c>
      <c r="O23" s="99">
        <f t="shared" si="11"/>
        <v>110804052.2264363</v>
      </c>
      <c r="P23" s="99">
        <f t="shared" si="11"/>
        <v>113996316.97107993</v>
      </c>
      <c r="Q23" s="99">
        <f t="shared" si="11"/>
        <v>117280550.86301674</v>
      </c>
      <c r="R23" s="99">
        <f t="shared" si="11"/>
        <v>120659403.53338026</v>
      </c>
      <c r="S23" s="99">
        <f t="shared" si="11"/>
        <v>124135600.94917694</v>
      </c>
      <c r="T23" s="99">
        <f t="shared" si="11"/>
        <v>127711947.61252272</v>
      </c>
      <c r="U23" s="99">
        <f t="shared" si="11"/>
        <v>131391328.82323951</v>
      </c>
      <c r="V23" s="99">
        <f t="shared" si="11"/>
        <v>135176713.00663704</v>
      </c>
      <c r="W23" s="99">
        <f t="shared" si="11"/>
        <v>139071154.10835826</v>
      </c>
      <c r="X23" s="99">
        <f t="shared" si="11"/>
        <v>143077794.05822006</v>
      </c>
    </row>
    <row r="24" spans="1:24" ht="15.75" customHeight="1">
      <c r="A24" s="68" t="s">
        <v>305</v>
      </c>
      <c r="B24" s="99">
        <f>'8. Budget Estimate'!AQ29*(1+B3)</f>
        <v>15318926.72802108</v>
      </c>
      <c r="C24" s="99">
        <f t="shared" ref="C24:X24" si="12">B24*(1+C3)</f>
        <v>15760265.007055366</v>
      </c>
      <c r="D24" s="99">
        <f t="shared" si="12"/>
        <v>16214318.241908632</v>
      </c>
      <c r="E24" s="99">
        <f t="shared" si="12"/>
        <v>16681452.750458021</v>
      </c>
      <c r="F24" s="99">
        <f t="shared" si="12"/>
        <v>17162045.404198717</v>
      </c>
      <c r="G24" s="99">
        <f t="shared" si="12"/>
        <v>17656483.932293683</v>
      </c>
      <c r="H24" s="99">
        <f t="shared" si="12"/>
        <v>18165167.234383065</v>
      </c>
      <c r="I24" s="99">
        <f t="shared" si="12"/>
        <v>18688505.702405643</v>
      </c>
      <c r="J24" s="99">
        <f t="shared" si="12"/>
        <v>19226921.551691949</v>
      </c>
      <c r="K24" s="99">
        <f t="shared" si="12"/>
        <v>19780849.161596194</v>
      </c>
      <c r="L24" s="99">
        <f t="shared" si="12"/>
        <v>20350735.42594178</v>
      </c>
      <c r="M24" s="99">
        <f t="shared" si="12"/>
        <v>20937040.113563161</v>
      </c>
      <c r="N24" s="99">
        <f t="shared" si="12"/>
        <v>21540236.239234917</v>
      </c>
      <c r="O24" s="99">
        <f t="shared" si="12"/>
        <v>22160810.445287276</v>
      </c>
      <c r="P24" s="99">
        <f t="shared" si="12"/>
        <v>22799263.394216001</v>
      </c>
      <c r="Q24" s="99">
        <f t="shared" si="12"/>
        <v>23456110.172603365</v>
      </c>
      <c r="R24" s="99">
        <f t="shared" si="12"/>
        <v>24131880.70667607</v>
      </c>
      <c r="S24" s="99">
        <f t="shared" si="12"/>
        <v>24827120.189835407</v>
      </c>
      <c r="T24" s="99">
        <f t="shared" si="12"/>
        <v>25542389.522504564</v>
      </c>
      <c r="U24" s="99">
        <f t="shared" si="12"/>
        <v>26278265.76464792</v>
      </c>
      <c r="V24" s="99">
        <f t="shared" si="12"/>
        <v>27035342.601327427</v>
      </c>
      <c r="W24" s="99">
        <f t="shared" si="12"/>
        <v>27814230.821671668</v>
      </c>
      <c r="X24" s="99">
        <f t="shared" si="12"/>
        <v>28615558.811644029</v>
      </c>
    </row>
    <row r="25" spans="1:24" ht="15.75" customHeight="1">
      <c r="A25" s="387" t="s">
        <v>490</v>
      </c>
      <c r="B25" s="312">
        <f>2000000*12</f>
        <v>24000000</v>
      </c>
      <c r="C25" s="312">
        <f t="shared" ref="C25:X25" si="13">B25*(1+C3)</f>
        <v>24691440</v>
      </c>
      <c r="D25" s="312">
        <f t="shared" si="13"/>
        <v>25402800.386399999</v>
      </c>
      <c r="E25" s="312">
        <f t="shared" si="13"/>
        <v>26134655.065532185</v>
      </c>
      <c r="F25" s="312">
        <f t="shared" si="13"/>
        <v>26887594.477970168</v>
      </c>
      <c r="G25" s="312">
        <f t="shared" si="13"/>
        <v>27662226.074880488</v>
      </c>
      <c r="H25" s="312">
        <f t="shared" si="13"/>
        <v>28459174.808097795</v>
      </c>
      <c r="I25" s="312">
        <f t="shared" si="13"/>
        <v>29279083.634319093</v>
      </c>
      <c r="J25" s="312">
        <f t="shared" si="13"/>
        <v>30122614.033823825</v>
      </c>
      <c r="K25" s="312">
        <f t="shared" si="13"/>
        <v>30990446.54413829</v>
      </c>
      <c r="L25" s="312">
        <f t="shared" si="13"/>
        <v>31883281.309074916</v>
      </c>
      <c r="M25" s="312">
        <f t="shared" si="13"/>
        <v>32801838.643589363</v>
      </c>
      <c r="N25" s="312">
        <f t="shared" si="13"/>
        <v>33746859.614911169</v>
      </c>
      <c r="O25" s="312">
        <f t="shared" si="13"/>
        <v>34719106.640416756</v>
      </c>
      <c r="P25" s="312">
        <f t="shared" si="13"/>
        <v>35719364.10272716</v>
      </c>
      <c r="Q25" s="312">
        <f t="shared" si="13"/>
        <v>36748438.982526727</v>
      </c>
      <c r="R25" s="312">
        <f t="shared" si="13"/>
        <v>37807161.50961332</v>
      </c>
      <c r="S25" s="312">
        <f t="shared" si="13"/>
        <v>38896385.832705282</v>
      </c>
      <c r="T25" s="312">
        <f t="shared" si="13"/>
        <v>40016990.708545521</v>
      </c>
      <c r="U25" s="312">
        <f t="shared" si="13"/>
        <v>41169880.210858718</v>
      </c>
      <c r="V25" s="312">
        <f t="shared" si="13"/>
        <v>42355984.459733561</v>
      </c>
      <c r="W25" s="312">
        <f t="shared" si="13"/>
        <v>43576260.372018486</v>
      </c>
      <c r="X25" s="312">
        <f t="shared" si="13"/>
        <v>44831692.43333634</v>
      </c>
    </row>
    <row r="26" spans="1:24" ht="15.75" customHeight="1">
      <c r="A26" s="387" t="s">
        <v>491</v>
      </c>
      <c r="B26" s="312">
        <f>2500000*12</f>
        <v>30000000</v>
      </c>
      <c r="C26" s="312">
        <f t="shared" ref="C26:X26" si="14">B26*(1+C3)</f>
        <v>30864300</v>
      </c>
      <c r="D26" s="312">
        <f t="shared" si="14"/>
        <v>31753500.482999999</v>
      </c>
      <c r="E26" s="312">
        <f t="shared" si="14"/>
        <v>32668318.83191523</v>
      </c>
      <c r="F26" s="312">
        <f t="shared" si="14"/>
        <v>33609493.097462706</v>
      </c>
      <c r="G26" s="312">
        <f t="shared" si="14"/>
        <v>34577782.593600608</v>
      </c>
      <c r="H26" s="312">
        <f t="shared" si="14"/>
        <v>35573968.51012224</v>
      </c>
      <c r="I26" s="312">
        <f t="shared" si="14"/>
        <v>36598854.542898864</v>
      </c>
      <c r="J26" s="312">
        <f t="shared" si="14"/>
        <v>37653267.54227978</v>
      </c>
      <c r="K26" s="312">
        <f t="shared" si="14"/>
        <v>38738058.180172861</v>
      </c>
      <c r="L26" s="312">
        <f t="shared" si="14"/>
        <v>39854101.636343643</v>
      </c>
      <c r="M26" s="312">
        <f t="shared" si="14"/>
        <v>41002298.304486707</v>
      </c>
      <c r="N26" s="312">
        <f t="shared" si="14"/>
        <v>42183574.518638968</v>
      </c>
      <c r="O26" s="312">
        <f t="shared" si="14"/>
        <v>43398883.300520957</v>
      </c>
      <c r="P26" s="312">
        <f t="shared" si="14"/>
        <v>44649205.128408968</v>
      </c>
      <c r="Q26" s="312">
        <f t="shared" si="14"/>
        <v>45935548.728158429</v>
      </c>
      <c r="R26" s="312">
        <f t="shared" si="14"/>
        <v>47258951.887016676</v>
      </c>
      <c r="S26" s="312">
        <f t="shared" si="14"/>
        <v>48620482.290881626</v>
      </c>
      <c r="T26" s="312">
        <f t="shared" si="14"/>
        <v>50021238.385681927</v>
      </c>
      <c r="U26" s="312">
        <f t="shared" si="14"/>
        <v>51462350.263573423</v>
      </c>
      <c r="V26" s="312">
        <f t="shared" si="14"/>
        <v>52944980.574666977</v>
      </c>
      <c r="W26" s="312">
        <f t="shared" si="14"/>
        <v>54470325.46502313</v>
      </c>
      <c r="X26" s="312">
        <f t="shared" si="14"/>
        <v>56039615.541670449</v>
      </c>
    </row>
    <row r="27" spans="1:24" ht="15.75" customHeight="1">
      <c r="A27" s="68" t="s">
        <v>306</v>
      </c>
      <c r="B27" s="99">
        <f>'8. Budget Estimate'!AQ30*(1+B3)</f>
        <v>38297316.820052691</v>
      </c>
      <c r="C27" s="99">
        <f t="shared" ref="C27:X27" si="15">B27*(1+C3)</f>
        <v>39400662.517638408</v>
      </c>
      <c r="D27" s="99">
        <f t="shared" si="15"/>
        <v>40535795.604771569</v>
      </c>
      <c r="E27" s="99">
        <f t="shared" si="15"/>
        <v>41703631.876145035</v>
      </c>
      <c r="F27" s="99">
        <f t="shared" si="15"/>
        <v>42905113.510496773</v>
      </c>
      <c r="G27" s="99">
        <f t="shared" si="15"/>
        <v>44141209.830734186</v>
      </c>
      <c r="H27" s="99">
        <f t="shared" si="15"/>
        <v>45412918.085957639</v>
      </c>
      <c r="I27" s="99">
        <f t="shared" si="15"/>
        <v>46721264.256014079</v>
      </c>
      <c r="J27" s="99">
        <f t="shared" si="15"/>
        <v>48067303.879229844</v>
      </c>
      <c r="K27" s="99">
        <f t="shared" si="15"/>
        <v>49452122.903990455</v>
      </c>
      <c r="L27" s="99">
        <f t="shared" si="15"/>
        <v>50876838.564854421</v>
      </c>
      <c r="M27" s="99">
        <f t="shared" si="15"/>
        <v>52342600.283907875</v>
      </c>
      <c r="N27" s="99">
        <f t="shared" si="15"/>
        <v>53850590.598087259</v>
      </c>
      <c r="O27" s="99">
        <f t="shared" si="15"/>
        <v>55402026.113218151</v>
      </c>
      <c r="P27" s="99">
        <f t="shared" si="15"/>
        <v>56998158.485539965</v>
      </c>
      <c r="Q27" s="99">
        <f t="shared" si="15"/>
        <v>58640275.43150837</v>
      </c>
      <c r="R27" s="99">
        <f t="shared" si="15"/>
        <v>60329701.766690128</v>
      </c>
      <c r="S27" s="99">
        <f t="shared" si="15"/>
        <v>62067800.474588469</v>
      </c>
      <c r="T27" s="99">
        <f t="shared" si="15"/>
        <v>63855973.806261361</v>
      </c>
      <c r="U27" s="99">
        <f t="shared" si="15"/>
        <v>65695664.411619753</v>
      </c>
      <c r="V27" s="99">
        <f t="shared" si="15"/>
        <v>67588356.503318518</v>
      </c>
      <c r="W27" s="99">
        <f t="shared" si="15"/>
        <v>69535577.054179132</v>
      </c>
      <c r="X27" s="99">
        <f t="shared" si="15"/>
        <v>71538897.029110029</v>
      </c>
    </row>
    <row r="28" spans="1:24" ht="15.75" customHeight="1">
      <c r="A28" s="68" t="s">
        <v>492</v>
      </c>
      <c r="C28" s="99">
        <f>'15. Travel tour'!AS6*2</f>
        <v>72168880.178140983</v>
      </c>
      <c r="D28" s="99">
        <f>'15. Travel tour'!AT7*2</f>
        <v>162075622.75974503</v>
      </c>
      <c r="E28" s="99">
        <f>'15. Travel tour'!AU8*2</f>
        <v>104189573.63723567</v>
      </c>
      <c r="F28" s="99">
        <f>'15. Travel tour'!AV9*2</f>
        <v>213810482.32730889</v>
      </c>
      <c r="G28" s="99">
        <f>'15. Travel tour'!AW12*2</f>
        <v>551691554.20112646</v>
      </c>
      <c r="H28" s="99">
        <f>'15. Travel tour'!AX13*2</f>
        <v>605429886.28262544</v>
      </c>
      <c r="I28" s="99">
        <f>'15. Travel tour'!AY14*2</f>
        <v>700741095.06645131</v>
      </c>
      <c r="J28" s="99">
        <f>'15. Travel tour'!AZ15*2</f>
        <v>793030401.83416009</v>
      </c>
      <c r="K28" s="99">
        <f>'15. Travel tour'!BA18*2</f>
        <v>535648911.2550568</v>
      </c>
      <c r="L28" s="99">
        <f>'15. Travel tour'!BB21</f>
        <v>339136526.40022552</v>
      </c>
      <c r="M28" s="99">
        <f>'15. Travel tour'!BC22</f>
        <v>339790713.50970215</v>
      </c>
      <c r="N28" s="99">
        <f>'15. Travel tour'!BD23</f>
        <v>358959061.82841676</v>
      </c>
    </row>
    <row r="29" spans="1:24" ht="15.75" customHeight="1">
      <c r="A29" s="68" t="s">
        <v>308</v>
      </c>
      <c r="B29" s="99">
        <f>'8. Budget Estimate'!$AQ$33</f>
        <v>132000</v>
      </c>
      <c r="C29" s="99">
        <f>'8. Budget Estimate'!$AQ$33</f>
        <v>132000</v>
      </c>
      <c r="D29" s="99">
        <f>'8. Budget Estimate'!$AQ$33</f>
        <v>132000</v>
      </c>
      <c r="E29" s="99">
        <f>'8. Budget Estimate'!$AQ$33</f>
        <v>132000</v>
      </c>
      <c r="F29" s="99">
        <f>'8. Budget Estimate'!$AQ$33</f>
        <v>132000</v>
      </c>
      <c r="G29" s="99">
        <f>'8. Budget Estimate'!$AQ$33</f>
        <v>132000</v>
      </c>
      <c r="H29" s="99">
        <f>'8. Budget Estimate'!$AQ$33</f>
        <v>132000</v>
      </c>
      <c r="I29" s="99">
        <f>'8. Budget Estimate'!$AQ$33</f>
        <v>132000</v>
      </c>
      <c r="J29" s="99">
        <f>'8. Budget Estimate'!$AQ$33</f>
        <v>132000</v>
      </c>
      <c r="K29" s="99">
        <f>'8. Budget Estimate'!$AQ$33</f>
        <v>132000</v>
      </c>
      <c r="L29" s="99">
        <f>'8. Budget Estimate'!$AQ$33</f>
        <v>132000</v>
      </c>
      <c r="M29" s="99">
        <f>'8. Budget Estimate'!$AQ$33</f>
        <v>132000</v>
      </c>
      <c r="N29" s="99">
        <f>'8. Budget Estimate'!$AQ$33</f>
        <v>132000</v>
      </c>
      <c r="O29" s="99">
        <f>'8. Budget Estimate'!$AQ$33</f>
        <v>132000</v>
      </c>
      <c r="P29" s="99">
        <f>'8. Budget Estimate'!$AQ$33</f>
        <v>132000</v>
      </c>
      <c r="Q29" s="99">
        <f>'8. Budget Estimate'!$AQ$33</f>
        <v>132000</v>
      </c>
      <c r="R29" s="99">
        <f>'8. Budget Estimate'!$AQ$33</f>
        <v>132000</v>
      </c>
      <c r="S29" s="99">
        <f>'8. Budget Estimate'!$AQ$33</f>
        <v>132000</v>
      </c>
      <c r="T29" s="99">
        <f>'8. Budget Estimate'!$AQ$33</f>
        <v>132000</v>
      </c>
      <c r="U29" s="99">
        <f>'8. Budget Estimate'!$AQ$33</f>
        <v>132000</v>
      </c>
      <c r="V29" s="99">
        <f>'8. Budget Estimate'!$AQ$33</f>
        <v>132000</v>
      </c>
      <c r="W29" s="99">
        <f>'8. Budget Estimate'!$AQ$33</f>
        <v>132000</v>
      </c>
      <c r="X29" s="99">
        <f>'8. Budget Estimate'!$AQ$33</f>
        <v>132000</v>
      </c>
    </row>
    <row r="30" spans="1:24" ht="15.75" customHeight="1">
      <c r="A30" s="68" t="s">
        <v>309</v>
      </c>
      <c r="B30" s="99">
        <f>'8. Budget Estimate'!$AQ$34</f>
        <v>4035935.8029752146</v>
      </c>
      <c r="C30" s="99">
        <f>'8. Budget Estimate'!$AQ$34</f>
        <v>4035935.8029752146</v>
      </c>
      <c r="D30" s="99">
        <f>'8. Budget Estimate'!$AQ$34</f>
        <v>4035935.8029752146</v>
      </c>
      <c r="E30" s="99">
        <f>'8. Budget Estimate'!$AQ$34</f>
        <v>4035935.8029752146</v>
      </c>
      <c r="F30" s="99">
        <f>'8. Budget Estimate'!$AQ$34</f>
        <v>4035935.8029752146</v>
      </c>
      <c r="G30" s="99">
        <f>'8. Budget Estimate'!$AQ$34</f>
        <v>4035935.8029752146</v>
      </c>
      <c r="H30" s="99">
        <f>'8. Budget Estimate'!$AQ$34</f>
        <v>4035935.8029752146</v>
      </c>
      <c r="I30" s="99">
        <f>'8. Budget Estimate'!$AQ$34</f>
        <v>4035935.8029752146</v>
      </c>
      <c r="J30" s="99">
        <f>'8. Budget Estimate'!$AQ$34</f>
        <v>4035935.8029752146</v>
      </c>
      <c r="K30" s="99">
        <f>'8. Budget Estimate'!$AQ$34</f>
        <v>4035935.8029752146</v>
      </c>
      <c r="L30" s="99">
        <f>'8. Budget Estimate'!$AQ$34</f>
        <v>4035935.8029752146</v>
      </c>
      <c r="M30" s="99">
        <f>'8. Budget Estimate'!$AQ$34</f>
        <v>4035935.8029752146</v>
      </c>
      <c r="N30" s="99">
        <f>'8. Budget Estimate'!$AQ$34</f>
        <v>4035935.8029752146</v>
      </c>
      <c r="O30" s="99">
        <f>'8. Budget Estimate'!$AQ$34</f>
        <v>4035935.8029752146</v>
      </c>
      <c r="P30" s="99">
        <f>'8. Budget Estimate'!$AQ$34</f>
        <v>4035935.8029752146</v>
      </c>
      <c r="Q30" s="99">
        <f>'8. Budget Estimate'!$AQ$34</f>
        <v>4035935.8029752146</v>
      </c>
      <c r="R30" s="99">
        <f>'8. Budget Estimate'!$AQ$34</f>
        <v>4035935.8029752146</v>
      </c>
      <c r="S30" s="99">
        <f>'8. Budget Estimate'!$AQ$34</f>
        <v>4035935.8029752146</v>
      </c>
      <c r="T30" s="99">
        <f>'8. Budget Estimate'!$AQ$34</f>
        <v>4035935.8029752146</v>
      </c>
      <c r="U30" s="99">
        <f>'8. Budget Estimate'!$AQ$34</f>
        <v>4035935.8029752146</v>
      </c>
      <c r="V30" s="99">
        <f>'8. Budget Estimate'!$AQ$34</f>
        <v>4035935.8029752146</v>
      </c>
      <c r="W30" s="99">
        <f>'8. Budget Estimate'!$AQ$34</f>
        <v>4035935.8029752146</v>
      </c>
      <c r="X30" s="99">
        <f>'8. Budget Estimate'!$AQ$34</f>
        <v>4035935.8029752146</v>
      </c>
    </row>
    <row r="31" spans="1:24" ht="15.75" customHeight="1">
      <c r="A31" s="100" t="s">
        <v>493</v>
      </c>
      <c r="B31" s="102">
        <f t="shared" ref="B31:X31" si="16">SUM(B15:B30)</f>
        <v>707307455.90286839</v>
      </c>
      <c r="C31" s="102">
        <f t="shared" si="16"/>
        <v>799733785.65508735</v>
      </c>
      <c r="D31" s="102">
        <f t="shared" si="16"/>
        <v>910481594.93299854</v>
      </c>
      <c r="E31" s="102">
        <f t="shared" si="16"/>
        <v>874037043.63831687</v>
      </c>
      <c r="F31" s="102">
        <f t="shared" si="16"/>
        <v>1005717179.7086375</v>
      </c>
      <c r="G31" s="102">
        <f t="shared" si="16"/>
        <v>1366293005.3035274</v>
      </c>
      <c r="H31" s="102">
        <f t="shared" si="16"/>
        <v>1443379926.960803</v>
      </c>
      <c r="I31" s="102">
        <f t="shared" si="16"/>
        <v>1562712398.1860836</v>
      </c>
      <c r="J31" s="102">
        <f t="shared" si="16"/>
        <v>1679715019.9661851</v>
      </c>
      <c r="K31" s="102">
        <f t="shared" si="16"/>
        <v>1447758835.0049818</v>
      </c>
      <c r="L31" s="102">
        <f t="shared" si="16"/>
        <v>1277404258.822902</v>
      </c>
      <c r="M31" s="102">
        <f t="shared" si="16"/>
        <v>1304969861.0729923</v>
      </c>
      <c r="N31" s="102">
        <f t="shared" si="16"/>
        <v>1351824942.4025216</v>
      </c>
      <c r="O31" s="102">
        <f t="shared" si="16"/>
        <v>1021350268.3629607</v>
      </c>
      <c r="P31" s="102">
        <f t="shared" si="16"/>
        <v>1050655291.3640139</v>
      </c>
      <c r="Q31" s="102">
        <f t="shared" si="16"/>
        <v>1080804592.0777278</v>
      </c>
      <c r="R31" s="102">
        <f t="shared" si="16"/>
        <v>1111822494.1450033</v>
      </c>
      <c r="S31" s="102">
        <f t="shared" si="16"/>
        <v>1143734021.9708371</v>
      </c>
      <c r="T31" s="102">
        <f t="shared" si="16"/>
        <v>1176564920.9133332</v>
      </c>
      <c r="U31" s="102">
        <f t="shared" si="16"/>
        <v>1210341678.0543628</v>
      </c>
      <c r="V31" s="102">
        <f t="shared" si="16"/>
        <v>1245091543.568625</v>
      </c>
      <c r="W31" s="102">
        <f t="shared" si="16"/>
        <v>1280842552.7083535</v>
      </c>
      <c r="X31" s="102">
        <f t="shared" si="16"/>
        <v>1317623548.4213977</v>
      </c>
    </row>
    <row r="32" spans="1:24" ht="15.75" customHeight="1">
      <c r="A32" s="68" t="s">
        <v>219</v>
      </c>
      <c r="B32" s="99">
        <f t="shared" ref="B32:X32" ca="1" si="17">B12-B31</f>
        <v>2800448330.074069</v>
      </c>
      <c r="C32" s="99">
        <f t="shared" ca="1" si="17"/>
        <v>3328128929.5052681</v>
      </c>
      <c r="D32" s="99">
        <f t="shared" ca="1" si="17"/>
        <v>3110945822.8671122</v>
      </c>
      <c r="E32" s="99">
        <f t="shared" ca="1" si="17"/>
        <v>3572968261.4004717</v>
      </c>
      <c r="F32" s="99">
        <f t="shared" ca="1" si="17"/>
        <v>3102638317.6460772</v>
      </c>
      <c r="G32" s="99">
        <f t="shared" ca="1" si="17"/>
        <v>3177713529.3446059</v>
      </c>
      <c r="H32" s="99">
        <f t="shared" ca="1" si="17"/>
        <v>2952525826.0908184</v>
      </c>
      <c r="I32" s="99">
        <f t="shared" ca="1" si="17"/>
        <v>3107720925.2770367</v>
      </c>
      <c r="J32" s="99">
        <f t="shared" ca="1" si="17"/>
        <v>3370265892.3002496</v>
      </c>
      <c r="K32" s="99">
        <f t="shared" ca="1" si="17"/>
        <v>3671265790.6208124</v>
      </c>
      <c r="L32" s="99">
        <f t="shared" ca="1" si="17"/>
        <v>4537941507.0532589</v>
      </c>
      <c r="M32" s="99">
        <f t="shared" ca="1" si="17"/>
        <v>4167982614.6482458</v>
      </c>
      <c r="N32" s="99">
        <f t="shared" ca="1" si="17"/>
        <v>4573535075.3980618</v>
      </c>
      <c r="O32" s="99">
        <f t="shared" ca="1" si="17"/>
        <v>4297229760.4360666</v>
      </c>
      <c r="P32" s="99">
        <f t="shared" ca="1" si="17"/>
        <v>3937803344.6825113</v>
      </c>
      <c r="Q32" s="99">
        <f t="shared" ca="1" si="17"/>
        <v>4968087832.2646351</v>
      </c>
      <c r="R32" s="99">
        <f t="shared" ca="1" si="17"/>
        <v>4713726861.2376728</v>
      </c>
      <c r="S32" s="99">
        <f t="shared" ca="1" si="17"/>
        <v>5183870252.3984413</v>
      </c>
      <c r="T32" s="99">
        <f t="shared" ca="1" si="17"/>
        <v>5605712795.8702374</v>
      </c>
      <c r="U32" s="99">
        <f t="shared" ca="1" si="17"/>
        <v>5346576309.4325314</v>
      </c>
      <c r="V32" s="99">
        <f t="shared" ca="1" si="17"/>
        <v>5789712920.0986881</v>
      </c>
      <c r="W32" s="99">
        <f t="shared" ca="1" si="17"/>
        <v>5325428072.3712978</v>
      </c>
      <c r="X32" s="99">
        <f t="shared" ca="1" si="17"/>
        <v>6978403834.6926174</v>
      </c>
    </row>
  </sheetData>
  <mergeCells count="2">
    <mergeCell ref="C4:N5"/>
    <mergeCell ref="X4:X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F999"/>
  <sheetViews>
    <sheetView showGridLines="0" workbookViewId="0">
      <selection activeCell="H62" sqref="H62"/>
    </sheetView>
  </sheetViews>
  <sheetFormatPr baseColWidth="10" defaultColWidth="12.6640625" defaultRowHeight="15.75" customHeight="1"/>
  <cols>
    <col min="1" max="1" width="12.6640625" style="63"/>
    <col min="2" max="2" width="29.6640625" style="63" customWidth="1"/>
    <col min="3" max="3" width="58.5" style="63" customWidth="1"/>
    <col min="4" max="4" width="28.33203125" style="63" customWidth="1"/>
    <col min="5" max="5" width="14.6640625" style="63" customWidth="1"/>
    <col min="6" max="6" width="17.1640625" style="63" customWidth="1"/>
    <col min="7" max="16384" width="12.6640625" style="63"/>
  </cols>
  <sheetData>
    <row r="1" spans="1:6" ht="17">
      <c r="A1" s="302"/>
      <c r="F1" s="97"/>
    </row>
    <row r="2" spans="1:6" ht="17">
      <c r="B2" s="388" t="s">
        <v>589</v>
      </c>
      <c r="C2" s="321"/>
      <c r="D2" s="68"/>
      <c r="E2" s="68"/>
      <c r="F2" s="97"/>
    </row>
    <row r="3" spans="1:6" ht="17">
      <c r="B3" s="83"/>
      <c r="C3" s="321"/>
      <c r="D3" s="68"/>
      <c r="E3" s="68"/>
      <c r="F3" s="97"/>
    </row>
    <row r="4" spans="1:6" ht="18">
      <c r="B4" s="389" t="s">
        <v>494</v>
      </c>
      <c r="C4" s="389" t="s">
        <v>495</v>
      </c>
      <c r="D4" s="389" t="s">
        <v>496</v>
      </c>
      <c r="E4" s="68"/>
      <c r="F4" s="97"/>
    </row>
    <row r="5" spans="1:6" ht="18">
      <c r="B5" s="390" t="s">
        <v>497</v>
      </c>
      <c r="C5" s="391" t="s">
        <v>498</v>
      </c>
      <c r="D5" s="337" t="s">
        <v>179</v>
      </c>
      <c r="E5" s="68"/>
      <c r="F5" s="97"/>
    </row>
    <row r="6" spans="1:6" ht="17">
      <c r="B6" s="146"/>
      <c r="C6" s="149"/>
      <c r="D6" s="392" t="s">
        <v>564</v>
      </c>
      <c r="E6" s="68"/>
      <c r="F6" s="97"/>
    </row>
    <row r="7" spans="1:6" ht="18">
      <c r="B7" s="153" t="s">
        <v>502</v>
      </c>
      <c r="C7" s="153" t="s">
        <v>568</v>
      </c>
      <c r="D7" s="153" t="s">
        <v>503</v>
      </c>
      <c r="E7" s="68"/>
      <c r="F7" s="97"/>
    </row>
    <row r="8" spans="1:6" ht="18">
      <c r="B8" s="337" t="s">
        <v>499</v>
      </c>
      <c r="C8" s="337" t="s">
        <v>500</v>
      </c>
      <c r="D8" s="393" t="s">
        <v>501</v>
      </c>
      <c r="E8" s="68"/>
      <c r="F8" s="97"/>
    </row>
    <row r="9" spans="1:6" ht="17">
      <c r="B9" s="68"/>
      <c r="C9" s="68"/>
      <c r="D9" s="68"/>
      <c r="E9" s="68"/>
      <c r="F9" s="97"/>
    </row>
    <row r="10" spans="1:6" ht="17">
      <c r="C10" s="68"/>
      <c r="D10" s="68"/>
      <c r="E10" s="68"/>
      <c r="F10" s="97"/>
    </row>
    <row r="11" spans="1:6" ht="17">
      <c r="B11" s="394" t="s">
        <v>590</v>
      </c>
      <c r="C11" s="68"/>
      <c r="D11" s="68"/>
      <c r="E11" s="68"/>
      <c r="F11" s="97"/>
    </row>
    <row r="12" spans="1:6" ht="18">
      <c r="B12" s="389" t="s">
        <v>504</v>
      </c>
      <c r="C12" s="389" t="s">
        <v>505</v>
      </c>
      <c r="D12" s="68"/>
      <c r="E12" s="68"/>
      <c r="F12" s="97"/>
    </row>
    <row r="13" spans="1:6" ht="18">
      <c r="B13" s="150" t="s">
        <v>506</v>
      </c>
      <c r="C13" s="150" t="s">
        <v>567</v>
      </c>
      <c r="D13" s="68"/>
      <c r="E13" s="68"/>
      <c r="F13" s="97"/>
    </row>
    <row r="14" spans="1:6" ht="36">
      <c r="B14" s="114" t="s">
        <v>507</v>
      </c>
      <c r="C14" s="150" t="s">
        <v>569</v>
      </c>
      <c r="D14" s="68"/>
      <c r="E14" s="68"/>
      <c r="F14" s="97"/>
    </row>
    <row r="15" spans="1:6" ht="18">
      <c r="B15" s="150" t="s">
        <v>508</v>
      </c>
      <c r="C15" s="150" t="s">
        <v>592</v>
      </c>
      <c r="D15" s="68"/>
      <c r="E15" s="68"/>
      <c r="F15" s="97"/>
    </row>
    <row r="16" spans="1:6" ht="18">
      <c r="B16" s="150" t="s">
        <v>509</v>
      </c>
      <c r="C16" s="150" t="s">
        <v>570</v>
      </c>
      <c r="D16" s="68"/>
      <c r="E16" s="68"/>
      <c r="F16" s="97"/>
    </row>
    <row r="17" spans="2:6" ht="18">
      <c r="B17" s="150" t="s">
        <v>510</v>
      </c>
      <c r="C17" s="150" t="s">
        <v>591</v>
      </c>
      <c r="D17" s="68"/>
      <c r="E17" s="68"/>
      <c r="F17" s="97"/>
    </row>
    <row r="18" spans="2:6" ht="17">
      <c r="B18" s="68"/>
      <c r="C18" s="68"/>
      <c r="D18" s="68"/>
      <c r="E18" s="68"/>
      <c r="F18" s="97"/>
    </row>
    <row r="19" spans="2:6" ht="18">
      <c r="B19" s="395" t="s">
        <v>63</v>
      </c>
      <c r="C19" s="389" t="s">
        <v>511</v>
      </c>
      <c r="D19" s="389" t="s">
        <v>506</v>
      </c>
      <c r="E19" s="389" t="s">
        <v>507</v>
      </c>
      <c r="F19" s="395" t="s">
        <v>512</v>
      </c>
    </row>
    <row r="20" spans="2:6" ht="17">
      <c r="B20" s="396">
        <v>22</v>
      </c>
      <c r="C20" s="397">
        <v>0.6</v>
      </c>
      <c r="D20" s="397">
        <v>0.2</v>
      </c>
      <c r="E20" s="397">
        <v>0.2</v>
      </c>
      <c r="F20" s="192">
        <f t="shared" ref="F20:F83" si="0">SUM(C20:E20)</f>
        <v>1</v>
      </c>
    </row>
    <row r="21" spans="2:6" ht="17">
      <c r="B21" s="396">
        <v>23</v>
      </c>
      <c r="C21" s="397">
        <v>0.6</v>
      </c>
      <c r="D21" s="397">
        <v>0.2</v>
      </c>
      <c r="E21" s="397">
        <v>0.2</v>
      </c>
      <c r="F21" s="192">
        <f t="shared" si="0"/>
        <v>1</v>
      </c>
    </row>
    <row r="22" spans="2:6" ht="17">
      <c r="B22" s="396">
        <v>24</v>
      </c>
      <c r="C22" s="397">
        <v>0.6</v>
      </c>
      <c r="D22" s="397">
        <v>0.2</v>
      </c>
      <c r="E22" s="397">
        <v>0.2</v>
      </c>
      <c r="F22" s="192">
        <f t="shared" si="0"/>
        <v>1</v>
      </c>
    </row>
    <row r="23" spans="2:6" ht="17">
      <c r="B23" s="396">
        <v>25</v>
      </c>
      <c r="C23" s="397">
        <v>0.6</v>
      </c>
      <c r="D23" s="397">
        <v>0.2</v>
      </c>
      <c r="E23" s="397">
        <v>0.2</v>
      </c>
      <c r="F23" s="192">
        <f t="shared" si="0"/>
        <v>1</v>
      </c>
    </row>
    <row r="24" spans="2:6" ht="17">
      <c r="B24" s="396">
        <v>26</v>
      </c>
      <c r="C24" s="397">
        <v>0.6</v>
      </c>
      <c r="D24" s="397">
        <v>0.2</v>
      </c>
      <c r="E24" s="397">
        <v>0.2</v>
      </c>
      <c r="F24" s="192">
        <f t="shared" si="0"/>
        <v>1</v>
      </c>
    </row>
    <row r="25" spans="2:6" ht="17">
      <c r="B25" s="396">
        <v>27</v>
      </c>
      <c r="C25" s="397">
        <v>0.6</v>
      </c>
      <c r="D25" s="397">
        <v>0.1</v>
      </c>
      <c r="E25" s="397">
        <f t="shared" ref="E25:E83" si="1">1-C25-D25</f>
        <v>0.30000000000000004</v>
      </c>
      <c r="F25" s="192">
        <f t="shared" si="0"/>
        <v>1</v>
      </c>
    </row>
    <row r="26" spans="2:6" ht="17">
      <c r="B26" s="396">
        <v>28</v>
      </c>
      <c r="C26" s="397">
        <v>0.6</v>
      </c>
      <c r="D26" s="397">
        <v>0.1</v>
      </c>
      <c r="E26" s="397">
        <f t="shared" si="1"/>
        <v>0.30000000000000004</v>
      </c>
      <c r="F26" s="192">
        <f t="shared" si="0"/>
        <v>1</v>
      </c>
    </row>
    <row r="27" spans="2:6" ht="17">
      <c r="B27" s="396">
        <v>29</v>
      </c>
      <c r="C27" s="397">
        <v>0.6</v>
      </c>
      <c r="D27" s="397">
        <v>0.1</v>
      </c>
      <c r="E27" s="397">
        <f t="shared" si="1"/>
        <v>0.30000000000000004</v>
      </c>
      <c r="F27" s="192">
        <f t="shared" si="0"/>
        <v>1</v>
      </c>
    </row>
    <row r="28" spans="2:6" ht="17">
      <c r="B28" s="396">
        <v>30</v>
      </c>
      <c r="C28" s="397">
        <v>0.6</v>
      </c>
      <c r="D28" s="397">
        <v>0.1</v>
      </c>
      <c r="E28" s="397">
        <f t="shared" si="1"/>
        <v>0.30000000000000004</v>
      </c>
      <c r="F28" s="192">
        <f t="shared" si="0"/>
        <v>1</v>
      </c>
    </row>
    <row r="29" spans="2:6" ht="17">
      <c r="B29" s="396">
        <v>31</v>
      </c>
      <c r="C29" s="397">
        <v>0.6</v>
      </c>
      <c r="D29" s="397">
        <v>0.1</v>
      </c>
      <c r="E29" s="397">
        <f t="shared" si="1"/>
        <v>0.30000000000000004</v>
      </c>
      <c r="F29" s="192">
        <f t="shared" si="0"/>
        <v>1</v>
      </c>
    </row>
    <row r="30" spans="2:6" ht="17">
      <c r="B30" s="396">
        <v>32</v>
      </c>
      <c r="C30" s="397">
        <v>0.6</v>
      </c>
      <c r="D30" s="397">
        <v>0.1</v>
      </c>
      <c r="E30" s="397">
        <f t="shared" si="1"/>
        <v>0.30000000000000004</v>
      </c>
      <c r="F30" s="192">
        <f t="shared" si="0"/>
        <v>1</v>
      </c>
    </row>
    <row r="31" spans="2:6" ht="17">
      <c r="B31" s="396">
        <v>33</v>
      </c>
      <c r="C31" s="397">
        <v>0.6</v>
      </c>
      <c r="D31" s="397">
        <v>0.1</v>
      </c>
      <c r="E31" s="397">
        <f t="shared" si="1"/>
        <v>0.30000000000000004</v>
      </c>
      <c r="F31" s="192">
        <f t="shared" si="0"/>
        <v>1</v>
      </c>
    </row>
    <row r="32" spans="2:6" ht="17">
      <c r="B32" s="396">
        <v>34</v>
      </c>
      <c r="C32" s="397">
        <v>0.6</v>
      </c>
      <c r="D32" s="397">
        <v>0.1</v>
      </c>
      <c r="E32" s="397">
        <f t="shared" si="1"/>
        <v>0.30000000000000004</v>
      </c>
      <c r="F32" s="192">
        <f t="shared" si="0"/>
        <v>1</v>
      </c>
    </row>
    <row r="33" spans="2:6" ht="17">
      <c r="B33" s="396">
        <v>35</v>
      </c>
      <c r="C33" s="397">
        <v>0.6</v>
      </c>
      <c r="D33" s="397">
        <v>0.1</v>
      </c>
      <c r="E33" s="397">
        <f t="shared" si="1"/>
        <v>0.30000000000000004</v>
      </c>
      <c r="F33" s="192">
        <f t="shared" si="0"/>
        <v>1</v>
      </c>
    </row>
    <row r="34" spans="2:6" ht="17">
      <c r="B34" s="396">
        <v>36</v>
      </c>
      <c r="C34" s="397">
        <v>0.6</v>
      </c>
      <c r="D34" s="397">
        <v>0.1</v>
      </c>
      <c r="E34" s="397">
        <f t="shared" si="1"/>
        <v>0.30000000000000004</v>
      </c>
      <c r="F34" s="192">
        <f t="shared" si="0"/>
        <v>1</v>
      </c>
    </row>
    <row r="35" spans="2:6" ht="17">
      <c r="B35" s="396">
        <v>37</v>
      </c>
      <c r="C35" s="397">
        <v>0.6</v>
      </c>
      <c r="D35" s="397">
        <v>0.1</v>
      </c>
      <c r="E35" s="397">
        <f t="shared" si="1"/>
        <v>0.30000000000000004</v>
      </c>
      <c r="F35" s="192">
        <f t="shared" si="0"/>
        <v>1</v>
      </c>
    </row>
    <row r="36" spans="2:6" ht="17">
      <c r="B36" s="396">
        <v>38</v>
      </c>
      <c r="C36" s="397">
        <v>0.6</v>
      </c>
      <c r="D36" s="397">
        <v>0.1</v>
      </c>
      <c r="E36" s="397">
        <f t="shared" si="1"/>
        <v>0.30000000000000004</v>
      </c>
      <c r="F36" s="192">
        <f t="shared" si="0"/>
        <v>1</v>
      </c>
    </row>
    <row r="37" spans="2:6" ht="17">
      <c r="B37" s="396">
        <v>39</v>
      </c>
      <c r="C37" s="397">
        <v>0.6</v>
      </c>
      <c r="D37" s="397">
        <v>0.1</v>
      </c>
      <c r="E37" s="397">
        <f t="shared" si="1"/>
        <v>0.30000000000000004</v>
      </c>
      <c r="F37" s="192">
        <f t="shared" si="0"/>
        <v>1</v>
      </c>
    </row>
    <row r="38" spans="2:6" ht="17">
      <c r="B38" s="396">
        <v>40</v>
      </c>
      <c r="C38" s="397">
        <v>0.6</v>
      </c>
      <c r="D38" s="397">
        <v>0.1</v>
      </c>
      <c r="E38" s="397">
        <f t="shared" si="1"/>
        <v>0.30000000000000004</v>
      </c>
      <c r="F38" s="192">
        <f t="shared" si="0"/>
        <v>1</v>
      </c>
    </row>
    <row r="39" spans="2:6" ht="17">
      <c r="B39" s="396">
        <v>41</v>
      </c>
      <c r="C39" s="397">
        <v>0.6</v>
      </c>
      <c r="D39" s="397">
        <v>0.1</v>
      </c>
      <c r="E39" s="397">
        <f t="shared" si="1"/>
        <v>0.30000000000000004</v>
      </c>
      <c r="F39" s="192">
        <f t="shared" si="0"/>
        <v>1</v>
      </c>
    </row>
    <row r="40" spans="2:6" ht="17">
      <c r="B40" s="396">
        <v>42</v>
      </c>
      <c r="C40" s="397">
        <v>0.6</v>
      </c>
      <c r="D40" s="397">
        <v>0.1</v>
      </c>
      <c r="E40" s="397">
        <f t="shared" si="1"/>
        <v>0.30000000000000004</v>
      </c>
      <c r="F40" s="192">
        <f t="shared" si="0"/>
        <v>1</v>
      </c>
    </row>
    <row r="41" spans="2:6" ht="17">
      <c r="B41" s="396">
        <v>43</v>
      </c>
      <c r="C41" s="397">
        <v>0.6</v>
      </c>
      <c r="D41" s="397">
        <v>0.1</v>
      </c>
      <c r="E41" s="397">
        <f t="shared" si="1"/>
        <v>0.30000000000000004</v>
      </c>
      <c r="F41" s="192">
        <f t="shared" si="0"/>
        <v>1</v>
      </c>
    </row>
    <row r="42" spans="2:6" ht="17">
      <c r="B42" s="396">
        <v>44</v>
      </c>
      <c r="C42" s="397">
        <v>0.6</v>
      </c>
      <c r="D42" s="397">
        <v>0.1</v>
      </c>
      <c r="E42" s="397">
        <f t="shared" si="1"/>
        <v>0.30000000000000004</v>
      </c>
      <c r="F42" s="192">
        <f t="shared" si="0"/>
        <v>1</v>
      </c>
    </row>
    <row r="43" spans="2:6" ht="17">
      <c r="B43" s="396">
        <v>45</v>
      </c>
      <c r="C43" s="397">
        <v>0.6</v>
      </c>
      <c r="D43" s="397">
        <v>0.1</v>
      </c>
      <c r="E43" s="397">
        <f t="shared" si="1"/>
        <v>0.30000000000000004</v>
      </c>
      <c r="F43" s="192">
        <f t="shared" si="0"/>
        <v>1</v>
      </c>
    </row>
    <row r="44" spans="2:6" ht="17">
      <c r="B44" s="396">
        <v>46</v>
      </c>
      <c r="C44" s="397">
        <v>0.6</v>
      </c>
      <c r="D44" s="397">
        <v>0.1</v>
      </c>
      <c r="E44" s="397">
        <f t="shared" si="1"/>
        <v>0.30000000000000004</v>
      </c>
      <c r="F44" s="192">
        <f t="shared" si="0"/>
        <v>1</v>
      </c>
    </row>
    <row r="45" spans="2:6" ht="17">
      <c r="B45" s="396">
        <v>47</v>
      </c>
      <c r="C45" s="397">
        <v>0.6</v>
      </c>
      <c r="D45" s="397">
        <v>0.1</v>
      </c>
      <c r="E45" s="397">
        <f t="shared" si="1"/>
        <v>0.30000000000000004</v>
      </c>
      <c r="F45" s="192">
        <f t="shared" si="0"/>
        <v>1</v>
      </c>
    </row>
    <row r="46" spans="2:6" ht="17">
      <c r="B46" s="396">
        <v>48</v>
      </c>
      <c r="C46" s="397">
        <v>0.6</v>
      </c>
      <c r="D46" s="397">
        <v>0.1</v>
      </c>
      <c r="E46" s="397">
        <f t="shared" si="1"/>
        <v>0.30000000000000004</v>
      </c>
      <c r="F46" s="192">
        <f t="shared" si="0"/>
        <v>1</v>
      </c>
    </row>
    <row r="47" spans="2:6" ht="17">
      <c r="B47" s="396">
        <v>49</v>
      </c>
      <c r="C47" s="397">
        <v>0.6</v>
      </c>
      <c r="D47" s="397">
        <v>0.1</v>
      </c>
      <c r="E47" s="397">
        <f t="shared" si="1"/>
        <v>0.30000000000000004</v>
      </c>
      <c r="F47" s="192">
        <f t="shared" si="0"/>
        <v>1</v>
      </c>
    </row>
    <row r="48" spans="2:6" ht="17">
      <c r="B48" s="396">
        <v>50</v>
      </c>
      <c r="C48" s="397">
        <v>0.6</v>
      </c>
      <c r="D48" s="397">
        <v>0.05</v>
      </c>
      <c r="E48" s="397">
        <f t="shared" si="1"/>
        <v>0.35000000000000003</v>
      </c>
      <c r="F48" s="192">
        <f t="shared" si="0"/>
        <v>1</v>
      </c>
    </row>
    <row r="49" spans="2:6" ht="17">
      <c r="B49" s="396">
        <v>51</v>
      </c>
      <c r="C49" s="397">
        <v>0.6</v>
      </c>
      <c r="D49" s="397">
        <v>0.05</v>
      </c>
      <c r="E49" s="397">
        <f t="shared" si="1"/>
        <v>0.35000000000000003</v>
      </c>
      <c r="F49" s="192">
        <f t="shared" si="0"/>
        <v>1</v>
      </c>
    </row>
    <row r="50" spans="2:6" ht="17">
      <c r="B50" s="396">
        <v>52</v>
      </c>
      <c r="C50" s="397">
        <v>0.6</v>
      </c>
      <c r="D50" s="397">
        <v>0.05</v>
      </c>
      <c r="E50" s="397">
        <f t="shared" si="1"/>
        <v>0.35000000000000003</v>
      </c>
      <c r="F50" s="192">
        <f t="shared" si="0"/>
        <v>1</v>
      </c>
    </row>
    <row r="51" spans="2:6" ht="17">
      <c r="B51" s="396">
        <v>53</v>
      </c>
      <c r="C51" s="397">
        <v>0.6</v>
      </c>
      <c r="D51" s="397">
        <v>0.05</v>
      </c>
      <c r="E51" s="397">
        <f t="shared" si="1"/>
        <v>0.35000000000000003</v>
      </c>
      <c r="F51" s="192">
        <f t="shared" si="0"/>
        <v>1</v>
      </c>
    </row>
    <row r="52" spans="2:6" ht="17">
      <c r="B52" s="396">
        <v>54</v>
      </c>
      <c r="C52" s="397">
        <v>0.6</v>
      </c>
      <c r="D52" s="397">
        <v>0.05</v>
      </c>
      <c r="E52" s="397">
        <f t="shared" si="1"/>
        <v>0.35000000000000003</v>
      </c>
      <c r="F52" s="192">
        <f t="shared" si="0"/>
        <v>1</v>
      </c>
    </row>
    <row r="53" spans="2:6" ht="17">
      <c r="B53" s="396">
        <v>55</v>
      </c>
      <c r="C53" s="397">
        <v>0.6</v>
      </c>
      <c r="D53" s="397">
        <v>0.05</v>
      </c>
      <c r="E53" s="397">
        <f t="shared" si="1"/>
        <v>0.35000000000000003</v>
      </c>
      <c r="F53" s="192">
        <f t="shared" si="0"/>
        <v>1</v>
      </c>
    </row>
    <row r="54" spans="2:6" ht="17">
      <c r="B54" s="396">
        <v>56</v>
      </c>
      <c r="C54" s="397">
        <v>0.6</v>
      </c>
      <c r="D54" s="397">
        <v>0.05</v>
      </c>
      <c r="E54" s="397">
        <f t="shared" si="1"/>
        <v>0.35000000000000003</v>
      </c>
      <c r="F54" s="192">
        <f t="shared" si="0"/>
        <v>1</v>
      </c>
    </row>
    <row r="55" spans="2:6" ht="17">
      <c r="B55" s="396">
        <v>57</v>
      </c>
      <c r="C55" s="397">
        <v>0.6</v>
      </c>
      <c r="D55" s="397">
        <v>0.05</v>
      </c>
      <c r="E55" s="397">
        <f t="shared" si="1"/>
        <v>0.35000000000000003</v>
      </c>
      <c r="F55" s="192">
        <f t="shared" si="0"/>
        <v>1</v>
      </c>
    </row>
    <row r="56" spans="2:6" ht="17">
      <c r="B56" s="396">
        <v>58</v>
      </c>
      <c r="C56" s="397">
        <v>0.6</v>
      </c>
      <c r="D56" s="397">
        <v>0.05</v>
      </c>
      <c r="E56" s="397">
        <f t="shared" si="1"/>
        <v>0.35000000000000003</v>
      </c>
      <c r="F56" s="192">
        <f t="shared" si="0"/>
        <v>1</v>
      </c>
    </row>
    <row r="57" spans="2:6" ht="17">
      <c r="B57" s="396">
        <v>59</v>
      </c>
      <c r="C57" s="397">
        <v>0.6</v>
      </c>
      <c r="D57" s="397">
        <v>0.05</v>
      </c>
      <c r="E57" s="397">
        <f t="shared" si="1"/>
        <v>0.35000000000000003</v>
      </c>
      <c r="F57" s="192">
        <f t="shared" si="0"/>
        <v>1</v>
      </c>
    </row>
    <row r="58" spans="2:6" ht="17">
      <c r="B58" s="396">
        <v>60</v>
      </c>
      <c r="C58" s="397">
        <v>0.6</v>
      </c>
      <c r="D58" s="397">
        <v>0.05</v>
      </c>
      <c r="E58" s="397">
        <f t="shared" si="1"/>
        <v>0.35000000000000003</v>
      </c>
      <c r="F58" s="192">
        <f t="shared" si="0"/>
        <v>1</v>
      </c>
    </row>
    <row r="59" spans="2:6" ht="17">
      <c r="B59" s="396">
        <v>61</v>
      </c>
      <c r="C59" s="397">
        <v>0.6</v>
      </c>
      <c r="D59" s="397">
        <v>0.05</v>
      </c>
      <c r="E59" s="397">
        <f t="shared" si="1"/>
        <v>0.35000000000000003</v>
      </c>
      <c r="F59" s="192">
        <f t="shared" si="0"/>
        <v>1</v>
      </c>
    </row>
    <row r="60" spans="2:6" ht="17">
      <c r="B60" s="396">
        <v>62</v>
      </c>
      <c r="C60" s="397">
        <v>0.6</v>
      </c>
      <c r="D60" s="397">
        <v>0.05</v>
      </c>
      <c r="E60" s="397">
        <f t="shared" si="1"/>
        <v>0.35000000000000003</v>
      </c>
      <c r="F60" s="192">
        <f t="shared" si="0"/>
        <v>1</v>
      </c>
    </row>
    <row r="61" spans="2:6" ht="17">
      <c r="B61" s="396">
        <v>63</v>
      </c>
      <c r="C61" s="397">
        <v>0.6</v>
      </c>
      <c r="D61" s="397">
        <v>0</v>
      </c>
      <c r="E61" s="397">
        <f t="shared" si="1"/>
        <v>0.4</v>
      </c>
      <c r="F61" s="192">
        <f t="shared" si="0"/>
        <v>1</v>
      </c>
    </row>
    <row r="62" spans="2:6" ht="17">
      <c r="B62" s="396">
        <v>64</v>
      </c>
      <c r="C62" s="397">
        <v>0.6</v>
      </c>
      <c r="D62" s="397">
        <v>0</v>
      </c>
      <c r="E62" s="397">
        <f t="shared" si="1"/>
        <v>0.4</v>
      </c>
      <c r="F62" s="192">
        <f t="shared" si="0"/>
        <v>1</v>
      </c>
    </row>
    <row r="63" spans="2:6" ht="17">
      <c r="B63" s="396">
        <v>65</v>
      </c>
      <c r="C63" s="397">
        <v>0.6</v>
      </c>
      <c r="D63" s="397">
        <v>0</v>
      </c>
      <c r="E63" s="397">
        <f t="shared" si="1"/>
        <v>0.4</v>
      </c>
      <c r="F63" s="192">
        <f t="shared" si="0"/>
        <v>1</v>
      </c>
    </row>
    <row r="64" spans="2:6" ht="17">
      <c r="B64" s="396">
        <v>66</v>
      </c>
      <c r="C64" s="397">
        <v>0.6</v>
      </c>
      <c r="D64" s="397">
        <v>0</v>
      </c>
      <c r="E64" s="397">
        <f t="shared" si="1"/>
        <v>0.4</v>
      </c>
      <c r="F64" s="192">
        <f t="shared" si="0"/>
        <v>1</v>
      </c>
    </row>
    <row r="65" spans="2:6" ht="17">
      <c r="B65" s="396">
        <v>67</v>
      </c>
      <c r="C65" s="397">
        <v>0.6</v>
      </c>
      <c r="D65" s="397">
        <v>0</v>
      </c>
      <c r="E65" s="397">
        <f t="shared" si="1"/>
        <v>0.4</v>
      </c>
      <c r="F65" s="192">
        <f t="shared" si="0"/>
        <v>1</v>
      </c>
    </row>
    <row r="66" spans="2:6" ht="17">
      <c r="B66" s="396">
        <v>68</v>
      </c>
      <c r="C66" s="397">
        <v>0.6</v>
      </c>
      <c r="D66" s="397">
        <v>0</v>
      </c>
      <c r="E66" s="397">
        <f t="shared" si="1"/>
        <v>0.4</v>
      </c>
      <c r="F66" s="192">
        <f t="shared" si="0"/>
        <v>1</v>
      </c>
    </row>
    <row r="67" spans="2:6" ht="17">
      <c r="B67" s="396">
        <v>69</v>
      </c>
      <c r="C67" s="397">
        <v>0.6</v>
      </c>
      <c r="D67" s="397">
        <v>0</v>
      </c>
      <c r="E67" s="397">
        <f t="shared" si="1"/>
        <v>0.4</v>
      </c>
      <c r="F67" s="192">
        <f t="shared" si="0"/>
        <v>1</v>
      </c>
    </row>
    <row r="68" spans="2:6" ht="17">
      <c r="B68" s="396">
        <v>70</v>
      </c>
      <c r="C68" s="397">
        <v>0.6</v>
      </c>
      <c r="D68" s="397">
        <v>0</v>
      </c>
      <c r="E68" s="397">
        <f t="shared" si="1"/>
        <v>0.4</v>
      </c>
      <c r="F68" s="192">
        <f t="shared" si="0"/>
        <v>1</v>
      </c>
    </row>
    <row r="69" spans="2:6" ht="17">
      <c r="B69" s="396">
        <v>71</v>
      </c>
      <c r="C69" s="397">
        <v>0.6</v>
      </c>
      <c r="D69" s="397">
        <v>0</v>
      </c>
      <c r="E69" s="397">
        <f t="shared" si="1"/>
        <v>0.4</v>
      </c>
      <c r="F69" s="192">
        <f t="shared" si="0"/>
        <v>1</v>
      </c>
    </row>
    <row r="70" spans="2:6" ht="17">
      <c r="B70" s="396">
        <v>72</v>
      </c>
      <c r="C70" s="397">
        <v>0.6</v>
      </c>
      <c r="D70" s="397">
        <v>0</v>
      </c>
      <c r="E70" s="397">
        <f t="shared" si="1"/>
        <v>0.4</v>
      </c>
      <c r="F70" s="192">
        <f t="shared" si="0"/>
        <v>1</v>
      </c>
    </row>
    <row r="71" spans="2:6" ht="17">
      <c r="B71" s="396">
        <v>73</v>
      </c>
      <c r="C71" s="397">
        <v>0.6</v>
      </c>
      <c r="D71" s="397">
        <v>0</v>
      </c>
      <c r="E71" s="397">
        <f t="shared" si="1"/>
        <v>0.4</v>
      </c>
      <c r="F71" s="192">
        <f t="shared" si="0"/>
        <v>1</v>
      </c>
    </row>
    <row r="72" spans="2:6" ht="17">
      <c r="B72" s="396">
        <v>74</v>
      </c>
      <c r="C72" s="397">
        <v>0.6</v>
      </c>
      <c r="D72" s="397">
        <v>0</v>
      </c>
      <c r="E72" s="397">
        <f t="shared" si="1"/>
        <v>0.4</v>
      </c>
      <c r="F72" s="192">
        <f t="shared" si="0"/>
        <v>1</v>
      </c>
    </row>
    <row r="73" spans="2:6" ht="17">
      <c r="B73" s="396">
        <v>75</v>
      </c>
      <c r="C73" s="397">
        <v>0.6</v>
      </c>
      <c r="D73" s="397">
        <v>0</v>
      </c>
      <c r="E73" s="397">
        <f t="shared" si="1"/>
        <v>0.4</v>
      </c>
      <c r="F73" s="192">
        <f t="shared" si="0"/>
        <v>1</v>
      </c>
    </row>
    <row r="74" spans="2:6" ht="17">
      <c r="B74" s="396">
        <v>76</v>
      </c>
      <c r="C74" s="397">
        <v>0.6</v>
      </c>
      <c r="D74" s="397">
        <v>0</v>
      </c>
      <c r="E74" s="397">
        <f t="shared" si="1"/>
        <v>0.4</v>
      </c>
      <c r="F74" s="192">
        <f t="shared" si="0"/>
        <v>1</v>
      </c>
    </row>
    <row r="75" spans="2:6" ht="17">
      <c r="B75" s="396">
        <v>77</v>
      </c>
      <c r="C75" s="397">
        <v>0.6</v>
      </c>
      <c r="D75" s="397">
        <v>0</v>
      </c>
      <c r="E75" s="397">
        <f t="shared" si="1"/>
        <v>0.4</v>
      </c>
      <c r="F75" s="192">
        <f t="shared" si="0"/>
        <v>1</v>
      </c>
    </row>
    <row r="76" spans="2:6" ht="17">
      <c r="B76" s="396">
        <v>78</v>
      </c>
      <c r="C76" s="397">
        <v>0.6</v>
      </c>
      <c r="D76" s="397">
        <v>0</v>
      </c>
      <c r="E76" s="397">
        <f t="shared" si="1"/>
        <v>0.4</v>
      </c>
      <c r="F76" s="192">
        <f t="shared" si="0"/>
        <v>1</v>
      </c>
    </row>
    <row r="77" spans="2:6" ht="17">
      <c r="B77" s="396">
        <v>79</v>
      </c>
      <c r="C77" s="397">
        <v>0.6</v>
      </c>
      <c r="D77" s="397">
        <v>0</v>
      </c>
      <c r="E77" s="397">
        <f t="shared" si="1"/>
        <v>0.4</v>
      </c>
      <c r="F77" s="192">
        <f t="shared" si="0"/>
        <v>1</v>
      </c>
    </row>
    <row r="78" spans="2:6" ht="17">
      <c r="B78" s="396">
        <v>80</v>
      </c>
      <c r="C78" s="397">
        <v>0.6</v>
      </c>
      <c r="D78" s="397">
        <v>0</v>
      </c>
      <c r="E78" s="397">
        <f t="shared" si="1"/>
        <v>0.4</v>
      </c>
      <c r="F78" s="192">
        <f t="shared" si="0"/>
        <v>1</v>
      </c>
    </row>
    <row r="79" spans="2:6" ht="17">
      <c r="B79" s="396">
        <v>81</v>
      </c>
      <c r="C79" s="397">
        <v>0.6</v>
      </c>
      <c r="D79" s="397">
        <v>0</v>
      </c>
      <c r="E79" s="397">
        <f t="shared" si="1"/>
        <v>0.4</v>
      </c>
      <c r="F79" s="192">
        <f t="shared" si="0"/>
        <v>1</v>
      </c>
    </row>
    <row r="80" spans="2:6" ht="17">
      <c r="B80" s="396">
        <v>82</v>
      </c>
      <c r="C80" s="397">
        <v>0.6</v>
      </c>
      <c r="D80" s="397">
        <v>0</v>
      </c>
      <c r="E80" s="397">
        <f t="shared" si="1"/>
        <v>0.4</v>
      </c>
      <c r="F80" s="192">
        <f t="shared" si="0"/>
        <v>1</v>
      </c>
    </row>
    <row r="81" spans="2:6" ht="17">
      <c r="B81" s="396">
        <v>83</v>
      </c>
      <c r="C81" s="397">
        <v>0.6</v>
      </c>
      <c r="D81" s="397">
        <v>0</v>
      </c>
      <c r="E81" s="397">
        <f t="shared" si="1"/>
        <v>0.4</v>
      </c>
      <c r="F81" s="192">
        <f t="shared" si="0"/>
        <v>1</v>
      </c>
    </row>
    <row r="82" spans="2:6" ht="17">
      <c r="B82" s="396">
        <v>84</v>
      </c>
      <c r="C82" s="397">
        <v>0.6</v>
      </c>
      <c r="D82" s="397">
        <v>0</v>
      </c>
      <c r="E82" s="397">
        <f t="shared" si="1"/>
        <v>0.4</v>
      </c>
      <c r="F82" s="192">
        <f t="shared" si="0"/>
        <v>1</v>
      </c>
    </row>
    <row r="83" spans="2:6" ht="17">
      <c r="B83" s="398">
        <v>85</v>
      </c>
      <c r="C83" s="397">
        <v>0.6</v>
      </c>
      <c r="D83" s="397">
        <v>0</v>
      </c>
      <c r="E83" s="397">
        <f t="shared" si="1"/>
        <v>0.4</v>
      </c>
      <c r="F83" s="192">
        <f t="shared" si="0"/>
        <v>1</v>
      </c>
    </row>
    <row r="84" spans="2:6" ht="17">
      <c r="F84" s="97"/>
    </row>
    <row r="85" spans="2:6" ht="17">
      <c r="F85" s="97"/>
    </row>
    <row r="86" spans="2:6" ht="17">
      <c r="F86" s="97"/>
    </row>
    <row r="87" spans="2:6" ht="17">
      <c r="F87" s="97"/>
    </row>
    <row r="88" spans="2:6" ht="17">
      <c r="F88" s="97"/>
    </row>
    <row r="89" spans="2:6" ht="17">
      <c r="F89" s="97"/>
    </row>
    <row r="90" spans="2:6" ht="17">
      <c r="F90" s="97"/>
    </row>
    <row r="91" spans="2:6" ht="17">
      <c r="F91" s="97"/>
    </row>
    <row r="92" spans="2:6" ht="17">
      <c r="F92" s="97"/>
    </row>
    <row r="93" spans="2:6" ht="17">
      <c r="F93" s="97"/>
    </row>
    <row r="94" spans="2:6" ht="17">
      <c r="F94" s="97"/>
    </row>
    <row r="95" spans="2:6" ht="17">
      <c r="F95" s="97"/>
    </row>
    <row r="96" spans="2:6" ht="17">
      <c r="F96" s="97"/>
    </row>
    <row r="97" spans="6:6" ht="17">
      <c r="F97" s="97"/>
    </row>
    <row r="98" spans="6:6" ht="17">
      <c r="F98" s="97"/>
    </row>
    <row r="99" spans="6:6" ht="17">
      <c r="F99" s="97"/>
    </row>
    <row r="100" spans="6:6" ht="17">
      <c r="F100" s="97"/>
    </row>
    <row r="101" spans="6:6" ht="17">
      <c r="F101" s="97"/>
    </row>
    <row r="102" spans="6:6" ht="17">
      <c r="F102" s="97"/>
    </row>
    <row r="103" spans="6:6" ht="17">
      <c r="F103" s="97"/>
    </row>
    <row r="104" spans="6:6" ht="17">
      <c r="F104" s="97"/>
    </row>
    <row r="105" spans="6:6" ht="17">
      <c r="F105" s="97"/>
    </row>
    <row r="106" spans="6:6" ht="17">
      <c r="F106" s="97"/>
    </row>
    <row r="107" spans="6:6" ht="17">
      <c r="F107" s="97"/>
    </row>
    <row r="108" spans="6:6" ht="17">
      <c r="F108" s="97"/>
    </row>
    <row r="109" spans="6:6" ht="17">
      <c r="F109" s="97"/>
    </row>
    <row r="110" spans="6:6" ht="17">
      <c r="F110" s="97"/>
    </row>
    <row r="111" spans="6:6" ht="17">
      <c r="F111" s="97"/>
    </row>
    <row r="112" spans="6:6" ht="17">
      <c r="F112" s="97"/>
    </row>
    <row r="113" spans="6:6" ht="17">
      <c r="F113" s="97"/>
    </row>
    <row r="114" spans="6:6" ht="17">
      <c r="F114" s="97"/>
    </row>
    <row r="115" spans="6:6" ht="17">
      <c r="F115" s="97"/>
    </row>
    <row r="116" spans="6:6" ht="17">
      <c r="F116" s="97"/>
    </row>
    <row r="117" spans="6:6" ht="17">
      <c r="F117" s="97"/>
    </row>
    <row r="118" spans="6:6" ht="17">
      <c r="F118" s="97"/>
    </row>
    <row r="119" spans="6:6" ht="17">
      <c r="F119" s="97"/>
    </row>
    <row r="120" spans="6:6" ht="17">
      <c r="F120" s="97"/>
    </row>
    <row r="121" spans="6:6" ht="17">
      <c r="F121" s="97"/>
    </row>
    <row r="122" spans="6:6" ht="17">
      <c r="F122" s="97"/>
    </row>
    <row r="123" spans="6:6" ht="17">
      <c r="F123" s="97"/>
    </row>
    <row r="124" spans="6:6" ht="17">
      <c r="F124" s="97"/>
    </row>
    <row r="125" spans="6:6" ht="17">
      <c r="F125" s="97"/>
    </row>
    <row r="126" spans="6:6" ht="17">
      <c r="F126" s="97"/>
    </row>
    <row r="127" spans="6:6" ht="17">
      <c r="F127" s="97"/>
    </row>
    <row r="128" spans="6:6" ht="17">
      <c r="F128" s="97"/>
    </row>
    <row r="129" spans="6:6" ht="17">
      <c r="F129" s="97"/>
    </row>
    <row r="130" spans="6:6" ht="17">
      <c r="F130" s="97"/>
    </row>
    <row r="131" spans="6:6" ht="17">
      <c r="F131" s="97"/>
    </row>
    <row r="132" spans="6:6" ht="17">
      <c r="F132" s="97"/>
    </row>
    <row r="133" spans="6:6" ht="17">
      <c r="F133" s="97"/>
    </row>
    <row r="134" spans="6:6" ht="17">
      <c r="F134" s="97"/>
    </row>
    <row r="135" spans="6:6" ht="17">
      <c r="F135" s="97"/>
    </row>
    <row r="136" spans="6:6" ht="17">
      <c r="F136" s="97"/>
    </row>
    <row r="137" spans="6:6" ht="17">
      <c r="F137" s="97"/>
    </row>
    <row r="138" spans="6:6" ht="17">
      <c r="F138" s="97"/>
    </row>
    <row r="139" spans="6:6" ht="17">
      <c r="F139" s="97"/>
    </row>
    <row r="140" spans="6:6" ht="17">
      <c r="F140" s="97"/>
    </row>
    <row r="141" spans="6:6" ht="17">
      <c r="F141" s="97"/>
    </row>
    <row r="142" spans="6:6" ht="17">
      <c r="F142" s="97"/>
    </row>
    <row r="143" spans="6:6" ht="17">
      <c r="F143" s="97"/>
    </row>
    <row r="144" spans="6:6" ht="17">
      <c r="F144" s="97"/>
    </row>
    <row r="145" spans="6:6" ht="17">
      <c r="F145" s="97"/>
    </row>
    <row r="146" spans="6:6" ht="17">
      <c r="F146" s="97"/>
    </row>
    <row r="147" spans="6:6" ht="17">
      <c r="F147" s="97"/>
    </row>
    <row r="148" spans="6:6" ht="17">
      <c r="F148" s="97"/>
    </row>
    <row r="149" spans="6:6" ht="17">
      <c r="F149" s="97"/>
    </row>
    <row r="150" spans="6:6" ht="17">
      <c r="F150" s="97"/>
    </row>
    <row r="151" spans="6:6" ht="17">
      <c r="F151" s="97"/>
    </row>
    <row r="152" spans="6:6" ht="17">
      <c r="F152" s="97"/>
    </row>
    <row r="153" spans="6:6" ht="17">
      <c r="F153" s="97"/>
    </row>
    <row r="154" spans="6:6" ht="17">
      <c r="F154" s="97"/>
    </row>
    <row r="155" spans="6:6" ht="17">
      <c r="F155" s="97"/>
    </row>
    <row r="156" spans="6:6" ht="17">
      <c r="F156" s="97"/>
    </row>
    <row r="157" spans="6:6" ht="17">
      <c r="F157" s="97"/>
    </row>
    <row r="158" spans="6:6" ht="17">
      <c r="F158" s="97"/>
    </row>
    <row r="159" spans="6:6" ht="17">
      <c r="F159" s="97"/>
    </row>
    <row r="160" spans="6:6" ht="17">
      <c r="F160" s="97"/>
    </row>
    <row r="161" spans="6:6" ht="17">
      <c r="F161" s="97"/>
    </row>
    <row r="162" spans="6:6" ht="17">
      <c r="F162" s="97"/>
    </row>
    <row r="163" spans="6:6" ht="17">
      <c r="F163" s="97"/>
    </row>
    <row r="164" spans="6:6" ht="17">
      <c r="F164" s="97"/>
    </row>
    <row r="165" spans="6:6" ht="17">
      <c r="F165" s="97"/>
    </row>
    <row r="166" spans="6:6" ht="17">
      <c r="F166" s="97"/>
    </row>
    <row r="167" spans="6:6" ht="17">
      <c r="F167" s="97"/>
    </row>
    <row r="168" spans="6:6" ht="17">
      <c r="F168" s="97"/>
    </row>
    <row r="169" spans="6:6" ht="17">
      <c r="F169" s="97"/>
    </row>
    <row r="170" spans="6:6" ht="17">
      <c r="F170" s="97"/>
    </row>
    <row r="171" spans="6:6" ht="17">
      <c r="F171" s="97"/>
    </row>
    <row r="172" spans="6:6" ht="17">
      <c r="F172" s="97"/>
    </row>
    <row r="173" spans="6:6" ht="17">
      <c r="F173" s="97"/>
    </row>
    <row r="174" spans="6:6" ht="17">
      <c r="F174" s="97"/>
    </row>
    <row r="175" spans="6:6" ht="17">
      <c r="F175" s="97"/>
    </row>
    <row r="176" spans="6:6" ht="17">
      <c r="F176" s="97"/>
    </row>
    <row r="177" spans="6:6" ht="17">
      <c r="F177" s="97"/>
    </row>
    <row r="178" spans="6:6" ht="17">
      <c r="F178" s="97"/>
    </row>
    <row r="179" spans="6:6" ht="17">
      <c r="F179" s="97"/>
    </row>
    <row r="180" spans="6:6" ht="17">
      <c r="F180" s="97"/>
    </row>
    <row r="181" spans="6:6" ht="17">
      <c r="F181" s="97"/>
    </row>
    <row r="182" spans="6:6" ht="17">
      <c r="F182" s="97"/>
    </row>
    <row r="183" spans="6:6" ht="17">
      <c r="F183" s="97"/>
    </row>
    <row r="184" spans="6:6" ht="17">
      <c r="F184" s="97"/>
    </row>
    <row r="185" spans="6:6" ht="17">
      <c r="F185" s="97"/>
    </row>
    <row r="186" spans="6:6" ht="17">
      <c r="F186" s="97"/>
    </row>
    <row r="187" spans="6:6" ht="17">
      <c r="F187" s="97"/>
    </row>
    <row r="188" spans="6:6" ht="17">
      <c r="F188" s="97"/>
    </row>
    <row r="189" spans="6:6" ht="17">
      <c r="F189" s="97"/>
    </row>
    <row r="190" spans="6:6" ht="17">
      <c r="F190" s="97"/>
    </row>
    <row r="191" spans="6:6" ht="17">
      <c r="F191" s="97"/>
    </row>
    <row r="192" spans="6:6" ht="17">
      <c r="F192" s="97"/>
    </row>
    <row r="193" spans="6:6" ht="17">
      <c r="F193" s="97"/>
    </row>
    <row r="194" spans="6:6" ht="17">
      <c r="F194" s="97"/>
    </row>
    <row r="195" spans="6:6" ht="17">
      <c r="F195" s="97"/>
    </row>
    <row r="196" spans="6:6" ht="17">
      <c r="F196" s="97"/>
    </row>
    <row r="197" spans="6:6" ht="17">
      <c r="F197" s="97"/>
    </row>
    <row r="198" spans="6:6" ht="17">
      <c r="F198" s="97"/>
    </row>
    <row r="199" spans="6:6" ht="17">
      <c r="F199" s="97"/>
    </row>
    <row r="200" spans="6:6" ht="17">
      <c r="F200" s="97"/>
    </row>
    <row r="201" spans="6:6" ht="17">
      <c r="F201" s="97"/>
    </row>
    <row r="202" spans="6:6" ht="17">
      <c r="F202" s="97"/>
    </row>
    <row r="203" spans="6:6" ht="17">
      <c r="F203" s="97"/>
    </row>
    <row r="204" spans="6:6" ht="17">
      <c r="F204" s="97"/>
    </row>
    <row r="205" spans="6:6" ht="17">
      <c r="F205" s="97"/>
    </row>
    <row r="206" spans="6:6" ht="17">
      <c r="F206" s="97"/>
    </row>
    <row r="207" spans="6:6" ht="17">
      <c r="F207" s="97"/>
    </row>
    <row r="208" spans="6:6" ht="17">
      <c r="F208" s="97"/>
    </row>
    <row r="209" spans="6:6" ht="17">
      <c r="F209" s="97"/>
    </row>
    <row r="210" spans="6:6" ht="17">
      <c r="F210" s="97"/>
    </row>
    <row r="211" spans="6:6" ht="17">
      <c r="F211" s="97"/>
    </row>
    <row r="212" spans="6:6" ht="17">
      <c r="F212" s="97"/>
    </row>
    <row r="213" spans="6:6" ht="17">
      <c r="F213" s="97"/>
    </row>
    <row r="214" spans="6:6" ht="17">
      <c r="F214" s="97"/>
    </row>
    <row r="215" spans="6:6" ht="17">
      <c r="F215" s="97"/>
    </row>
    <row r="216" spans="6:6" ht="17">
      <c r="F216" s="97"/>
    </row>
    <row r="217" spans="6:6" ht="17">
      <c r="F217" s="97"/>
    </row>
    <row r="218" spans="6:6" ht="17">
      <c r="F218" s="97"/>
    </row>
    <row r="219" spans="6:6" ht="17">
      <c r="F219" s="97"/>
    </row>
    <row r="220" spans="6:6" ht="17">
      <c r="F220" s="97"/>
    </row>
    <row r="221" spans="6:6" ht="17">
      <c r="F221" s="97"/>
    </row>
    <row r="222" spans="6:6" ht="17">
      <c r="F222" s="97"/>
    </row>
    <row r="223" spans="6:6" ht="17">
      <c r="F223" s="97"/>
    </row>
    <row r="224" spans="6:6" ht="17">
      <c r="F224" s="97"/>
    </row>
    <row r="225" spans="6:6" ht="17">
      <c r="F225" s="97"/>
    </row>
    <row r="226" spans="6:6" ht="17">
      <c r="F226" s="97"/>
    </row>
    <row r="227" spans="6:6" ht="17">
      <c r="F227" s="97"/>
    </row>
    <row r="228" spans="6:6" ht="17">
      <c r="F228" s="97"/>
    </row>
    <row r="229" spans="6:6" ht="17">
      <c r="F229" s="97"/>
    </row>
    <row r="230" spans="6:6" ht="17">
      <c r="F230" s="97"/>
    </row>
    <row r="231" spans="6:6" ht="17">
      <c r="F231" s="97"/>
    </row>
    <row r="232" spans="6:6" ht="17">
      <c r="F232" s="97"/>
    </row>
    <row r="233" spans="6:6" ht="17">
      <c r="F233" s="97"/>
    </row>
    <row r="234" spans="6:6" ht="17">
      <c r="F234" s="97"/>
    </row>
    <row r="235" spans="6:6" ht="17">
      <c r="F235" s="97"/>
    </row>
    <row r="236" spans="6:6" ht="17">
      <c r="F236" s="97"/>
    </row>
    <row r="237" spans="6:6" ht="17">
      <c r="F237" s="97"/>
    </row>
    <row r="238" spans="6:6" ht="17">
      <c r="F238" s="97"/>
    </row>
    <row r="239" spans="6:6" ht="17">
      <c r="F239" s="97"/>
    </row>
    <row r="240" spans="6:6" ht="17">
      <c r="F240" s="97"/>
    </row>
    <row r="241" spans="6:6" ht="17">
      <c r="F241" s="97"/>
    </row>
    <row r="242" spans="6:6" ht="17">
      <c r="F242" s="97"/>
    </row>
    <row r="243" spans="6:6" ht="17">
      <c r="F243" s="97"/>
    </row>
    <row r="244" spans="6:6" ht="17">
      <c r="F244" s="97"/>
    </row>
    <row r="245" spans="6:6" ht="17">
      <c r="F245" s="97"/>
    </row>
    <row r="246" spans="6:6" ht="17">
      <c r="F246" s="97"/>
    </row>
    <row r="247" spans="6:6" ht="17">
      <c r="F247" s="97"/>
    </row>
    <row r="248" spans="6:6" ht="17">
      <c r="F248" s="97"/>
    </row>
    <row r="249" spans="6:6" ht="17">
      <c r="F249" s="97"/>
    </row>
    <row r="250" spans="6:6" ht="17">
      <c r="F250" s="97"/>
    </row>
    <row r="251" spans="6:6" ht="17">
      <c r="F251" s="97"/>
    </row>
    <row r="252" spans="6:6" ht="17">
      <c r="F252" s="97"/>
    </row>
    <row r="253" spans="6:6" ht="17">
      <c r="F253" s="97"/>
    </row>
    <row r="254" spans="6:6" ht="17">
      <c r="F254" s="97"/>
    </row>
    <row r="255" spans="6:6" ht="17">
      <c r="F255" s="97"/>
    </row>
    <row r="256" spans="6:6" ht="17">
      <c r="F256" s="97"/>
    </row>
    <row r="257" spans="6:6" ht="17">
      <c r="F257" s="97"/>
    </row>
    <row r="258" spans="6:6" ht="17">
      <c r="F258" s="97"/>
    </row>
    <row r="259" spans="6:6" ht="17">
      <c r="F259" s="97"/>
    </row>
    <row r="260" spans="6:6" ht="17">
      <c r="F260" s="97"/>
    </row>
    <row r="261" spans="6:6" ht="17">
      <c r="F261" s="97"/>
    </row>
    <row r="262" spans="6:6" ht="17">
      <c r="F262" s="97"/>
    </row>
    <row r="263" spans="6:6" ht="17">
      <c r="F263" s="97"/>
    </row>
    <row r="264" spans="6:6" ht="17">
      <c r="F264" s="97"/>
    </row>
    <row r="265" spans="6:6" ht="17">
      <c r="F265" s="97"/>
    </row>
    <row r="266" spans="6:6" ht="17">
      <c r="F266" s="97"/>
    </row>
    <row r="267" spans="6:6" ht="17">
      <c r="F267" s="97"/>
    </row>
    <row r="268" spans="6:6" ht="17">
      <c r="F268" s="97"/>
    </row>
    <row r="269" spans="6:6" ht="17">
      <c r="F269" s="97"/>
    </row>
    <row r="270" spans="6:6" ht="17">
      <c r="F270" s="97"/>
    </row>
    <row r="271" spans="6:6" ht="17">
      <c r="F271" s="97"/>
    </row>
    <row r="272" spans="6:6" ht="17">
      <c r="F272" s="97"/>
    </row>
    <row r="273" spans="6:6" ht="17">
      <c r="F273" s="97"/>
    </row>
    <row r="274" spans="6:6" ht="17">
      <c r="F274" s="97"/>
    </row>
    <row r="275" spans="6:6" ht="17">
      <c r="F275" s="97"/>
    </row>
    <row r="276" spans="6:6" ht="17">
      <c r="F276" s="97"/>
    </row>
    <row r="277" spans="6:6" ht="17">
      <c r="F277" s="97"/>
    </row>
    <row r="278" spans="6:6" ht="17">
      <c r="F278" s="97"/>
    </row>
    <row r="279" spans="6:6" ht="17">
      <c r="F279" s="97"/>
    </row>
    <row r="280" spans="6:6" ht="17">
      <c r="F280" s="97"/>
    </row>
    <row r="281" spans="6:6" ht="17">
      <c r="F281" s="97"/>
    </row>
    <row r="282" spans="6:6" ht="17">
      <c r="F282" s="97"/>
    </row>
    <row r="283" spans="6:6" ht="17">
      <c r="F283" s="97"/>
    </row>
    <row r="284" spans="6:6" ht="17">
      <c r="F284" s="97"/>
    </row>
    <row r="285" spans="6:6" ht="17">
      <c r="F285" s="97"/>
    </row>
    <row r="286" spans="6:6" ht="17">
      <c r="F286" s="97"/>
    </row>
    <row r="287" spans="6:6" ht="17">
      <c r="F287" s="97"/>
    </row>
    <row r="288" spans="6:6" ht="17">
      <c r="F288" s="97"/>
    </row>
    <row r="289" spans="6:6" ht="17">
      <c r="F289" s="97"/>
    </row>
    <row r="290" spans="6:6" ht="17">
      <c r="F290" s="97"/>
    </row>
    <row r="291" spans="6:6" ht="17">
      <c r="F291" s="97"/>
    </row>
    <row r="292" spans="6:6" ht="17">
      <c r="F292" s="97"/>
    </row>
    <row r="293" spans="6:6" ht="17">
      <c r="F293" s="97"/>
    </row>
    <row r="294" spans="6:6" ht="17">
      <c r="F294" s="97"/>
    </row>
    <row r="295" spans="6:6" ht="17">
      <c r="F295" s="97"/>
    </row>
    <row r="296" spans="6:6" ht="17">
      <c r="F296" s="97"/>
    </row>
    <row r="297" spans="6:6" ht="17">
      <c r="F297" s="97"/>
    </row>
    <row r="298" spans="6:6" ht="17">
      <c r="F298" s="97"/>
    </row>
    <row r="299" spans="6:6" ht="17">
      <c r="F299" s="97"/>
    </row>
    <row r="300" spans="6:6" ht="17">
      <c r="F300" s="97"/>
    </row>
    <row r="301" spans="6:6" ht="17">
      <c r="F301" s="97"/>
    </row>
    <row r="302" spans="6:6" ht="17">
      <c r="F302" s="97"/>
    </row>
    <row r="303" spans="6:6" ht="17">
      <c r="F303" s="97"/>
    </row>
    <row r="304" spans="6:6" ht="17">
      <c r="F304" s="97"/>
    </row>
    <row r="305" spans="6:6" ht="17">
      <c r="F305" s="97"/>
    </row>
    <row r="306" spans="6:6" ht="17">
      <c r="F306" s="97"/>
    </row>
    <row r="307" spans="6:6" ht="17">
      <c r="F307" s="97"/>
    </row>
    <row r="308" spans="6:6" ht="17">
      <c r="F308" s="97"/>
    </row>
    <row r="309" spans="6:6" ht="17">
      <c r="F309" s="97"/>
    </row>
    <row r="310" spans="6:6" ht="17">
      <c r="F310" s="97"/>
    </row>
    <row r="311" spans="6:6" ht="17">
      <c r="F311" s="97"/>
    </row>
    <row r="312" spans="6:6" ht="17">
      <c r="F312" s="97"/>
    </row>
    <row r="313" spans="6:6" ht="17">
      <c r="F313" s="97"/>
    </row>
    <row r="314" spans="6:6" ht="17">
      <c r="F314" s="97"/>
    </row>
    <row r="315" spans="6:6" ht="17">
      <c r="F315" s="97"/>
    </row>
    <row r="316" spans="6:6" ht="17">
      <c r="F316" s="97"/>
    </row>
    <row r="317" spans="6:6" ht="17">
      <c r="F317" s="97"/>
    </row>
    <row r="318" spans="6:6" ht="17">
      <c r="F318" s="97"/>
    </row>
    <row r="319" spans="6:6" ht="17">
      <c r="F319" s="97"/>
    </row>
    <row r="320" spans="6:6" ht="17">
      <c r="F320" s="97"/>
    </row>
    <row r="321" spans="6:6" ht="17">
      <c r="F321" s="97"/>
    </row>
    <row r="322" spans="6:6" ht="17">
      <c r="F322" s="97"/>
    </row>
    <row r="323" spans="6:6" ht="17">
      <c r="F323" s="97"/>
    </row>
    <row r="324" spans="6:6" ht="17">
      <c r="F324" s="97"/>
    </row>
    <row r="325" spans="6:6" ht="17">
      <c r="F325" s="97"/>
    </row>
    <row r="326" spans="6:6" ht="17">
      <c r="F326" s="97"/>
    </row>
    <row r="327" spans="6:6" ht="17">
      <c r="F327" s="97"/>
    </row>
    <row r="328" spans="6:6" ht="17">
      <c r="F328" s="97"/>
    </row>
    <row r="329" spans="6:6" ht="17">
      <c r="F329" s="97"/>
    </row>
    <row r="330" spans="6:6" ht="17">
      <c r="F330" s="97"/>
    </row>
    <row r="331" spans="6:6" ht="17">
      <c r="F331" s="97"/>
    </row>
    <row r="332" spans="6:6" ht="17">
      <c r="F332" s="97"/>
    </row>
    <row r="333" spans="6:6" ht="17">
      <c r="F333" s="97"/>
    </row>
    <row r="334" spans="6:6" ht="17">
      <c r="F334" s="97"/>
    </row>
    <row r="335" spans="6:6" ht="17">
      <c r="F335" s="97"/>
    </row>
    <row r="336" spans="6:6" ht="17">
      <c r="F336" s="97"/>
    </row>
    <row r="337" spans="6:6" ht="17">
      <c r="F337" s="97"/>
    </row>
    <row r="338" spans="6:6" ht="17">
      <c r="F338" s="97"/>
    </row>
    <row r="339" spans="6:6" ht="17">
      <c r="F339" s="97"/>
    </row>
    <row r="340" spans="6:6" ht="17">
      <c r="F340" s="97"/>
    </row>
    <row r="341" spans="6:6" ht="17">
      <c r="F341" s="97"/>
    </row>
    <row r="342" spans="6:6" ht="17">
      <c r="F342" s="97"/>
    </row>
    <row r="343" spans="6:6" ht="17">
      <c r="F343" s="97"/>
    </row>
    <row r="344" spans="6:6" ht="17">
      <c r="F344" s="97"/>
    </row>
    <row r="345" spans="6:6" ht="17">
      <c r="F345" s="97"/>
    </row>
    <row r="346" spans="6:6" ht="17">
      <c r="F346" s="97"/>
    </row>
    <row r="347" spans="6:6" ht="17">
      <c r="F347" s="97"/>
    </row>
    <row r="348" spans="6:6" ht="17">
      <c r="F348" s="97"/>
    </row>
    <row r="349" spans="6:6" ht="17">
      <c r="F349" s="97"/>
    </row>
    <row r="350" spans="6:6" ht="17">
      <c r="F350" s="97"/>
    </row>
    <row r="351" spans="6:6" ht="17">
      <c r="F351" s="97"/>
    </row>
    <row r="352" spans="6:6" ht="17">
      <c r="F352" s="97"/>
    </row>
    <row r="353" spans="6:6" ht="17">
      <c r="F353" s="97"/>
    </row>
    <row r="354" spans="6:6" ht="17">
      <c r="F354" s="97"/>
    </row>
    <row r="355" spans="6:6" ht="17">
      <c r="F355" s="97"/>
    </row>
    <row r="356" spans="6:6" ht="17">
      <c r="F356" s="97"/>
    </row>
    <row r="357" spans="6:6" ht="17">
      <c r="F357" s="97"/>
    </row>
    <row r="358" spans="6:6" ht="17">
      <c r="F358" s="97"/>
    </row>
    <row r="359" spans="6:6" ht="17">
      <c r="F359" s="97"/>
    </row>
    <row r="360" spans="6:6" ht="17">
      <c r="F360" s="97"/>
    </row>
    <row r="361" spans="6:6" ht="17">
      <c r="F361" s="97"/>
    </row>
    <row r="362" spans="6:6" ht="17">
      <c r="F362" s="97"/>
    </row>
    <row r="363" spans="6:6" ht="17">
      <c r="F363" s="97"/>
    </row>
    <row r="364" spans="6:6" ht="17">
      <c r="F364" s="97"/>
    </row>
    <row r="365" spans="6:6" ht="17">
      <c r="F365" s="97"/>
    </row>
    <row r="366" spans="6:6" ht="17">
      <c r="F366" s="97"/>
    </row>
    <row r="367" spans="6:6" ht="17">
      <c r="F367" s="97"/>
    </row>
    <row r="368" spans="6:6" ht="17">
      <c r="F368" s="97"/>
    </row>
    <row r="369" spans="6:6" ht="17">
      <c r="F369" s="97"/>
    </row>
    <row r="370" spans="6:6" ht="17">
      <c r="F370" s="97"/>
    </row>
    <row r="371" spans="6:6" ht="17">
      <c r="F371" s="97"/>
    </row>
    <row r="372" spans="6:6" ht="17">
      <c r="F372" s="97"/>
    </row>
    <row r="373" spans="6:6" ht="17">
      <c r="F373" s="97"/>
    </row>
    <row r="374" spans="6:6" ht="17">
      <c r="F374" s="97"/>
    </row>
    <row r="375" spans="6:6" ht="17">
      <c r="F375" s="97"/>
    </row>
    <row r="376" spans="6:6" ht="17">
      <c r="F376" s="97"/>
    </row>
    <row r="377" spans="6:6" ht="17">
      <c r="F377" s="97"/>
    </row>
    <row r="378" spans="6:6" ht="17">
      <c r="F378" s="97"/>
    </row>
    <row r="379" spans="6:6" ht="17">
      <c r="F379" s="97"/>
    </row>
    <row r="380" spans="6:6" ht="17">
      <c r="F380" s="97"/>
    </row>
    <row r="381" spans="6:6" ht="17">
      <c r="F381" s="97"/>
    </row>
    <row r="382" spans="6:6" ht="17">
      <c r="F382" s="97"/>
    </row>
    <row r="383" spans="6:6" ht="17">
      <c r="F383" s="97"/>
    </row>
    <row r="384" spans="6:6" ht="17">
      <c r="F384" s="97"/>
    </row>
    <row r="385" spans="6:6" ht="17">
      <c r="F385" s="97"/>
    </row>
    <row r="386" spans="6:6" ht="17">
      <c r="F386" s="97"/>
    </row>
    <row r="387" spans="6:6" ht="17">
      <c r="F387" s="97"/>
    </row>
    <row r="388" spans="6:6" ht="17">
      <c r="F388" s="97"/>
    </row>
    <row r="389" spans="6:6" ht="17">
      <c r="F389" s="97"/>
    </row>
    <row r="390" spans="6:6" ht="17">
      <c r="F390" s="97"/>
    </row>
    <row r="391" spans="6:6" ht="17">
      <c r="F391" s="97"/>
    </row>
    <row r="392" spans="6:6" ht="17">
      <c r="F392" s="97"/>
    </row>
    <row r="393" spans="6:6" ht="17">
      <c r="F393" s="97"/>
    </row>
    <row r="394" spans="6:6" ht="17">
      <c r="F394" s="97"/>
    </row>
    <row r="395" spans="6:6" ht="17">
      <c r="F395" s="97"/>
    </row>
    <row r="396" spans="6:6" ht="17">
      <c r="F396" s="97"/>
    </row>
    <row r="397" spans="6:6" ht="17">
      <c r="F397" s="97"/>
    </row>
    <row r="398" spans="6:6" ht="17">
      <c r="F398" s="97"/>
    </row>
    <row r="399" spans="6:6" ht="17">
      <c r="F399" s="97"/>
    </row>
    <row r="400" spans="6:6" ht="17">
      <c r="F400" s="97"/>
    </row>
    <row r="401" spans="6:6" ht="17">
      <c r="F401" s="97"/>
    </row>
    <row r="402" spans="6:6" ht="17">
      <c r="F402" s="97"/>
    </row>
    <row r="403" spans="6:6" ht="17">
      <c r="F403" s="97"/>
    </row>
    <row r="404" spans="6:6" ht="17">
      <c r="F404" s="97"/>
    </row>
    <row r="405" spans="6:6" ht="17">
      <c r="F405" s="97"/>
    </row>
    <row r="406" spans="6:6" ht="17">
      <c r="F406" s="97"/>
    </row>
    <row r="407" spans="6:6" ht="17">
      <c r="F407" s="97"/>
    </row>
    <row r="408" spans="6:6" ht="17">
      <c r="F408" s="97"/>
    </row>
    <row r="409" spans="6:6" ht="17">
      <c r="F409" s="97"/>
    </row>
    <row r="410" spans="6:6" ht="17">
      <c r="F410" s="97"/>
    </row>
    <row r="411" spans="6:6" ht="17">
      <c r="F411" s="97"/>
    </row>
    <row r="412" spans="6:6" ht="17">
      <c r="F412" s="97"/>
    </row>
    <row r="413" spans="6:6" ht="17">
      <c r="F413" s="97"/>
    </row>
    <row r="414" spans="6:6" ht="17">
      <c r="F414" s="97"/>
    </row>
    <row r="415" spans="6:6" ht="17">
      <c r="F415" s="97"/>
    </row>
    <row r="416" spans="6:6" ht="17">
      <c r="F416" s="97"/>
    </row>
    <row r="417" spans="6:6" ht="17">
      <c r="F417" s="97"/>
    </row>
    <row r="418" spans="6:6" ht="17">
      <c r="F418" s="97"/>
    </row>
    <row r="419" spans="6:6" ht="17">
      <c r="F419" s="97"/>
    </row>
    <row r="420" spans="6:6" ht="17">
      <c r="F420" s="97"/>
    </row>
    <row r="421" spans="6:6" ht="17">
      <c r="F421" s="97"/>
    </row>
    <row r="422" spans="6:6" ht="17">
      <c r="F422" s="97"/>
    </row>
    <row r="423" spans="6:6" ht="17">
      <c r="F423" s="97"/>
    </row>
    <row r="424" spans="6:6" ht="17">
      <c r="F424" s="97"/>
    </row>
    <row r="425" spans="6:6" ht="17">
      <c r="F425" s="97"/>
    </row>
    <row r="426" spans="6:6" ht="17">
      <c r="F426" s="97"/>
    </row>
    <row r="427" spans="6:6" ht="17">
      <c r="F427" s="97"/>
    </row>
    <row r="428" spans="6:6" ht="17">
      <c r="F428" s="97"/>
    </row>
    <row r="429" spans="6:6" ht="17">
      <c r="F429" s="97"/>
    </row>
    <row r="430" spans="6:6" ht="17">
      <c r="F430" s="97"/>
    </row>
    <row r="431" spans="6:6" ht="17">
      <c r="F431" s="97"/>
    </row>
    <row r="432" spans="6:6" ht="17">
      <c r="F432" s="97"/>
    </row>
    <row r="433" spans="6:6" ht="17">
      <c r="F433" s="97"/>
    </row>
    <row r="434" spans="6:6" ht="17">
      <c r="F434" s="97"/>
    </row>
    <row r="435" spans="6:6" ht="17">
      <c r="F435" s="97"/>
    </row>
    <row r="436" spans="6:6" ht="17">
      <c r="F436" s="97"/>
    </row>
    <row r="437" spans="6:6" ht="17">
      <c r="F437" s="97"/>
    </row>
    <row r="438" spans="6:6" ht="17">
      <c r="F438" s="97"/>
    </row>
    <row r="439" spans="6:6" ht="17">
      <c r="F439" s="97"/>
    </row>
    <row r="440" spans="6:6" ht="17">
      <c r="F440" s="97"/>
    </row>
    <row r="441" spans="6:6" ht="17">
      <c r="F441" s="97"/>
    </row>
    <row r="442" spans="6:6" ht="17">
      <c r="F442" s="97"/>
    </row>
    <row r="443" spans="6:6" ht="17">
      <c r="F443" s="97"/>
    </row>
    <row r="444" spans="6:6" ht="17">
      <c r="F444" s="97"/>
    </row>
    <row r="445" spans="6:6" ht="17">
      <c r="F445" s="97"/>
    </row>
    <row r="446" spans="6:6" ht="17">
      <c r="F446" s="97"/>
    </row>
    <row r="447" spans="6:6" ht="17">
      <c r="F447" s="97"/>
    </row>
    <row r="448" spans="6:6" ht="17">
      <c r="F448" s="97"/>
    </row>
    <row r="449" spans="6:6" ht="17">
      <c r="F449" s="97"/>
    </row>
    <row r="450" spans="6:6" ht="17">
      <c r="F450" s="97"/>
    </row>
    <row r="451" spans="6:6" ht="17">
      <c r="F451" s="97"/>
    </row>
    <row r="452" spans="6:6" ht="17">
      <c r="F452" s="97"/>
    </row>
    <row r="453" spans="6:6" ht="17">
      <c r="F453" s="97"/>
    </row>
    <row r="454" spans="6:6" ht="17">
      <c r="F454" s="97"/>
    </row>
    <row r="455" spans="6:6" ht="17">
      <c r="F455" s="97"/>
    </row>
    <row r="456" spans="6:6" ht="17">
      <c r="F456" s="97"/>
    </row>
    <row r="457" spans="6:6" ht="17">
      <c r="F457" s="97"/>
    </row>
    <row r="458" spans="6:6" ht="17">
      <c r="F458" s="97"/>
    </row>
    <row r="459" spans="6:6" ht="17">
      <c r="F459" s="97"/>
    </row>
    <row r="460" spans="6:6" ht="17">
      <c r="F460" s="97"/>
    </row>
    <row r="461" spans="6:6" ht="17">
      <c r="F461" s="97"/>
    </row>
    <row r="462" spans="6:6" ht="17">
      <c r="F462" s="97"/>
    </row>
    <row r="463" spans="6:6" ht="17">
      <c r="F463" s="97"/>
    </row>
    <row r="464" spans="6:6" ht="17">
      <c r="F464" s="97"/>
    </row>
    <row r="465" spans="6:6" ht="17">
      <c r="F465" s="97"/>
    </row>
    <row r="466" spans="6:6" ht="17">
      <c r="F466" s="97"/>
    </row>
    <row r="467" spans="6:6" ht="17">
      <c r="F467" s="97"/>
    </row>
    <row r="468" spans="6:6" ht="17">
      <c r="F468" s="97"/>
    </row>
    <row r="469" spans="6:6" ht="17">
      <c r="F469" s="97"/>
    </row>
    <row r="470" spans="6:6" ht="17">
      <c r="F470" s="97"/>
    </row>
    <row r="471" spans="6:6" ht="17">
      <c r="F471" s="97"/>
    </row>
    <row r="472" spans="6:6" ht="17">
      <c r="F472" s="97"/>
    </row>
    <row r="473" spans="6:6" ht="17">
      <c r="F473" s="97"/>
    </row>
    <row r="474" spans="6:6" ht="17">
      <c r="F474" s="97"/>
    </row>
    <row r="475" spans="6:6" ht="17">
      <c r="F475" s="97"/>
    </row>
    <row r="476" spans="6:6" ht="17">
      <c r="F476" s="97"/>
    </row>
    <row r="477" spans="6:6" ht="17">
      <c r="F477" s="97"/>
    </row>
    <row r="478" spans="6:6" ht="17">
      <c r="F478" s="97"/>
    </row>
    <row r="479" spans="6:6" ht="17">
      <c r="F479" s="97"/>
    </row>
    <row r="480" spans="6:6" ht="17">
      <c r="F480" s="97"/>
    </row>
    <row r="481" spans="6:6" ht="17">
      <c r="F481" s="97"/>
    </row>
    <row r="482" spans="6:6" ht="17">
      <c r="F482" s="97"/>
    </row>
    <row r="483" spans="6:6" ht="17">
      <c r="F483" s="97"/>
    </row>
    <row r="484" spans="6:6" ht="17">
      <c r="F484" s="97"/>
    </row>
    <row r="485" spans="6:6" ht="17">
      <c r="F485" s="97"/>
    </row>
    <row r="486" spans="6:6" ht="17">
      <c r="F486" s="97"/>
    </row>
    <row r="487" spans="6:6" ht="17">
      <c r="F487" s="97"/>
    </row>
    <row r="488" spans="6:6" ht="17">
      <c r="F488" s="97"/>
    </row>
    <row r="489" spans="6:6" ht="17">
      <c r="F489" s="97"/>
    </row>
    <row r="490" spans="6:6" ht="17">
      <c r="F490" s="97"/>
    </row>
    <row r="491" spans="6:6" ht="17">
      <c r="F491" s="97"/>
    </row>
    <row r="492" spans="6:6" ht="17">
      <c r="F492" s="97"/>
    </row>
    <row r="493" spans="6:6" ht="17">
      <c r="F493" s="97"/>
    </row>
    <row r="494" spans="6:6" ht="17">
      <c r="F494" s="97"/>
    </row>
    <row r="495" spans="6:6" ht="17">
      <c r="F495" s="97"/>
    </row>
    <row r="496" spans="6:6" ht="17">
      <c r="F496" s="97"/>
    </row>
    <row r="497" spans="6:6" ht="17">
      <c r="F497" s="97"/>
    </row>
    <row r="498" spans="6:6" ht="17">
      <c r="F498" s="97"/>
    </row>
    <row r="499" spans="6:6" ht="17">
      <c r="F499" s="97"/>
    </row>
    <row r="500" spans="6:6" ht="17">
      <c r="F500" s="97"/>
    </row>
    <row r="501" spans="6:6" ht="17">
      <c r="F501" s="97"/>
    </row>
    <row r="502" spans="6:6" ht="17">
      <c r="F502" s="97"/>
    </row>
    <row r="503" spans="6:6" ht="17">
      <c r="F503" s="97"/>
    </row>
    <row r="504" spans="6:6" ht="17">
      <c r="F504" s="97"/>
    </row>
    <row r="505" spans="6:6" ht="17">
      <c r="F505" s="97"/>
    </row>
    <row r="506" spans="6:6" ht="17">
      <c r="F506" s="97"/>
    </row>
    <row r="507" spans="6:6" ht="17">
      <c r="F507" s="97"/>
    </row>
    <row r="508" spans="6:6" ht="17">
      <c r="F508" s="97"/>
    </row>
    <row r="509" spans="6:6" ht="17">
      <c r="F509" s="97"/>
    </row>
    <row r="510" spans="6:6" ht="17">
      <c r="F510" s="97"/>
    </row>
    <row r="511" spans="6:6" ht="17">
      <c r="F511" s="97"/>
    </row>
    <row r="512" spans="6:6" ht="17">
      <c r="F512" s="97"/>
    </row>
    <row r="513" spans="6:6" ht="17">
      <c r="F513" s="97"/>
    </row>
    <row r="514" spans="6:6" ht="17">
      <c r="F514" s="97"/>
    </row>
    <row r="515" spans="6:6" ht="17">
      <c r="F515" s="97"/>
    </row>
    <row r="516" spans="6:6" ht="17">
      <c r="F516" s="97"/>
    </row>
    <row r="517" spans="6:6" ht="17">
      <c r="F517" s="97"/>
    </row>
    <row r="518" spans="6:6" ht="17">
      <c r="F518" s="97"/>
    </row>
    <row r="519" spans="6:6" ht="17">
      <c r="F519" s="97"/>
    </row>
    <row r="520" spans="6:6" ht="17">
      <c r="F520" s="97"/>
    </row>
    <row r="521" spans="6:6" ht="17">
      <c r="F521" s="97"/>
    </row>
    <row r="522" spans="6:6" ht="17">
      <c r="F522" s="97"/>
    </row>
    <row r="523" spans="6:6" ht="17">
      <c r="F523" s="97"/>
    </row>
    <row r="524" spans="6:6" ht="17">
      <c r="F524" s="97"/>
    </row>
    <row r="525" spans="6:6" ht="17">
      <c r="F525" s="97"/>
    </row>
    <row r="526" spans="6:6" ht="17">
      <c r="F526" s="97"/>
    </row>
    <row r="527" spans="6:6" ht="17">
      <c r="F527" s="97"/>
    </row>
    <row r="528" spans="6:6" ht="17">
      <c r="F528" s="97"/>
    </row>
    <row r="529" spans="6:6" ht="17">
      <c r="F529" s="97"/>
    </row>
    <row r="530" spans="6:6" ht="17">
      <c r="F530" s="97"/>
    </row>
    <row r="531" spans="6:6" ht="17">
      <c r="F531" s="97"/>
    </row>
    <row r="532" spans="6:6" ht="17">
      <c r="F532" s="97"/>
    </row>
    <row r="533" spans="6:6" ht="17">
      <c r="F533" s="97"/>
    </row>
    <row r="534" spans="6:6" ht="17">
      <c r="F534" s="97"/>
    </row>
    <row r="535" spans="6:6" ht="17">
      <c r="F535" s="97"/>
    </row>
    <row r="536" spans="6:6" ht="17">
      <c r="F536" s="97"/>
    </row>
    <row r="537" spans="6:6" ht="17">
      <c r="F537" s="97"/>
    </row>
    <row r="538" spans="6:6" ht="17">
      <c r="F538" s="97"/>
    </row>
    <row r="539" spans="6:6" ht="17">
      <c r="F539" s="97"/>
    </row>
    <row r="540" spans="6:6" ht="17">
      <c r="F540" s="97"/>
    </row>
    <row r="541" spans="6:6" ht="17">
      <c r="F541" s="97"/>
    </row>
    <row r="542" spans="6:6" ht="17">
      <c r="F542" s="97"/>
    </row>
    <row r="543" spans="6:6" ht="17">
      <c r="F543" s="97"/>
    </row>
    <row r="544" spans="6:6" ht="17">
      <c r="F544" s="97"/>
    </row>
    <row r="545" spans="6:6" ht="17">
      <c r="F545" s="97"/>
    </row>
    <row r="546" spans="6:6" ht="17">
      <c r="F546" s="97"/>
    </row>
    <row r="547" spans="6:6" ht="17">
      <c r="F547" s="97"/>
    </row>
    <row r="548" spans="6:6" ht="17">
      <c r="F548" s="97"/>
    </row>
    <row r="549" spans="6:6" ht="17">
      <c r="F549" s="97"/>
    </row>
    <row r="550" spans="6:6" ht="17">
      <c r="F550" s="97"/>
    </row>
    <row r="551" spans="6:6" ht="17">
      <c r="F551" s="97"/>
    </row>
    <row r="552" spans="6:6" ht="17">
      <c r="F552" s="97"/>
    </row>
    <row r="553" spans="6:6" ht="17">
      <c r="F553" s="97"/>
    </row>
    <row r="554" spans="6:6" ht="17">
      <c r="F554" s="97"/>
    </row>
    <row r="555" spans="6:6" ht="17">
      <c r="F555" s="97"/>
    </row>
    <row r="556" spans="6:6" ht="17">
      <c r="F556" s="97"/>
    </row>
    <row r="557" spans="6:6" ht="17">
      <c r="F557" s="97"/>
    </row>
    <row r="558" spans="6:6" ht="17">
      <c r="F558" s="97"/>
    </row>
    <row r="559" spans="6:6" ht="17">
      <c r="F559" s="97"/>
    </row>
    <row r="560" spans="6:6" ht="17">
      <c r="F560" s="97"/>
    </row>
    <row r="561" spans="6:6" ht="17">
      <c r="F561" s="97"/>
    </row>
    <row r="562" spans="6:6" ht="17">
      <c r="F562" s="97"/>
    </row>
    <row r="563" spans="6:6" ht="17">
      <c r="F563" s="97"/>
    </row>
    <row r="564" spans="6:6" ht="17">
      <c r="F564" s="97"/>
    </row>
    <row r="565" spans="6:6" ht="17">
      <c r="F565" s="97"/>
    </row>
    <row r="566" spans="6:6" ht="17">
      <c r="F566" s="97"/>
    </row>
    <row r="567" spans="6:6" ht="17">
      <c r="F567" s="97"/>
    </row>
    <row r="568" spans="6:6" ht="17">
      <c r="F568" s="97"/>
    </row>
    <row r="569" spans="6:6" ht="17">
      <c r="F569" s="97"/>
    </row>
    <row r="570" spans="6:6" ht="17">
      <c r="F570" s="97"/>
    </row>
    <row r="571" spans="6:6" ht="17">
      <c r="F571" s="97"/>
    </row>
    <row r="572" spans="6:6" ht="17">
      <c r="F572" s="97"/>
    </row>
    <row r="573" spans="6:6" ht="17">
      <c r="F573" s="97"/>
    </row>
    <row r="574" spans="6:6" ht="17">
      <c r="F574" s="97"/>
    </row>
    <row r="575" spans="6:6" ht="17">
      <c r="F575" s="97"/>
    </row>
    <row r="576" spans="6:6" ht="17">
      <c r="F576" s="97"/>
    </row>
    <row r="577" spans="6:6" ht="17">
      <c r="F577" s="97"/>
    </row>
    <row r="578" spans="6:6" ht="17">
      <c r="F578" s="97"/>
    </row>
    <row r="579" spans="6:6" ht="17">
      <c r="F579" s="97"/>
    </row>
    <row r="580" spans="6:6" ht="17">
      <c r="F580" s="97"/>
    </row>
    <row r="581" spans="6:6" ht="17">
      <c r="F581" s="97"/>
    </row>
    <row r="582" spans="6:6" ht="17">
      <c r="F582" s="97"/>
    </row>
    <row r="583" spans="6:6" ht="17">
      <c r="F583" s="97"/>
    </row>
    <row r="584" spans="6:6" ht="17">
      <c r="F584" s="97"/>
    </row>
    <row r="585" spans="6:6" ht="17">
      <c r="F585" s="97"/>
    </row>
    <row r="586" spans="6:6" ht="17">
      <c r="F586" s="97"/>
    </row>
    <row r="587" spans="6:6" ht="17">
      <c r="F587" s="97"/>
    </row>
    <row r="588" spans="6:6" ht="17">
      <c r="F588" s="97"/>
    </row>
    <row r="589" spans="6:6" ht="17">
      <c r="F589" s="97"/>
    </row>
    <row r="590" spans="6:6" ht="17">
      <c r="F590" s="97"/>
    </row>
    <row r="591" spans="6:6" ht="17">
      <c r="F591" s="97"/>
    </row>
    <row r="592" spans="6:6" ht="17">
      <c r="F592" s="97"/>
    </row>
    <row r="593" spans="6:6" ht="17">
      <c r="F593" s="97"/>
    </row>
    <row r="594" spans="6:6" ht="17">
      <c r="F594" s="97"/>
    </row>
    <row r="595" spans="6:6" ht="17">
      <c r="F595" s="97"/>
    </row>
    <row r="596" spans="6:6" ht="17">
      <c r="F596" s="97"/>
    </row>
    <row r="597" spans="6:6" ht="17">
      <c r="F597" s="97"/>
    </row>
    <row r="598" spans="6:6" ht="17">
      <c r="F598" s="97"/>
    </row>
    <row r="599" spans="6:6" ht="17">
      <c r="F599" s="97"/>
    </row>
    <row r="600" spans="6:6" ht="17">
      <c r="F600" s="97"/>
    </row>
    <row r="601" spans="6:6" ht="17">
      <c r="F601" s="97"/>
    </row>
    <row r="602" spans="6:6" ht="17">
      <c r="F602" s="97"/>
    </row>
    <row r="603" spans="6:6" ht="17">
      <c r="F603" s="97"/>
    </row>
    <row r="604" spans="6:6" ht="17">
      <c r="F604" s="97"/>
    </row>
    <row r="605" spans="6:6" ht="17">
      <c r="F605" s="97"/>
    </row>
    <row r="606" spans="6:6" ht="17">
      <c r="F606" s="97"/>
    </row>
    <row r="607" spans="6:6" ht="17">
      <c r="F607" s="97"/>
    </row>
    <row r="608" spans="6:6" ht="17">
      <c r="F608" s="97"/>
    </row>
    <row r="609" spans="6:6" ht="17">
      <c r="F609" s="97"/>
    </row>
    <row r="610" spans="6:6" ht="17">
      <c r="F610" s="97"/>
    </row>
    <row r="611" spans="6:6" ht="17">
      <c r="F611" s="97"/>
    </row>
    <row r="612" spans="6:6" ht="17">
      <c r="F612" s="97"/>
    </row>
    <row r="613" spans="6:6" ht="17">
      <c r="F613" s="97"/>
    </row>
    <row r="614" spans="6:6" ht="17">
      <c r="F614" s="97"/>
    </row>
    <row r="615" spans="6:6" ht="17">
      <c r="F615" s="97"/>
    </row>
    <row r="616" spans="6:6" ht="17">
      <c r="F616" s="97"/>
    </row>
    <row r="617" spans="6:6" ht="17">
      <c r="F617" s="97"/>
    </row>
    <row r="618" spans="6:6" ht="17">
      <c r="F618" s="97"/>
    </row>
    <row r="619" spans="6:6" ht="17">
      <c r="F619" s="97"/>
    </row>
    <row r="620" spans="6:6" ht="17">
      <c r="F620" s="97"/>
    </row>
    <row r="621" spans="6:6" ht="17">
      <c r="F621" s="97"/>
    </row>
    <row r="622" spans="6:6" ht="17">
      <c r="F622" s="97"/>
    </row>
    <row r="623" spans="6:6" ht="17">
      <c r="F623" s="97"/>
    </row>
    <row r="624" spans="6:6" ht="17">
      <c r="F624" s="97"/>
    </row>
    <row r="625" spans="6:6" ht="17">
      <c r="F625" s="97"/>
    </row>
    <row r="626" spans="6:6" ht="17">
      <c r="F626" s="97"/>
    </row>
    <row r="627" spans="6:6" ht="17">
      <c r="F627" s="97"/>
    </row>
    <row r="628" spans="6:6" ht="17">
      <c r="F628" s="97"/>
    </row>
    <row r="629" spans="6:6" ht="17">
      <c r="F629" s="97"/>
    </row>
    <row r="630" spans="6:6" ht="17">
      <c r="F630" s="97"/>
    </row>
    <row r="631" spans="6:6" ht="17">
      <c r="F631" s="97"/>
    </row>
    <row r="632" spans="6:6" ht="17">
      <c r="F632" s="97"/>
    </row>
    <row r="633" spans="6:6" ht="17">
      <c r="F633" s="97"/>
    </row>
    <row r="634" spans="6:6" ht="17">
      <c r="F634" s="97"/>
    </row>
    <row r="635" spans="6:6" ht="17">
      <c r="F635" s="97"/>
    </row>
    <row r="636" spans="6:6" ht="17">
      <c r="F636" s="97"/>
    </row>
    <row r="637" spans="6:6" ht="17">
      <c r="F637" s="97"/>
    </row>
    <row r="638" spans="6:6" ht="17">
      <c r="F638" s="97"/>
    </row>
    <row r="639" spans="6:6" ht="17">
      <c r="F639" s="97"/>
    </row>
    <row r="640" spans="6:6" ht="17">
      <c r="F640" s="97"/>
    </row>
    <row r="641" spans="6:6" ht="17">
      <c r="F641" s="97"/>
    </row>
    <row r="642" spans="6:6" ht="17">
      <c r="F642" s="97"/>
    </row>
    <row r="643" spans="6:6" ht="17">
      <c r="F643" s="97"/>
    </row>
    <row r="644" spans="6:6" ht="17">
      <c r="F644" s="97"/>
    </row>
    <row r="645" spans="6:6" ht="17">
      <c r="F645" s="97"/>
    </row>
    <row r="646" spans="6:6" ht="17">
      <c r="F646" s="97"/>
    </row>
    <row r="647" spans="6:6" ht="17">
      <c r="F647" s="97"/>
    </row>
    <row r="648" spans="6:6" ht="17">
      <c r="F648" s="97"/>
    </row>
    <row r="649" spans="6:6" ht="17">
      <c r="F649" s="97"/>
    </row>
    <row r="650" spans="6:6" ht="17">
      <c r="F650" s="97"/>
    </row>
    <row r="651" spans="6:6" ht="17">
      <c r="F651" s="97"/>
    </row>
    <row r="652" spans="6:6" ht="17">
      <c r="F652" s="97"/>
    </row>
    <row r="653" spans="6:6" ht="17">
      <c r="F653" s="97"/>
    </row>
    <row r="654" spans="6:6" ht="17">
      <c r="F654" s="97"/>
    </row>
    <row r="655" spans="6:6" ht="17">
      <c r="F655" s="97"/>
    </row>
    <row r="656" spans="6:6" ht="17">
      <c r="F656" s="97"/>
    </row>
    <row r="657" spans="6:6" ht="17">
      <c r="F657" s="97"/>
    </row>
    <row r="658" spans="6:6" ht="17">
      <c r="F658" s="97"/>
    </row>
    <row r="659" spans="6:6" ht="17">
      <c r="F659" s="97"/>
    </row>
    <row r="660" spans="6:6" ht="17">
      <c r="F660" s="97"/>
    </row>
    <row r="661" spans="6:6" ht="17">
      <c r="F661" s="97"/>
    </row>
    <row r="662" spans="6:6" ht="17">
      <c r="F662" s="97"/>
    </row>
    <row r="663" spans="6:6" ht="17">
      <c r="F663" s="97"/>
    </row>
    <row r="664" spans="6:6" ht="17">
      <c r="F664" s="97"/>
    </row>
    <row r="665" spans="6:6" ht="17">
      <c r="F665" s="97"/>
    </row>
    <row r="666" spans="6:6" ht="17">
      <c r="F666" s="97"/>
    </row>
    <row r="667" spans="6:6" ht="17">
      <c r="F667" s="97"/>
    </row>
    <row r="668" spans="6:6" ht="17">
      <c r="F668" s="97"/>
    </row>
    <row r="669" spans="6:6" ht="17">
      <c r="F669" s="97"/>
    </row>
    <row r="670" spans="6:6" ht="17">
      <c r="F670" s="97"/>
    </row>
    <row r="671" spans="6:6" ht="17">
      <c r="F671" s="97"/>
    </row>
    <row r="672" spans="6:6" ht="17">
      <c r="F672" s="97"/>
    </row>
    <row r="673" spans="6:6" ht="17">
      <c r="F673" s="97"/>
    </row>
    <row r="674" spans="6:6" ht="17">
      <c r="F674" s="97"/>
    </row>
    <row r="675" spans="6:6" ht="17">
      <c r="F675" s="97"/>
    </row>
    <row r="676" spans="6:6" ht="17">
      <c r="F676" s="97"/>
    </row>
    <row r="677" spans="6:6" ht="17">
      <c r="F677" s="97"/>
    </row>
    <row r="678" spans="6:6" ht="17">
      <c r="F678" s="97"/>
    </row>
    <row r="679" spans="6:6" ht="17">
      <c r="F679" s="97"/>
    </row>
    <row r="680" spans="6:6" ht="17">
      <c r="F680" s="97"/>
    </row>
    <row r="681" spans="6:6" ht="17">
      <c r="F681" s="97"/>
    </row>
    <row r="682" spans="6:6" ht="17">
      <c r="F682" s="97"/>
    </row>
    <row r="683" spans="6:6" ht="17">
      <c r="F683" s="97"/>
    </row>
    <row r="684" spans="6:6" ht="17">
      <c r="F684" s="97"/>
    </row>
    <row r="685" spans="6:6" ht="17">
      <c r="F685" s="97"/>
    </row>
    <row r="686" spans="6:6" ht="17">
      <c r="F686" s="97"/>
    </row>
    <row r="687" spans="6:6" ht="17">
      <c r="F687" s="97"/>
    </row>
    <row r="688" spans="6:6" ht="17">
      <c r="F688" s="97"/>
    </row>
    <row r="689" spans="6:6" ht="17">
      <c r="F689" s="97"/>
    </row>
    <row r="690" spans="6:6" ht="17">
      <c r="F690" s="97"/>
    </row>
    <row r="691" spans="6:6" ht="17">
      <c r="F691" s="97"/>
    </row>
    <row r="692" spans="6:6" ht="17">
      <c r="F692" s="97"/>
    </row>
    <row r="693" spans="6:6" ht="17">
      <c r="F693" s="97"/>
    </row>
    <row r="694" spans="6:6" ht="17">
      <c r="F694" s="97"/>
    </row>
    <row r="695" spans="6:6" ht="17">
      <c r="F695" s="97"/>
    </row>
    <row r="696" spans="6:6" ht="17">
      <c r="F696" s="97"/>
    </row>
    <row r="697" spans="6:6" ht="17">
      <c r="F697" s="97"/>
    </row>
    <row r="698" spans="6:6" ht="17">
      <c r="F698" s="97"/>
    </row>
    <row r="699" spans="6:6" ht="17">
      <c r="F699" s="97"/>
    </row>
    <row r="700" spans="6:6" ht="17">
      <c r="F700" s="97"/>
    </row>
    <row r="701" spans="6:6" ht="17">
      <c r="F701" s="97"/>
    </row>
    <row r="702" spans="6:6" ht="17">
      <c r="F702" s="97"/>
    </row>
    <row r="703" spans="6:6" ht="17">
      <c r="F703" s="97"/>
    </row>
    <row r="704" spans="6:6" ht="17">
      <c r="F704" s="97"/>
    </row>
    <row r="705" spans="6:6" ht="17">
      <c r="F705" s="97"/>
    </row>
    <row r="706" spans="6:6" ht="17">
      <c r="F706" s="97"/>
    </row>
    <row r="707" spans="6:6" ht="17">
      <c r="F707" s="97"/>
    </row>
    <row r="708" spans="6:6" ht="17">
      <c r="F708" s="97"/>
    </row>
    <row r="709" spans="6:6" ht="17">
      <c r="F709" s="97"/>
    </row>
    <row r="710" spans="6:6" ht="17">
      <c r="F710" s="97"/>
    </row>
    <row r="711" spans="6:6" ht="17">
      <c r="F711" s="97"/>
    </row>
    <row r="712" spans="6:6" ht="17">
      <c r="F712" s="97"/>
    </row>
    <row r="713" spans="6:6" ht="17">
      <c r="F713" s="97"/>
    </row>
    <row r="714" spans="6:6" ht="17">
      <c r="F714" s="97"/>
    </row>
    <row r="715" spans="6:6" ht="17">
      <c r="F715" s="97"/>
    </row>
    <row r="716" spans="6:6" ht="17">
      <c r="F716" s="97"/>
    </row>
    <row r="717" spans="6:6" ht="17">
      <c r="F717" s="97"/>
    </row>
    <row r="718" spans="6:6" ht="17">
      <c r="F718" s="97"/>
    </row>
    <row r="719" spans="6:6" ht="17">
      <c r="F719" s="97"/>
    </row>
    <row r="720" spans="6:6" ht="17">
      <c r="F720" s="97"/>
    </row>
    <row r="721" spans="6:6" ht="17">
      <c r="F721" s="97"/>
    </row>
    <row r="722" spans="6:6" ht="17">
      <c r="F722" s="97"/>
    </row>
    <row r="723" spans="6:6" ht="17">
      <c r="F723" s="97"/>
    </row>
    <row r="724" spans="6:6" ht="17">
      <c r="F724" s="97"/>
    </row>
    <row r="725" spans="6:6" ht="17">
      <c r="F725" s="97"/>
    </row>
    <row r="726" spans="6:6" ht="17">
      <c r="F726" s="97"/>
    </row>
    <row r="727" spans="6:6" ht="17">
      <c r="F727" s="97"/>
    </row>
    <row r="728" spans="6:6" ht="17">
      <c r="F728" s="97"/>
    </row>
    <row r="729" spans="6:6" ht="17">
      <c r="F729" s="97"/>
    </row>
    <row r="730" spans="6:6" ht="17">
      <c r="F730" s="97"/>
    </row>
    <row r="731" spans="6:6" ht="17">
      <c r="F731" s="97"/>
    </row>
    <row r="732" spans="6:6" ht="17">
      <c r="F732" s="97"/>
    </row>
    <row r="733" spans="6:6" ht="17">
      <c r="F733" s="97"/>
    </row>
    <row r="734" spans="6:6" ht="17">
      <c r="F734" s="97"/>
    </row>
    <row r="735" spans="6:6" ht="17">
      <c r="F735" s="97"/>
    </row>
    <row r="736" spans="6:6" ht="17">
      <c r="F736" s="97"/>
    </row>
    <row r="737" spans="6:6" ht="17">
      <c r="F737" s="97"/>
    </row>
    <row r="738" spans="6:6" ht="17">
      <c r="F738" s="97"/>
    </row>
    <row r="739" spans="6:6" ht="17">
      <c r="F739" s="97"/>
    </row>
    <row r="740" spans="6:6" ht="17">
      <c r="F740" s="97"/>
    </row>
    <row r="741" spans="6:6" ht="17">
      <c r="F741" s="97"/>
    </row>
    <row r="742" spans="6:6" ht="17">
      <c r="F742" s="97"/>
    </row>
    <row r="743" spans="6:6" ht="17">
      <c r="F743" s="97"/>
    </row>
    <row r="744" spans="6:6" ht="17">
      <c r="F744" s="97"/>
    </row>
    <row r="745" spans="6:6" ht="17">
      <c r="F745" s="97"/>
    </row>
    <row r="746" spans="6:6" ht="17">
      <c r="F746" s="97"/>
    </row>
    <row r="747" spans="6:6" ht="17">
      <c r="F747" s="97"/>
    </row>
    <row r="748" spans="6:6" ht="17">
      <c r="F748" s="97"/>
    </row>
    <row r="749" spans="6:6" ht="17">
      <c r="F749" s="97"/>
    </row>
    <row r="750" spans="6:6" ht="17">
      <c r="F750" s="97"/>
    </row>
    <row r="751" spans="6:6" ht="17">
      <c r="F751" s="97"/>
    </row>
    <row r="752" spans="6:6" ht="17">
      <c r="F752" s="97"/>
    </row>
    <row r="753" spans="6:6" ht="17">
      <c r="F753" s="97"/>
    </row>
    <row r="754" spans="6:6" ht="17">
      <c r="F754" s="97"/>
    </row>
    <row r="755" spans="6:6" ht="17">
      <c r="F755" s="97"/>
    </row>
    <row r="756" spans="6:6" ht="17">
      <c r="F756" s="97"/>
    </row>
    <row r="757" spans="6:6" ht="17">
      <c r="F757" s="97"/>
    </row>
    <row r="758" spans="6:6" ht="17">
      <c r="F758" s="97"/>
    </row>
    <row r="759" spans="6:6" ht="17">
      <c r="F759" s="97"/>
    </row>
    <row r="760" spans="6:6" ht="17">
      <c r="F760" s="97"/>
    </row>
    <row r="761" spans="6:6" ht="17">
      <c r="F761" s="97"/>
    </row>
    <row r="762" spans="6:6" ht="17">
      <c r="F762" s="97"/>
    </row>
    <row r="763" spans="6:6" ht="17">
      <c r="F763" s="97"/>
    </row>
    <row r="764" spans="6:6" ht="17">
      <c r="F764" s="97"/>
    </row>
    <row r="765" spans="6:6" ht="17">
      <c r="F765" s="97"/>
    </row>
    <row r="766" spans="6:6" ht="17">
      <c r="F766" s="97"/>
    </row>
    <row r="767" spans="6:6" ht="17">
      <c r="F767" s="97"/>
    </row>
    <row r="768" spans="6:6" ht="17">
      <c r="F768" s="97"/>
    </row>
    <row r="769" spans="6:6" ht="17">
      <c r="F769" s="97"/>
    </row>
    <row r="770" spans="6:6" ht="17">
      <c r="F770" s="97"/>
    </row>
    <row r="771" spans="6:6" ht="17">
      <c r="F771" s="97"/>
    </row>
    <row r="772" spans="6:6" ht="17">
      <c r="F772" s="97"/>
    </row>
    <row r="773" spans="6:6" ht="17">
      <c r="F773" s="97"/>
    </row>
    <row r="774" spans="6:6" ht="17">
      <c r="F774" s="97"/>
    </row>
    <row r="775" spans="6:6" ht="17">
      <c r="F775" s="97"/>
    </row>
    <row r="776" spans="6:6" ht="17">
      <c r="F776" s="97"/>
    </row>
    <row r="777" spans="6:6" ht="17">
      <c r="F777" s="97"/>
    </row>
    <row r="778" spans="6:6" ht="17">
      <c r="F778" s="97"/>
    </row>
    <row r="779" spans="6:6" ht="17">
      <c r="F779" s="97"/>
    </row>
    <row r="780" spans="6:6" ht="17">
      <c r="F780" s="97"/>
    </row>
    <row r="781" spans="6:6" ht="17">
      <c r="F781" s="97"/>
    </row>
    <row r="782" spans="6:6" ht="17">
      <c r="F782" s="97"/>
    </row>
    <row r="783" spans="6:6" ht="17">
      <c r="F783" s="97"/>
    </row>
    <row r="784" spans="6:6" ht="17">
      <c r="F784" s="97"/>
    </row>
    <row r="785" spans="6:6" ht="17">
      <c r="F785" s="97"/>
    </row>
    <row r="786" spans="6:6" ht="17">
      <c r="F786" s="97"/>
    </row>
    <row r="787" spans="6:6" ht="17">
      <c r="F787" s="97"/>
    </row>
    <row r="788" spans="6:6" ht="17">
      <c r="F788" s="97"/>
    </row>
    <row r="789" spans="6:6" ht="17">
      <c r="F789" s="97"/>
    </row>
    <row r="790" spans="6:6" ht="17">
      <c r="F790" s="97"/>
    </row>
    <row r="791" spans="6:6" ht="17">
      <c r="F791" s="97"/>
    </row>
    <row r="792" spans="6:6" ht="17">
      <c r="F792" s="97"/>
    </row>
    <row r="793" spans="6:6" ht="17">
      <c r="F793" s="97"/>
    </row>
    <row r="794" spans="6:6" ht="17">
      <c r="F794" s="97"/>
    </row>
    <row r="795" spans="6:6" ht="17">
      <c r="F795" s="97"/>
    </row>
    <row r="796" spans="6:6" ht="17">
      <c r="F796" s="97"/>
    </row>
    <row r="797" spans="6:6" ht="17">
      <c r="F797" s="97"/>
    </row>
    <row r="798" spans="6:6" ht="17">
      <c r="F798" s="97"/>
    </row>
    <row r="799" spans="6:6" ht="17">
      <c r="F799" s="97"/>
    </row>
    <row r="800" spans="6:6" ht="17">
      <c r="F800" s="97"/>
    </row>
    <row r="801" spans="6:6" ht="17">
      <c r="F801" s="97"/>
    </row>
    <row r="802" spans="6:6" ht="17">
      <c r="F802" s="97"/>
    </row>
    <row r="803" spans="6:6" ht="17">
      <c r="F803" s="97"/>
    </row>
    <row r="804" spans="6:6" ht="17">
      <c r="F804" s="97"/>
    </row>
    <row r="805" spans="6:6" ht="17">
      <c r="F805" s="97"/>
    </row>
    <row r="806" spans="6:6" ht="17">
      <c r="F806" s="97"/>
    </row>
    <row r="807" spans="6:6" ht="17">
      <c r="F807" s="97"/>
    </row>
    <row r="808" spans="6:6" ht="17">
      <c r="F808" s="97"/>
    </row>
    <row r="809" spans="6:6" ht="17">
      <c r="F809" s="97"/>
    </row>
    <row r="810" spans="6:6" ht="17">
      <c r="F810" s="97"/>
    </row>
    <row r="811" spans="6:6" ht="17">
      <c r="F811" s="97"/>
    </row>
    <row r="812" spans="6:6" ht="17">
      <c r="F812" s="97"/>
    </row>
    <row r="813" spans="6:6" ht="17">
      <c r="F813" s="97"/>
    </row>
    <row r="814" spans="6:6" ht="17">
      <c r="F814" s="97"/>
    </row>
    <row r="815" spans="6:6" ht="17">
      <c r="F815" s="97"/>
    </row>
    <row r="816" spans="6:6" ht="17">
      <c r="F816" s="97"/>
    </row>
    <row r="817" spans="6:6" ht="17">
      <c r="F817" s="97"/>
    </row>
    <row r="818" spans="6:6" ht="17">
      <c r="F818" s="97"/>
    </row>
    <row r="819" spans="6:6" ht="17">
      <c r="F819" s="97"/>
    </row>
    <row r="820" spans="6:6" ht="17">
      <c r="F820" s="97"/>
    </row>
    <row r="821" spans="6:6" ht="17">
      <c r="F821" s="97"/>
    </row>
    <row r="822" spans="6:6" ht="17">
      <c r="F822" s="97"/>
    </row>
    <row r="823" spans="6:6" ht="17">
      <c r="F823" s="97"/>
    </row>
    <row r="824" spans="6:6" ht="17">
      <c r="F824" s="97"/>
    </row>
    <row r="825" spans="6:6" ht="17">
      <c r="F825" s="97"/>
    </row>
    <row r="826" spans="6:6" ht="17">
      <c r="F826" s="97"/>
    </row>
    <row r="827" spans="6:6" ht="17">
      <c r="F827" s="97"/>
    </row>
    <row r="828" spans="6:6" ht="17">
      <c r="F828" s="97"/>
    </row>
    <row r="829" spans="6:6" ht="17">
      <c r="F829" s="97"/>
    </row>
    <row r="830" spans="6:6" ht="17">
      <c r="F830" s="97"/>
    </row>
    <row r="831" spans="6:6" ht="17">
      <c r="F831" s="97"/>
    </row>
    <row r="832" spans="6:6" ht="17">
      <c r="F832" s="97"/>
    </row>
    <row r="833" spans="6:6" ht="17">
      <c r="F833" s="97"/>
    </row>
    <row r="834" spans="6:6" ht="17">
      <c r="F834" s="97"/>
    </row>
    <row r="835" spans="6:6" ht="17">
      <c r="F835" s="97"/>
    </row>
    <row r="836" spans="6:6" ht="17">
      <c r="F836" s="97"/>
    </row>
    <row r="837" spans="6:6" ht="17">
      <c r="F837" s="97"/>
    </row>
    <row r="838" spans="6:6" ht="17">
      <c r="F838" s="97"/>
    </row>
    <row r="839" spans="6:6" ht="17">
      <c r="F839" s="97"/>
    </row>
    <row r="840" spans="6:6" ht="17">
      <c r="F840" s="97"/>
    </row>
    <row r="841" spans="6:6" ht="17">
      <c r="F841" s="97"/>
    </row>
    <row r="842" spans="6:6" ht="17">
      <c r="F842" s="97"/>
    </row>
    <row r="843" spans="6:6" ht="17">
      <c r="F843" s="97"/>
    </row>
    <row r="844" spans="6:6" ht="17">
      <c r="F844" s="97"/>
    </row>
    <row r="845" spans="6:6" ht="17">
      <c r="F845" s="97"/>
    </row>
    <row r="846" spans="6:6" ht="17">
      <c r="F846" s="97"/>
    </row>
    <row r="847" spans="6:6" ht="17">
      <c r="F847" s="97"/>
    </row>
    <row r="848" spans="6:6" ht="17">
      <c r="F848" s="97"/>
    </row>
    <row r="849" spans="6:6" ht="17">
      <c r="F849" s="97"/>
    </row>
    <row r="850" spans="6:6" ht="17">
      <c r="F850" s="97"/>
    </row>
    <row r="851" spans="6:6" ht="17">
      <c r="F851" s="97"/>
    </row>
    <row r="852" spans="6:6" ht="17">
      <c r="F852" s="97"/>
    </row>
    <row r="853" spans="6:6" ht="17">
      <c r="F853" s="97"/>
    </row>
    <row r="854" spans="6:6" ht="17">
      <c r="F854" s="97"/>
    </row>
    <row r="855" spans="6:6" ht="17">
      <c r="F855" s="97"/>
    </row>
    <row r="856" spans="6:6" ht="17">
      <c r="F856" s="97"/>
    </row>
    <row r="857" spans="6:6" ht="17">
      <c r="F857" s="97"/>
    </row>
    <row r="858" spans="6:6" ht="17">
      <c r="F858" s="97"/>
    </row>
    <row r="859" spans="6:6" ht="17">
      <c r="F859" s="97"/>
    </row>
    <row r="860" spans="6:6" ht="17">
      <c r="F860" s="97"/>
    </row>
    <row r="861" spans="6:6" ht="17">
      <c r="F861" s="97"/>
    </row>
    <row r="862" spans="6:6" ht="17">
      <c r="F862" s="97"/>
    </row>
    <row r="863" spans="6:6" ht="17">
      <c r="F863" s="97"/>
    </row>
    <row r="864" spans="6:6" ht="17">
      <c r="F864" s="97"/>
    </row>
    <row r="865" spans="6:6" ht="17">
      <c r="F865" s="97"/>
    </row>
    <row r="866" spans="6:6" ht="17">
      <c r="F866" s="97"/>
    </row>
    <row r="867" spans="6:6" ht="17">
      <c r="F867" s="97"/>
    </row>
    <row r="868" spans="6:6" ht="17">
      <c r="F868" s="97"/>
    </row>
    <row r="869" spans="6:6" ht="17">
      <c r="F869" s="97"/>
    </row>
    <row r="870" spans="6:6" ht="17">
      <c r="F870" s="97"/>
    </row>
    <row r="871" spans="6:6" ht="17">
      <c r="F871" s="97"/>
    </row>
    <row r="872" spans="6:6" ht="17">
      <c r="F872" s="97"/>
    </row>
    <row r="873" spans="6:6" ht="17">
      <c r="F873" s="97"/>
    </row>
    <row r="874" spans="6:6" ht="17">
      <c r="F874" s="97"/>
    </row>
    <row r="875" spans="6:6" ht="17">
      <c r="F875" s="97"/>
    </row>
    <row r="876" spans="6:6" ht="17">
      <c r="F876" s="97"/>
    </row>
    <row r="877" spans="6:6" ht="17">
      <c r="F877" s="97"/>
    </row>
    <row r="878" spans="6:6" ht="17">
      <c r="F878" s="97"/>
    </row>
    <row r="879" spans="6:6" ht="17">
      <c r="F879" s="97"/>
    </row>
    <row r="880" spans="6:6" ht="17">
      <c r="F880" s="97"/>
    </row>
    <row r="881" spans="6:6" ht="17">
      <c r="F881" s="97"/>
    </row>
    <row r="882" spans="6:6" ht="17">
      <c r="F882" s="97"/>
    </row>
    <row r="883" spans="6:6" ht="17">
      <c r="F883" s="97"/>
    </row>
    <row r="884" spans="6:6" ht="17">
      <c r="F884" s="97"/>
    </row>
    <row r="885" spans="6:6" ht="17">
      <c r="F885" s="97"/>
    </row>
    <row r="886" spans="6:6" ht="17">
      <c r="F886" s="97"/>
    </row>
    <row r="887" spans="6:6" ht="17">
      <c r="F887" s="97"/>
    </row>
    <row r="888" spans="6:6" ht="17">
      <c r="F888" s="97"/>
    </row>
    <row r="889" spans="6:6" ht="17">
      <c r="F889" s="97"/>
    </row>
    <row r="890" spans="6:6" ht="17">
      <c r="F890" s="97"/>
    </row>
    <row r="891" spans="6:6" ht="17">
      <c r="F891" s="97"/>
    </row>
    <row r="892" spans="6:6" ht="17">
      <c r="F892" s="97"/>
    </row>
    <row r="893" spans="6:6" ht="17">
      <c r="F893" s="97"/>
    </row>
    <row r="894" spans="6:6" ht="17">
      <c r="F894" s="97"/>
    </row>
    <row r="895" spans="6:6" ht="17">
      <c r="F895" s="97"/>
    </row>
    <row r="896" spans="6:6" ht="17">
      <c r="F896" s="97"/>
    </row>
    <row r="897" spans="6:6" ht="17">
      <c r="F897" s="97"/>
    </row>
    <row r="898" spans="6:6" ht="17">
      <c r="F898" s="97"/>
    </row>
    <row r="899" spans="6:6" ht="17">
      <c r="F899" s="97"/>
    </row>
    <row r="900" spans="6:6" ht="17">
      <c r="F900" s="97"/>
    </row>
    <row r="901" spans="6:6" ht="17">
      <c r="F901" s="97"/>
    </row>
    <row r="902" spans="6:6" ht="17">
      <c r="F902" s="97"/>
    </row>
    <row r="903" spans="6:6" ht="17">
      <c r="F903" s="97"/>
    </row>
    <row r="904" spans="6:6" ht="17">
      <c r="F904" s="97"/>
    </row>
    <row r="905" spans="6:6" ht="17">
      <c r="F905" s="97"/>
    </row>
    <row r="906" spans="6:6" ht="17">
      <c r="F906" s="97"/>
    </row>
    <row r="907" spans="6:6" ht="17">
      <c r="F907" s="97"/>
    </row>
    <row r="908" spans="6:6" ht="17">
      <c r="F908" s="97"/>
    </row>
    <row r="909" spans="6:6" ht="17">
      <c r="F909" s="97"/>
    </row>
    <row r="910" spans="6:6" ht="17">
      <c r="F910" s="97"/>
    </row>
    <row r="911" spans="6:6" ht="17">
      <c r="F911" s="97"/>
    </row>
    <row r="912" spans="6:6" ht="17">
      <c r="F912" s="97"/>
    </row>
    <row r="913" spans="6:6" ht="17">
      <c r="F913" s="97"/>
    </row>
    <row r="914" spans="6:6" ht="17">
      <c r="F914" s="97"/>
    </row>
    <row r="915" spans="6:6" ht="17">
      <c r="F915" s="97"/>
    </row>
    <row r="916" spans="6:6" ht="17">
      <c r="F916" s="97"/>
    </row>
    <row r="917" spans="6:6" ht="17">
      <c r="F917" s="97"/>
    </row>
    <row r="918" spans="6:6" ht="17">
      <c r="F918" s="97"/>
    </row>
    <row r="919" spans="6:6" ht="17">
      <c r="F919" s="97"/>
    </row>
    <row r="920" spans="6:6" ht="17">
      <c r="F920" s="97"/>
    </row>
    <row r="921" spans="6:6" ht="17">
      <c r="F921" s="97"/>
    </row>
    <row r="922" spans="6:6" ht="17">
      <c r="F922" s="97"/>
    </row>
    <row r="923" spans="6:6" ht="17">
      <c r="F923" s="97"/>
    </row>
    <row r="924" spans="6:6" ht="17">
      <c r="F924" s="97"/>
    </row>
    <row r="925" spans="6:6" ht="17">
      <c r="F925" s="97"/>
    </row>
    <row r="926" spans="6:6" ht="17">
      <c r="F926" s="97"/>
    </row>
    <row r="927" spans="6:6" ht="17">
      <c r="F927" s="97"/>
    </row>
    <row r="928" spans="6:6" ht="17">
      <c r="F928" s="97"/>
    </row>
    <row r="929" spans="6:6" ht="17">
      <c r="F929" s="97"/>
    </row>
    <row r="930" spans="6:6" ht="17">
      <c r="F930" s="97"/>
    </row>
    <row r="931" spans="6:6" ht="17">
      <c r="F931" s="97"/>
    </row>
    <row r="932" spans="6:6" ht="17">
      <c r="F932" s="97"/>
    </row>
    <row r="933" spans="6:6" ht="17">
      <c r="F933" s="97"/>
    </row>
    <row r="934" spans="6:6" ht="17">
      <c r="F934" s="97"/>
    </row>
    <row r="935" spans="6:6" ht="17">
      <c r="F935" s="97"/>
    </row>
    <row r="936" spans="6:6" ht="17">
      <c r="F936" s="97"/>
    </row>
    <row r="937" spans="6:6" ht="17">
      <c r="F937" s="97"/>
    </row>
    <row r="938" spans="6:6" ht="17">
      <c r="F938" s="97"/>
    </row>
    <row r="939" spans="6:6" ht="17">
      <c r="F939" s="97"/>
    </row>
    <row r="940" spans="6:6" ht="17">
      <c r="F940" s="97"/>
    </row>
    <row r="941" spans="6:6" ht="17">
      <c r="F941" s="97"/>
    </row>
    <row r="942" spans="6:6" ht="17">
      <c r="F942" s="97"/>
    </row>
    <row r="943" spans="6:6" ht="17">
      <c r="F943" s="97"/>
    </row>
    <row r="944" spans="6:6" ht="17">
      <c r="F944" s="97"/>
    </row>
    <row r="945" spans="6:6" ht="17">
      <c r="F945" s="97"/>
    </row>
    <row r="946" spans="6:6" ht="17">
      <c r="F946" s="97"/>
    </row>
    <row r="947" spans="6:6" ht="17">
      <c r="F947" s="97"/>
    </row>
    <row r="948" spans="6:6" ht="17">
      <c r="F948" s="97"/>
    </row>
    <row r="949" spans="6:6" ht="17">
      <c r="F949" s="97"/>
    </row>
    <row r="950" spans="6:6" ht="17">
      <c r="F950" s="97"/>
    </row>
    <row r="951" spans="6:6" ht="17">
      <c r="F951" s="97"/>
    </row>
    <row r="952" spans="6:6" ht="17">
      <c r="F952" s="97"/>
    </row>
    <row r="953" spans="6:6" ht="17">
      <c r="F953" s="97"/>
    </row>
    <row r="954" spans="6:6" ht="17">
      <c r="F954" s="97"/>
    </row>
    <row r="955" spans="6:6" ht="17">
      <c r="F955" s="97"/>
    </row>
    <row r="956" spans="6:6" ht="17">
      <c r="F956" s="97"/>
    </row>
    <row r="957" spans="6:6" ht="17">
      <c r="F957" s="97"/>
    </row>
    <row r="958" spans="6:6" ht="17">
      <c r="F958" s="97"/>
    </row>
    <row r="959" spans="6:6" ht="17">
      <c r="F959" s="97"/>
    </row>
    <row r="960" spans="6:6" ht="17">
      <c r="F960" s="97"/>
    </row>
    <row r="961" spans="6:6" ht="17">
      <c r="F961" s="97"/>
    </row>
    <row r="962" spans="6:6" ht="17">
      <c r="F962" s="97"/>
    </row>
    <row r="963" spans="6:6" ht="17">
      <c r="F963" s="97"/>
    </row>
    <row r="964" spans="6:6" ht="17">
      <c r="F964" s="97"/>
    </row>
    <row r="965" spans="6:6" ht="17">
      <c r="F965" s="97"/>
    </row>
    <row r="966" spans="6:6" ht="17">
      <c r="F966" s="97"/>
    </row>
    <row r="967" spans="6:6" ht="17">
      <c r="F967" s="97"/>
    </row>
    <row r="968" spans="6:6" ht="17">
      <c r="F968" s="97"/>
    </row>
    <row r="969" spans="6:6" ht="17">
      <c r="F969" s="97"/>
    </row>
    <row r="970" spans="6:6" ht="17">
      <c r="F970" s="97"/>
    </row>
    <row r="971" spans="6:6" ht="17">
      <c r="F971" s="97"/>
    </row>
    <row r="972" spans="6:6" ht="17">
      <c r="F972" s="97"/>
    </row>
    <row r="973" spans="6:6" ht="17">
      <c r="F973" s="97"/>
    </row>
    <row r="974" spans="6:6" ht="17">
      <c r="F974" s="97"/>
    </row>
    <row r="975" spans="6:6" ht="17">
      <c r="F975" s="97"/>
    </row>
    <row r="976" spans="6:6" ht="17">
      <c r="F976" s="97"/>
    </row>
    <row r="977" spans="6:6" ht="17">
      <c r="F977" s="97"/>
    </row>
    <row r="978" spans="6:6" ht="17">
      <c r="F978" s="97"/>
    </row>
    <row r="979" spans="6:6" ht="17">
      <c r="F979" s="97"/>
    </row>
    <row r="980" spans="6:6" ht="17">
      <c r="F980" s="97"/>
    </row>
    <row r="981" spans="6:6" ht="17">
      <c r="F981" s="97"/>
    </row>
    <row r="982" spans="6:6" ht="17">
      <c r="F982" s="97"/>
    </row>
    <row r="983" spans="6:6" ht="17">
      <c r="F983" s="97"/>
    </row>
    <row r="984" spans="6:6" ht="17">
      <c r="F984" s="97"/>
    </row>
    <row r="985" spans="6:6" ht="17">
      <c r="F985" s="97"/>
    </row>
    <row r="986" spans="6:6" ht="17">
      <c r="F986" s="97"/>
    </row>
    <row r="987" spans="6:6" ht="17">
      <c r="F987" s="97"/>
    </row>
    <row r="988" spans="6:6" ht="17">
      <c r="F988" s="97"/>
    </row>
    <row r="989" spans="6:6" ht="17">
      <c r="F989" s="97"/>
    </row>
    <row r="990" spans="6:6" ht="17">
      <c r="F990" s="97"/>
    </row>
    <row r="991" spans="6:6" ht="17">
      <c r="F991" s="97"/>
    </row>
    <row r="992" spans="6:6" ht="17">
      <c r="F992" s="97"/>
    </row>
    <row r="993" spans="6:6" ht="17">
      <c r="F993" s="97"/>
    </row>
    <row r="994" spans="6:6" ht="17">
      <c r="F994" s="97"/>
    </row>
    <row r="995" spans="6:6" ht="17">
      <c r="F995" s="97"/>
    </row>
    <row r="996" spans="6:6" ht="17">
      <c r="F996" s="97"/>
    </row>
    <row r="997" spans="6:6" ht="17">
      <c r="F997" s="97"/>
    </row>
    <row r="998" spans="6:6" ht="17">
      <c r="F998" s="97"/>
    </row>
    <row r="999" spans="6:6" ht="17">
      <c r="F999" s="97"/>
    </row>
  </sheetData>
  <mergeCells count="3">
    <mergeCell ref="B2:B3"/>
    <mergeCell ref="B5:B6"/>
    <mergeCell ref="C5:C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BO1000"/>
  <sheetViews>
    <sheetView showGridLines="0" workbookViewId="0">
      <selection activeCell="C11" sqref="C11"/>
    </sheetView>
  </sheetViews>
  <sheetFormatPr baseColWidth="10" defaultColWidth="12.6640625" defaultRowHeight="15.75" customHeight="1"/>
  <cols>
    <col min="1" max="3" width="24.6640625" style="63" customWidth="1"/>
    <col min="4" max="4" width="17.33203125" style="63" customWidth="1"/>
    <col min="5" max="5" width="18.83203125" style="63" customWidth="1"/>
    <col min="6" max="6" width="17.83203125" style="63" customWidth="1"/>
    <col min="7" max="7" width="16.83203125" style="63" customWidth="1"/>
    <col min="8" max="8" width="18.83203125" style="63" customWidth="1"/>
    <col min="9" max="9" width="28.33203125" style="63" customWidth="1"/>
    <col min="10" max="10" width="18" style="63" customWidth="1"/>
    <col min="11" max="11" width="24" style="63" customWidth="1"/>
    <col min="12" max="12" width="21.1640625" style="63" customWidth="1"/>
    <col min="13" max="13" width="18.33203125" style="63" customWidth="1"/>
    <col min="14" max="14" width="27.1640625" style="63" customWidth="1"/>
    <col min="15" max="15" width="27" style="63" customWidth="1"/>
    <col min="16" max="16" width="17" style="63" customWidth="1"/>
    <col min="17" max="16384" width="12.6640625" style="63"/>
  </cols>
  <sheetData>
    <row r="1" spans="1:67" ht="15.75" customHeight="1">
      <c r="A1" s="97"/>
      <c r="B1" s="97"/>
      <c r="C1" s="97"/>
      <c r="D1" s="97"/>
      <c r="E1" s="97"/>
      <c r="F1" s="302"/>
      <c r="G1" s="302"/>
      <c r="H1" s="302"/>
      <c r="I1" s="302"/>
      <c r="J1" s="302"/>
      <c r="K1" s="302"/>
      <c r="L1" s="302"/>
      <c r="M1" s="302"/>
      <c r="N1" s="302"/>
      <c r="O1" s="302"/>
      <c r="P1" s="302"/>
    </row>
    <row r="2" spans="1:67" ht="15.75" customHeight="1">
      <c r="A2" s="399"/>
      <c r="B2" s="400" t="s">
        <v>513</v>
      </c>
      <c r="C2" s="398" t="s">
        <v>514</v>
      </c>
      <c r="D2" s="398" t="s">
        <v>515</v>
      </c>
      <c r="E2" s="398" t="s">
        <v>219</v>
      </c>
      <c r="F2" s="401" t="s">
        <v>516</v>
      </c>
      <c r="G2" s="401" t="s">
        <v>517</v>
      </c>
      <c r="H2" s="401" t="s">
        <v>518</v>
      </c>
      <c r="I2" s="401" t="s">
        <v>519</v>
      </c>
      <c r="J2" s="401" t="s">
        <v>520</v>
      </c>
      <c r="K2" s="401" t="s">
        <v>521</v>
      </c>
      <c r="L2" s="401" t="s">
        <v>522</v>
      </c>
      <c r="M2" s="401" t="s">
        <v>520</v>
      </c>
      <c r="N2" s="401" t="s">
        <v>523</v>
      </c>
      <c r="O2" s="401" t="s">
        <v>524</v>
      </c>
      <c r="P2" s="401" t="s">
        <v>520</v>
      </c>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row>
    <row r="3" spans="1:67" ht="15.75" customHeight="1">
      <c r="A3" s="97"/>
      <c r="B3" s="183">
        <v>22</v>
      </c>
      <c r="C3" s="320">
        <f t="array" ref="C3:C43" ca="1">TRANSPOSE('8. Budget Estimate'!C14:AQ14)</f>
        <v>378320000</v>
      </c>
      <c r="D3" s="320">
        <f t="array" ref="D3:D43">TRANSPOSE('8. Budget Estimate'!C39:AQ39)</f>
        <v>374388000</v>
      </c>
      <c r="E3" s="320">
        <f t="shared" ref="E3:E66" ca="1" si="0">C3-D3</f>
        <v>3932000</v>
      </c>
      <c r="F3" s="320">
        <f>'4. Balance sheet '!C8</f>
        <v>20000000</v>
      </c>
      <c r="G3" s="320">
        <f t="shared" ref="G3:G8" si="1">$D$3/2</f>
        <v>187194000</v>
      </c>
      <c r="H3" s="320">
        <f t="shared" ref="H3:H66" si="2">IF(G3&gt;F3, G3-F3, 0)</f>
        <v>167194000</v>
      </c>
      <c r="I3" s="320">
        <f t="shared" ref="I3:I66" ca="1" si="3">IF(E3&lt;0, IF(F3&gt;-E3, E3, -F3),0)</f>
        <v>0</v>
      </c>
      <c r="J3" s="320">
        <f t="shared" ref="J3:J66" ca="1" si="4">IF(E3&gt;0, E3-H3, E3-I3)</f>
        <v>-163262000</v>
      </c>
      <c r="K3" s="320">
        <f t="shared" ref="K3:K66" ca="1" si="5">IF(J3&lt;0, 0,J3*0.6)</f>
        <v>0</v>
      </c>
      <c r="L3" s="320">
        <f ca="1">IF(J3&lt;0,IF('20. Balance '!D3&gt;-J3,J3,-'20. Balance '!D3),0)</f>
        <v>-70000000</v>
      </c>
      <c r="M3" s="320">
        <f t="shared" ref="M3:M66" ca="1" si="6">IF(J3&gt;0, J3-K3, J3-L3)</f>
        <v>-93262000</v>
      </c>
      <c r="N3" s="320">
        <f t="shared" ref="N3:N66" ca="1" si="7">IF(M3&lt;0, 0, M3)</f>
        <v>0</v>
      </c>
      <c r="O3" s="320">
        <f ca="1">IF(M3&lt;0,IF('20. Balance '!E3&gt;-M3,M3,-'20. Balance '!E3),0)</f>
        <v>0</v>
      </c>
      <c r="P3" s="320">
        <f t="shared" ref="P3:P66" ca="1" si="8">IF(M3&gt;0,M3-N3,N3-O3)</f>
        <v>0</v>
      </c>
      <c r="AS3" s="68">
        <f>'8. Budget Estimate'!AR14</f>
        <v>0</v>
      </c>
    </row>
    <row r="4" spans="1:67" ht="15.75" customHeight="1">
      <c r="A4" s="97"/>
      <c r="B4" s="183">
        <f t="shared" ref="B4:B66" si="9">B3+1</f>
        <v>23</v>
      </c>
      <c r="C4" s="320">
        <f ca="1"/>
        <v>383722560</v>
      </c>
      <c r="D4" s="320">
        <v>386993774.39999998</v>
      </c>
      <c r="E4" s="320">
        <f t="shared" ca="1" si="0"/>
        <v>-3271214.3999999762</v>
      </c>
      <c r="F4" s="320">
        <f t="shared" ref="F4:F66" ca="1" si="10">F3+H3+I3</f>
        <v>187194000</v>
      </c>
      <c r="G4" s="320">
        <f t="shared" si="1"/>
        <v>187194000</v>
      </c>
      <c r="H4" s="320">
        <f t="shared" ca="1" si="2"/>
        <v>0</v>
      </c>
      <c r="I4" s="320">
        <f t="shared" ca="1" si="3"/>
        <v>-3271214.3999999762</v>
      </c>
      <c r="J4" s="320">
        <f t="shared" ca="1" si="4"/>
        <v>0</v>
      </c>
      <c r="K4" s="320">
        <f t="shared" ca="1" si="5"/>
        <v>0</v>
      </c>
      <c r="L4" s="320">
        <f ca="1">IF(J4&lt;0,IF('20. Balance '!D4&gt;-J4,J4,-'20. Balance '!D4),0)</f>
        <v>0</v>
      </c>
      <c r="M4" s="320">
        <f t="shared" ca="1" si="6"/>
        <v>0</v>
      </c>
      <c r="N4" s="320">
        <f t="shared" ca="1" si="7"/>
        <v>0</v>
      </c>
      <c r="O4" s="320">
        <f ca="1">IF(M4&lt;0,IF('20. Balance '!E4&gt;-M4,M4,-'20. Balance '!E4),0)</f>
        <v>0</v>
      </c>
      <c r="P4" s="320">
        <f t="shared" ca="1" si="8"/>
        <v>0</v>
      </c>
    </row>
    <row r="5" spans="1:67" ht="15.75" customHeight="1">
      <c r="A5" s="97"/>
      <c r="B5" s="183">
        <f t="shared" si="9"/>
        <v>24</v>
      </c>
      <c r="C5" s="320">
        <f ca="1"/>
        <v>394466791.67999995</v>
      </c>
      <c r="D5" s="320">
        <v>401521904.08319998</v>
      </c>
      <c r="E5" s="320">
        <f t="shared" ca="1" si="0"/>
        <v>-7055112.4032000303</v>
      </c>
      <c r="F5" s="320">
        <f t="shared" ca="1" si="10"/>
        <v>183922785.60000002</v>
      </c>
      <c r="G5" s="320">
        <f t="shared" si="1"/>
        <v>187194000</v>
      </c>
      <c r="H5" s="320">
        <f t="shared" ca="1" si="2"/>
        <v>3271214.3999999762</v>
      </c>
      <c r="I5" s="320">
        <f t="shared" ca="1" si="3"/>
        <v>-7055112.4032000303</v>
      </c>
      <c r="J5" s="320">
        <f t="shared" ca="1" si="4"/>
        <v>0</v>
      </c>
      <c r="K5" s="320">
        <f t="shared" ca="1" si="5"/>
        <v>0</v>
      </c>
      <c r="L5" s="320">
        <f ca="1">IF(J5&lt;0,IF('20. Balance '!D5&gt;-J5,J5,-'20. Balance '!D5),0)</f>
        <v>0</v>
      </c>
      <c r="M5" s="320">
        <f t="shared" ca="1" si="6"/>
        <v>0</v>
      </c>
      <c r="N5" s="320">
        <f t="shared" ca="1" si="7"/>
        <v>0</v>
      </c>
      <c r="O5" s="320">
        <f ca="1">IF(M5&lt;0,IF('20. Balance '!E5&gt;-M5,M5,-'20. Balance '!E5),0)</f>
        <v>0</v>
      </c>
      <c r="P5" s="320">
        <f t="shared" ca="1" si="8"/>
        <v>0</v>
      </c>
    </row>
    <row r="6" spans="1:67" ht="15.75" customHeight="1">
      <c r="A6" s="97"/>
      <c r="B6" s="183">
        <f t="shared" si="9"/>
        <v>25</v>
      </c>
      <c r="C6" s="320">
        <f ca="1"/>
        <v>488800000</v>
      </c>
      <c r="D6" s="320">
        <v>441398564.72871995</v>
      </c>
      <c r="E6" s="320">
        <f t="shared" ca="1" si="0"/>
        <v>47401435.27128005</v>
      </c>
      <c r="F6" s="320">
        <f t="shared" ca="1" si="10"/>
        <v>180138887.59679997</v>
      </c>
      <c r="G6" s="320">
        <f t="shared" si="1"/>
        <v>187194000</v>
      </c>
      <c r="H6" s="320">
        <f t="shared" ca="1" si="2"/>
        <v>7055112.4032000303</v>
      </c>
      <c r="I6" s="320">
        <f t="shared" ca="1" si="3"/>
        <v>0</v>
      </c>
      <c r="J6" s="320">
        <f t="shared" ca="1" si="4"/>
        <v>40346322.86808002</v>
      </c>
      <c r="K6" s="320">
        <f t="shared" ca="1" si="5"/>
        <v>24207793.720848013</v>
      </c>
      <c r="L6" s="320">
        <f ca="1">IF(J6&lt;0,IF('20. Balance '!D6&gt;-J6,J6,-'20. Balance '!D6),0)</f>
        <v>0</v>
      </c>
      <c r="M6" s="320">
        <f t="shared" ca="1" si="6"/>
        <v>16138529.147232007</v>
      </c>
      <c r="N6" s="320">
        <f t="shared" ca="1" si="7"/>
        <v>16138529.147232007</v>
      </c>
      <c r="O6" s="320">
        <f ca="1">IF(M6&lt;0,IF('20. Balance '!E6&gt;-M6,M6,-'20. Balance '!E6),0)</f>
        <v>0</v>
      </c>
      <c r="P6" s="320">
        <f t="shared" ca="1" si="8"/>
        <v>0</v>
      </c>
    </row>
    <row r="7" spans="1:67" ht="15.75" customHeight="1">
      <c r="A7" s="97"/>
      <c r="B7" s="183">
        <f t="shared" si="9"/>
        <v>26</v>
      </c>
      <c r="C7" s="320">
        <f ca="1"/>
        <v>504812379.05772084</v>
      </c>
      <c r="D7" s="320">
        <v>453568895.10585272</v>
      </c>
      <c r="E7" s="320">
        <f t="shared" ca="1" si="0"/>
        <v>51243483.951868117</v>
      </c>
      <c r="F7" s="320">
        <f t="shared" ca="1" si="10"/>
        <v>187194000</v>
      </c>
      <c r="G7" s="320">
        <f t="shared" si="1"/>
        <v>187194000</v>
      </c>
      <c r="H7" s="320">
        <f t="shared" ca="1" si="2"/>
        <v>0</v>
      </c>
      <c r="I7" s="320">
        <f t="shared" ca="1" si="3"/>
        <v>0</v>
      </c>
      <c r="J7" s="320">
        <f t="shared" ca="1" si="4"/>
        <v>51243483.951868117</v>
      </c>
      <c r="K7" s="320">
        <f t="shared" ca="1" si="5"/>
        <v>30746090.37112087</v>
      </c>
      <c r="L7" s="320">
        <f ca="1">IF(J7&lt;0,IF('20. Balance '!D7&gt;-J7,J7,-'20. Balance '!D7),0)</f>
        <v>0</v>
      </c>
      <c r="M7" s="320">
        <f t="shared" ca="1" si="6"/>
        <v>20497393.580747247</v>
      </c>
      <c r="N7" s="320">
        <f t="shared" ca="1" si="7"/>
        <v>20497393.580747247</v>
      </c>
      <c r="O7" s="320">
        <f ca="1">IF(M7&lt;0,IF('20. Balance '!E7&gt;-M7,M7,-'20. Balance '!E7),0)</f>
        <v>0</v>
      </c>
      <c r="P7" s="320">
        <f t="shared" ca="1" si="8"/>
        <v>0</v>
      </c>
    </row>
    <row r="8" spans="1:67" ht="15.75" customHeight="1">
      <c r="A8" s="97"/>
      <c r="B8" s="183">
        <f t="shared" si="9"/>
        <v>27</v>
      </c>
      <c r="C8" s="320">
        <f ca="1"/>
        <v>407090872.64713156</v>
      </c>
      <c r="D8" s="320">
        <v>520177046.4183225</v>
      </c>
      <c r="E8" s="320">
        <f t="shared" ca="1" si="0"/>
        <v>-113086173.77119094</v>
      </c>
      <c r="F8" s="320">
        <f t="shared" ca="1" si="10"/>
        <v>187194000</v>
      </c>
      <c r="G8" s="320">
        <f t="shared" si="1"/>
        <v>187194000</v>
      </c>
      <c r="H8" s="320">
        <f t="shared" ca="1" si="2"/>
        <v>0</v>
      </c>
      <c r="I8" s="320">
        <f t="shared" ca="1" si="3"/>
        <v>-113086173.77119094</v>
      </c>
      <c r="J8" s="320">
        <f t="shared" ca="1" si="4"/>
        <v>0</v>
      </c>
      <c r="K8" s="320">
        <f t="shared" ca="1" si="5"/>
        <v>0</v>
      </c>
      <c r="L8" s="320">
        <f ca="1">IF(J8&lt;0,IF('20. Balance '!D8&gt;-J8,J8,-'20. Balance '!D8),0)</f>
        <v>0</v>
      </c>
      <c r="M8" s="320">
        <f t="shared" ca="1" si="6"/>
        <v>0</v>
      </c>
      <c r="N8" s="320">
        <f t="shared" ca="1" si="7"/>
        <v>0</v>
      </c>
      <c r="O8" s="320">
        <f ca="1">IF(M8&lt;0,IF('20. Balance '!E8&gt;-M8,M8,-'20. Balance '!E8),0)</f>
        <v>0</v>
      </c>
      <c r="P8" s="320">
        <f t="shared" ca="1" si="8"/>
        <v>0</v>
      </c>
    </row>
    <row r="9" spans="1:67" ht="15.75" customHeight="1">
      <c r="A9" s="97"/>
      <c r="B9" s="183">
        <f t="shared" si="9"/>
        <v>28</v>
      </c>
      <c r="C9" s="320">
        <f ca="1"/>
        <v>597788377.46990132</v>
      </c>
      <c r="D9" s="320">
        <v>573610016.05588472</v>
      </c>
      <c r="E9" s="320">
        <f t="shared" ca="1" si="0"/>
        <v>24178361.414016604</v>
      </c>
      <c r="F9" s="320">
        <f t="shared" ca="1" si="10"/>
        <v>74107826.228809059</v>
      </c>
      <c r="G9" s="320">
        <f t="shared" ref="G9:G66" si="11">$D$9/2</f>
        <v>286805008.02794236</v>
      </c>
      <c r="H9" s="320">
        <f t="shared" ca="1" si="2"/>
        <v>212697181.7991333</v>
      </c>
      <c r="I9" s="320">
        <f t="shared" ca="1" si="3"/>
        <v>0</v>
      </c>
      <c r="J9" s="320">
        <f t="shared" ca="1" si="4"/>
        <v>-188518820.3851167</v>
      </c>
      <c r="K9" s="320">
        <f t="shared" ca="1" si="5"/>
        <v>0</v>
      </c>
      <c r="L9" s="320">
        <f ca="1">IF(J9&lt;0,IF('20. Balance '!D9&gt;-J9,J9,-'20. Balance '!D9),0)</f>
        <v>-54953884.091968879</v>
      </c>
      <c r="M9" s="320">
        <f t="shared" ca="1" si="6"/>
        <v>-133564936.29314782</v>
      </c>
      <c r="N9" s="320">
        <f t="shared" ca="1" si="7"/>
        <v>0</v>
      </c>
      <c r="O9" s="320">
        <f ca="1">IF(M9&lt;0,IF('20. Balance '!E9&gt;-M9,M9,-'20. Balance '!E9),0)</f>
        <v>-36635922.727979258</v>
      </c>
      <c r="P9" s="320">
        <f t="shared" ca="1" si="8"/>
        <v>36635922.727979258</v>
      </c>
    </row>
    <row r="10" spans="1:67" ht="15.75" customHeight="1">
      <c r="A10" s="97"/>
      <c r="B10" s="183">
        <f t="shared" si="9"/>
        <v>29</v>
      </c>
      <c r="C10" s="320">
        <f ca="1"/>
        <v>613118091.44067061</v>
      </c>
      <c r="D10" s="320">
        <v>589488374.32345474</v>
      </c>
      <c r="E10" s="320">
        <f t="shared" ca="1" si="0"/>
        <v>23629717.117215872</v>
      </c>
      <c r="F10" s="320">
        <f t="shared" ca="1" si="10"/>
        <v>286805008.02794236</v>
      </c>
      <c r="G10" s="320">
        <f t="shared" si="11"/>
        <v>286805008.02794236</v>
      </c>
      <c r="H10" s="320">
        <f t="shared" ca="1" si="2"/>
        <v>0</v>
      </c>
      <c r="I10" s="320">
        <f t="shared" ca="1" si="3"/>
        <v>0</v>
      </c>
      <c r="J10" s="320">
        <f t="shared" ca="1" si="4"/>
        <v>23629717.117215872</v>
      </c>
      <c r="K10" s="320">
        <f t="shared" ca="1" si="5"/>
        <v>14177830.270329522</v>
      </c>
      <c r="L10" s="320">
        <f ca="1">IF(J10&lt;0,IF('20. Balance '!D10&gt;-J10,J10,-'20. Balance '!D10),0)</f>
        <v>0</v>
      </c>
      <c r="M10" s="320">
        <f t="shared" ca="1" si="6"/>
        <v>9451886.8468863498</v>
      </c>
      <c r="N10" s="320">
        <f t="shared" ca="1" si="7"/>
        <v>9451886.8468863498</v>
      </c>
      <c r="O10" s="320">
        <f ca="1">IF(M10&lt;0,IF('20. Balance '!E10&gt;-M10,M10,-'20. Balance '!E10),0)</f>
        <v>0</v>
      </c>
      <c r="P10" s="320">
        <f t="shared" ca="1" si="8"/>
        <v>0</v>
      </c>
    </row>
    <row r="11" spans="1:67" ht="15.75" customHeight="1">
      <c r="A11" s="97"/>
      <c r="B11" s="183">
        <f t="shared" si="9"/>
        <v>30</v>
      </c>
      <c r="C11" s="320">
        <f ca="1"/>
        <v>745097589.13916469</v>
      </c>
      <c r="D11" s="320">
        <v>616382242.5518626</v>
      </c>
      <c r="E11" s="320">
        <f t="shared" ca="1" si="0"/>
        <v>128715346.58730209</v>
      </c>
      <c r="F11" s="320">
        <f t="shared" ca="1" si="10"/>
        <v>286805008.02794236</v>
      </c>
      <c r="G11" s="320">
        <f t="shared" si="11"/>
        <v>286805008.02794236</v>
      </c>
      <c r="H11" s="320">
        <f t="shared" ca="1" si="2"/>
        <v>0</v>
      </c>
      <c r="I11" s="320">
        <f t="shared" ca="1" si="3"/>
        <v>0</v>
      </c>
      <c r="J11" s="320">
        <f t="shared" ca="1" si="4"/>
        <v>128715346.58730209</v>
      </c>
      <c r="K11" s="320">
        <f t="shared" ca="1" si="5"/>
        <v>77229207.952381253</v>
      </c>
      <c r="L11" s="320">
        <f ca="1">IF(J11&lt;0,IF('20. Balance '!D11&gt;-J11,J11,-'20. Balance '!D11),0)</f>
        <v>0</v>
      </c>
      <c r="M11" s="320">
        <f t="shared" ca="1" si="6"/>
        <v>51486138.634920835</v>
      </c>
      <c r="N11" s="320">
        <f t="shared" ca="1" si="7"/>
        <v>51486138.634920835</v>
      </c>
      <c r="O11" s="320">
        <f ca="1">IF(M11&lt;0,IF('20. Balance '!E11&gt;-M11,M11,-'20. Balance '!E11),0)</f>
        <v>0</v>
      </c>
      <c r="P11" s="320">
        <f t="shared" ca="1" si="8"/>
        <v>0</v>
      </c>
    </row>
    <row r="12" spans="1:67" ht="15.75" customHeight="1">
      <c r="A12" s="97"/>
      <c r="B12" s="183">
        <f t="shared" si="9"/>
        <v>31</v>
      </c>
      <c r="C12" s="320">
        <f ca="1"/>
        <v>804548201.67425632</v>
      </c>
      <c r="D12" s="320">
        <v>641421728.52719295</v>
      </c>
      <c r="E12" s="320">
        <f t="shared" ca="1" si="0"/>
        <v>163126473.14706337</v>
      </c>
      <c r="F12" s="320">
        <f t="shared" ca="1" si="10"/>
        <v>286805008.02794236</v>
      </c>
      <c r="G12" s="320">
        <f t="shared" si="11"/>
        <v>286805008.02794236</v>
      </c>
      <c r="H12" s="320">
        <f t="shared" ca="1" si="2"/>
        <v>0</v>
      </c>
      <c r="I12" s="320">
        <f t="shared" ca="1" si="3"/>
        <v>0</v>
      </c>
      <c r="J12" s="320">
        <f t="shared" ca="1" si="4"/>
        <v>163126473.14706337</v>
      </c>
      <c r="K12" s="320">
        <f t="shared" ca="1" si="5"/>
        <v>97875883.888238028</v>
      </c>
      <c r="L12" s="320">
        <f ca="1">IF(J12&lt;0,IF('20. Balance '!D12&gt;-J12,J12,-'20. Balance '!D12),0)</f>
        <v>0</v>
      </c>
      <c r="M12" s="320">
        <f t="shared" ca="1" si="6"/>
        <v>65250589.258825347</v>
      </c>
      <c r="N12" s="320">
        <f t="shared" ca="1" si="7"/>
        <v>65250589.258825347</v>
      </c>
      <c r="O12" s="320">
        <f ca="1">IF(M12&lt;0,IF('20. Balance '!E12&gt;-M12,M12,-'20. Balance '!E12),0)</f>
        <v>0</v>
      </c>
      <c r="P12" s="320">
        <f t="shared" ca="1" si="8"/>
        <v>0</v>
      </c>
    </row>
    <row r="13" spans="1:67" ht="15.75" customHeight="1">
      <c r="A13" s="97"/>
      <c r="B13" s="183">
        <f t="shared" si="9"/>
        <v>32</v>
      </c>
      <c r="C13" s="320">
        <f ca="1"/>
        <v>856582676.86543226</v>
      </c>
      <c r="D13" s="320">
        <v>983611149.75870752</v>
      </c>
      <c r="E13" s="320">
        <f t="shared" ca="1" si="0"/>
        <v>-127028472.89327526</v>
      </c>
      <c r="F13" s="320">
        <f t="shared" ca="1" si="10"/>
        <v>286805008.02794236</v>
      </c>
      <c r="G13" s="320">
        <f t="shared" si="11"/>
        <v>286805008.02794236</v>
      </c>
      <c r="H13" s="320">
        <f t="shared" ca="1" si="2"/>
        <v>0</v>
      </c>
      <c r="I13" s="320">
        <f t="shared" ca="1" si="3"/>
        <v>-127028472.89327526</v>
      </c>
      <c r="J13" s="320">
        <f t="shared" ca="1" si="4"/>
        <v>0</v>
      </c>
      <c r="K13" s="320">
        <f t="shared" ca="1" si="5"/>
        <v>0</v>
      </c>
      <c r="L13" s="320">
        <f ca="1">IF(J13&lt;0,IF('20. Balance '!D13&gt;-J13,J13,-'20. Balance '!D13),0)</f>
        <v>0</v>
      </c>
      <c r="M13" s="320">
        <f t="shared" ca="1" si="6"/>
        <v>0</v>
      </c>
      <c r="N13" s="320">
        <f t="shared" ca="1" si="7"/>
        <v>0</v>
      </c>
      <c r="O13" s="320">
        <f ca="1">IF(M13&lt;0,IF('20. Balance '!E13&gt;-M13,M13,-'20. Balance '!E13),0)</f>
        <v>0</v>
      </c>
      <c r="P13" s="320">
        <f t="shared" ca="1" si="8"/>
        <v>0</v>
      </c>
    </row>
    <row r="14" spans="1:67" ht="15.75" customHeight="1">
      <c r="A14" s="97"/>
      <c r="B14" s="183">
        <f t="shared" si="9"/>
        <v>33</v>
      </c>
      <c r="C14" s="320">
        <f ca="1"/>
        <v>865489992.34447026</v>
      </c>
      <c r="D14" s="320">
        <v>962228769.69429898</v>
      </c>
      <c r="E14" s="320">
        <f t="shared" ca="1" si="0"/>
        <v>-96738777.34982872</v>
      </c>
      <c r="F14" s="320">
        <f t="shared" ca="1" si="10"/>
        <v>159776535.1346671</v>
      </c>
      <c r="G14" s="320">
        <f t="shared" si="11"/>
        <v>286805008.02794236</v>
      </c>
      <c r="H14" s="320">
        <f t="shared" ca="1" si="2"/>
        <v>127028472.89327526</v>
      </c>
      <c r="I14" s="320">
        <f t="shared" ca="1" si="3"/>
        <v>-96738777.34982872</v>
      </c>
      <c r="J14" s="320">
        <f t="shared" ca="1" si="4"/>
        <v>0</v>
      </c>
      <c r="K14" s="320">
        <f t="shared" ca="1" si="5"/>
        <v>0</v>
      </c>
      <c r="L14" s="320">
        <f ca="1">IF(J14&lt;0,IF('20. Balance '!D14&gt;-J14,J14,-'20. Balance '!D14),0)</f>
        <v>0</v>
      </c>
      <c r="M14" s="320">
        <f t="shared" ca="1" si="6"/>
        <v>0</v>
      </c>
      <c r="N14" s="320">
        <f t="shared" ca="1" si="7"/>
        <v>0</v>
      </c>
      <c r="O14" s="320">
        <f ca="1">IF(M14&lt;0,IF('20. Balance '!E14&gt;-M14,M14,-'20. Balance '!E14),0)</f>
        <v>0</v>
      </c>
      <c r="P14" s="320">
        <f t="shared" ca="1" si="8"/>
        <v>0</v>
      </c>
    </row>
    <row r="15" spans="1:67" ht="15.75" customHeight="1">
      <c r="A15" s="97"/>
      <c r="B15" s="183">
        <f t="shared" si="9"/>
        <v>34</v>
      </c>
      <c r="C15" s="320">
        <f ca="1"/>
        <v>1052736508.892107</v>
      </c>
      <c r="D15" s="320">
        <v>1023038647.7095261</v>
      </c>
      <c r="E15" s="320">
        <f t="shared" ca="1" si="0"/>
        <v>29697861.182580948</v>
      </c>
      <c r="F15" s="320">
        <f t="shared" ca="1" si="10"/>
        <v>190066230.67811364</v>
      </c>
      <c r="G15" s="320">
        <f t="shared" si="11"/>
        <v>286805008.02794236</v>
      </c>
      <c r="H15" s="320">
        <f t="shared" ca="1" si="2"/>
        <v>96738777.34982872</v>
      </c>
      <c r="I15" s="320">
        <f t="shared" ca="1" si="3"/>
        <v>0</v>
      </c>
      <c r="J15" s="320">
        <f t="shared" ca="1" si="4"/>
        <v>-67040916.167247772</v>
      </c>
      <c r="K15" s="320">
        <f t="shared" ca="1" si="5"/>
        <v>0</v>
      </c>
      <c r="L15" s="320">
        <f ca="1">IF(J15&lt;0,IF('20. Balance '!D15&gt;-J15,J15,-'20. Balance '!D15),0)</f>
        <v>-67040916.167247772</v>
      </c>
      <c r="M15" s="320">
        <f t="shared" ca="1" si="6"/>
        <v>0</v>
      </c>
      <c r="N15" s="320">
        <f t="shared" ca="1" si="7"/>
        <v>0</v>
      </c>
      <c r="O15" s="320">
        <f ca="1">IF(M15&lt;0,IF('20. Balance '!E15&gt;-M15,M15,-'20. Balance '!E15),0)</f>
        <v>0</v>
      </c>
      <c r="P15" s="320">
        <f t="shared" ca="1" si="8"/>
        <v>0</v>
      </c>
    </row>
    <row r="16" spans="1:67" ht="15.75" customHeight="1">
      <c r="A16" s="97"/>
      <c r="B16" s="183">
        <f t="shared" si="9"/>
        <v>35</v>
      </c>
      <c r="C16" s="320">
        <f ca="1"/>
        <v>1142852710.1540847</v>
      </c>
      <c r="D16" s="320">
        <v>1057695915.6246729</v>
      </c>
      <c r="E16" s="320">
        <f t="shared" ca="1" si="0"/>
        <v>85156794.529411793</v>
      </c>
      <c r="F16" s="320">
        <f t="shared" ca="1" si="10"/>
        <v>286805008.02794236</v>
      </c>
      <c r="G16" s="320">
        <f t="shared" si="11"/>
        <v>286805008.02794236</v>
      </c>
      <c r="H16" s="320">
        <f t="shared" ca="1" si="2"/>
        <v>0</v>
      </c>
      <c r="I16" s="320">
        <f t="shared" ca="1" si="3"/>
        <v>0</v>
      </c>
      <c r="J16" s="320">
        <f t="shared" ca="1" si="4"/>
        <v>85156794.529411793</v>
      </c>
      <c r="K16" s="320">
        <f t="shared" ca="1" si="5"/>
        <v>51094076.717647076</v>
      </c>
      <c r="L16" s="320">
        <f ca="1">IF(J16&lt;0,IF('20. Balance '!D16&gt;-J16,J16,-'20. Balance '!D16),0)</f>
        <v>0</v>
      </c>
      <c r="M16" s="320">
        <f t="shared" ca="1" si="6"/>
        <v>34062717.811764717</v>
      </c>
      <c r="N16" s="320">
        <f t="shared" ca="1" si="7"/>
        <v>34062717.811764717</v>
      </c>
      <c r="O16" s="320">
        <f ca="1">IF(M16&lt;0,IF('20. Balance '!E16&gt;-M16,M16,-'20. Balance '!E16),0)</f>
        <v>0</v>
      </c>
      <c r="P16" s="320">
        <f t="shared" ca="1" si="8"/>
        <v>0</v>
      </c>
    </row>
    <row r="17" spans="1:16" ht="15.75" customHeight="1">
      <c r="A17" s="97"/>
      <c r="B17" s="183">
        <f t="shared" si="9"/>
        <v>36</v>
      </c>
      <c r="C17" s="320">
        <f ca="1"/>
        <v>1174412462.9717987</v>
      </c>
      <c r="D17" s="320">
        <v>1076149694.986624</v>
      </c>
      <c r="E17" s="320">
        <f t="shared" ca="1" si="0"/>
        <v>98262767.985174656</v>
      </c>
      <c r="F17" s="320">
        <f t="shared" ca="1" si="10"/>
        <v>286805008.02794236</v>
      </c>
      <c r="G17" s="320">
        <f t="shared" si="11"/>
        <v>286805008.02794236</v>
      </c>
      <c r="H17" s="320">
        <f t="shared" ca="1" si="2"/>
        <v>0</v>
      </c>
      <c r="I17" s="320">
        <f t="shared" ca="1" si="3"/>
        <v>0</v>
      </c>
      <c r="J17" s="320">
        <f t="shared" ca="1" si="4"/>
        <v>98262767.985174656</v>
      </c>
      <c r="K17" s="320">
        <f t="shared" ca="1" si="5"/>
        <v>58957660.791104794</v>
      </c>
      <c r="L17" s="320">
        <f ca="1">IF(J17&lt;0,IF('20. Balance '!D17&gt;-J17,J17,-'20. Balance '!D17),0)</f>
        <v>0</v>
      </c>
      <c r="M17" s="320">
        <f t="shared" ca="1" si="6"/>
        <v>39305107.194069862</v>
      </c>
      <c r="N17" s="320">
        <f t="shared" ca="1" si="7"/>
        <v>39305107.194069862</v>
      </c>
      <c r="O17" s="320">
        <f ca="1">IF(M17&lt;0,IF('20. Balance '!E17&gt;-M17,M17,-'20. Balance '!E17),0)</f>
        <v>0</v>
      </c>
      <c r="P17" s="320">
        <f t="shared" ca="1" si="8"/>
        <v>0</v>
      </c>
    </row>
    <row r="18" spans="1:16" ht="15.75" customHeight="1">
      <c r="A18" s="97"/>
      <c r="B18" s="183">
        <f t="shared" si="9"/>
        <v>37</v>
      </c>
      <c r="C18" s="320">
        <f ca="1"/>
        <v>1562395638.4563849</v>
      </c>
      <c r="D18" s="320">
        <v>1210604883.5620852</v>
      </c>
      <c r="E18" s="320">
        <f t="shared" ca="1" si="0"/>
        <v>351790754.89429975</v>
      </c>
      <c r="F18" s="320">
        <f t="shared" ca="1" si="10"/>
        <v>286805008.02794236</v>
      </c>
      <c r="G18" s="320">
        <f t="shared" si="11"/>
        <v>286805008.02794236</v>
      </c>
      <c r="H18" s="320">
        <f t="shared" ca="1" si="2"/>
        <v>0</v>
      </c>
      <c r="I18" s="320">
        <f t="shared" ca="1" si="3"/>
        <v>0</v>
      </c>
      <c r="J18" s="320">
        <f t="shared" ca="1" si="4"/>
        <v>351790754.89429975</v>
      </c>
      <c r="K18" s="320">
        <f t="shared" ca="1" si="5"/>
        <v>211074452.93657985</v>
      </c>
      <c r="L18" s="320">
        <f ca="1">IF(J18&lt;0,IF('20. Balance '!D18&gt;-J18,J18,-'20. Balance '!D18),0)</f>
        <v>0</v>
      </c>
      <c r="M18" s="320">
        <f t="shared" ca="1" si="6"/>
        <v>140716301.95771989</v>
      </c>
      <c r="N18" s="320">
        <f t="shared" ca="1" si="7"/>
        <v>140716301.95771989</v>
      </c>
      <c r="O18" s="320">
        <f ca="1">IF(M18&lt;0,IF('20. Balance '!E18&gt;-M18,M18,-'20. Balance '!E18),0)</f>
        <v>0</v>
      </c>
      <c r="P18" s="320">
        <f t="shared" ca="1" si="8"/>
        <v>0</v>
      </c>
    </row>
    <row r="19" spans="1:16" ht="15.75" customHeight="1">
      <c r="A19" s="97"/>
      <c r="B19" s="183">
        <f t="shared" si="9"/>
        <v>38</v>
      </c>
      <c r="C19" s="320">
        <f ca="1"/>
        <v>1598570858.1034198</v>
      </c>
      <c r="D19" s="320">
        <v>1249402656.3519034</v>
      </c>
      <c r="E19" s="320">
        <f t="shared" ca="1" si="0"/>
        <v>349168201.75151634</v>
      </c>
      <c r="F19" s="320">
        <f t="shared" ca="1" si="10"/>
        <v>286805008.02794236</v>
      </c>
      <c r="G19" s="320">
        <f t="shared" si="11"/>
        <v>286805008.02794236</v>
      </c>
      <c r="H19" s="320">
        <f t="shared" ca="1" si="2"/>
        <v>0</v>
      </c>
      <c r="I19" s="320">
        <f t="shared" ca="1" si="3"/>
        <v>0</v>
      </c>
      <c r="J19" s="320">
        <f t="shared" ca="1" si="4"/>
        <v>349168201.75151634</v>
      </c>
      <c r="K19" s="320">
        <f t="shared" ca="1" si="5"/>
        <v>209500921.05090979</v>
      </c>
      <c r="L19" s="320">
        <f ca="1">IF(J19&lt;0,IF('20. Balance '!D19&gt;-J19,J19,-'20. Balance '!D19),0)</f>
        <v>0</v>
      </c>
      <c r="M19" s="320">
        <f t="shared" ca="1" si="6"/>
        <v>139667280.70060655</v>
      </c>
      <c r="N19" s="320">
        <f t="shared" ca="1" si="7"/>
        <v>139667280.70060655</v>
      </c>
      <c r="O19" s="320">
        <f ca="1">IF(M19&lt;0,IF('20. Balance '!E19&gt;-M19,M19,-'20. Balance '!E19),0)</f>
        <v>0</v>
      </c>
      <c r="P19" s="320">
        <f t="shared" ca="1" si="8"/>
        <v>0</v>
      </c>
    </row>
    <row r="20" spans="1:16" ht="15.75" customHeight="1">
      <c r="A20" s="97"/>
      <c r="B20" s="183">
        <f t="shared" si="9"/>
        <v>39</v>
      </c>
      <c r="C20" s="320">
        <f ca="1"/>
        <v>1996603907.4558527</v>
      </c>
      <c r="D20" s="320">
        <v>1408580257.1932843</v>
      </c>
      <c r="E20" s="320">
        <f t="shared" ca="1" si="0"/>
        <v>588023650.26256847</v>
      </c>
      <c r="F20" s="320">
        <f t="shared" ca="1" si="10"/>
        <v>286805008.02794236</v>
      </c>
      <c r="G20" s="320">
        <f t="shared" si="11"/>
        <v>286805008.02794236</v>
      </c>
      <c r="H20" s="320">
        <f t="shared" ca="1" si="2"/>
        <v>0</v>
      </c>
      <c r="I20" s="320">
        <f t="shared" ca="1" si="3"/>
        <v>0</v>
      </c>
      <c r="J20" s="320">
        <f t="shared" ca="1" si="4"/>
        <v>588023650.26256847</v>
      </c>
      <c r="K20" s="320">
        <f t="shared" ca="1" si="5"/>
        <v>352814190.1575411</v>
      </c>
      <c r="L20" s="320">
        <f ca="1">IF(J20&lt;0,IF('20. Balance '!D20&gt;-J20,J20,-'20. Balance '!D20),0)</f>
        <v>0</v>
      </c>
      <c r="M20" s="320">
        <f t="shared" ca="1" si="6"/>
        <v>235209460.10502738</v>
      </c>
      <c r="N20" s="320">
        <f t="shared" ca="1" si="7"/>
        <v>235209460.10502738</v>
      </c>
      <c r="O20" s="320">
        <f ca="1">IF(M20&lt;0,IF('20. Balance '!E20&gt;-M20,M20,-'20. Balance '!E20),0)</f>
        <v>0</v>
      </c>
      <c r="P20" s="320">
        <f t="shared" ca="1" si="8"/>
        <v>0</v>
      </c>
    </row>
    <row r="21" spans="1:16" ht="15.75" customHeight="1">
      <c r="A21" s="97"/>
      <c r="B21" s="183">
        <f t="shared" si="9"/>
        <v>40</v>
      </c>
      <c r="C21" s="320">
        <f ca="1"/>
        <v>2159300166.658246</v>
      </c>
      <c r="D21" s="320">
        <v>1440966697.8028271</v>
      </c>
      <c r="E21" s="320">
        <f t="shared" ca="1" si="0"/>
        <v>718333468.85541892</v>
      </c>
      <c r="F21" s="320">
        <f t="shared" ca="1" si="10"/>
        <v>286805008.02794236</v>
      </c>
      <c r="G21" s="320">
        <f t="shared" si="11"/>
        <v>286805008.02794236</v>
      </c>
      <c r="H21" s="320">
        <f t="shared" ca="1" si="2"/>
        <v>0</v>
      </c>
      <c r="I21" s="320">
        <f t="shared" ca="1" si="3"/>
        <v>0</v>
      </c>
      <c r="J21" s="320">
        <f t="shared" ca="1" si="4"/>
        <v>718333468.85541892</v>
      </c>
      <c r="K21" s="320">
        <f t="shared" ca="1" si="5"/>
        <v>431000081.31325132</v>
      </c>
      <c r="L21" s="320">
        <f ca="1">IF(J21&lt;0,IF('20. Balance '!D21&gt;-J21,J21,-'20. Balance '!D21),0)</f>
        <v>0</v>
      </c>
      <c r="M21" s="320">
        <f t="shared" ca="1" si="6"/>
        <v>287333387.5421676</v>
      </c>
      <c r="N21" s="320">
        <f t="shared" ca="1" si="7"/>
        <v>287333387.5421676</v>
      </c>
      <c r="O21" s="320">
        <f ca="1">IF(M21&lt;0,IF('20. Balance '!E21&gt;-M21,M21,-'20. Balance '!E21),0)</f>
        <v>0</v>
      </c>
      <c r="P21" s="320">
        <f t="shared" ca="1" si="8"/>
        <v>0</v>
      </c>
    </row>
    <row r="22" spans="1:16" ht="15.75" customHeight="1">
      <c r="A22" s="97"/>
      <c r="B22" s="183">
        <f t="shared" si="9"/>
        <v>41</v>
      </c>
      <c r="C22" s="320">
        <f ca="1"/>
        <v>2294399118.5977859</v>
      </c>
      <c r="D22" s="320">
        <v>1474647241.766331</v>
      </c>
      <c r="E22" s="320">
        <f t="shared" ca="1" si="0"/>
        <v>819751876.83145499</v>
      </c>
      <c r="F22" s="320">
        <f t="shared" ca="1" si="10"/>
        <v>286805008.02794236</v>
      </c>
      <c r="G22" s="320">
        <f t="shared" si="11"/>
        <v>286805008.02794236</v>
      </c>
      <c r="H22" s="320">
        <f t="shared" ca="1" si="2"/>
        <v>0</v>
      </c>
      <c r="I22" s="320">
        <f t="shared" ca="1" si="3"/>
        <v>0</v>
      </c>
      <c r="J22" s="320">
        <f t="shared" ca="1" si="4"/>
        <v>819751876.83145499</v>
      </c>
      <c r="K22" s="320">
        <f t="shared" ca="1" si="5"/>
        <v>491851126.09887296</v>
      </c>
      <c r="L22" s="320">
        <f ca="1">IF(J22&lt;0,IF('20. Balance '!D22&gt;-J22,J22,-'20. Balance '!D22),0)</f>
        <v>0</v>
      </c>
      <c r="M22" s="320">
        <f t="shared" ca="1" si="6"/>
        <v>327900750.73258203</v>
      </c>
      <c r="N22" s="320">
        <f t="shared" ca="1" si="7"/>
        <v>327900750.73258203</v>
      </c>
      <c r="O22" s="320">
        <f ca="1">IF(M22&lt;0,IF('20. Balance '!E22&gt;-M22,M22,-'20. Balance '!E22),0)</f>
        <v>0</v>
      </c>
      <c r="P22" s="320">
        <f t="shared" ca="1" si="8"/>
        <v>0</v>
      </c>
    </row>
    <row r="23" spans="1:16" ht="15.75" customHeight="1">
      <c r="A23" s="97"/>
      <c r="B23" s="183">
        <f t="shared" si="9"/>
        <v>42</v>
      </c>
      <c r="C23" s="320">
        <f ca="1"/>
        <v>2378268631.4198012</v>
      </c>
      <c r="D23" s="320">
        <v>1062339641.1048973</v>
      </c>
      <c r="E23" s="320">
        <f t="shared" ca="1" si="0"/>
        <v>1315928990.314904</v>
      </c>
      <c r="F23" s="320">
        <f t="shared" ca="1" si="10"/>
        <v>286805008.02794236</v>
      </c>
      <c r="G23" s="320">
        <f t="shared" si="11"/>
        <v>286805008.02794236</v>
      </c>
      <c r="H23" s="320">
        <f t="shared" ca="1" si="2"/>
        <v>0</v>
      </c>
      <c r="I23" s="320">
        <f t="shared" ca="1" si="3"/>
        <v>0</v>
      </c>
      <c r="J23" s="320">
        <f t="shared" ca="1" si="4"/>
        <v>1315928990.314904</v>
      </c>
      <c r="K23" s="320">
        <f t="shared" ca="1" si="5"/>
        <v>789557394.18894231</v>
      </c>
      <c r="L23" s="320">
        <f ca="1">IF(J23&lt;0,IF('20. Balance '!D23&gt;-J23,J23,-'20. Balance '!D23),0)</f>
        <v>0</v>
      </c>
      <c r="M23" s="320">
        <f t="shared" ca="1" si="6"/>
        <v>526371596.12596166</v>
      </c>
      <c r="N23" s="320">
        <f t="shared" ca="1" si="7"/>
        <v>526371596.12596166</v>
      </c>
      <c r="O23" s="320">
        <f ca="1">IF(M23&lt;0,IF('20. Balance '!E23&gt;-M23,M23,-'20. Balance '!E23),0)</f>
        <v>0</v>
      </c>
      <c r="P23" s="320">
        <f t="shared" ca="1" si="8"/>
        <v>0</v>
      </c>
    </row>
    <row r="24" spans="1:16" ht="15.75" customHeight="1">
      <c r="A24" s="97"/>
      <c r="B24" s="183">
        <f t="shared" si="9"/>
        <v>43</v>
      </c>
      <c r="C24" s="320">
        <f ca="1"/>
        <v>2534879256.5212345</v>
      </c>
      <c r="D24" s="320">
        <v>1097712942.0216291</v>
      </c>
      <c r="E24" s="320">
        <f t="shared" ca="1" si="0"/>
        <v>1437166314.4996054</v>
      </c>
      <c r="F24" s="320">
        <f t="shared" ca="1" si="10"/>
        <v>286805008.02794236</v>
      </c>
      <c r="G24" s="320">
        <f t="shared" si="11"/>
        <v>286805008.02794236</v>
      </c>
      <c r="H24" s="320">
        <f t="shared" ca="1" si="2"/>
        <v>0</v>
      </c>
      <c r="I24" s="320">
        <f t="shared" ca="1" si="3"/>
        <v>0</v>
      </c>
      <c r="J24" s="320">
        <f t="shared" ca="1" si="4"/>
        <v>1437166314.4996054</v>
      </c>
      <c r="K24" s="320">
        <f t="shared" ca="1" si="5"/>
        <v>862299788.69976318</v>
      </c>
      <c r="L24" s="320">
        <f ca="1">IF(J24&lt;0,IF('20. Balance '!D24&gt;-J24,J24,-'20. Balance '!D24),0)</f>
        <v>0</v>
      </c>
      <c r="M24" s="320">
        <f t="shared" ca="1" si="6"/>
        <v>574866525.79984224</v>
      </c>
      <c r="N24" s="320">
        <f t="shared" ca="1" si="7"/>
        <v>574866525.79984224</v>
      </c>
      <c r="O24" s="320">
        <f ca="1">IF(M24&lt;0,IF('20. Balance '!E24&gt;-M24,M24,-'20. Balance '!E24),0)</f>
        <v>0</v>
      </c>
      <c r="P24" s="320">
        <f t="shared" ca="1" si="8"/>
        <v>0</v>
      </c>
    </row>
    <row r="25" spans="1:16" ht="15.75" customHeight="1">
      <c r="A25" s="97"/>
      <c r="B25" s="183">
        <f t="shared" si="9"/>
        <v>44</v>
      </c>
      <c r="C25" s="320">
        <f ca="1"/>
        <v>2736632516.6153374</v>
      </c>
      <c r="D25" s="320">
        <v>1134105347.7377722</v>
      </c>
      <c r="E25" s="320">
        <f t="shared" ca="1" si="0"/>
        <v>1602527168.8775651</v>
      </c>
      <c r="F25" s="320">
        <f t="shared" ca="1" si="10"/>
        <v>286805008.02794236</v>
      </c>
      <c r="G25" s="320">
        <f t="shared" si="11"/>
        <v>286805008.02794236</v>
      </c>
      <c r="H25" s="320">
        <f t="shared" ca="1" si="2"/>
        <v>0</v>
      </c>
      <c r="I25" s="320">
        <f t="shared" ca="1" si="3"/>
        <v>0</v>
      </c>
      <c r="J25" s="320">
        <f t="shared" ca="1" si="4"/>
        <v>1602527168.8775651</v>
      </c>
      <c r="K25" s="320">
        <f t="shared" ca="1" si="5"/>
        <v>961516301.32653904</v>
      </c>
      <c r="L25" s="320">
        <f ca="1">IF(J25&lt;0,IF('20. Balance '!D25&gt;-J25,J25,-'20. Balance '!D25),0)</f>
        <v>0</v>
      </c>
      <c r="M25" s="320">
        <f t="shared" ca="1" si="6"/>
        <v>641010867.55102611</v>
      </c>
      <c r="N25" s="320">
        <f t="shared" ca="1" si="7"/>
        <v>641010867.55102611</v>
      </c>
      <c r="O25" s="320">
        <f ca="1">IF(M25&lt;0,IF('20. Balance '!E25&gt;-M25,M25,-'20. Balance '!E25),0)</f>
        <v>0</v>
      </c>
      <c r="P25" s="320">
        <f t="shared" ca="1" si="8"/>
        <v>0</v>
      </c>
    </row>
    <row r="26" spans="1:16" ht="15.75" customHeight="1">
      <c r="A26" s="97"/>
      <c r="B26" s="183">
        <f t="shared" si="9"/>
        <v>45</v>
      </c>
      <c r="C26" s="320">
        <f ca="1"/>
        <v>2874228467.5242181</v>
      </c>
      <c r="D26" s="320">
        <v>2128036903.7780776</v>
      </c>
      <c r="E26" s="320">
        <f t="shared" ca="1" si="0"/>
        <v>746191563.74614048</v>
      </c>
      <c r="F26" s="320">
        <f t="shared" ca="1" si="10"/>
        <v>286805008.02794236</v>
      </c>
      <c r="G26" s="320">
        <f t="shared" si="11"/>
        <v>286805008.02794236</v>
      </c>
      <c r="H26" s="320">
        <f t="shared" ca="1" si="2"/>
        <v>0</v>
      </c>
      <c r="I26" s="320">
        <f t="shared" ca="1" si="3"/>
        <v>0</v>
      </c>
      <c r="J26" s="320">
        <f t="shared" ca="1" si="4"/>
        <v>746191563.74614048</v>
      </c>
      <c r="K26" s="320">
        <f t="shared" ca="1" si="5"/>
        <v>447714938.2476843</v>
      </c>
      <c r="L26" s="320">
        <f ca="1">IF(J26&lt;0,IF('20. Balance '!D26&gt;-J26,J26,-'20. Balance '!D26),0)</f>
        <v>0</v>
      </c>
      <c r="M26" s="320">
        <f t="shared" ca="1" si="6"/>
        <v>298476625.49845618</v>
      </c>
      <c r="N26" s="320">
        <f t="shared" ca="1" si="7"/>
        <v>298476625.49845618</v>
      </c>
      <c r="O26" s="320">
        <f ca="1">IF(M26&lt;0,IF('20. Balance '!E26&gt;-M26,M26,-'20. Balance '!E26),0)</f>
        <v>0</v>
      </c>
      <c r="P26" s="320">
        <f t="shared" ca="1" si="8"/>
        <v>0</v>
      </c>
    </row>
    <row r="27" spans="1:16" ht="15.75" customHeight="1">
      <c r="A27" s="97"/>
      <c r="B27" s="183">
        <f t="shared" si="9"/>
        <v>46</v>
      </c>
      <c r="C27" s="320">
        <f ca="1"/>
        <v>2519058814.2134566</v>
      </c>
      <c r="D27" s="320">
        <v>1290830375.257827</v>
      </c>
      <c r="E27" s="320">
        <f t="shared" ca="1" si="0"/>
        <v>1228228438.9556296</v>
      </c>
      <c r="F27" s="320">
        <f t="shared" ca="1" si="10"/>
        <v>286805008.02794236</v>
      </c>
      <c r="G27" s="320">
        <f t="shared" si="11"/>
        <v>286805008.02794236</v>
      </c>
      <c r="H27" s="320">
        <f t="shared" ca="1" si="2"/>
        <v>0</v>
      </c>
      <c r="I27" s="320">
        <f t="shared" ca="1" si="3"/>
        <v>0</v>
      </c>
      <c r="J27" s="320">
        <f t="shared" ca="1" si="4"/>
        <v>1228228438.9556296</v>
      </c>
      <c r="K27" s="320">
        <f t="shared" ca="1" si="5"/>
        <v>736937063.37337768</v>
      </c>
      <c r="L27" s="320">
        <f ca="1">IF(J27&lt;0,IF('20. Balance '!D27&gt;-J27,J27,-'20. Balance '!D27),0)</f>
        <v>0</v>
      </c>
      <c r="M27" s="320">
        <f t="shared" ca="1" si="6"/>
        <v>491291375.58225191</v>
      </c>
      <c r="N27" s="320">
        <f t="shared" ca="1" si="7"/>
        <v>491291375.58225191</v>
      </c>
      <c r="O27" s="320">
        <f ca="1">IF(M27&lt;0,IF('20. Balance '!E27&gt;-M27,M27,-'20. Balance '!E27),0)</f>
        <v>0</v>
      </c>
      <c r="P27" s="320">
        <f t="shared" ca="1" si="8"/>
        <v>0</v>
      </c>
    </row>
    <row r="28" spans="1:16" ht="15.75" customHeight="1">
      <c r="A28" s="97"/>
      <c r="B28" s="183">
        <f t="shared" si="9"/>
        <v>47</v>
      </c>
      <c r="C28" s="320">
        <f ca="1"/>
        <v>2682177202.8291512</v>
      </c>
      <c r="D28" s="320">
        <v>1331547116.3567731</v>
      </c>
      <c r="E28" s="320">
        <f t="shared" ca="1" si="0"/>
        <v>1350630086.472378</v>
      </c>
      <c r="F28" s="320">
        <f t="shared" ca="1" si="10"/>
        <v>286805008.02794236</v>
      </c>
      <c r="G28" s="320">
        <f t="shared" si="11"/>
        <v>286805008.02794236</v>
      </c>
      <c r="H28" s="320">
        <f t="shared" ca="1" si="2"/>
        <v>0</v>
      </c>
      <c r="I28" s="320">
        <f t="shared" ca="1" si="3"/>
        <v>0</v>
      </c>
      <c r="J28" s="320">
        <f t="shared" ca="1" si="4"/>
        <v>1350630086.472378</v>
      </c>
      <c r="K28" s="320">
        <f t="shared" ca="1" si="5"/>
        <v>810378051.88342679</v>
      </c>
      <c r="L28" s="320">
        <f ca="1">IF(J28&lt;0,IF('20. Balance '!D28&gt;-J28,J28,-'20. Balance '!D28),0)</f>
        <v>0</v>
      </c>
      <c r="M28" s="320">
        <f t="shared" ca="1" si="6"/>
        <v>540252034.58895123</v>
      </c>
      <c r="N28" s="320">
        <f t="shared" ca="1" si="7"/>
        <v>540252034.58895123</v>
      </c>
      <c r="O28" s="320">
        <f ca="1">IF(M28&lt;0,IF('20. Balance '!E28&gt;-M28,M28,-'20. Balance '!E28),0)</f>
        <v>0</v>
      </c>
      <c r="P28" s="320">
        <f t="shared" ca="1" si="8"/>
        <v>0</v>
      </c>
    </row>
    <row r="29" spans="1:16" ht="15.75" customHeight="1">
      <c r="A29" s="97"/>
      <c r="B29" s="183">
        <f t="shared" si="9"/>
        <v>48</v>
      </c>
      <c r="C29" s="320">
        <f ca="1"/>
        <v>3170999430.3250313</v>
      </c>
      <c r="D29" s="320">
        <v>1377134966.1945157</v>
      </c>
      <c r="E29" s="320">
        <f t="shared" ca="1" si="0"/>
        <v>1793864464.1305156</v>
      </c>
      <c r="F29" s="320">
        <f t="shared" ca="1" si="10"/>
        <v>286805008.02794236</v>
      </c>
      <c r="G29" s="320">
        <f t="shared" si="11"/>
        <v>286805008.02794236</v>
      </c>
      <c r="H29" s="320">
        <f t="shared" ca="1" si="2"/>
        <v>0</v>
      </c>
      <c r="I29" s="320">
        <f t="shared" ca="1" si="3"/>
        <v>0</v>
      </c>
      <c r="J29" s="320">
        <f t="shared" ca="1" si="4"/>
        <v>1793864464.1305156</v>
      </c>
      <c r="K29" s="320">
        <f t="shared" ca="1" si="5"/>
        <v>1076318678.4783094</v>
      </c>
      <c r="L29" s="320">
        <f ca="1">IF(J29&lt;0,IF('20. Balance '!D29&gt;-J29,J29,-'20. Balance '!D29),0)</f>
        <v>0</v>
      </c>
      <c r="M29" s="320">
        <f t="shared" ca="1" si="6"/>
        <v>717545785.65220618</v>
      </c>
      <c r="N29" s="320">
        <f t="shared" ca="1" si="7"/>
        <v>717545785.65220618</v>
      </c>
      <c r="O29" s="320">
        <f ca="1">IF(M29&lt;0,IF('20. Balance '!E29&gt;-M29,M29,-'20. Balance '!E29),0)</f>
        <v>0</v>
      </c>
      <c r="P29" s="320">
        <f t="shared" ca="1" si="8"/>
        <v>0</v>
      </c>
    </row>
    <row r="30" spans="1:16" ht="15.75" customHeight="1">
      <c r="A30" s="97"/>
      <c r="B30" s="183">
        <f t="shared" si="9"/>
        <v>49</v>
      </c>
      <c r="C30" s="320">
        <f ca="1"/>
        <v>3283750546.9813709</v>
      </c>
      <c r="D30" s="320">
        <v>1424552024.8959351</v>
      </c>
      <c r="E30" s="320">
        <f t="shared" ca="1" si="0"/>
        <v>1859198522.0854359</v>
      </c>
      <c r="F30" s="320">
        <f t="shared" ca="1" si="10"/>
        <v>286805008.02794236</v>
      </c>
      <c r="G30" s="320">
        <f t="shared" si="11"/>
        <v>286805008.02794236</v>
      </c>
      <c r="H30" s="320">
        <f t="shared" ca="1" si="2"/>
        <v>0</v>
      </c>
      <c r="I30" s="320">
        <f t="shared" ca="1" si="3"/>
        <v>0</v>
      </c>
      <c r="J30" s="320">
        <f t="shared" ca="1" si="4"/>
        <v>1859198522.0854359</v>
      </c>
      <c r="K30" s="320">
        <f t="shared" ca="1" si="5"/>
        <v>1115519113.2512615</v>
      </c>
      <c r="L30" s="320">
        <f ca="1">IF(J30&lt;0,IF('20. Balance '!D30&gt;-J30,J30,-'20. Balance '!D30),0)</f>
        <v>0</v>
      </c>
      <c r="M30" s="320">
        <f t="shared" ca="1" si="6"/>
        <v>743679408.83417439</v>
      </c>
      <c r="N30" s="320">
        <f t="shared" ca="1" si="7"/>
        <v>743679408.83417439</v>
      </c>
      <c r="O30" s="320">
        <f ca="1">IF(M30&lt;0,IF('20. Balance '!E30&gt;-M30,M30,-'20. Balance '!E30),0)</f>
        <v>0</v>
      </c>
      <c r="P30" s="320">
        <f t="shared" ca="1" si="8"/>
        <v>0</v>
      </c>
    </row>
    <row r="31" spans="1:16" ht="15.75" customHeight="1">
      <c r="A31" s="97"/>
      <c r="B31" s="183">
        <f t="shared" si="9"/>
        <v>50</v>
      </c>
      <c r="C31" s="320">
        <f ca="1"/>
        <v>3360856332.2769804</v>
      </c>
      <c r="D31" s="320">
        <v>1322099300.5554569</v>
      </c>
      <c r="E31" s="320">
        <f t="shared" ca="1" si="0"/>
        <v>2038757031.7215235</v>
      </c>
      <c r="F31" s="320">
        <f t="shared" ca="1" si="10"/>
        <v>286805008.02794236</v>
      </c>
      <c r="G31" s="320">
        <f t="shared" si="11"/>
        <v>286805008.02794236</v>
      </c>
      <c r="H31" s="320">
        <f t="shared" ca="1" si="2"/>
        <v>0</v>
      </c>
      <c r="I31" s="320">
        <f t="shared" ca="1" si="3"/>
        <v>0</v>
      </c>
      <c r="J31" s="320">
        <f t="shared" ca="1" si="4"/>
        <v>2038757031.7215235</v>
      </c>
      <c r="K31" s="320">
        <f t="shared" ca="1" si="5"/>
        <v>1223254219.0329142</v>
      </c>
      <c r="L31" s="320">
        <f ca="1">IF(J31&lt;0,IF('20. Balance '!D31&gt;-J31,J31,-'20. Balance '!D31),0)</f>
        <v>0</v>
      </c>
      <c r="M31" s="320">
        <f t="shared" ca="1" si="6"/>
        <v>815502812.68860936</v>
      </c>
      <c r="N31" s="320">
        <f t="shared" ca="1" si="7"/>
        <v>815502812.68860936</v>
      </c>
      <c r="O31" s="320">
        <f ca="1">IF(M31&lt;0,IF('20. Balance '!E31&gt;-M31,M31,-'20. Balance '!E31),0)</f>
        <v>0</v>
      </c>
      <c r="P31" s="320">
        <f t="shared" ca="1" si="8"/>
        <v>0</v>
      </c>
    </row>
    <row r="32" spans="1:16" ht="15.75" customHeight="1">
      <c r="A32" s="97"/>
      <c r="B32" s="183">
        <f t="shared" si="9"/>
        <v>51</v>
      </c>
      <c r="C32" s="320">
        <f ca="1"/>
        <v>3465667101.6143141</v>
      </c>
      <c r="D32" s="320">
        <v>1368258228.6314862</v>
      </c>
      <c r="E32" s="320">
        <f t="shared" ca="1" si="0"/>
        <v>2097408872.9828279</v>
      </c>
      <c r="F32" s="320">
        <f t="shared" ca="1" si="10"/>
        <v>286805008.02794236</v>
      </c>
      <c r="G32" s="320">
        <f t="shared" si="11"/>
        <v>286805008.02794236</v>
      </c>
      <c r="H32" s="320">
        <f t="shared" ca="1" si="2"/>
        <v>0</v>
      </c>
      <c r="I32" s="320">
        <f t="shared" ca="1" si="3"/>
        <v>0</v>
      </c>
      <c r="J32" s="320">
        <f t="shared" ca="1" si="4"/>
        <v>2097408872.9828279</v>
      </c>
      <c r="K32" s="320">
        <f t="shared" ca="1" si="5"/>
        <v>1258445323.7896967</v>
      </c>
      <c r="L32" s="320">
        <f ca="1">IF(J32&lt;0,IF('20. Balance '!D32&gt;-J32,J32,-'20. Balance '!D32),0)</f>
        <v>0</v>
      </c>
      <c r="M32" s="320">
        <f t="shared" ca="1" si="6"/>
        <v>838963549.19313121</v>
      </c>
      <c r="N32" s="320">
        <f t="shared" ca="1" si="7"/>
        <v>838963549.19313121</v>
      </c>
      <c r="O32" s="320">
        <f ca="1">IF(M32&lt;0,IF('20. Balance '!E32&gt;-M32,M32,-'20. Balance '!E32),0)</f>
        <v>0</v>
      </c>
      <c r="P32" s="320">
        <f t="shared" ca="1" si="8"/>
        <v>0</v>
      </c>
    </row>
    <row r="33" spans="1:16" ht="15.75" customHeight="1">
      <c r="A33" s="97"/>
      <c r="B33" s="183">
        <f t="shared" si="9"/>
        <v>52</v>
      </c>
      <c r="C33" s="320">
        <f ca="1"/>
        <v>3933121158.3717966</v>
      </c>
      <c r="D33" s="320">
        <v>1415499360.8583858</v>
      </c>
      <c r="E33" s="320">
        <f t="shared" ca="1" si="0"/>
        <v>2517621797.5134106</v>
      </c>
      <c r="F33" s="320">
        <f t="shared" ca="1" si="10"/>
        <v>286805008.02794236</v>
      </c>
      <c r="G33" s="320">
        <f t="shared" si="11"/>
        <v>286805008.02794236</v>
      </c>
      <c r="H33" s="320">
        <f t="shared" ca="1" si="2"/>
        <v>0</v>
      </c>
      <c r="I33" s="320">
        <f t="shared" ca="1" si="3"/>
        <v>0</v>
      </c>
      <c r="J33" s="320">
        <f t="shared" ca="1" si="4"/>
        <v>2517621797.5134106</v>
      </c>
      <c r="K33" s="320">
        <f t="shared" ca="1" si="5"/>
        <v>1510573078.5080464</v>
      </c>
      <c r="L33" s="320">
        <f ca="1">IF(J33&lt;0,IF('20. Balance '!D33&gt;-J33,J33,-'20. Balance '!D33),0)</f>
        <v>0</v>
      </c>
      <c r="M33" s="320">
        <f t="shared" ca="1" si="6"/>
        <v>1007048719.0053642</v>
      </c>
      <c r="N33" s="320">
        <f t="shared" ca="1" si="7"/>
        <v>1007048719.0053642</v>
      </c>
      <c r="O33" s="320">
        <f ca="1">IF(M33&lt;0,IF('20. Balance '!E33&gt;-M33,M33,-'20. Balance '!E33),0)</f>
        <v>0</v>
      </c>
      <c r="P33" s="320">
        <f t="shared" ca="1" si="8"/>
        <v>0</v>
      </c>
    </row>
    <row r="34" spans="1:16" ht="15.75" customHeight="1">
      <c r="A34" s="97"/>
      <c r="B34" s="183">
        <f t="shared" si="9"/>
        <v>53</v>
      </c>
      <c r="C34" s="320">
        <f ca="1"/>
        <v>3904886907.5869174</v>
      </c>
      <c r="D34" s="320">
        <v>1462129078.6807756</v>
      </c>
      <c r="E34" s="320">
        <f t="shared" ca="1" si="0"/>
        <v>2442757828.9061418</v>
      </c>
      <c r="F34" s="320">
        <f t="shared" ca="1" si="10"/>
        <v>286805008.02794236</v>
      </c>
      <c r="G34" s="320">
        <f t="shared" si="11"/>
        <v>286805008.02794236</v>
      </c>
      <c r="H34" s="320">
        <f t="shared" ca="1" si="2"/>
        <v>0</v>
      </c>
      <c r="I34" s="320">
        <f t="shared" ca="1" si="3"/>
        <v>0</v>
      </c>
      <c r="J34" s="320">
        <f t="shared" ca="1" si="4"/>
        <v>2442757828.9061418</v>
      </c>
      <c r="K34" s="320">
        <f t="shared" ca="1" si="5"/>
        <v>1465654697.3436849</v>
      </c>
      <c r="L34" s="320">
        <f ca="1">IF(J34&lt;0,IF('20. Balance '!D34&gt;-J34,J34,-'20. Balance '!D34),0)</f>
        <v>0</v>
      </c>
      <c r="M34" s="320">
        <f t="shared" ca="1" si="6"/>
        <v>977103131.56245685</v>
      </c>
      <c r="N34" s="320">
        <f t="shared" ca="1" si="7"/>
        <v>977103131.56245685</v>
      </c>
      <c r="O34" s="320">
        <f ca="1">IF(M34&lt;0,IF('20. Balance '!E34&gt;-M34,M34,-'20. Balance '!E34),0)</f>
        <v>0</v>
      </c>
      <c r="P34" s="320">
        <f t="shared" ca="1" si="8"/>
        <v>0</v>
      </c>
    </row>
    <row r="35" spans="1:16" ht="15.75" customHeight="1">
      <c r="A35" s="97"/>
      <c r="B35" s="183">
        <f t="shared" si="9"/>
        <v>54</v>
      </c>
      <c r="C35" s="320">
        <f ca="1"/>
        <v>4156927162.1799774</v>
      </c>
      <c r="D35" s="320">
        <v>1512131455.8469198</v>
      </c>
      <c r="E35" s="320">
        <f t="shared" ca="1" si="0"/>
        <v>2644795706.3330574</v>
      </c>
      <c r="F35" s="320">
        <f t="shared" ca="1" si="10"/>
        <v>286805008.02794236</v>
      </c>
      <c r="G35" s="320">
        <f t="shared" si="11"/>
        <v>286805008.02794236</v>
      </c>
      <c r="H35" s="320">
        <f t="shared" ca="1" si="2"/>
        <v>0</v>
      </c>
      <c r="I35" s="320">
        <f t="shared" ca="1" si="3"/>
        <v>0</v>
      </c>
      <c r="J35" s="320">
        <f t="shared" ca="1" si="4"/>
        <v>2644795706.3330574</v>
      </c>
      <c r="K35" s="320">
        <f t="shared" ca="1" si="5"/>
        <v>1586877423.7998345</v>
      </c>
      <c r="L35" s="320">
        <f ca="1">IF(J35&lt;0,IF('20. Balance '!D35&gt;-J35,J35,-'20. Balance '!D35),0)</f>
        <v>0</v>
      </c>
      <c r="M35" s="320">
        <f t="shared" ca="1" si="6"/>
        <v>1057918282.5332229</v>
      </c>
      <c r="N35" s="320">
        <f t="shared" ca="1" si="7"/>
        <v>1057918282.5332229</v>
      </c>
      <c r="O35" s="320">
        <f ca="1">IF(M35&lt;0,IF('20. Balance '!E35&gt;-M35,M35,-'20. Balance '!E35),0)</f>
        <v>0</v>
      </c>
      <c r="P35" s="320">
        <f t="shared" ca="1" si="8"/>
        <v>0</v>
      </c>
    </row>
    <row r="36" spans="1:16" ht="15.75" customHeight="1">
      <c r="A36" s="97"/>
      <c r="B36" s="183">
        <f t="shared" si="9"/>
        <v>55</v>
      </c>
      <c r="C36" s="320">
        <f ca="1"/>
        <v>4609056607.8827038</v>
      </c>
      <c r="D36" s="320">
        <v>1563574401.4992206</v>
      </c>
      <c r="E36" s="320">
        <f t="shared" ca="1" si="0"/>
        <v>3045482206.3834829</v>
      </c>
      <c r="F36" s="320">
        <f t="shared" ca="1" si="10"/>
        <v>286805008.02794236</v>
      </c>
      <c r="G36" s="320">
        <f t="shared" si="11"/>
        <v>286805008.02794236</v>
      </c>
      <c r="H36" s="320">
        <f t="shared" ca="1" si="2"/>
        <v>0</v>
      </c>
      <c r="I36" s="320">
        <f t="shared" ca="1" si="3"/>
        <v>0</v>
      </c>
      <c r="J36" s="320">
        <f t="shared" ca="1" si="4"/>
        <v>3045482206.3834829</v>
      </c>
      <c r="K36" s="320">
        <f t="shared" ca="1" si="5"/>
        <v>1827289323.8300898</v>
      </c>
      <c r="L36" s="320">
        <f ca="1">IF(J36&lt;0,IF('20. Balance '!D36&gt;-J36,J36,-'20. Balance '!D36),0)</f>
        <v>0</v>
      </c>
      <c r="M36" s="320">
        <f t="shared" ca="1" si="6"/>
        <v>1218192882.5533931</v>
      </c>
      <c r="N36" s="320">
        <f t="shared" ca="1" si="7"/>
        <v>1218192882.5533931</v>
      </c>
      <c r="O36" s="320">
        <f ca="1">IF(M36&lt;0,IF('20. Balance '!E36&gt;-M36,M36,-'20. Balance '!E36),0)</f>
        <v>0</v>
      </c>
      <c r="P36" s="320">
        <f t="shared" ca="1" si="8"/>
        <v>0</v>
      </c>
    </row>
    <row r="37" spans="1:16" ht="15.75" customHeight="1">
      <c r="A37" s="97"/>
      <c r="B37" s="183">
        <f t="shared" si="9"/>
        <v>56</v>
      </c>
      <c r="C37" s="320">
        <f ca="1"/>
        <v>4775410369.5598392</v>
      </c>
      <c r="D37" s="320">
        <v>1616499418.4157643</v>
      </c>
      <c r="E37" s="320">
        <f t="shared" ca="1" si="0"/>
        <v>3158910951.1440749</v>
      </c>
      <c r="F37" s="320">
        <f t="shared" ca="1" si="10"/>
        <v>286805008.02794236</v>
      </c>
      <c r="G37" s="320">
        <f t="shared" si="11"/>
        <v>286805008.02794236</v>
      </c>
      <c r="H37" s="320">
        <f t="shared" ca="1" si="2"/>
        <v>0</v>
      </c>
      <c r="I37" s="320">
        <f t="shared" ca="1" si="3"/>
        <v>0</v>
      </c>
      <c r="J37" s="320">
        <f t="shared" ca="1" si="4"/>
        <v>3158910951.1440749</v>
      </c>
      <c r="K37" s="320">
        <f t="shared" ca="1" si="5"/>
        <v>1895346570.686445</v>
      </c>
      <c r="L37" s="320">
        <f ca="1">IF(J37&lt;0,IF('20. Balance '!D37&gt;-J37,J37,-'20. Balance '!D37),0)</f>
        <v>0</v>
      </c>
      <c r="M37" s="320">
        <f t="shared" ca="1" si="6"/>
        <v>1263564380.4576299</v>
      </c>
      <c r="N37" s="320">
        <f t="shared" ca="1" si="7"/>
        <v>1263564380.4576299</v>
      </c>
      <c r="O37" s="320">
        <f ca="1">IF(M37&lt;0,IF('20. Balance '!E37&gt;-M37,M37,-'20. Balance '!E37),0)</f>
        <v>0</v>
      </c>
      <c r="P37" s="320">
        <f t="shared" ca="1" si="8"/>
        <v>0</v>
      </c>
    </row>
    <row r="38" spans="1:16" ht="15.75" customHeight="1">
      <c r="A38" s="97"/>
      <c r="B38" s="183">
        <f t="shared" si="9"/>
        <v>57</v>
      </c>
      <c r="C38" s="320">
        <f ca="1"/>
        <v>4839442814.3910084</v>
      </c>
      <c r="D38" s="320">
        <v>1669809578.0247145</v>
      </c>
      <c r="E38" s="320">
        <f t="shared" ca="1" si="0"/>
        <v>3169633236.3662939</v>
      </c>
      <c r="F38" s="320">
        <f t="shared" ca="1" si="10"/>
        <v>286805008.02794236</v>
      </c>
      <c r="G38" s="320">
        <f t="shared" si="11"/>
        <v>286805008.02794236</v>
      </c>
      <c r="H38" s="320">
        <f t="shared" ca="1" si="2"/>
        <v>0</v>
      </c>
      <c r="I38" s="320">
        <f t="shared" ca="1" si="3"/>
        <v>0</v>
      </c>
      <c r="J38" s="320">
        <f t="shared" ca="1" si="4"/>
        <v>3169633236.3662939</v>
      </c>
      <c r="K38" s="320">
        <f t="shared" ca="1" si="5"/>
        <v>1901779941.8197763</v>
      </c>
      <c r="L38" s="320">
        <f ca="1">IF(J38&lt;0,IF('20. Balance '!D38&gt;-J38,J38,-'20. Balance '!D38),0)</f>
        <v>0</v>
      </c>
      <c r="M38" s="320">
        <f t="shared" ca="1" si="6"/>
        <v>1267853294.5465176</v>
      </c>
      <c r="N38" s="320">
        <f t="shared" ca="1" si="7"/>
        <v>1267853294.5465176</v>
      </c>
      <c r="O38" s="320">
        <f ca="1">IF(M38&lt;0,IF('20. Balance '!E38&gt;-M38,M38,-'20. Balance '!E38),0)</f>
        <v>0</v>
      </c>
      <c r="P38" s="320">
        <f t="shared" ca="1" si="8"/>
        <v>0</v>
      </c>
    </row>
    <row r="39" spans="1:16" ht="15.75" customHeight="1">
      <c r="A39" s="97"/>
      <c r="B39" s="183">
        <f t="shared" si="9"/>
        <v>58</v>
      </c>
      <c r="C39" s="320">
        <f ca="1"/>
        <v>4892314929.4948568</v>
      </c>
      <c r="D39" s="320">
        <v>1725828063.0321229</v>
      </c>
      <c r="E39" s="320">
        <f t="shared" ca="1" si="0"/>
        <v>3166486866.4627342</v>
      </c>
      <c r="F39" s="320">
        <f t="shared" ca="1" si="10"/>
        <v>286805008.02794236</v>
      </c>
      <c r="G39" s="320">
        <f t="shared" si="11"/>
        <v>286805008.02794236</v>
      </c>
      <c r="H39" s="320">
        <f t="shared" ca="1" si="2"/>
        <v>0</v>
      </c>
      <c r="I39" s="320">
        <f t="shared" ca="1" si="3"/>
        <v>0</v>
      </c>
      <c r="J39" s="320">
        <f t="shared" ca="1" si="4"/>
        <v>3166486866.4627342</v>
      </c>
      <c r="K39" s="320">
        <f t="shared" ca="1" si="5"/>
        <v>1899892119.8776405</v>
      </c>
      <c r="L39" s="320">
        <f ca="1">IF(J39&lt;0,IF('20. Balance '!D39&gt;-J39,J39,-'20. Balance '!D39),0)</f>
        <v>0</v>
      </c>
      <c r="M39" s="320">
        <f t="shared" ca="1" si="6"/>
        <v>1266594746.5850937</v>
      </c>
      <c r="N39" s="320">
        <f t="shared" ca="1" si="7"/>
        <v>1266594746.5850937</v>
      </c>
      <c r="O39" s="320">
        <f ca="1">IF(M39&lt;0,IF('20. Balance '!E39&gt;-M39,M39,-'20. Balance '!E39),0)</f>
        <v>0</v>
      </c>
      <c r="P39" s="320">
        <f t="shared" ca="1" si="8"/>
        <v>0</v>
      </c>
    </row>
    <row r="40" spans="1:16" ht="15.75" customHeight="1">
      <c r="A40" s="97"/>
      <c r="B40" s="183">
        <f t="shared" si="9"/>
        <v>59</v>
      </c>
      <c r="C40" s="320">
        <f ca="1"/>
        <v>6077411831.5312538</v>
      </c>
      <c r="D40" s="320">
        <v>1783460440.5925946</v>
      </c>
      <c r="E40" s="320">
        <f t="shared" ca="1" si="0"/>
        <v>4293951390.9386592</v>
      </c>
      <c r="F40" s="320">
        <f t="shared" ca="1" si="10"/>
        <v>286805008.02794236</v>
      </c>
      <c r="G40" s="320">
        <f t="shared" si="11"/>
        <v>286805008.02794236</v>
      </c>
      <c r="H40" s="320">
        <f t="shared" ca="1" si="2"/>
        <v>0</v>
      </c>
      <c r="I40" s="320">
        <f t="shared" ca="1" si="3"/>
        <v>0</v>
      </c>
      <c r="J40" s="320">
        <f t="shared" ca="1" si="4"/>
        <v>4293951390.9386592</v>
      </c>
      <c r="K40" s="320">
        <f t="shared" ca="1" si="5"/>
        <v>2576370834.5631952</v>
      </c>
      <c r="L40" s="320">
        <f ca="1">IF(J40&lt;0,IF('20. Balance '!D40&gt;-J40,J40,-'20. Balance '!D40),0)</f>
        <v>0</v>
      </c>
      <c r="M40" s="320">
        <f t="shared" ca="1" si="6"/>
        <v>1717580556.375464</v>
      </c>
      <c r="N40" s="320">
        <f t="shared" ca="1" si="7"/>
        <v>1717580556.375464</v>
      </c>
      <c r="O40" s="320">
        <f ca="1">IF(M40&lt;0,IF('20. Balance '!E40&gt;-M40,M40,-'20. Balance '!E40),0)</f>
        <v>0</v>
      </c>
      <c r="P40" s="320">
        <f t="shared" ca="1" si="8"/>
        <v>0</v>
      </c>
    </row>
    <row r="41" spans="1:16" ht="15.75" customHeight="1">
      <c r="A41" s="97"/>
      <c r="B41" s="183">
        <f t="shared" si="9"/>
        <v>60</v>
      </c>
      <c r="C41" s="320">
        <f ca="1"/>
        <v>6271254538.2639122</v>
      </c>
      <c r="D41" s="320">
        <v>1842753206.9505835</v>
      </c>
      <c r="E41" s="320">
        <f t="shared" ca="1" si="0"/>
        <v>4428501331.3133287</v>
      </c>
      <c r="F41" s="320">
        <f t="shared" ca="1" si="10"/>
        <v>286805008.02794236</v>
      </c>
      <c r="G41" s="320">
        <f t="shared" si="11"/>
        <v>286805008.02794236</v>
      </c>
      <c r="H41" s="320">
        <f t="shared" ca="1" si="2"/>
        <v>0</v>
      </c>
      <c r="I41" s="320">
        <f t="shared" ca="1" si="3"/>
        <v>0</v>
      </c>
      <c r="J41" s="320">
        <f t="shared" ca="1" si="4"/>
        <v>4428501331.3133287</v>
      </c>
      <c r="K41" s="320">
        <f t="shared" ca="1" si="5"/>
        <v>2657100798.7879972</v>
      </c>
      <c r="L41" s="320">
        <f ca="1">IF(J41&lt;0,IF('20. Balance '!D41&gt;-J41,J41,-'20. Balance '!D41),0)</f>
        <v>0</v>
      </c>
      <c r="M41" s="320">
        <f t="shared" ca="1" si="6"/>
        <v>1771400532.5253315</v>
      </c>
      <c r="N41" s="320">
        <f t="shared" ca="1" si="7"/>
        <v>1771400532.5253315</v>
      </c>
      <c r="O41" s="320">
        <f ca="1">IF(M41&lt;0,IF('20. Balance '!E41&gt;-M41,M41,-'20. Balance '!E41),0)</f>
        <v>0</v>
      </c>
      <c r="P41" s="320">
        <f t="shared" ca="1" si="8"/>
        <v>0</v>
      </c>
    </row>
    <row r="42" spans="1:16" ht="15.75" customHeight="1">
      <c r="A42" s="97"/>
      <c r="B42" s="183">
        <f t="shared" si="9"/>
        <v>61</v>
      </c>
      <c r="C42" s="320">
        <f ca="1"/>
        <v>4519259854.4167633</v>
      </c>
      <c r="D42" s="320">
        <v>1275922811.5022011</v>
      </c>
      <c r="E42" s="320">
        <f t="shared" ca="1" si="0"/>
        <v>3243337042.9145622</v>
      </c>
      <c r="F42" s="320">
        <f t="shared" ca="1" si="10"/>
        <v>286805008.02794236</v>
      </c>
      <c r="G42" s="320">
        <f t="shared" si="11"/>
        <v>286805008.02794236</v>
      </c>
      <c r="H42" s="320">
        <f t="shared" ca="1" si="2"/>
        <v>0</v>
      </c>
      <c r="I42" s="320">
        <f t="shared" ca="1" si="3"/>
        <v>0</v>
      </c>
      <c r="J42" s="320">
        <f t="shared" ca="1" si="4"/>
        <v>3243337042.9145622</v>
      </c>
      <c r="K42" s="320">
        <f t="shared" ca="1" si="5"/>
        <v>1946002225.7487373</v>
      </c>
      <c r="L42" s="320">
        <f ca="1">IF(J42&lt;0,IF('20. Balance '!D42&gt;-J42,J42,-'20. Balance '!D42),0)</f>
        <v>0</v>
      </c>
      <c r="M42" s="320">
        <f t="shared" ca="1" si="6"/>
        <v>1297334817.1658249</v>
      </c>
      <c r="N42" s="320">
        <f t="shared" ca="1" si="7"/>
        <v>1297334817.1658249</v>
      </c>
      <c r="O42" s="320">
        <f ca="1">IF(M42&lt;0,IF('20. Balance '!E42&gt;-M42,M42,-'20. Balance '!E42),0)</f>
        <v>0</v>
      </c>
      <c r="P42" s="320">
        <f t="shared" ca="1" si="8"/>
        <v>0</v>
      </c>
    </row>
    <row r="43" spans="1:16" ht="15.75" customHeight="1">
      <c r="A43" s="97"/>
      <c r="B43" s="183">
        <f t="shared" si="9"/>
        <v>62</v>
      </c>
      <c r="C43" s="320">
        <f ca="1"/>
        <v>4630793307.8458385</v>
      </c>
      <c r="D43" s="320">
        <v>1317000963.0185955</v>
      </c>
      <c r="E43" s="320">
        <f t="shared" ca="1" si="0"/>
        <v>3313792344.8272429</v>
      </c>
      <c r="F43" s="320">
        <f t="shared" ca="1" si="10"/>
        <v>286805008.02794236</v>
      </c>
      <c r="G43" s="320">
        <f t="shared" si="11"/>
        <v>286805008.02794236</v>
      </c>
      <c r="H43" s="320">
        <f t="shared" ca="1" si="2"/>
        <v>0</v>
      </c>
      <c r="I43" s="320">
        <f t="shared" ca="1" si="3"/>
        <v>0</v>
      </c>
      <c r="J43" s="320">
        <f t="shared" ca="1" si="4"/>
        <v>3313792344.8272429</v>
      </c>
      <c r="K43" s="320">
        <f t="shared" ca="1" si="5"/>
        <v>1988275406.8963456</v>
      </c>
      <c r="L43" s="320">
        <f ca="1">IF(J43&lt;0,IF('20. Balance '!D43&gt;-J43,J43,-'20. Balance '!D43),0)</f>
        <v>0</v>
      </c>
      <c r="M43" s="320">
        <f t="shared" ca="1" si="6"/>
        <v>1325516937.9308972</v>
      </c>
      <c r="N43" s="320">
        <f t="shared" ca="1" si="7"/>
        <v>1325516937.9308972</v>
      </c>
      <c r="O43" s="320">
        <f ca="1">IF(M43&lt;0,IF('20. Balance '!E43&gt;-M43,M43,-'20. Balance '!E43),0)</f>
        <v>0</v>
      </c>
      <c r="P43" s="320">
        <f t="shared" ca="1" si="8"/>
        <v>0</v>
      </c>
    </row>
    <row r="44" spans="1:16" ht="15.75" customHeight="1">
      <c r="A44" s="97"/>
      <c r="B44" s="183">
        <f t="shared" si="9"/>
        <v>63</v>
      </c>
      <c r="C44" s="320">
        <f t="array" ref="C44:C66" ca="1">TRANSPOSE('16. Retirement '!B12:X12)</f>
        <v>3507755785.9769373</v>
      </c>
      <c r="D44" s="320">
        <f t="array" ref="D44:D66">TRANSPOSE('16. Retirement '!B31:X31)</f>
        <v>707307455.90286839</v>
      </c>
      <c r="E44" s="320">
        <f t="shared" ca="1" si="0"/>
        <v>2800448330.074069</v>
      </c>
      <c r="F44" s="320">
        <f t="shared" ca="1" si="10"/>
        <v>286805008.02794236</v>
      </c>
      <c r="G44" s="320">
        <f t="shared" si="11"/>
        <v>286805008.02794236</v>
      </c>
      <c r="H44" s="320">
        <f t="shared" ca="1" si="2"/>
        <v>0</v>
      </c>
      <c r="I44" s="320">
        <f t="shared" ca="1" si="3"/>
        <v>0</v>
      </c>
      <c r="J44" s="320">
        <f t="shared" ca="1" si="4"/>
        <v>2800448330.074069</v>
      </c>
      <c r="K44" s="320">
        <f t="shared" ca="1" si="5"/>
        <v>1680268998.0444415</v>
      </c>
      <c r="L44" s="320">
        <f ca="1">IF(J44&lt;0,IF('20. Balance '!D44&gt;-J44,J44,-'20. Balance '!D44),0)</f>
        <v>0</v>
      </c>
      <c r="M44" s="320">
        <f t="shared" ca="1" si="6"/>
        <v>1120179332.0296276</v>
      </c>
      <c r="N44" s="320">
        <f t="shared" ca="1" si="7"/>
        <v>1120179332.0296276</v>
      </c>
      <c r="O44" s="320">
        <f ca="1">IF(M44&lt;0,IF('20. Balance '!E44&gt;-M44,M44,-'20. Balance '!E44),0)</f>
        <v>0</v>
      </c>
      <c r="P44" s="320">
        <f t="shared" ca="1" si="8"/>
        <v>0</v>
      </c>
    </row>
    <row r="45" spans="1:16" ht="15.75" customHeight="1">
      <c r="A45" s="97"/>
      <c r="B45" s="183">
        <f t="shared" si="9"/>
        <v>64</v>
      </c>
      <c r="C45" s="320">
        <f ca="1"/>
        <v>4127862715.1603556</v>
      </c>
      <c r="D45" s="320">
        <v>799733785.65508735</v>
      </c>
      <c r="E45" s="320">
        <f t="shared" ca="1" si="0"/>
        <v>3328128929.5052681</v>
      </c>
      <c r="F45" s="320">
        <f t="shared" ca="1" si="10"/>
        <v>286805008.02794236</v>
      </c>
      <c r="G45" s="320">
        <f t="shared" si="11"/>
        <v>286805008.02794236</v>
      </c>
      <c r="H45" s="320">
        <f t="shared" ca="1" si="2"/>
        <v>0</v>
      </c>
      <c r="I45" s="320">
        <f t="shared" ca="1" si="3"/>
        <v>0</v>
      </c>
      <c r="J45" s="320">
        <f t="shared" ca="1" si="4"/>
        <v>3328128929.5052681</v>
      </c>
      <c r="K45" s="320">
        <f t="shared" ca="1" si="5"/>
        <v>1996877357.7031608</v>
      </c>
      <c r="L45" s="320">
        <f ca="1">IF(J45&lt;0,IF('20. Balance '!D45&gt;-J45,J45,-'20. Balance '!D45),0)</f>
        <v>0</v>
      </c>
      <c r="M45" s="320">
        <f t="shared" ca="1" si="6"/>
        <v>1331251571.8021073</v>
      </c>
      <c r="N45" s="320">
        <f t="shared" ca="1" si="7"/>
        <v>1331251571.8021073</v>
      </c>
      <c r="O45" s="320">
        <f ca="1">IF(M45&lt;0,IF('20. Balance '!E45&gt;-M45,M45,-'20. Balance '!E45),0)</f>
        <v>0</v>
      </c>
      <c r="P45" s="320">
        <f t="shared" ca="1" si="8"/>
        <v>0</v>
      </c>
    </row>
    <row r="46" spans="1:16" ht="15.75" customHeight="1">
      <c r="A46" s="97"/>
      <c r="B46" s="183">
        <f t="shared" si="9"/>
        <v>65</v>
      </c>
      <c r="C46" s="320">
        <f ca="1"/>
        <v>4021427417.8001108</v>
      </c>
      <c r="D46" s="320">
        <v>910481594.93299854</v>
      </c>
      <c r="E46" s="320">
        <f t="shared" ca="1" si="0"/>
        <v>3110945822.8671122</v>
      </c>
      <c r="F46" s="320">
        <f t="shared" ca="1" si="10"/>
        <v>286805008.02794236</v>
      </c>
      <c r="G46" s="320">
        <f t="shared" si="11"/>
        <v>286805008.02794236</v>
      </c>
      <c r="H46" s="320">
        <f t="shared" ca="1" si="2"/>
        <v>0</v>
      </c>
      <c r="I46" s="320">
        <f t="shared" ca="1" si="3"/>
        <v>0</v>
      </c>
      <c r="J46" s="320">
        <f t="shared" ca="1" si="4"/>
        <v>3110945822.8671122</v>
      </c>
      <c r="K46" s="320">
        <f t="shared" ca="1" si="5"/>
        <v>1866567493.7202673</v>
      </c>
      <c r="L46" s="320">
        <f ca="1">IF(J46&lt;0,IF('20. Balance '!D46&gt;-J46,J46,-'20. Balance '!D46),0)</f>
        <v>0</v>
      </c>
      <c r="M46" s="320">
        <f t="shared" ca="1" si="6"/>
        <v>1244378329.1468449</v>
      </c>
      <c r="N46" s="320">
        <f t="shared" ca="1" si="7"/>
        <v>1244378329.1468449</v>
      </c>
      <c r="O46" s="320">
        <f ca="1">IF(M46&lt;0,IF('20. Balance '!E46&gt;-M46,M46,-'20. Balance '!E46),0)</f>
        <v>0</v>
      </c>
      <c r="P46" s="320">
        <f t="shared" ca="1" si="8"/>
        <v>0</v>
      </c>
    </row>
    <row r="47" spans="1:16" ht="15.75" customHeight="1">
      <c r="A47" s="97"/>
      <c r="B47" s="183">
        <f t="shared" si="9"/>
        <v>66</v>
      </c>
      <c r="C47" s="320">
        <f ca="1"/>
        <v>4447005305.0387888</v>
      </c>
      <c r="D47" s="320">
        <v>874037043.63831687</v>
      </c>
      <c r="E47" s="320">
        <f t="shared" ca="1" si="0"/>
        <v>3572968261.4004717</v>
      </c>
      <c r="F47" s="320">
        <f t="shared" ca="1" si="10"/>
        <v>286805008.02794236</v>
      </c>
      <c r="G47" s="320">
        <f t="shared" si="11"/>
        <v>286805008.02794236</v>
      </c>
      <c r="H47" s="320">
        <f t="shared" ca="1" si="2"/>
        <v>0</v>
      </c>
      <c r="I47" s="320">
        <f t="shared" ca="1" si="3"/>
        <v>0</v>
      </c>
      <c r="J47" s="320">
        <f t="shared" ca="1" si="4"/>
        <v>3572968261.4004717</v>
      </c>
      <c r="K47" s="320">
        <f t="shared" ca="1" si="5"/>
        <v>2143780956.8402829</v>
      </c>
      <c r="L47" s="320">
        <f ca="1">IF(J47&lt;0,IF('20. Balance '!D47&gt;-J47,J47,-'20. Balance '!D47),0)</f>
        <v>0</v>
      </c>
      <c r="M47" s="320">
        <f t="shared" ca="1" si="6"/>
        <v>1429187304.5601888</v>
      </c>
      <c r="N47" s="320">
        <f t="shared" ca="1" si="7"/>
        <v>1429187304.5601888</v>
      </c>
      <c r="O47" s="320">
        <f ca="1">IF(M47&lt;0,IF('20. Balance '!E47&gt;-M47,M47,-'20. Balance '!E47),0)</f>
        <v>0</v>
      </c>
      <c r="P47" s="320">
        <f t="shared" ca="1" si="8"/>
        <v>0</v>
      </c>
    </row>
    <row r="48" spans="1:16" ht="15.75" customHeight="1">
      <c r="A48" s="97"/>
      <c r="B48" s="183">
        <f t="shared" si="9"/>
        <v>67</v>
      </c>
      <c r="C48" s="320">
        <f ca="1"/>
        <v>4108355497.3547144</v>
      </c>
      <c r="D48" s="320">
        <v>1005717179.7086375</v>
      </c>
      <c r="E48" s="320">
        <f t="shared" ca="1" si="0"/>
        <v>3102638317.6460772</v>
      </c>
      <c r="F48" s="320">
        <f t="shared" ca="1" si="10"/>
        <v>286805008.02794236</v>
      </c>
      <c r="G48" s="320">
        <f t="shared" si="11"/>
        <v>286805008.02794236</v>
      </c>
      <c r="H48" s="320">
        <f t="shared" ca="1" si="2"/>
        <v>0</v>
      </c>
      <c r="I48" s="320">
        <f t="shared" ca="1" si="3"/>
        <v>0</v>
      </c>
      <c r="J48" s="320">
        <f t="shared" ca="1" si="4"/>
        <v>3102638317.6460772</v>
      </c>
      <c r="K48" s="320">
        <f t="shared" ca="1" si="5"/>
        <v>1861582990.5876462</v>
      </c>
      <c r="L48" s="320">
        <f ca="1">IF(J48&lt;0,IF('20. Balance '!D48&gt;-J48,J48,-'20. Balance '!D48),0)</f>
        <v>0</v>
      </c>
      <c r="M48" s="320">
        <f t="shared" ca="1" si="6"/>
        <v>1241055327.0584309</v>
      </c>
      <c r="N48" s="320">
        <f t="shared" ca="1" si="7"/>
        <v>1241055327.0584309</v>
      </c>
      <c r="O48" s="320">
        <f ca="1">IF(M48&lt;0,IF('20. Balance '!E48&gt;-M48,M48,-'20. Balance '!E48),0)</f>
        <v>0</v>
      </c>
      <c r="P48" s="320">
        <f t="shared" ca="1" si="8"/>
        <v>0</v>
      </c>
    </row>
    <row r="49" spans="1:16" ht="15.75" customHeight="1">
      <c r="A49" s="97"/>
      <c r="B49" s="183">
        <f t="shared" si="9"/>
        <v>68</v>
      </c>
      <c r="C49" s="320">
        <f ca="1"/>
        <v>4544006534.6481333</v>
      </c>
      <c r="D49" s="320">
        <v>1366293005.3035274</v>
      </c>
      <c r="E49" s="320">
        <f t="shared" ca="1" si="0"/>
        <v>3177713529.3446059</v>
      </c>
      <c r="F49" s="320">
        <f t="shared" ca="1" si="10"/>
        <v>286805008.02794236</v>
      </c>
      <c r="G49" s="320">
        <f t="shared" si="11"/>
        <v>286805008.02794236</v>
      </c>
      <c r="H49" s="320">
        <f t="shared" ca="1" si="2"/>
        <v>0</v>
      </c>
      <c r="I49" s="320">
        <f t="shared" ca="1" si="3"/>
        <v>0</v>
      </c>
      <c r="J49" s="320">
        <f t="shared" ca="1" si="4"/>
        <v>3177713529.3446059</v>
      </c>
      <c r="K49" s="320">
        <f t="shared" ca="1" si="5"/>
        <v>1906628117.6067636</v>
      </c>
      <c r="L49" s="320">
        <f ca="1">IF(J49&lt;0,IF('20. Balance '!D49&gt;-J49,J49,-'20. Balance '!D49),0)</f>
        <v>0</v>
      </c>
      <c r="M49" s="320">
        <f t="shared" ca="1" si="6"/>
        <v>1271085411.7378423</v>
      </c>
      <c r="N49" s="320">
        <f t="shared" ca="1" si="7"/>
        <v>1271085411.7378423</v>
      </c>
      <c r="O49" s="320">
        <f ca="1">IF(M49&lt;0,IF('20. Balance '!E49&gt;-M49,M49,-'20. Balance '!E49),0)</f>
        <v>0</v>
      </c>
      <c r="P49" s="320">
        <f t="shared" ca="1" si="8"/>
        <v>0</v>
      </c>
    </row>
    <row r="50" spans="1:16" ht="15.75" customHeight="1">
      <c r="A50" s="97"/>
      <c r="B50" s="183">
        <f t="shared" si="9"/>
        <v>69</v>
      </c>
      <c r="C50" s="320">
        <f ca="1"/>
        <v>4395905753.0516214</v>
      </c>
      <c r="D50" s="320">
        <v>1443379926.960803</v>
      </c>
      <c r="E50" s="320">
        <f t="shared" ca="1" si="0"/>
        <v>2952525826.0908184</v>
      </c>
      <c r="F50" s="320">
        <f t="shared" ca="1" si="10"/>
        <v>286805008.02794236</v>
      </c>
      <c r="G50" s="320">
        <f t="shared" si="11"/>
        <v>286805008.02794236</v>
      </c>
      <c r="H50" s="320">
        <f t="shared" ca="1" si="2"/>
        <v>0</v>
      </c>
      <c r="I50" s="320">
        <f t="shared" ca="1" si="3"/>
        <v>0</v>
      </c>
      <c r="J50" s="320">
        <f t="shared" ca="1" si="4"/>
        <v>2952525826.0908184</v>
      </c>
      <c r="K50" s="320">
        <f t="shared" ca="1" si="5"/>
        <v>1771515495.6544909</v>
      </c>
      <c r="L50" s="320">
        <f ca="1">IF(J50&lt;0,IF('20. Balance '!D50&gt;-J50,J50,-'20. Balance '!D50),0)</f>
        <v>0</v>
      </c>
      <c r="M50" s="320">
        <f t="shared" ca="1" si="6"/>
        <v>1181010330.4363275</v>
      </c>
      <c r="N50" s="320">
        <f t="shared" ca="1" si="7"/>
        <v>1181010330.4363275</v>
      </c>
      <c r="O50" s="320">
        <f ca="1">IF(M50&lt;0,IF('20. Balance '!E50&gt;-M50,M50,-'20. Balance '!E50),0)</f>
        <v>0</v>
      </c>
      <c r="P50" s="320">
        <f t="shared" ca="1" si="8"/>
        <v>0</v>
      </c>
    </row>
    <row r="51" spans="1:16" ht="17">
      <c r="A51" s="97"/>
      <c r="B51" s="183">
        <f t="shared" si="9"/>
        <v>70</v>
      </c>
      <c r="C51" s="320">
        <f ca="1"/>
        <v>4670433323.4631205</v>
      </c>
      <c r="D51" s="320">
        <v>1562712398.1860836</v>
      </c>
      <c r="E51" s="320">
        <f t="shared" ca="1" si="0"/>
        <v>3107720925.2770367</v>
      </c>
      <c r="F51" s="320">
        <f t="shared" ca="1" si="10"/>
        <v>286805008.02794236</v>
      </c>
      <c r="G51" s="320">
        <f t="shared" si="11"/>
        <v>286805008.02794236</v>
      </c>
      <c r="H51" s="320">
        <f t="shared" ca="1" si="2"/>
        <v>0</v>
      </c>
      <c r="I51" s="320">
        <f t="shared" ca="1" si="3"/>
        <v>0</v>
      </c>
      <c r="J51" s="320">
        <f t="shared" ca="1" si="4"/>
        <v>3107720925.2770367</v>
      </c>
      <c r="K51" s="320">
        <f t="shared" ca="1" si="5"/>
        <v>1864632555.1662219</v>
      </c>
      <c r="L51" s="320">
        <f ca="1">IF(J51&lt;0,IF('20. Balance '!D51&gt;-J51,J51,-'20. Balance '!D51),0)</f>
        <v>0</v>
      </c>
      <c r="M51" s="320">
        <f t="shared" ca="1" si="6"/>
        <v>1243088370.1108148</v>
      </c>
      <c r="N51" s="320">
        <f t="shared" ca="1" si="7"/>
        <v>1243088370.1108148</v>
      </c>
      <c r="O51" s="320">
        <f ca="1">IF(M51&lt;0,IF('20. Balance '!E51&gt;-M51,M51,-'20. Balance '!E51),0)</f>
        <v>0</v>
      </c>
      <c r="P51" s="320">
        <f t="shared" ca="1" si="8"/>
        <v>0</v>
      </c>
    </row>
    <row r="52" spans="1:16" ht="17">
      <c r="A52" s="97"/>
      <c r="B52" s="183">
        <f t="shared" si="9"/>
        <v>71</v>
      </c>
      <c r="C52" s="320">
        <f ca="1"/>
        <v>5049980912.2664347</v>
      </c>
      <c r="D52" s="320">
        <v>1679715019.9661851</v>
      </c>
      <c r="E52" s="320">
        <f t="shared" ca="1" si="0"/>
        <v>3370265892.3002496</v>
      </c>
      <c r="F52" s="320">
        <f t="shared" ca="1" si="10"/>
        <v>286805008.02794236</v>
      </c>
      <c r="G52" s="320">
        <f t="shared" si="11"/>
        <v>286805008.02794236</v>
      </c>
      <c r="H52" s="320">
        <f t="shared" ca="1" si="2"/>
        <v>0</v>
      </c>
      <c r="I52" s="320">
        <f t="shared" ca="1" si="3"/>
        <v>0</v>
      </c>
      <c r="J52" s="320">
        <f t="shared" ca="1" si="4"/>
        <v>3370265892.3002496</v>
      </c>
      <c r="K52" s="320">
        <f t="shared" ca="1" si="5"/>
        <v>2022159535.3801496</v>
      </c>
      <c r="L52" s="320">
        <f ca="1">IF(J52&lt;0,IF('20. Balance '!D52&gt;-J52,J52,-'20. Balance '!D52),0)</f>
        <v>0</v>
      </c>
      <c r="M52" s="320">
        <f t="shared" ca="1" si="6"/>
        <v>1348106356.9201</v>
      </c>
      <c r="N52" s="320">
        <f t="shared" ca="1" si="7"/>
        <v>1348106356.9201</v>
      </c>
      <c r="O52" s="320">
        <f ca="1">IF(M52&lt;0,IF('20. Balance '!E52&gt;-M52,M52,-'20. Balance '!E52),0)</f>
        <v>0</v>
      </c>
      <c r="P52" s="320">
        <f t="shared" ca="1" si="8"/>
        <v>0</v>
      </c>
    </row>
    <row r="53" spans="1:16" ht="17">
      <c r="A53" s="97"/>
      <c r="B53" s="183">
        <f t="shared" si="9"/>
        <v>72</v>
      </c>
      <c r="C53" s="320">
        <f ca="1"/>
        <v>5119024625.6257944</v>
      </c>
      <c r="D53" s="320">
        <v>1447758835.0049818</v>
      </c>
      <c r="E53" s="320">
        <f t="shared" ca="1" si="0"/>
        <v>3671265790.6208124</v>
      </c>
      <c r="F53" s="320">
        <f t="shared" ca="1" si="10"/>
        <v>286805008.02794236</v>
      </c>
      <c r="G53" s="320">
        <f t="shared" si="11"/>
        <v>286805008.02794236</v>
      </c>
      <c r="H53" s="320">
        <f t="shared" ca="1" si="2"/>
        <v>0</v>
      </c>
      <c r="I53" s="320">
        <f t="shared" ca="1" si="3"/>
        <v>0</v>
      </c>
      <c r="J53" s="320">
        <f t="shared" ca="1" si="4"/>
        <v>3671265790.6208124</v>
      </c>
      <c r="K53" s="320">
        <f t="shared" ca="1" si="5"/>
        <v>2202759474.3724875</v>
      </c>
      <c r="L53" s="320">
        <f ca="1">IF(J53&lt;0,IF('20. Balance '!D53&gt;-J53,J53,-'20. Balance '!D53),0)</f>
        <v>0</v>
      </c>
      <c r="M53" s="320">
        <f t="shared" ca="1" si="6"/>
        <v>1468506316.2483249</v>
      </c>
      <c r="N53" s="320">
        <f t="shared" ca="1" si="7"/>
        <v>1468506316.2483249</v>
      </c>
      <c r="O53" s="320">
        <f ca="1">IF(M53&lt;0,IF('20. Balance '!E53&gt;-M53,M53,-'20. Balance '!E53),0)</f>
        <v>0</v>
      </c>
      <c r="P53" s="320">
        <f t="shared" ca="1" si="8"/>
        <v>0</v>
      </c>
    </row>
    <row r="54" spans="1:16" ht="17">
      <c r="A54" s="97"/>
      <c r="B54" s="183">
        <f t="shared" si="9"/>
        <v>73</v>
      </c>
      <c r="C54" s="320">
        <f ca="1"/>
        <v>5815345765.8761606</v>
      </c>
      <c r="D54" s="320">
        <v>1277404258.822902</v>
      </c>
      <c r="E54" s="320">
        <f t="shared" ca="1" si="0"/>
        <v>4537941507.0532589</v>
      </c>
      <c r="F54" s="320">
        <f t="shared" ca="1" si="10"/>
        <v>286805008.02794236</v>
      </c>
      <c r="G54" s="320">
        <f t="shared" si="11"/>
        <v>286805008.02794236</v>
      </c>
      <c r="H54" s="320">
        <f t="shared" ca="1" si="2"/>
        <v>0</v>
      </c>
      <c r="I54" s="320">
        <f t="shared" ca="1" si="3"/>
        <v>0</v>
      </c>
      <c r="J54" s="320">
        <f t="shared" ca="1" si="4"/>
        <v>4537941507.0532589</v>
      </c>
      <c r="K54" s="320">
        <f t="shared" ca="1" si="5"/>
        <v>2722764904.2319551</v>
      </c>
      <c r="L54" s="320">
        <f ca="1">IF(J54&lt;0,IF('20. Balance '!D54&gt;-J54,J54,-'20. Balance '!D54),0)</f>
        <v>0</v>
      </c>
      <c r="M54" s="320">
        <f t="shared" ca="1" si="6"/>
        <v>1815176602.8213038</v>
      </c>
      <c r="N54" s="320">
        <f t="shared" ca="1" si="7"/>
        <v>1815176602.8213038</v>
      </c>
      <c r="O54" s="320">
        <f ca="1">IF(M54&lt;0,IF('20. Balance '!E54&gt;-M54,M54,-'20. Balance '!E54),0)</f>
        <v>0</v>
      </c>
      <c r="P54" s="320">
        <f t="shared" ca="1" si="8"/>
        <v>0</v>
      </c>
    </row>
    <row r="55" spans="1:16" ht="17">
      <c r="A55" s="97"/>
      <c r="B55" s="183">
        <f t="shared" si="9"/>
        <v>74</v>
      </c>
      <c r="C55" s="320">
        <f ca="1"/>
        <v>5472952475.7212381</v>
      </c>
      <c r="D55" s="320">
        <v>1304969861.0729923</v>
      </c>
      <c r="E55" s="320">
        <f t="shared" ca="1" si="0"/>
        <v>4167982614.6482458</v>
      </c>
      <c r="F55" s="320">
        <f t="shared" ca="1" si="10"/>
        <v>286805008.02794236</v>
      </c>
      <c r="G55" s="320">
        <f t="shared" si="11"/>
        <v>286805008.02794236</v>
      </c>
      <c r="H55" s="320">
        <f t="shared" ca="1" si="2"/>
        <v>0</v>
      </c>
      <c r="I55" s="320">
        <f t="shared" ca="1" si="3"/>
        <v>0</v>
      </c>
      <c r="J55" s="320">
        <f t="shared" ca="1" si="4"/>
        <v>4167982614.6482458</v>
      </c>
      <c r="K55" s="320">
        <f t="shared" ca="1" si="5"/>
        <v>2500789568.7889476</v>
      </c>
      <c r="L55" s="320">
        <f ca="1">IF(J55&lt;0,IF('20. Balance '!D55&gt;-J55,J55,-'20. Balance '!D55),0)</f>
        <v>0</v>
      </c>
      <c r="M55" s="320">
        <f t="shared" ca="1" si="6"/>
        <v>1667193045.8592982</v>
      </c>
      <c r="N55" s="320">
        <f t="shared" ca="1" si="7"/>
        <v>1667193045.8592982</v>
      </c>
      <c r="O55" s="320">
        <f ca="1">IF(M55&lt;0,IF('20. Balance '!E55&gt;-M55,M55,-'20. Balance '!E55),0)</f>
        <v>0</v>
      </c>
      <c r="P55" s="320">
        <f t="shared" ca="1" si="8"/>
        <v>0</v>
      </c>
    </row>
    <row r="56" spans="1:16" ht="17">
      <c r="A56" s="97"/>
      <c r="B56" s="183">
        <f t="shared" si="9"/>
        <v>75</v>
      </c>
      <c r="C56" s="320">
        <f ca="1"/>
        <v>5925360017.8005838</v>
      </c>
      <c r="D56" s="320">
        <v>1351824942.4025216</v>
      </c>
      <c r="E56" s="320">
        <f t="shared" ca="1" si="0"/>
        <v>4573535075.3980618</v>
      </c>
      <c r="F56" s="320">
        <f t="shared" ca="1" si="10"/>
        <v>286805008.02794236</v>
      </c>
      <c r="G56" s="320">
        <f t="shared" si="11"/>
        <v>286805008.02794236</v>
      </c>
      <c r="H56" s="320">
        <f t="shared" ca="1" si="2"/>
        <v>0</v>
      </c>
      <c r="I56" s="320">
        <f t="shared" ca="1" si="3"/>
        <v>0</v>
      </c>
      <c r="J56" s="320">
        <f t="shared" ca="1" si="4"/>
        <v>4573535075.3980618</v>
      </c>
      <c r="K56" s="320">
        <f t="shared" ca="1" si="5"/>
        <v>2744121045.2388368</v>
      </c>
      <c r="L56" s="320">
        <f ca="1">IF(J56&lt;0,IF('20. Balance '!D56&gt;-J56,J56,-'20. Balance '!D56),0)</f>
        <v>0</v>
      </c>
      <c r="M56" s="320">
        <f t="shared" ca="1" si="6"/>
        <v>1829414030.159225</v>
      </c>
      <c r="N56" s="320">
        <f t="shared" ca="1" si="7"/>
        <v>1829414030.159225</v>
      </c>
      <c r="O56" s="320">
        <f ca="1">IF(M56&lt;0,IF('20. Balance '!E56&gt;-M56,M56,-'20. Balance '!E56),0)</f>
        <v>0</v>
      </c>
      <c r="P56" s="320">
        <f t="shared" ca="1" si="8"/>
        <v>0</v>
      </c>
    </row>
    <row r="57" spans="1:16" ht="17">
      <c r="A57" s="97"/>
      <c r="B57" s="183">
        <f t="shared" si="9"/>
        <v>76</v>
      </c>
      <c r="C57" s="320">
        <f ca="1"/>
        <v>5318580028.7990274</v>
      </c>
      <c r="D57" s="320">
        <v>1021350268.3629607</v>
      </c>
      <c r="E57" s="320">
        <f t="shared" ca="1" si="0"/>
        <v>4297229760.4360666</v>
      </c>
      <c r="F57" s="320">
        <f t="shared" ca="1" si="10"/>
        <v>286805008.02794236</v>
      </c>
      <c r="G57" s="320">
        <f t="shared" si="11"/>
        <v>286805008.02794236</v>
      </c>
      <c r="H57" s="320">
        <f t="shared" ca="1" si="2"/>
        <v>0</v>
      </c>
      <c r="I57" s="320">
        <f t="shared" ca="1" si="3"/>
        <v>0</v>
      </c>
      <c r="J57" s="320">
        <f t="shared" ca="1" si="4"/>
        <v>4297229760.4360666</v>
      </c>
      <c r="K57" s="320">
        <f t="shared" ca="1" si="5"/>
        <v>2578337856.2616401</v>
      </c>
      <c r="L57" s="320">
        <f ca="1">IF(J57&lt;0,IF('20. Balance '!D57&gt;-J57,J57,-'20. Balance '!D57),0)</f>
        <v>0</v>
      </c>
      <c r="M57" s="320">
        <f t="shared" ca="1" si="6"/>
        <v>1718891904.1744266</v>
      </c>
      <c r="N57" s="320">
        <f t="shared" ca="1" si="7"/>
        <v>1718891904.1744266</v>
      </c>
      <c r="O57" s="320">
        <f ca="1">IF(M57&lt;0,IF('20. Balance '!E57&gt;-M57,M57,-'20. Balance '!E57),0)</f>
        <v>0</v>
      </c>
      <c r="P57" s="320">
        <f t="shared" ca="1" si="8"/>
        <v>0</v>
      </c>
    </row>
    <row r="58" spans="1:16" ht="17">
      <c r="A58" s="97"/>
      <c r="B58" s="183">
        <f t="shared" si="9"/>
        <v>77</v>
      </c>
      <c r="C58" s="320">
        <f ca="1"/>
        <v>4988458636.046525</v>
      </c>
      <c r="D58" s="320">
        <v>1050655291.3640139</v>
      </c>
      <c r="E58" s="320">
        <f t="shared" ca="1" si="0"/>
        <v>3937803344.6825113</v>
      </c>
      <c r="F58" s="320">
        <f t="shared" ca="1" si="10"/>
        <v>286805008.02794236</v>
      </c>
      <c r="G58" s="320">
        <f t="shared" si="11"/>
        <v>286805008.02794236</v>
      </c>
      <c r="H58" s="320">
        <f t="shared" ca="1" si="2"/>
        <v>0</v>
      </c>
      <c r="I58" s="320">
        <f t="shared" ca="1" si="3"/>
        <v>0</v>
      </c>
      <c r="J58" s="320">
        <f t="shared" ca="1" si="4"/>
        <v>3937803344.6825113</v>
      </c>
      <c r="K58" s="320">
        <f t="shared" ca="1" si="5"/>
        <v>2362682006.8095069</v>
      </c>
      <c r="L58" s="320">
        <f ca="1">IF(J58&lt;0,IF('20. Balance '!D58&gt;-J58,J58,-'20. Balance '!D58),0)</f>
        <v>0</v>
      </c>
      <c r="M58" s="320">
        <f t="shared" ca="1" si="6"/>
        <v>1575121337.8730044</v>
      </c>
      <c r="N58" s="320">
        <f t="shared" ca="1" si="7"/>
        <v>1575121337.8730044</v>
      </c>
      <c r="O58" s="320">
        <f ca="1">IF(M58&lt;0,IF('20. Balance '!E58&gt;-M58,M58,-'20. Balance '!E58),0)</f>
        <v>0</v>
      </c>
      <c r="P58" s="320">
        <f t="shared" ca="1" si="8"/>
        <v>0</v>
      </c>
    </row>
    <row r="59" spans="1:16" ht="17">
      <c r="A59" s="97"/>
      <c r="B59" s="183">
        <f t="shared" si="9"/>
        <v>78</v>
      </c>
      <c r="C59" s="320">
        <f ca="1"/>
        <v>6048892424.3423624</v>
      </c>
      <c r="D59" s="320">
        <v>1080804592.0777278</v>
      </c>
      <c r="E59" s="320">
        <f t="shared" ca="1" si="0"/>
        <v>4968087832.2646351</v>
      </c>
      <c r="F59" s="320">
        <f t="shared" ca="1" si="10"/>
        <v>286805008.02794236</v>
      </c>
      <c r="G59" s="320">
        <f t="shared" si="11"/>
        <v>286805008.02794236</v>
      </c>
      <c r="H59" s="320">
        <f t="shared" ca="1" si="2"/>
        <v>0</v>
      </c>
      <c r="I59" s="320">
        <f t="shared" ca="1" si="3"/>
        <v>0</v>
      </c>
      <c r="J59" s="320">
        <f t="shared" ca="1" si="4"/>
        <v>4968087832.2646351</v>
      </c>
      <c r="K59" s="320">
        <f t="shared" ca="1" si="5"/>
        <v>2980852699.3587809</v>
      </c>
      <c r="L59" s="320">
        <f ca="1">IF(J59&lt;0,IF('20. Balance '!D59&gt;-J59,J59,-'20. Balance '!D59),0)</f>
        <v>0</v>
      </c>
      <c r="M59" s="320">
        <f t="shared" ca="1" si="6"/>
        <v>1987235132.9058542</v>
      </c>
      <c r="N59" s="320">
        <f t="shared" ca="1" si="7"/>
        <v>1987235132.9058542</v>
      </c>
      <c r="O59" s="320">
        <f ca="1">IF(M59&lt;0,IF('20. Balance '!E59&gt;-M59,M59,-'20. Balance '!E59),0)</f>
        <v>0</v>
      </c>
      <c r="P59" s="320">
        <f t="shared" ca="1" si="8"/>
        <v>0</v>
      </c>
    </row>
    <row r="60" spans="1:16" ht="17">
      <c r="A60" s="97"/>
      <c r="B60" s="183">
        <f t="shared" si="9"/>
        <v>79</v>
      </c>
      <c r="C60" s="320">
        <f ca="1"/>
        <v>5825549355.3826761</v>
      </c>
      <c r="D60" s="320">
        <v>1111822494.1450033</v>
      </c>
      <c r="E60" s="320">
        <f t="shared" ca="1" si="0"/>
        <v>4713726861.2376728</v>
      </c>
      <c r="F60" s="320">
        <f t="shared" ca="1" si="10"/>
        <v>286805008.02794236</v>
      </c>
      <c r="G60" s="320">
        <f t="shared" si="11"/>
        <v>286805008.02794236</v>
      </c>
      <c r="H60" s="320">
        <f t="shared" ca="1" si="2"/>
        <v>0</v>
      </c>
      <c r="I60" s="320">
        <f t="shared" ca="1" si="3"/>
        <v>0</v>
      </c>
      <c r="J60" s="320">
        <f t="shared" ca="1" si="4"/>
        <v>4713726861.2376728</v>
      </c>
      <c r="K60" s="320">
        <f t="shared" ca="1" si="5"/>
        <v>2828236116.7426038</v>
      </c>
      <c r="L60" s="320">
        <f ca="1">IF(J60&lt;0,IF('20. Balance '!D60&gt;-J60,J60,-'20. Balance '!D60),0)</f>
        <v>0</v>
      </c>
      <c r="M60" s="320">
        <f t="shared" ca="1" si="6"/>
        <v>1885490744.495069</v>
      </c>
      <c r="N60" s="320">
        <f t="shared" ca="1" si="7"/>
        <v>1885490744.495069</v>
      </c>
      <c r="O60" s="320">
        <f ca="1">IF(M60&lt;0,IF('20. Balance '!E60&gt;-M60,M60,-'20. Balance '!E60),0)</f>
        <v>0</v>
      </c>
      <c r="P60" s="320">
        <f t="shared" ca="1" si="8"/>
        <v>0</v>
      </c>
    </row>
    <row r="61" spans="1:16" ht="17">
      <c r="A61" s="97"/>
      <c r="B61" s="183">
        <f t="shared" si="9"/>
        <v>80</v>
      </c>
      <c r="C61" s="320">
        <f ca="1"/>
        <v>6327604274.3692789</v>
      </c>
      <c r="D61" s="320">
        <v>1143734021.9708371</v>
      </c>
      <c r="E61" s="320">
        <f t="shared" ca="1" si="0"/>
        <v>5183870252.3984413</v>
      </c>
      <c r="F61" s="320">
        <f t="shared" ca="1" si="10"/>
        <v>286805008.02794236</v>
      </c>
      <c r="G61" s="320">
        <f t="shared" si="11"/>
        <v>286805008.02794236</v>
      </c>
      <c r="H61" s="320">
        <f t="shared" ca="1" si="2"/>
        <v>0</v>
      </c>
      <c r="I61" s="320">
        <f t="shared" ca="1" si="3"/>
        <v>0</v>
      </c>
      <c r="J61" s="320">
        <f t="shared" ca="1" si="4"/>
        <v>5183870252.3984413</v>
      </c>
      <c r="K61" s="320">
        <f t="shared" ca="1" si="5"/>
        <v>3110322151.4390645</v>
      </c>
      <c r="L61" s="320">
        <f ca="1">IF(J61&lt;0,IF('20. Balance '!D61&gt;-J61,J61,-'20. Balance '!D61),0)</f>
        <v>0</v>
      </c>
      <c r="M61" s="320">
        <f t="shared" ca="1" si="6"/>
        <v>2073548100.9593768</v>
      </c>
      <c r="N61" s="320">
        <f t="shared" ca="1" si="7"/>
        <v>2073548100.9593768</v>
      </c>
      <c r="O61" s="320">
        <f ca="1">IF(M61&lt;0,IF('20. Balance '!E61&gt;-M61,M61,-'20. Balance '!E61),0)</f>
        <v>0</v>
      </c>
      <c r="P61" s="320">
        <f t="shared" ca="1" si="8"/>
        <v>0</v>
      </c>
    </row>
    <row r="62" spans="1:16" ht="17">
      <c r="A62" s="97"/>
      <c r="B62" s="183">
        <f t="shared" si="9"/>
        <v>81</v>
      </c>
      <c r="C62" s="320">
        <f ca="1"/>
        <v>6782277716.7835703</v>
      </c>
      <c r="D62" s="320">
        <v>1176564920.9133332</v>
      </c>
      <c r="E62" s="320">
        <f t="shared" ca="1" si="0"/>
        <v>5605712795.8702374</v>
      </c>
      <c r="F62" s="320">
        <f t="shared" ca="1" si="10"/>
        <v>286805008.02794236</v>
      </c>
      <c r="G62" s="320">
        <f t="shared" si="11"/>
        <v>286805008.02794236</v>
      </c>
      <c r="H62" s="320">
        <f t="shared" ca="1" si="2"/>
        <v>0</v>
      </c>
      <c r="I62" s="320">
        <f t="shared" ca="1" si="3"/>
        <v>0</v>
      </c>
      <c r="J62" s="320">
        <f t="shared" ca="1" si="4"/>
        <v>5605712795.8702374</v>
      </c>
      <c r="K62" s="320">
        <f t="shared" ca="1" si="5"/>
        <v>3363427677.5221424</v>
      </c>
      <c r="L62" s="320">
        <f ca="1">IF(J62&lt;0,IF('20. Balance '!D62&gt;-J62,J62,-'20. Balance '!D62),0)</f>
        <v>0</v>
      </c>
      <c r="M62" s="320">
        <f t="shared" ca="1" si="6"/>
        <v>2242285118.3480949</v>
      </c>
      <c r="N62" s="320">
        <f t="shared" ca="1" si="7"/>
        <v>2242285118.3480949</v>
      </c>
      <c r="O62" s="320">
        <f ca="1">IF(M62&lt;0,IF('20. Balance '!E62&gt;-M62,M62,-'20. Balance '!E62),0)</f>
        <v>0</v>
      </c>
      <c r="P62" s="320">
        <f t="shared" ca="1" si="8"/>
        <v>0</v>
      </c>
    </row>
    <row r="63" spans="1:16" ht="17">
      <c r="A63" s="97"/>
      <c r="B63" s="183">
        <f t="shared" si="9"/>
        <v>82</v>
      </c>
      <c r="C63" s="320">
        <f ca="1"/>
        <v>6556917987.4868937</v>
      </c>
      <c r="D63" s="320">
        <v>1210341678.0543628</v>
      </c>
      <c r="E63" s="320">
        <f t="shared" ca="1" si="0"/>
        <v>5346576309.4325314</v>
      </c>
      <c r="F63" s="320">
        <f t="shared" ca="1" si="10"/>
        <v>286805008.02794236</v>
      </c>
      <c r="G63" s="320">
        <f t="shared" si="11"/>
        <v>286805008.02794236</v>
      </c>
      <c r="H63" s="320">
        <f t="shared" ca="1" si="2"/>
        <v>0</v>
      </c>
      <c r="I63" s="320">
        <f t="shared" ca="1" si="3"/>
        <v>0</v>
      </c>
      <c r="J63" s="320">
        <f t="shared" ca="1" si="4"/>
        <v>5346576309.4325314</v>
      </c>
      <c r="K63" s="320">
        <f t="shared" ca="1" si="5"/>
        <v>3207945785.6595187</v>
      </c>
      <c r="L63" s="320">
        <f ca="1">IF(J63&lt;0,IF('20. Balance '!D63&gt;-J63,J63,-'20. Balance '!D63),0)</f>
        <v>0</v>
      </c>
      <c r="M63" s="320">
        <f t="shared" ca="1" si="6"/>
        <v>2138630523.7730126</v>
      </c>
      <c r="N63" s="320">
        <f t="shared" ca="1" si="7"/>
        <v>2138630523.7730126</v>
      </c>
      <c r="O63" s="320">
        <f ca="1">IF(M63&lt;0,IF('20. Balance '!E63&gt;-M63,M63,-'20. Balance '!E63),0)</f>
        <v>0</v>
      </c>
      <c r="P63" s="320">
        <f t="shared" ca="1" si="8"/>
        <v>0</v>
      </c>
    </row>
    <row r="64" spans="1:16" ht="17">
      <c r="A64" s="97"/>
      <c r="B64" s="183">
        <f t="shared" si="9"/>
        <v>83</v>
      </c>
      <c r="C64" s="320">
        <f ca="1"/>
        <v>7034804463.6673136</v>
      </c>
      <c r="D64" s="320">
        <v>1245091543.568625</v>
      </c>
      <c r="E64" s="320">
        <f t="shared" ca="1" si="0"/>
        <v>5789712920.0986881</v>
      </c>
      <c r="F64" s="320">
        <f t="shared" ca="1" si="10"/>
        <v>286805008.02794236</v>
      </c>
      <c r="G64" s="320">
        <f t="shared" si="11"/>
        <v>286805008.02794236</v>
      </c>
      <c r="H64" s="320">
        <f t="shared" ca="1" si="2"/>
        <v>0</v>
      </c>
      <c r="I64" s="320">
        <f t="shared" ca="1" si="3"/>
        <v>0</v>
      </c>
      <c r="J64" s="320">
        <f t="shared" ca="1" si="4"/>
        <v>5789712920.0986881</v>
      </c>
      <c r="K64" s="320">
        <f t="shared" ca="1" si="5"/>
        <v>3473827752.0592127</v>
      </c>
      <c r="L64" s="320">
        <f ca="1">IF(J64&lt;0,IF('20. Balance '!D64&gt;-J64,J64,-'20. Balance '!D64),0)</f>
        <v>0</v>
      </c>
      <c r="M64" s="320">
        <f t="shared" ca="1" si="6"/>
        <v>2315885168.0394754</v>
      </c>
      <c r="N64" s="320">
        <f t="shared" ca="1" si="7"/>
        <v>2315885168.0394754</v>
      </c>
      <c r="O64" s="320">
        <f ca="1">IF(M64&lt;0,IF('20. Balance '!E64&gt;-M64,M64,-'20. Balance '!E64),0)</f>
        <v>0</v>
      </c>
      <c r="P64" s="320">
        <f t="shared" ca="1" si="8"/>
        <v>0</v>
      </c>
    </row>
    <row r="65" spans="1:16" ht="17">
      <c r="A65" s="97"/>
      <c r="B65" s="183">
        <f t="shared" si="9"/>
        <v>84</v>
      </c>
      <c r="C65" s="320">
        <f ca="1"/>
        <v>6606270625.0796518</v>
      </c>
      <c r="D65" s="320">
        <v>1280842552.7083535</v>
      </c>
      <c r="E65" s="320">
        <f t="shared" ca="1" si="0"/>
        <v>5325428072.3712978</v>
      </c>
      <c r="F65" s="320">
        <f t="shared" ca="1" si="10"/>
        <v>286805008.02794236</v>
      </c>
      <c r="G65" s="320">
        <f t="shared" si="11"/>
        <v>286805008.02794236</v>
      </c>
      <c r="H65" s="320">
        <f t="shared" ca="1" si="2"/>
        <v>0</v>
      </c>
      <c r="I65" s="320">
        <f t="shared" ca="1" si="3"/>
        <v>0</v>
      </c>
      <c r="J65" s="320">
        <f t="shared" ca="1" si="4"/>
        <v>5325428072.3712978</v>
      </c>
      <c r="K65" s="320">
        <f t="shared" ca="1" si="5"/>
        <v>3195256843.4227786</v>
      </c>
      <c r="L65" s="320">
        <f ca="1">IF(J65&lt;0,IF('20. Balance '!D65&gt;-J65,J65,-'20. Balance '!D65),0)</f>
        <v>0</v>
      </c>
      <c r="M65" s="320">
        <f t="shared" ca="1" si="6"/>
        <v>2130171228.9485192</v>
      </c>
      <c r="N65" s="320">
        <f t="shared" ca="1" si="7"/>
        <v>2130171228.9485192</v>
      </c>
      <c r="O65" s="320">
        <f ca="1">IF(M65&lt;0,IF('20. Balance '!E65&gt;-M65,M65,-'20. Balance '!E65),0)</f>
        <v>0</v>
      </c>
      <c r="P65" s="320">
        <f t="shared" ca="1" si="8"/>
        <v>0</v>
      </c>
    </row>
    <row r="66" spans="1:16" ht="17">
      <c r="A66" s="97"/>
      <c r="B66" s="183">
        <f t="shared" si="9"/>
        <v>85</v>
      </c>
      <c r="C66" s="320">
        <f ca="1"/>
        <v>8296027383.1140146</v>
      </c>
      <c r="D66" s="320">
        <v>1317623548.4213977</v>
      </c>
      <c r="E66" s="320">
        <f t="shared" ca="1" si="0"/>
        <v>6978403834.6926174</v>
      </c>
      <c r="F66" s="320">
        <f t="shared" ca="1" si="10"/>
        <v>286805008.02794236</v>
      </c>
      <c r="G66" s="320">
        <f t="shared" si="11"/>
        <v>286805008.02794236</v>
      </c>
      <c r="H66" s="320">
        <f t="shared" ca="1" si="2"/>
        <v>0</v>
      </c>
      <c r="I66" s="320">
        <f t="shared" ca="1" si="3"/>
        <v>0</v>
      </c>
      <c r="J66" s="320">
        <f t="shared" ca="1" si="4"/>
        <v>6978403834.6926174</v>
      </c>
      <c r="K66" s="320">
        <f t="shared" ca="1" si="5"/>
        <v>4187042300.8155704</v>
      </c>
      <c r="L66" s="320">
        <f ca="1">IF(J66&lt;0,IF('20. Balance '!D66&gt;-J66,J66,-'20. Balance '!D66),0)</f>
        <v>0</v>
      </c>
      <c r="M66" s="320">
        <f t="shared" ca="1" si="6"/>
        <v>2791361533.8770471</v>
      </c>
      <c r="N66" s="320">
        <f t="shared" ca="1" si="7"/>
        <v>2791361533.8770471</v>
      </c>
      <c r="O66" s="320">
        <f ca="1">IF(M66&lt;0,IF('20. Balance '!E66&gt;-M66,M66,-'20. Balance '!E66),0)</f>
        <v>0</v>
      </c>
      <c r="P66" s="320">
        <f t="shared" ca="1" si="8"/>
        <v>0</v>
      </c>
    </row>
    <row r="67" spans="1:16" ht="17">
      <c r="A67" s="97"/>
      <c r="B67" s="97"/>
      <c r="C67" s="97"/>
      <c r="D67" s="97"/>
      <c r="E67" s="97"/>
      <c r="F67" s="302"/>
      <c r="G67" s="302"/>
      <c r="H67" s="302"/>
      <c r="I67" s="302"/>
      <c r="J67" s="302"/>
      <c r="K67" s="302"/>
      <c r="L67" s="302"/>
      <c r="M67" s="302"/>
      <c r="N67" s="302"/>
      <c r="O67" s="302"/>
      <c r="P67" s="302"/>
    </row>
    <row r="68" spans="1:16" ht="17">
      <c r="A68" s="97"/>
      <c r="B68" s="97"/>
      <c r="C68" s="97"/>
      <c r="D68" s="97"/>
      <c r="E68" s="97"/>
      <c r="F68" s="302"/>
      <c r="G68" s="302"/>
      <c r="H68" s="302"/>
      <c r="I68" s="302"/>
      <c r="J68" s="302"/>
      <c r="K68" s="302"/>
      <c r="L68" s="302"/>
      <c r="M68" s="302"/>
      <c r="N68" s="302"/>
      <c r="O68" s="302"/>
      <c r="P68" s="302"/>
    </row>
    <row r="69" spans="1:16" ht="17">
      <c r="A69" s="97"/>
      <c r="B69" s="97"/>
      <c r="C69" s="97"/>
      <c r="D69" s="97"/>
      <c r="E69" s="97"/>
      <c r="F69" s="302"/>
      <c r="G69" s="302"/>
      <c r="H69" s="302"/>
      <c r="I69" s="302"/>
      <c r="J69" s="302"/>
      <c r="K69" s="302"/>
      <c r="L69" s="302"/>
      <c r="M69" s="302"/>
      <c r="N69" s="302"/>
      <c r="O69" s="302"/>
      <c r="P69" s="302"/>
    </row>
    <row r="70" spans="1:16" ht="17">
      <c r="A70" s="97"/>
      <c r="B70" s="97"/>
      <c r="C70" s="97"/>
      <c r="D70" s="97"/>
      <c r="E70" s="97"/>
      <c r="F70" s="302"/>
      <c r="G70" s="302"/>
      <c r="H70" s="302"/>
      <c r="I70" s="302"/>
      <c r="J70" s="302"/>
      <c r="K70" s="302"/>
      <c r="L70" s="302"/>
      <c r="M70" s="302"/>
      <c r="N70" s="302"/>
      <c r="O70" s="302"/>
      <c r="P70" s="302"/>
    </row>
    <row r="71" spans="1:16" ht="17">
      <c r="A71" s="97"/>
      <c r="B71" s="97"/>
      <c r="C71" s="97"/>
      <c r="D71" s="97"/>
      <c r="E71" s="97"/>
      <c r="F71" s="302"/>
      <c r="G71" s="302"/>
      <c r="H71" s="302"/>
      <c r="I71" s="302"/>
      <c r="J71" s="302"/>
      <c r="K71" s="302"/>
      <c r="L71" s="302"/>
      <c r="M71" s="302"/>
      <c r="N71" s="302"/>
      <c r="O71" s="302"/>
      <c r="P71" s="302"/>
    </row>
    <row r="72" spans="1:16" ht="17">
      <c r="A72" s="97"/>
      <c r="B72" s="97"/>
      <c r="C72" s="97"/>
      <c r="D72" s="97"/>
      <c r="E72" s="97"/>
      <c r="F72" s="302"/>
      <c r="G72" s="302"/>
      <c r="H72" s="302"/>
      <c r="I72" s="302"/>
      <c r="J72" s="302"/>
      <c r="K72" s="302"/>
      <c r="L72" s="302"/>
      <c r="M72" s="302"/>
      <c r="N72" s="302"/>
      <c r="O72" s="302"/>
      <c r="P72" s="302"/>
    </row>
    <row r="73" spans="1:16" ht="17">
      <c r="A73" s="97"/>
      <c r="B73" s="97"/>
      <c r="C73" s="97"/>
      <c r="D73" s="97"/>
      <c r="E73" s="97"/>
      <c r="F73" s="302"/>
      <c r="G73" s="302"/>
      <c r="H73" s="302"/>
      <c r="I73" s="302"/>
      <c r="J73" s="302"/>
      <c r="K73" s="302"/>
      <c r="L73" s="302"/>
      <c r="M73" s="302"/>
      <c r="N73" s="302"/>
      <c r="O73" s="302"/>
      <c r="P73" s="302"/>
    </row>
    <row r="74" spans="1:16" ht="17">
      <c r="A74" s="97"/>
      <c r="B74" s="97"/>
      <c r="C74" s="97"/>
      <c r="D74" s="97"/>
      <c r="E74" s="97"/>
      <c r="F74" s="302"/>
      <c r="G74" s="302"/>
      <c r="H74" s="302"/>
      <c r="I74" s="302"/>
      <c r="J74" s="302"/>
      <c r="K74" s="302"/>
      <c r="L74" s="302"/>
      <c r="M74" s="302"/>
      <c r="N74" s="302"/>
      <c r="O74" s="302"/>
      <c r="P74" s="302"/>
    </row>
    <row r="75" spans="1:16" ht="17">
      <c r="A75" s="97"/>
      <c r="B75" s="97"/>
      <c r="C75" s="97"/>
      <c r="D75" s="97"/>
      <c r="E75" s="97"/>
      <c r="F75" s="302"/>
      <c r="G75" s="302"/>
      <c r="H75" s="302"/>
      <c r="I75" s="302"/>
      <c r="J75" s="302"/>
      <c r="K75" s="302"/>
      <c r="L75" s="302"/>
      <c r="M75" s="302"/>
      <c r="N75" s="302"/>
      <c r="O75" s="302"/>
      <c r="P75" s="302"/>
    </row>
    <row r="76" spans="1:16" ht="17">
      <c r="A76" s="97"/>
      <c r="B76" s="97"/>
      <c r="C76" s="97"/>
      <c r="D76" s="97"/>
      <c r="E76" s="97"/>
      <c r="F76" s="302"/>
      <c r="G76" s="302"/>
      <c r="H76" s="302"/>
      <c r="I76" s="302"/>
      <c r="J76" s="302"/>
      <c r="K76" s="302"/>
      <c r="L76" s="302"/>
      <c r="M76" s="302"/>
      <c r="N76" s="302"/>
      <c r="O76" s="302"/>
      <c r="P76" s="302"/>
    </row>
    <row r="77" spans="1:16" ht="17">
      <c r="A77" s="97"/>
      <c r="B77" s="97"/>
      <c r="C77" s="97"/>
      <c r="D77" s="97"/>
      <c r="E77" s="97"/>
      <c r="F77" s="302"/>
      <c r="G77" s="302"/>
      <c r="H77" s="302"/>
      <c r="I77" s="302"/>
      <c r="J77" s="302"/>
      <c r="K77" s="302"/>
      <c r="L77" s="302"/>
      <c r="M77" s="302"/>
      <c r="N77" s="302"/>
      <c r="O77" s="302"/>
      <c r="P77" s="302"/>
    </row>
    <row r="78" spans="1:16" ht="17">
      <c r="A78" s="97"/>
      <c r="B78" s="97"/>
      <c r="C78" s="97"/>
      <c r="D78" s="97"/>
      <c r="E78" s="97"/>
      <c r="F78" s="302"/>
      <c r="G78" s="302"/>
      <c r="H78" s="302"/>
      <c r="I78" s="302"/>
      <c r="J78" s="302"/>
      <c r="K78" s="302"/>
      <c r="L78" s="302"/>
      <c r="M78" s="302"/>
      <c r="N78" s="302"/>
      <c r="O78" s="302"/>
      <c r="P78" s="302"/>
    </row>
    <row r="79" spans="1:16" ht="17">
      <c r="A79" s="97"/>
      <c r="B79" s="97"/>
      <c r="C79" s="97"/>
      <c r="D79" s="97"/>
      <c r="E79" s="97"/>
      <c r="F79" s="302"/>
      <c r="G79" s="302"/>
      <c r="H79" s="302"/>
      <c r="I79" s="302"/>
      <c r="J79" s="302"/>
      <c r="K79" s="302"/>
      <c r="L79" s="302"/>
      <c r="M79" s="302"/>
      <c r="N79" s="302"/>
      <c r="O79" s="302"/>
      <c r="P79" s="302"/>
    </row>
    <row r="80" spans="1:16" ht="17">
      <c r="A80" s="97"/>
      <c r="B80" s="97"/>
      <c r="C80" s="97"/>
      <c r="D80" s="97"/>
      <c r="E80" s="97"/>
      <c r="F80" s="302"/>
      <c r="G80" s="302"/>
      <c r="H80" s="302"/>
      <c r="I80" s="302"/>
      <c r="J80" s="302"/>
      <c r="K80" s="302"/>
      <c r="L80" s="302"/>
      <c r="M80" s="302"/>
      <c r="N80" s="302"/>
      <c r="O80" s="302"/>
      <c r="P80" s="302"/>
    </row>
    <row r="81" spans="1:16" ht="17">
      <c r="A81" s="97"/>
      <c r="B81" s="97"/>
      <c r="C81" s="97"/>
      <c r="D81" s="97"/>
      <c r="E81" s="97"/>
      <c r="F81" s="302"/>
      <c r="G81" s="302"/>
      <c r="H81" s="302"/>
      <c r="I81" s="302"/>
      <c r="J81" s="302"/>
      <c r="K81" s="302"/>
      <c r="L81" s="302"/>
      <c r="M81" s="302"/>
      <c r="N81" s="302"/>
      <c r="O81" s="302"/>
      <c r="P81" s="302"/>
    </row>
    <row r="82" spans="1:16" ht="17">
      <c r="A82" s="97"/>
      <c r="B82" s="97"/>
      <c r="C82" s="97"/>
      <c r="D82" s="97"/>
      <c r="E82" s="97"/>
      <c r="F82" s="302"/>
      <c r="G82" s="302"/>
      <c r="H82" s="302"/>
      <c r="I82" s="302"/>
      <c r="J82" s="302"/>
      <c r="K82" s="302"/>
      <c r="L82" s="302"/>
      <c r="M82" s="302"/>
      <c r="N82" s="302"/>
      <c r="O82" s="302"/>
      <c r="P82" s="302"/>
    </row>
    <row r="83" spans="1:16" ht="17">
      <c r="A83" s="97"/>
      <c r="B83" s="97"/>
      <c r="C83" s="97"/>
      <c r="D83" s="97"/>
      <c r="E83" s="97"/>
      <c r="F83" s="302"/>
      <c r="G83" s="302"/>
      <c r="H83" s="302"/>
      <c r="I83" s="302"/>
      <c r="J83" s="302"/>
      <c r="K83" s="302"/>
      <c r="L83" s="302"/>
      <c r="M83" s="302"/>
      <c r="N83" s="302"/>
      <c r="O83" s="302"/>
      <c r="P83" s="302"/>
    </row>
    <row r="84" spans="1:16" ht="17">
      <c r="A84" s="97"/>
      <c r="B84" s="97"/>
      <c r="C84" s="97"/>
      <c r="D84" s="97"/>
      <c r="E84" s="97"/>
      <c r="F84" s="302"/>
      <c r="G84" s="302"/>
      <c r="H84" s="302"/>
      <c r="I84" s="302"/>
      <c r="J84" s="302"/>
      <c r="K84" s="302"/>
      <c r="L84" s="302"/>
      <c r="M84" s="302"/>
      <c r="N84" s="302"/>
      <c r="O84" s="302"/>
      <c r="P84" s="302"/>
    </row>
    <row r="85" spans="1:16" ht="17">
      <c r="A85" s="97"/>
      <c r="B85" s="97"/>
      <c r="C85" s="97"/>
      <c r="D85" s="97"/>
      <c r="E85" s="97"/>
      <c r="F85" s="302"/>
      <c r="G85" s="302"/>
      <c r="H85" s="302"/>
      <c r="I85" s="302"/>
      <c r="J85" s="302"/>
      <c r="K85" s="302"/>
      <c r="L85" s="302"/>
      <c r="M85" s="302"/>
      <c r="N85" s="302"/>
      <c r="O85" s="302"/>
      <c r="P85" s="302"/>
    </row>
    <row r="86" spans="1:16" ht="17">
      <c r="A86" s="97"/>
      <c r="B86" s="97"/>
      <c r="C86" s="97"/>
      <c r="D86" s="97"/>
      <c r="E86" s="97"/>
      <c r="F86" s="302"/>
      <c r="G86" s="302"/>
      <c r="H86" s="302"/>
      <c r="I86" s="302"/>
      <c r="J86" s="302"/>
      <c r="K86" s="302"/>
      <c r="L86" s="302"/>
      <c r="M86" s="302"/>
      <c r="N86" s="302"/>
      <c r="O86" s="302"/>
      <c r="P86" s="302"/>
    </row>
    <row r="87" spans="1:16" ht="17">
      <c r="A87" s="97"/>
      <c r="B87" s="97"/>
      <c r="C87" s="97"/>
      <c r="D87" s="97"/>
      <c r="E87" s="97"/>
      <c r="F87" s="302"/>
      <c r="G87" s="302"/>
      <c r="H87" s="302"/>
      <c r="I87" s="302"/>
      <c r="J87" s="302"/>
      <c r="K87" s="302"/>
      <c r="L87" s="302"/>
      <c r="M87" s="302"/>
      <c r="N87" s="302"/>
      <c r="O87" s="302"/>
      <c r="P87" s="302"/>
    </row>
    <row r="88" spans="1:16" ht="17">
      <c r="A88" s="97"/>
      <c r="B88" s="97"/>
      <c r="C88" s="97"/>
      <c r="D88" s="97"/>
      <c r="E88" s="97"/>
      <c r="F88" s="302"/>
      <c r="G88" s="302"/>
      <c r="H88" s="302"/>
      <c r="I88" s="302"/>
      <c r="J88" s="302"/>
      <c r="K88" s="302"/>
      <c r="L88" s="302"/>
      <c r="M88" s="302"/>
      <c r="N88" s="302"/>
      <c r="O88" s="302"/>
      <c r="P88" s="302"/>
    </row>
    <row r="89" spans="1:16" ht="17">
      <c r="A89" s="97"/>
      <c r="B89" s="97"/>
      <c r="C89" s="97"/>
      <c r="D89" s="97"/>
      <c r="E89" s="97"/>
      <c r="F89" s="302"/>
      <c r="G89" s="302"/>
      <c r="H89" s="302"/>
      <c r="I89" s="302"/>
      <c r="J89" s="302"/>
      <c r="K89" s="302"/>
      <c r="L89" s="302"/>
      <c r="M89" s="302"/>
      <c r="N89" s="302"/>
      <c r="O89" s="302"/>
      <c r="P89" s="302"/>
    </row>
    <row r="90" spans="1:16" ht="17">
      <c r="A90" s="97"/>
      <c r="B90" s="97"/>
      <c r="C90" s="97"/>
      <c r="D90" s="97"/>
      <c r="E90" s="97"/>
      <c r="F90" s="302"/>
      <c r="G90" s="302"/>
      <c r="H90" s="302"/>
      <c r="I90" s="302"/>
      <c r="J90" s="302"/>
      <c r="K90" s="302"/>
      <c r="L90" s="302"/>
      <c r="M90" s="302"/>
      <c r="N90" s="302"/>
      <c r="O90" s="302"/>
      <c r="P90" s="302"/>
    </row>
    <row r="91" spans="1:16" ht="17">
      <c r="A91" s="97"/>
      <c r="B91" s="97"/>
      <c r="C91" s="97"/>
      <c r="D91" s="97"/>
      <c r="E91" s="97"/>
      <c r="F91" s="302"/>
      <c r="G91" s="302"/>
      <c r="H91" s="302"/>
      <c r="I91" s="302"/>
      <c r="J91" s="302"/>
      <c r="K91" s="302"/>
      <c r="L91" s="302"/>
      <c r="M91" s="302"/>
      <c r="N91" s="302"/>
      <c r="O91" s="302"/>
      <c r="P91" s="302"/>
    </row>
    <row r="92" spans="1:16" ht="17">
      <c r="A92" s="97"/>
      <c r="B92" s="97"/>
      <c r="C92" s="97"/>
      <c r="D92" s="97"/>
      <c r="E92" s="97"/>
      <c r="F92" s="302"/>
      <c r="G92" s="302"/>
      <c r="H92" s="302"/>
      <c r="I92" s="302"/>
      <c r="J92" s="302"/>
      <c r="K92" s="302"/>
      <c r="L92" s="302"/>
      <c r="M92" s="302"/>
      <c r="N92" s="302"/>
      <c r="O92" s="302"/>
      <c r="P92" s="302"/>
    </row>
    <row r="93" spans="1:16" ht="17">
      <c r="A93" s="97"/>
      <c r="B93" s="97"/>
      <c r="C93" s="97"/>
      <c r="D93" s="97"/>
      <c r="E93" s="97"/>
      <c r="F93" s="302"/>
      <c r="G93" s="302"/>
      <c r="H93" s="302"/>
      <c r="I93" s="302"/>
      <c r="J93" s="302"/>
      <c r="K93" s="302"/>
      <c r="L93" s="302"/>
      <c r="M93" s="302"/>
      <c r="N93" s="302"/>
      <c r="O93" s="302"/>
      <c r="P93" s="302"/>
    </row>
    <row r="94" spans="1:16" ht="17">
      <c r="A94" s="97"/>
      <c r="B94" s="97"/>
      <c r="C94" s="97"/>
      <c r="D94" s="97"/>
      <c r="E94" s="97"/>
      <c r="F94" s="302"/>
      <c r="G94" s="302"/>
      <c r="H94" s="302"/>
      <c r="I94" s="302"/>
      <c r="J94" s="302"/>
      <c r="K94" s="302"/>
      <c r="L94" s="302"/>
      <c r="M94" s="302"/>
      <c r="N94" s="302"/>
      <c r="O94" s="302"/>
      <c r="P94" s="302"/>
    </row>
    <row r="95" spans="1:16" ht="17">
      <c r="A95" s="97"/>
      <c r="B95" s="97"/>
      <c r="C95" s="97"/>
      <c r="D95" s="97"/>
      <c r="E95" s="97"/>
      <c r="F95" s="302"/>
      <c r="G95" s="302"/>
      <c r="H95" s="302"/>
      <c r="I95" s="302"/>
      <c r="J95" s="302"/>
      <c r="K95" s="302"/>
      <c r="L95" s="302"/>
      <c r="M95" s="302"/>
      <c r="N95" s="302"/>
      <c r="O95" s="302"/>
      <c r="P95" s="302"/>
    </row>
    <row r="96" spans="1:16" ht="17">
      <c r="A96" s="97"/>
      <c r="B96" s="97"/>
      <c r="C96" s="97"/>
      <c r="D96" s="97"/>
      <c r="E96" s="97"/>
      <c r="F96" s="302"/>
      <c r="G96" s="302"/>
      <c r="H96" s="302"/>
      <c r="I96" s="302"/>
      <c r="J96" s="302"/>
      <c r="K96" s="302"/>
      <c r="L96" s="302"/>
      <c r="M96" s="302"/>
      <c r="N96" s="302"/>
      <c r="O96" s="302"/>
      <c r="P96" s="302"/>
    </row>
    <row r="97" spans="1:16" ht="17">
      <c r="A97" s="97"/>
      <c r="B97" s="97"/>
      <c r="C97" s="97"/>
      <c r="D97" s="97"/>
      <c r="E97" s="97"/>
      <c r="F97" s="302"/>
      <c r="G97" s="302"/>
      <c r="H97" s="302"/>
      <c r="I97" s="302"/>
      <c r="J97" s="302"/>
      <c r="K97" s="302"/>
      <c r="L97" s="302"/>
      <c r="M97" s="302"/>
      <c r="N97" s="302"/>
      <c r="O97" s="302"/>
      <c r="P97" s="302"/>
    </row>
    <row r="98" spans="1:16" ht="17">
      <c r="A98" s="97"/>
      <c r="B98" s="97"/>
      <c r="C98" s="97"/>
      <c r="D98" s="97"/>
      <c r="E98" s="97"/>
      <c r="F98" s="302"/>
      <c r="G98" s="302"/>
      <c r="H98" s="302"/>
      <c r="I98" s="302"/>
      <c r="J98" s="302"/>
      <c r="K98" s="302"/>
      <c r="L98" s="302"/>
      <c r="M98" s="302"/>
      <c r="N98" s="302"/>
      <c r="O98" s="302"/>
      <c r="P98" s="302"/>
    </row>
    <row r="99" spans="1:16" ht="17">
      <c r="A99" s="97"/>
      <c r="B99" s="97"/>
      <c r="C99" s="97"/>
      <c r="D99" s="97"/>
      <c r="E99" s="97"/>
      <c r="F99" s="302"/>
      <c r="G99" s="302"/>
      <c r="H99" s="302"/>
      <c r="I99" s="302"/>
      <c r="J99" s="302"/>
      <c r="K99" s="302"/>
      <c r="L99" s="302"/>
      <c r="M99" s="302"/>
      <c r="N99" s="302"/>
      <c r="O99" s="302"/>
      <c r="P99" s="302"/>
    </row>
    <row r="100" spans="1:16" ht="17">
      <c r="A100" s="97"/>
      <c r="B100" s="97"/>
      <c r="C100" s="97"/>
      <c r="D100" s="97"/>
      <c r="E100" s="97"/>
      <c r="F100" s="302"/>
      <c r="G100" s="302"/>
      <c r="H100" s="302"/>
      <c r="I100" s="302"/>
      <c r="J100" s="302"/>
      <c r="K100" s="302"/>
      <c r="L100" s="302"/>
      <c r="M100" s="302"/>
      <c r="N100" s="302"/>
      <c r="O100" s="302"/>
      <c r="P100" s="302"/>
    </row>
    <row r="101" spans="1:16" ht="17">
      <c r="A101" s="97"/>
      <c r="B101" s="97"/>
      <c r="C101" s="97"/>
      <c r="D101" s="97"/>
      <c r="E101" s="97"/>
      <c r="F101" s="302"/>
      <c r="G101" s="302"/>
      <c r="H101" s="302"/>
      <c r="I101" s="302"/>
      <c r="J101" s="302"/>
      <c r="K101" s="302"/>
      <c r="L101" s="302"/>
      <c r="M101" s="302"/>
      <c r="N101" s="302"/>
      <c r="O101" s="302"/>
      <c r="P101" s="302"/>
    </row>
    <row r="102" spans="1:16" ht="17">
      <c r="A102" s="97"/>
      <c r="B102" s="97"/>
      <c r="C102" s="97"/>
      <c r="D102" s="97"/>
      <c r="E102" s="97"/>
      <c r="F102" s="302"/>
      <c r="G102" s="302"/>
      <c r="H102" s="302"/>
      <c r="I102" s="302"/>
      <c r="J102" s="302"/>
      <c r="K102" s="302"/>
      <c r="L102" s="302"/>
      <c r="M102" s="302"/>
      <c r="N102" s="302"/>
      <c r="O102" s="302"/>
      <c r="P102" s="302"/>
    </row>
    <row r="103" spans="1:16" ht="17">
      <c r="A103" s="97"/>
      <c r="B103" s="97"/>
      <c r="C103" s="97"/>
      <c r="D103" s="97"/>
      <c r="E103" s="97"/>
      <c r="F103" s="302"/>
      <c r="G103" s="302"/>
      <c r="H103" s="302"/>
      <c r="I103" s="302"/>
      <c r="J103" s="302"/>
      <c r="K103" s="302"/>
      <c r="L103" s="302"/>
      <c r="M103" s="302"/>
      <c r="N103" s="302"/>
      <c r="O103" s="302"/>
      <c r="P103" s="302"/>
    </row>
    <row r="104" spans="1:16" ht="17">
      <c r="A104" s="97"/>
      <c r="B104" s="97"/>
      <c r="C104" s="97"/>
      <c r="D104" s="97"/>
      <c r="E104" s="97"/>
      <c r="F104" s="302"/>
      <c r="G104" s="302"/>
      <c r="H104" s="302"/>
      <c r="I104" s="302"/>
      <c r="J104" s="302"/>
      <c r="K104" s="302"/>
      <c r="L104" s="302"/>
      <c r="M104" s="302"/>
      <c r="N104" s="302"/>
      <c r="O104" s="302"/>
      <c r="P104" s="302"/>
    </row>
    <row r="105" spans="1:16" ht="17">
      <c r="A105" s="97"/>
      <c r="B105" s="97"/>
      <c r="C105" s="97"/>
      <c r="D105" s="97"/>
      <c r="E105" s="97"/>
      <c r="F105" s="302"/>
      <c r="G105" s="302"/>
      <c r="H105" s="302"/>
      <c r="I105" s="302"/>
      <c r="J105" s="302"/>
      <c r="K105" s="302"/>
      <c r="L105" s="302"/>
      <c r="M105" s="302"/>
      <c r="N105" s="302"/>
      <c r="O105" s="302"/>
      <c r="P105" s="302"/>
    </row>
    <row r="106" spans="1:16" ht="17">
      <c r="A106" s="97"/>
      <c r="B106" s="97"/>
      <c r="C106" s="97"/>
      <c r="D106" s="97"/>
      <c r="E106" s="97"/>
      <c r="F106" s="302"/>
      <c r="G106" s="302"/>
      <c r="H106" s="302"/>
      <c r="I106" s="302"/>
      <c r="J106" s="302"/>
      <c r="K106" s="302"/>
      <c r="L106" s="302"/>
      <c r="M106" s="302"/>
      <c r="N106" s="302"/>
      <c r="O106" s="302"/>
      <c r="P106" s="302"/>
    </row>
    <row r="107" spans="1:16" ht="17">
      <c r="A107" s="97"/>
      <c r="B107" s="97"/>
      <c r="C107" s="97"/>
      <c r="D107" s="97"/>
      <c r="E107" s="97"/>
      <c r="F107" s="302"/>
      <c r="G107" s="302"/>
      <c r="H107" s="302"/>
      <c r="I107" s="302"/>
      <c r="J107" s="302"/>
      <c r="K107" s="302"/>
      <c r="L107" s="302"/>
      <c r="M107" s="302"/>
      <c r="N107" s="302"/>
      <c r="O107" s="302"/>
      <c r="P107" s="302"/>
    </row>
    <row r="108" spans="1:16" ht="17">
      <c r="A108" s="97"/>
      <c r="B108" s="97"/>
      <c r="C108" s="97"/>
      <c r="D108" s="97"/>
      <c r="E108" s="97"/>
      <c r="F108" s="302"/>
      <c r="G108" s="302"/>
      <c r="H108" s="302"/>
      <c r="I108" s="302"/>
      <c r="J108" s="302"/>
      <c r="K108" s="302"/>
      <c r="L108" s="302"/>
      <c r="M108" s="302"/>
      <c r="N108" s="302"/>
      <c r="O108" s="302"/>
      <c r="P108" s="302"/>
    </row>
    <row r="109" spans="1:16" ht="17">
      <c r="A109" s="97"/>
      <c r="B109" s="97"/>
      <c r="C109" s="97"/>
      <c r="D109" s="97"/>
      <c r="E109" s="97"/>
      <c r="F109" s="302"/>
      <c r="G109" s="302"/>
      <c r="H109" s="302"/>
      <c r="I109" s="302"/>
      <c r="J109" s="302"/>
      <c r="K109" s="302"/>
      <c r="L109" s="302"/>
      <c r="M109" s="302"/>
      <c r="N109" s="302"/>
      <c r="O109" s="302"/>
      <c r="P109" s="302"/>
    </row>
    <row r="110" spans="1:16" ht="17">
      <c r="A110" s="97"/>
      <c r="B110" s="97"/>
      <c r="C110" s="97"/>
      <c r="D110" s="97"/>
      <c r="E110" s="97"/>
      <c r="F110" s="302"/>
      <c r="G110" s="302"/>
      <c r="H110" s="302"/>
      <c r="I110" s="302"/>
      <c r="J110" s="302"/>
      <c r="K110" s="302"/>
      <c r="L110" s="302"/>
      <c r="M110" s="302"/>
      <c r="N110" s="302"/>
      <c r="O110" s="302"/>
      <c r="P110" s="302"/>
    </row>
    <row r="111" spans="1:16" ht="17">
      <c r="A111" s="97"/>
      <c r="B111" s="97"/>
      <c r="C111" s="97"/>
      <c r="D111" s="97"/>
      <c r="E111" s="97"/>
      <c r="F111" s="302"/>
      <c r="G111" s="302"/>
      <c r="H111" s="302"/>
      <c r="I111" s="302"/>
      <c r="J111" s="302"/>
      <c r="K111" s="302"/>
      <c r="L111" s="302"/>
      <c r="M111" s="302"/>
      <c r="N111" s="302"/>
      <c r="O111" s="302"/>
      <c r="P111" s="302"/>
    </row>
    <row r="112" spans="1:16" ht="17">
      <c r="A112" s="97"/>
      <c r="B112" s="97"/>
      <c r="C112" s="97"/>
      <c r="D112" s="97"/>
      <c r="E112" s="97"/>
      <c r="F112" s="302"/>
      <c r="G112" s="302"/>
      <c r="H112" s="302"/>
      <c r="I112" s="302"/>
      <c r="J112" s="302"/>
      <c r="K112" s="302"/>
      <c r="L112" s="302"/>
      <c r="M112" s="302"/>
      <c r="N112" s="302"/>
      <c r="O112" s="302"/>
      <c r="P112" s="302"/>
    </row>
    <row r="113" spans="1:16" ht="17">
      <c r="A113" s="97"/>
      <c r="B113" s="97"/>
      <c r="C113" s="97"/>
      <c r="D113" s="97"/>
      <c r="E113" s="97"/>
      <c r="F113" s="302"/>
      <c r="G113" s="302"/>
      <c r="H113" s="302"/>
      <c r="I113" s="302"/>
      <c r="J113" s="302"/>
      <c r="K113" s="302"/>
      <c r="L113" s="302"/>
      <c r="M113" s="302"/>
      <c r="N113" s="302"/>
      <c r="O113" s="302"/>
      <c r="P113" s="302"/>
    </row>
    <row r="114" spans="1:16" ht="17">
      <c r="A114" s="97"/>
      <c r="B114" s="97"/>
      <c r="C114" s="97"/>
      <c r="D114" s="97"/>
      <c r="E114" s="97"/>
      <c r="F114" s="302"/>
      <c r="G114" s="302"/>
      <c r="H114" s="302"/>
      <c r="I114" s="302"/>
      <c r="J114" s="302"/>
      <c r="K114" s="302"/>
      <c r="L114" s="302"/>
      <c r="M114" s="302"/>
      <c r="N114" s="302"/>
      <c r="O114" s="302"/>
      <c r="P114" s="302"/>
    </row>
    <row r="115" spans="1:16" ht="17">
      <c r="A115" s="97"/>
      <c r="B115" s="97"/>
      <c r="C115" s="97"/>
      <c r="D115" s="97"/>
      <c r="E115" s="97"/>
      <c r="F115" s="302"/>
      <c r="G115" s="302"/>
      <c r="H115" s="302"/>
      <c r="I115" s="302"/>
      <c r="J115" s="302"/>
      <c r="K115" s="302"/>
      <c r="L115" s="302"/>
      <c r="M115" s="302"/>
      <c r="N115" s="302"/>
      <c r="O115" s="302"/>
      <c r="P115" s="302"/>
    </row>
    <row r="116" spans="1:16" ht="17">
      <c r="A116" s="97"/>
      <c r="B116" s="97"/>
      <c r="C116" s="97"/>
      <c r="D116" s="97"/>
      <c r="E116" s="97"/>
      <c r="F116" s="302"/>
      <c r="G116" s="302"/>
      <c r="H116" s="302"/>
      <c r="I116" s="302"/>
      <c r="J116" s="302"/>
      <c r="K116" s="302"/>
      <c r="L116" s="302"/>
      <c r="M116" s="302"/>
      <c r="N116" s="302"/>
      <c r="O116" s="302"/>
      <c r="P116" s="302"/>
    </row>
    <row r="117" spans="1:16" ht="17">
      <c r="A117" s="97"/>
      <c r="B117" s="97"/>
      <c r="C117" s="97"/>
      <c r="D117" s="97"/>
      <c r="E117" s="97"/>
      <c r="F117" s="302"/>
      <c r="G117" s="302"/>
      <c r="H117" s="302"/>
      <c r="I117" s="302"/>
      <c r="J117" s="302"/>
      <c r="K117" s="302"/>
      <c r="L117" s="302"/>
      <c r="M117" s="302"/>
      <c r="N117" s="302"/>
      <c r="O117" s="302"/>
      <c r="P117" s="302"/>
    </row>
    <row r="118" spans="1:16" ht="17">
      <c r="A118" s="97"/>
      <c r="B118" s="97"/>
      <c r="C118" s="97"/>
      <c r="D118" s="97"/>
      <c r="E118" s="97"/>
      <c r="F118" s="302"/>
      <c r="G118" s="302"/>
      <c r="H118" s="302"/>
      <c r="I118" s="302"/>
      <c r="J118" s="302"/>
      <c r="K118" s="302"/>
      <c r="L118" s="302"/>
      <c r="M118" s="302"/>
      <c r="N118" s="302"/>
      <c r="O118" s="302"/>
      <c r="P118" s="302"/>
    </row>
    <row r="119" spans="1:16" ht="17">
      <c r="A119" s="97"/>
      <c r="B119" s="97"/>
      <c r="C119" s="97"/>
      <c r="D119" s="97"/>
      <c r="E119" s="97"/>
      <c r="F119" s="302"/>
      <c r="G119" s="302"/>
      <c r="H119" s="302"/>
      <c r="I119" s="302"/>
      <c r="J119" s="302"/>
      <c r="K119" s="302"/>
      <c r="L119" s="302"/>
      <c r="M119" s="302"/>
      <c r="N119" s="302"/>
      <c r="O119" s="302"/>
      <c r="P119" s="302"/>
    </row>
    <row r="120" spans="1:16" ht="17">
      <c r="A120" s="97"/>
      <c r="B120" s="97"/>
      <c r="C120" s="97"/>
      <c r="D120" s="97"/>
      <c r="E120" s="97"/>
      <c r="F120" s="302"/>
      <c r="G120" s="302"/>
      <c r="H120" s="302"/>
      <c r="I120" s="302"/>
      <c r="J120" s="302"/>
      <c r="K120" s="302"/>
      <c r="L120" s="302"/>
      <c r="M120" s="302"/>
      <c r="N120" s="302"/>
      <c r="O120" s="302"/>
      <c r="P120" s="302"/>
    </row>
    <row r="121" spans="1:16" ht="17">
      <c r="A121" s="97"/>
      <c r="B121" s="97"/>
      <c r="C121" s="97"/>
      <c r="D121" s="97"/>
      <c r="E121" s="97"/>
      <c r="F121" s="302"/>
      <c r="G121" s="302"/>
      <c r="H121" s="302"/>
      <c r="I121" s="302"/>
      <c r="J121" s="302"/>
      <c r="K121" s="302"/>
      <c r="L121" s="302"/>
      <c r="M121" s="302"/>
      <c r="N121" s="302"/>
      <c r="O121" s="302"/>
      <c r="P121" s="302"/>
    </row>
    <row r="122" spans="1:16" ht="17">
      <c r="A122" s="97"/>
      <c r="B122" s="97"/>
      <c r="C122" s="97"/>
      <c r="D122" s="97"/>
      <c r="E122" s="97"/>
      <c r="F122" s="302"/>
      <c r="G122" s="302"/>
      <c r="H122" s="302"/>
      <c r="I122" s="302"/>
      <c r="J122" s="302"/>
      <c r="K122" s="302"/>
      <c r="L122" s="302"/>
      <c r="M122" s="302"/>
      <c r="N122" s="302"/>
      <c r="O122" s="302"/>
      <c r="P122" s="302"/>
    </row>
    <row r="123" spans="1:16" ht="17">
      <c r="A123" s="97"/>
      <c r="B123" s="97"/>
      <c r="C123" s="97"/>
      <c r="D123" s="97"/>
      <c r="E123" s="97"/>
      <c r="F123" s="302"/>
      <c r="G123" s="302"/>
      <c r="H123" s="302"/>
      <c r="I123" s="302"/>
      <c r="J123" s="302"/>
      <c r="K123" s="302"/>
      <c r="L123" s="302"/>
      <c r="M123" s="302"/>
      <c r="N123" s="302"/>
      <c r="O123" s="302"/>
      <c r="P123" s="302"/>
    </row>
    <row r="124" spans="1:16" ht="17">
      <c r="A124" s="97"/>
      <c r="B124" s="97"/>
      <c r="C124" s="97"/>
      <c r="D124" s="97"/>
      <c r="E124" s="97"/>
      <c r="F124" s="302"/>
      <c r="G124" s="302"/>
      <c r="H124" s="302"/>
      <c r="I124" s="302"/>
      <c r="J124" s="302"/>
      <c r="K124" s="302"/>
      <c r="L124" s="302"/>
      <c r="M124" s="302"/>
      <c r="N124" s="302"/>
      <c r="O124" s="302"/>
      <c r="P124" s="302"/>
    </row>
    <row r="125" spans="1:16" ht="17">
      <c r="A125" s="97"/>
      <c r="B125" s="97"/>
      <c r="C125" s="97"/>
      <c r="D125" s="97"/>
      <c r="E125" s="97"/>
      <c r="F125" s="302"/>
      <c r="G125" s="302"/>
      <c r="H125" s="302"/>
      <c r="I125" s="302"/>
      <c r="J125" s="302"/>
      <c r="K125" s="302"/>
      <c r="L125" s="302"/>
      <c r="M125" s="302"/>
      <c r="N125" s="302"/>
      <c r="O125" s="302"/>
      <c r="P125" s="302"/>
    </row>
    <row r="126" spans="1:16" ht="17">
      <c r="A126" s="97"/>
      <c r="B126" s="97"/>
      <c r="C126" s="97"/>
      <c r="D126" s="97"/>
      <c r="E126" s="97"/>
      <c r="F126" s="302"/>
      <c r="G126" s="302"/>
      <c r="H126" s="302"/>
      <c r="I126" s="302"/>
      <c r="J126" s="302"/>
      <c r="K126" s="302"/>
      <c r="L126" s="302"/>
      <c r="M126" s="302"/>
      <c r="N126" s="302"/>
      <c r="O126" s="302"/>
      <c r="P126" s="302"/>
    </row>
    <row r="127" spans="1:16" ht="17">
      <c r="A127" s="97"/>
      <c r="B127" s="97"/>
      <c r="C127" s="97"/>
      <c r="D127" s="97"/>
      <c r="E127" s="97"/>
      <c r="F127" s="302"/>
      <c r="G127" s="302"/>
      <c r="H127" s="302"/>
      <c r="I127" s="302"/>
      <c r="J127" s="302"/>
      <c r="K127" s="302"/>
      <c r="L127" s="302"/>
      <c r="M127" s="302"/>
      <c r="N127" s="302"/>
      <c r="O127" s="302"/>
      <c r="P127" s="302"/>
    </row>
    <row r="128" spans="1:16" ht="17">
      <c r="A128" s="97"/>
      <c r="B128" s="97"/>
      <c r="C128" s="97"/>
      <c r="D128" s="97"/>
      <c r="E128" s="97"/>
      <c r="F128" s="302"/>
      <c r="G128" s="302"/>
      <c r="H128" s="302"/>
      <c r="I128" s="302"/>
      <c r="J128" s="302"/>
      <c r="K128" s="302"/>
      <c r="L128" s="302"/>
      <c r="M128" s="302"/>
      <c r="N128" s="302"/>
      <c r="O128" s="302"/>
      <c r="P128" s="302"/>
    </row>
    <row r="129" spans="1:16" ht="17">
      <c r="A129" s="97"/>
      <c r="B129" s="97"/>
      <c r="C129" s="97"/>
      <c r="D129" s="97"/>
      <c r="E129" s="97"/>
      <c r="F129" s="302"/>
      <c r="G129" s="302"/>
      <c r="H129" s="302"/>
      <c r="I129" s="302"/>
      <c r="J129" s="302"/>
      <c r="K129" s="302"/>
      <c r="L129" s="302"/>
      <c r="M129" s="302"/>
      <c r="N129" s="302"/>
      <c r="O129" s="302"/>
      <c r="P129" s="302"/>
    </row>
    <row r="130" spans="1:16" ht="17">
      <c r="A130" s="97"/>
      <c r="B130" s="97"/>
      <c r="C130" s="97"/>
      <c r="D130" s="97"/>
      <c r="E130" s="97"/>
      <c r="F130" s="302"/>
      <c r="G130" s="302"/>
      <c r="H130" s="302"/>
      <c r="I130" s="302"/>
      <c r="J130" s="302"/>
      <c r="K130" s="302"/>
      <c r="L130" s="302"/>
      <c r="M130" s="302"/>
      <c r="N130" s="302"/>
      <c r="O130" s="302"/>
      <c r="P130" s="302"/>
    </row>
    <row r="131" spans="1:16" ht="17">
      <c r="A131" s="97"/>
      <c r="B131" s="97"/>
      <c r="C131" s="97"/>
      <c r="D131" s="97"/>
      <c r="E131" s="97"/>
      <c r="F131" s="302"/>
      <c r="G131" s="302"/>
      <c r="H131" s="302"/>
      <c r="I131" s="302"/>
      <c r="J131" s="302"/>
      <c r="K131" s="302"/>
      <c r="L131" s="302"/>
      <c r="M131" s="302"/>
      <c r="N131" s="302"/>
      <c r="O131" s="302"/>
      <c r="P131" s="302"/>
    </row>
    <row r="132" spans="1:16" ht="17">
      <c r="A132" s="97"/>
      <c r="B132" s="97"/>
      <c r="C132" s="97"/>
      <c r="D132" s="97"/>
      <c r="E132" s="97"/>
      <c r="F132" s="302"/>
      <c r="G132" s="302"/>
      <c r="H132" s="302"/>
      <c r="I132" s="302"/>
      <c r="J132" s="302"/>
      <c r="K132" s="302"/>
      <c r="L132" s="302"/>
      <c r="M132" s="302"/>
      <c r="N132" s="302"/>
      <c r="O132" s="302"/>
      <c r="P132" s="302"/>
    </row>
    <row r="133" spans="1:16" ht="17">
      <c r="A133" s="97"/>
      <c r="B133" s="97"/>
      <c r="C133" s="97"/>
      <c r="D133" s="97"/>
      <c r="E133" s="97"/>
      <c r="F133" s="302"/>
      <c r="G133" s="302"/>
      <c r="H133" s="302"/>
      <c r="I133" s="302"/>
      <c r="J133" s="302"/>
      <c r="K133" s="302"/>
      <c r="L133" s="302"/>
      <c r="M133" s="302"/>
      <c r="N133" s="302"/>
      <c r="O133" s="302"/>
      <c r="P133" s="302"/>
    </row>
    <row r="134" spans="1:16" ht="17">
      <c r="A134" s="97"/>
      <c r="B134" s="97"/>
      <c r="C134" s="97"/>
      <c r="D134" s="97"/>
      <c r="E134" s="97"/>
      <c r="F134" s="302"/>
      <c r="G134" s="302"/>
      <c r="H134" s="302"/>
      <c r="I134" s="302"/>
      <c r="J134" s="302"/>
      <c r="K134" s="302"/>
      <c r="L134" s="302"/>
      <c r="M134" s="302"/>
      <c r="N134" s="302"/>
      <c r="O134" s="302"/>
      <c r="P134" s="302"/>
    </row>
    <row r="135" spans="1:16" ht="17">
      <c r="A135" s="97"/>
      <c r="B135" s="97"/>
      <c r="C135" s="97"/>
      <c r="D135" s="97"/>
      <c r="E135" s="97"/>
      <c r="F135" s="302"/>
      <c r="G135" s="302"/>
      <c r="H135" s="302"/>
      <c r="I135" s="302"/>
      <c r="J135" s="302"/>
      <c r="K135" s="302"/>
      <c r="L135" s="302"/>
      <c r="M135" s="302"/>
      <c r="N135" s="302"/>
      <c r="O135" s="302"/>
      <c r="P135" s="302"/>
    </row>
    <row r="136" spans="1:16" ht="17">
      <c r="A136" s="97"/>
      <c r="B136" s="97"/>
      <c r="C136" s="97"/>
      <c r="D136" s="97"/>
      <c r="E136" s="97"/>
      <c r="F136" s="302"/>
      <c r="G136" s="302"/>
      <c r="H136" s="302"/>
      <c r="I136" s="302"/>
      <c r="J136" s="302"/>
      <c r="K136" s="302"/>
      <c r="L136" s="302"/>
      <c r="M136" s="302"/>
      <c r="N136" s="302"/>
      <c r="O136" s="302"/>
      <c r="P136" s="302"/>
    </row>
    <row r="137" spans="1:16" ht="17">
      <c r="A137" s="97"/>
      <c r="B137" s="97"/>
      <c r="C137" s="97"/>
      <c r="D137" s="97"/>
      <c r="E137" s="97"/>
      <c r="F137" s="302"/>
      <c r="G137" s="302"/>
      <c r="H137" s="302"/>
      <c r="I137" s="302"/>
      <c r="J137" s="302"/>
      <c r="K137" s="302"/>
      <c r="L137" s="302"/>
      <c r="M137" s="302"/>
      <c r="N137" s="302"/>
      <c r="O137" s="302"/>
      <c r="P137" s="302"/>
    </row>
    <row r="138" spans="1:16" ht="17">
      <c r="A138" s="97"/>
      <c r="B138" s="97"/>
      <c r="C138" s="97"/>
      <c r="D138" s="97"/>
      <c r="E138" s="97"/>
      <c r="F138" s="302"/>
      <c r="G138" s="302"/>
      <c r="H138" s="302"/>
      <c r="I138" s="302"/>
      <c r="J138" s="302"/>
      <c r="K138" s="302"/>
      <c r="L138" s="302"/>
      <c r="M138" s="302"/>
      <c r="N138" s="302"/>
      <c r="O138" s="302"/>
      <c r="P138" s="302"/>
    </row>
    <row r="139" spans="1:16" ht="17">
      <c r="A139" s="97"/>
      <c r="B139" s="97"/>
      <c r="C139" s="97"/>
      <c r="D139" s="97"/>
      <c r="E139" s="97"/>
      <c r="F139" s="302"/>
      <c r="G139" s="302"/>
      <c r="H139" s="302"/>
      <c r="I139" s="302"/>
      <c r="J139" s="302"/>
      <c r="K139" s="302"/>
      <c r="L139" s="302"/>
      <c r="M139" s="302"/>
      <c r="N139" s="302"/>
      <c r="O139" s="302"/>
      <c r="P139" s="302"/>
    </row>
    <row r="140" spans="1:16" ht="17">
      <c r="A140" s="97"/>
      <c r="B140" s="97"/>
      <c r="C140" s="97"/>
      <c r="D140" s="97"/>
      <c r="E140" s="97"/>
      <c r="F140" s="302"/>
      <c r="G140" s="302"/>
      <c r="H140" s="302"/>
      <c r="I140" s="302"/>
      <c r="J140" s="302"/>
      <c r="K140" s="302"/>
      <c r="L140" s="302"/>
      <c r="M140" s="302"/>
      <c r="N140" s="302"/>
      <c r="O140" s="302"/>
      <c r="P140" s="302"/>
    </row>
    <row r="141" spans="1:16" ht="17">
      <c r="A141" s="97"/>
      <c r="B141" s="97"/>
      <c r="C141" s="97"/>
      <c r="D141" s="97"/>
      <c r="E141" s="97"/>
      <c r="F141" s="302"/>
      <c r="G141" s="302"/>
      <c r="H141" s="302"/>
      <c r="I141" s="302"/>
      <c r="J141" s="302"/>
      <c r="K141" s="302"/>
      <c r="L141" s="302"/>
      <c r="M141" s="302"/>
      <c r="N141" s="302"/>
      <c r="O141" s="302"/>
      <c r="P141" s="302"/>
    </row>
    <row r="142" spans="1:16" ht="17">
      <c r="A142" s="97"/>
      <c r="B142" s="97"/>
      <c r="C142" s="97"/>
      <c r="D142" s="97"/>
      <c r="E142" s="97"/>
      <c r="F142" s="302"/>
      <c r="G142" s="302"/>
      <c r="H142" s="302"/>
      <c r="I142" s="302"/>
      <c r="J142" s="302"/>
      <c r="K142" s="302"/>
      <c r="L142" s="302"/>
      <c r="M142" s="302"/>
      <c r="N142" s="302"/>
      <c r="O142" s="302"/>
      <c r="P142" s="302"/>
    </row>
    <row r="143" spans="1:16" ht="17">
      <c r="A143" s="97"/>
      <c r="B143" s="97"/>
      <c r="C143" s="97"/>
      <c r="D143" s="97"/>
      <c r="E143" s="97"/>
      <c r="F143" s="302"/>
      <c r="G143" s="302"/>
      <c r="H143" s="302"/>
      <c r="I143" s="302"/>
      <c r="J143" s="302"/>
      <c r="K143" s="302"/>
      <c r="L143" s="302"/>
      <c r="M143" s="302"/>
      <c r="N143" s="302"/>
      <c r="O143" s="302"/>
      <c r="P143" s="302"/>
    </row>
    <row r="144" spans="1:16" ht="17">
      <c r="A144" s="97"/>
      <c r="B144" s="97"/>
      <c r="C144" s="97"/>
      <c r="D144" s="97"/>
      <c r="E144" s="97"/>
      <c r="F144" s="302"/>
      <c r="G144" s="302"/>
      <c r="H144" s="302"/>
      <c r="I144" s="302"/>
      <c r="J144" s="302"/>
      <c r="K144" s="302"/>
      <c r="L144" s="302"/>
      <c r="M144" s="302"/>
      <c r="N144" s="302"/>
      <c r="O144" s="302"/>
      <c r="P144" s="302"/>
    </row>
    <row r="145" spans="1:16" ht="17">
      <c r="A145" s="97"/>
      <c r="B145" s="97"/>
      <c r="C145" s="97"/>
      <c r="D145" s="97"/>
      <c r="E145" s="97"/>
      <c r="F145" s="302"/>
      <c r="G145" s="302"/>
      <c r="H145" s="302"/>
      <c r="I145" s="302"/>
      <c r="J145" s="302"/>
      <c r="K145" s="302"/>
      <c r="L145" s="302"/>
      <c r="M145" s="302"/>
      <c r="N145" s="302"/>
      <c r="O145" s="302"/>
      <c r="P145" s="302"/>
    </row>
    <row r="146" spans="1:16" ht="17">
      <c r="A146" s="97"/>
      <c r="B146" s="97"/>
      <c r="C146" s="97"/>
      <c r="D146" s="97"/>
      <c r="E146" s="97"/>
      <c r="F146" s="302"/>
      <c r="G146" s="302"/>
      <c r="H146" s="302"/>
      <c r="I146" s="302"/>
      <c r="J146" s="302"/>
      <c r="K146" s="302"/>
      <c r="L146" s="302"/>
      <c r="M146" s="302"/>
      <c r="N146" s="302"/>
      <c r="O146" s="302"/>
      <c r="P146" s="302"/>
    </row>
    <row r="147" spans="1:16" ht="17">
      <c r="A147" s="97"/>
      <c r="B147" s="97"/>
      <c r="C147" s="97"/>
      <c r="D147" s="97"/>
      <c r="E147" s="97"/>
      <c r="F147" s="302"/>
      <c r="G147" s="302"/>
      <c r="H147" s="302"/>
      <c r="I147" s="302"/>
      <c r="J147" s="302"/>
      <c r="K147" s="302"/>
      <c r="L147" s="302"/>
      <c r="M147" s="302"/>
      <c r="N147" s="302"/>
      <c r="O147" s="302"/>
      <c r="P147" s="302"/>
    </row>
    <row r="148" spans="1:16" ht="17">
      <c r="A148" s="97"/>
      <c r="B148" s="97"/>
      <c r="C148" s="97"/>
      <c r="D148" s="97"/>
      <c r="E148" s="97"/>
      <c r="F148" s="302"/>
      <c r="G148" s="302"/>
      <c r="H148" s="302"/>
      <c r="I148" s="302"/>
      <c r="J148" s="302"/>
      <c r="K148" s="302"/>
      <c r="L148" s="302"/>
      <c r="M148" s="302"/>
      <c r="N148" s="302"/>
      <c r="O148" s="302"/>
      <c r="P148" s="302"/>
    </row>
    <row r="149" spans="1:16" ht="17">
      <c r="A149" s="97"/>
      <c r="B149" s="97"/>
      <c r="C149" s="97"/>
      <c r="D149" s="97"/>
      <c r="E149" s="97"/>
      <c r="F149" s="302"/>
      <c r="G149" s="302"/>
      <c r="H149" s="302"/>
      <c r="I149" s="302"/>
      <c r="J149" s="302"/>
      <c r="K149" s="302"/>
      <c r="L149" s="302"/>
      <c r="M149" s="302"/>
      <c r="N149" s="302"/>
      <c r="O149" s="302"/>
      <c r="P149" s="302"/>
    </row>
    <row r="150" spans="1:16" ht="17">
      <c r="A150" s="97"/>
      <c r="B150" s="97"/>
      <c r="C150" s="97"/>
      <c r="D150" s="97"/>
      <c r="E150" s="97"/>
      <c r="F150" s="302"/>
      <c r="G150" s="302"/>
      <c r="H150" s="302"/>
      <c r="I150" s="302"/>
      <c r="J150" s="302"/>
      <c r="K150" s="302"/>
      <c r="L150" s="302"/>
      <c r="M150" s="302"/>
      <c r="N150" s="302"/>
      <c r="O150" s="302"/>
      <c r="P150" s="302"/>
    </row>
    <row r="151" spans="1:16" ht="17">
      <c r="A151" s="97"/>
      <c r="B151" s="97"/>
      <c r="C151" s="97"/>
      <c r="D151" s="97"/>
      <c r="E151" s="97"/>
      <c r="F151" s="302"/>
      <c r="G151" s="302"/>
      <c r="H151" s="302"/>
      <c r="I151" s="302"/>
      <c r="J151" s="302"/>
      <c r="K151" s="302"/>
      <c r="L151" s="302"/>
      <c r="M151" s="302"/>
      <c r="N151" s="302"/>
      <c r="O151" s="302"/>
      <c r="P151" s="302"/>
    </row>
    <row r="152" spans="1:16" ht="17">
      <c r="A152" s="97"/>
      <c r="B152" s="97"/>
      <c r="C152" s="97"/>
      <c r="D152" s="97"/>
      <c r="E152" s="97"/>
      <c r="F152" s="302"/>
      <c r="G152" s="302"/>
      <c r="H152" s="302"/>
      <c r="I152" s="302"/>
      <c r="J152" s="302"/>
      <c r="K152" s="302"/>
      <c r="L152" s="302"/>
      <c r="M152" s="302"/>
      <c r="N152" s="302"/>
      <c r="O152" s="302"/>
      <c r="P152" s="302"/>
    </row>
    <row r="153" spans="1:16" ht="17">
      <c r="A153" s="97"/>
      <c r="B153" s="97"/>
      <c r="C153" s="97"/>
      <c r="D153" s="97"/>
      <c r="E153" s="97"/>
      <c r="F153" s="302"/>
      <c r="G153" s="302"/>
      <c r="H153" s="302"/>
      <c r="I153" s="302"/>
      <c r="J153" s="302"/>
      <c r="K153" s="302"/>
      <c r="L153" s="302"/>
      <c r="M153" s="302"/>
      <c r="N153" s="302"/>
      <c r="O153" s="302"/>
      <c r="P153" s="302"/>
    </row>
    <row r="154" spans="1:16" ht="17">
      <c r="A154" s="97"/>
      <c r="B154" s="97"/>
      <c r="C154" s="97"/>
      <c r="D154" s="97"/>
      <c r="E154" s="97"/>
      <c r="F154" s="302"/>
      <c r="G154" s="302"/>
      <c r="H154" s="302"/>
      <c r="I154" s="302"/>
      <c r="J154" s="302"/>
      <c r="K154" s="302"/>
      <c r="L154" s="302"/>
      <c r="M154" s="302"/>
      <c r="N154" s="302"/>
      <c r="O154" s="302"/>
      <c r="P154" s="302"/>
    </row>
    <row r="155" spans="1:16" ht="17">
      <c r="A155" s="97"/>
      <c r="B155" s="97"/>
      <c r="C155" s="97"/>
      <c r="D155" s="97"/>
      <c r="E155" s="97"/>
      <c r="F155" s="302"/>
      <c r="G155" s="302"/>
      <c r="H155" s="302"/>
      <c r="I155" s="302"/>
      <c r="J155" s="302"/>
      <c r="K155" s="302"/>
      <c r="L155" s="302"/>
      <c r="M155" s="302"/>
      <c r="N155" s="302"/>
      <c r="O155" s="302"/>
      <c r="P155" s="302"/>
    </row>
    <row r="156" spans="1:16" ht="17">
      <c r="A156" s="97"/>
      <c r="B156" s="97"/>
      <c r="C156" s="97"/>
      <c r="D156" s="97"/>
      <c r="E156" s="97"/>
      <c r="F156" s="302"/>
      <c r="G156" s="302"/>
      <c r="H156" s="302"/>
      <c r="I156" s="302"/>
      <c r="J156" s="302"/>
      <c r="K156" s="302"/>
      <c r="L156" s="302"/>
      <c r="M156" s="302"/>
      <c r="N156" s="302"/>
      <c r="O156" s="302"/>
      <c r="P156" s="302"/>
    </row>
    <row r="157" spans="1:16" ht="17">
      <c r="A157" s="97"/>
      <c r="B157" s="97"/>
      <c r="C157" s="97"/>
      <c r="D157" s="97"/>
      <c r="E157" s="97"/>
      <c r="F157" s="302"/>
      <c r="G157" s="302"/>
      <c r="H157" s="302"/>
      <c r="I157" s="302"/>
      <c r="J157" s="302"/>
      <c r="K157" s="302"/>
      <c r="L157" s="302"/>
      <c r="M157" s="302"/>
      <c r="N157" s="302"/>
      <c r="O157" s="302"/>
      <c r="P157" s="302"/>
    </row>
    <row r="158" spans="1:16" ht="17">
      <c r="A158" s="97"/>
      <c r="B158" s="97"/>
      <c r="C158" s="97"/>
      <c r="D158" s="97"/>
      <c r="E158" s="97"/>
      <c r="F158" s="302"/>
      <c r="G158" s="302"/>
      <c r="H158" s="302"/>
      <c r="I158" s="302"/>
      <c r="J158" s="302"/>
      <c r="K158" s="302"/>
      <c r="L158" s="302"/>
      <c r="M158" s="302"/>
      <c r="N158" s="302"/>
      <c r="O158" s="302"/>
      <c r="P158" s="302"/>
    </row>
    <row r="159" spans="1:16" ht="17">
      <c r="A159" s="97"/>
      <c r="B159" s="97"/>
      <c r="C159" s="97"/>
      <c r="D159" s="97"/>
      <c r="E159" s="97"/>
      <c r="F159" s="302"/>
      <c r="G159" s="302"/>
      <c r="H159" s="302"/>
      <c r="I159" s="302"/>
      <c r="J159" s="302"/>
      <c r="K159" s="302"/>
      <c r="L159" s="302"/>
      <c r="M159" s="302"/>
      <c r="N159" s="302"/>
      <c r="O159" s="302"/>
      <c r="P159" s="302"/>
    </row>
    <row r="160" spans="1:16" ht="17">
      <c r="A160" s="97"/>
      <c r="B160" s="97"/>
      <c r="C160" s="97"/>
      <c r="D160" s="97"/>
      <c r="E160" s="97"/>
      <c r="F160" s="302"/>
      <c r="G160" s="302"/>
      <c r="H160" s="302"/>
      <c r="I160" s="302"/>
      <c r="J160" s="302"/>
      <c r="K160" s="302"/>
      <c r="L160" s="302"/>
      <c r="M160" s="302"/>
      <c r="N160" s="302"/>
      <c r="O160" s="302"/>
      <c r="P160" s="302"/>
    </row>
    <row r="161" spans="1:16" ht="17">
      <c r="A161" s="97"/>
      <c r="B161" s="97"/>
      <c r="C161" s="97"/>
      <c r="D161" s="97"/>
      <c r="E161" s="97"/>
      <c r="F161" s="302"/>
      <c r="G161" s="302"/>
      <c r="H161" s="302"/>
      <c r="I161" s="302"/>
      <c r="J161" s="302"/>
      <c r="K161" s="302"/>
      <c r="L161" s="302"/>
      <c r="M161" s="302"/>
      <c r="N161" s="302"/>
      <c r="O161" s="302"/>
      <c r="P161" s="302"/>
    </row>
    <row r="162" spans="1:16" ht="17">
      <c r="A162" s="97"/>
      <c r="B162" s="97"/>
      <c r="C162" s="97"/>
      <c r="D162" s="97"/>
      <c r="E162" s="97"/>
      <c r="F162" s="302"/>
      <c r="G162" s="302"/>
      <c r="H162" s="302"/>
      <c r="I162" s="302"/>
      <c r="J162" s="302"/>
      <c r="K162" s="302"/>
      <c r="L162" s="302"/>
      <c r="M162" s="302"/>
      <c r="N162" s="302"/>
      <c r="O162" s="302"/>
      <c r="P162" s="302"/>
    </row>
    <row r="163" spans="1:16" ht="17">
      <c r="A163" s="97"/>
      <c r="B163" s="97"/>
      <c r="C163" s="97"/>
      <c r="D163" s="97"/>
      <c r="E163" s="97"/>
      <c r="F163" s="302"/>
      <c r="G163" s="302"/>
      <c r="H163" s="302"/>
      <c r="I163" s="302"/>
      <c r="J163" s="302"/>
      <c r="K163" s="302"/>
      <c r="L163" s="302"/>
      <c r="M163" s="302"/>
      <c r="N163" s="302"/>
      <c r="O163" s="302"/>
      <c r="P163" s="302"/>
    </row>
    <row r="164" spans="1:16" ht="17">
      <c r="A164" s="97"/>
      <c r="B164" s="97"/>
      <c r="C164" s="97"/>
      <c r="D164" s="97"/>
      <c r="E164" s="97"/>
      <c r="F164" s="302"/>
      <c r="G164" s="302"/>
      <c r="H164" s="302"/>
      <c r="I164" s="302"/>
      <c r="J164" s="302"/>
      <c r="K164" s="302"/>
      <c r="L164" s="302"/>
      <c r="M164" s="302"/>
      <c r="N164" s="302"/>
      <c r="O164" s="302"/>
      <c r="P164" s="302"/>
    </row>
    <row r="165" spans="1:16" ht="17">
      <c r="A165" s="97"/>
      <c r="B165" s="97"/>
      <c r="C165" s="97"/>
      <c r="D165" s="97"/>
      <c r="E165" s="97"/>
      <c r="F165" s="302"/>
      <c r="G165" s="302"/>
      <c r="H165" s="302"/>
      <c r="I165" s="302"/>
      <c r="J165" s="302"/>
      <c r="K165" s="302"/>
      <c r="L165" s="302"/>
      <c r="M165" s="302"/>
      <c r="N165" s="302"/>
      <c r="O165" s="302"/>
      <c r="P165" s="302"/>
    </row>
    <row r="166" spans="1:16" ht="17">
      <c r="A166" s="97"/>
      <c r="B166" s="97"/>
      <c r="C166" s="97"/>
      <c r="D166" s="97"/>
      <c r="E166" s="97"/>
      <c r="F166" s="302"/>
      <c r="G166" s="302"/>
      <c r="H166" s="302"/>
      <c r="I166" s="302"/>
      <c r="J166" s="302"/>
      <c r="K166" s="302"/>
      <c r="L166" s="302"/>
      <c r="M166" s="302"/>
      <c r="N166" s="302"/>
      <c r="O166" s="302"/>
      <c r="P166" s="302"/>
    </row>
    <row r="167" spans="1:16" ht="17">
      <c r="A167" s="97"/>
      <c r="B167" s="97"/>
      <c r="C167" s="97"/>
      <c r="D167" s="97"/>
      <c r="E167" s="97"/>
      <c r="F167" s="302"/>
      <c r="G167" s="302"/>
      <c r="H167" s="302"/>
      <c r="I167" s="302"/>
      <c r="J167" s="302"/>
      <c r="K167" s="302"/>
      <c r="L167" s="302"/>
      <c r="M167" s="302"/>
      <c r="N167" s="302"/>
      <c r="O167" s="302"/>
      <c r="P167" s="302"/>
    </row>
    <row r="168" spans="1:16" ht="17">
      <c r="A168" s="97"/>
      <c r="B168" s="97"/>
      <c r="C168" s="97"/>
      <c r="D168" s="97"/>
      <c r="E168" s="97"/>
      <c r="F168" s="302"/>
      <c r="G168" s="302"/>
      <c r="H168" s="302"/>
      <c r="I168" s="302"/>
      <c r="J168" s="302"/>
      <c r="K168" s="302"/>
      <c r="L168" s="302"/>
      <c r="M168" s="302"/>
      <c r="N168" s="302"/>
      <c r="O168" s="302"/>
      <c r="P168" s="302"/>
    </row>
    <row r="169" spans="1:16" ht="17">
      <c r="A169" s="97"/>
      <c r="B169" s="97"/>
      <c r="C169" s="97"/>
      <c r="D169" s="97"/>
      <c r="E169" s="97"/>
      <c r="F169" s="302"/>
      <c r="G169" s="302"/>
      <c r="H169" s="302"/>
      <c r="I169" s="302"/>
      <c r="J169" s="302"/>
      <c r="K169" s="302"/>
      <c r="L169" s="302"/>
      <c r="M169" s="302"/>
      <c r="N169" s="302"/>
      <c r="O169" s="302"/>
      <c r="P169" s="302"/>
    </row>
    <row r="170" spans="1:16" ht="17">
      <c r="A170" s="97"/>
      <c r="B170" s="97"/>
      <c r="C170" s="97"/>
      <c r="D170" s="97"/>
      <c r="E170" s="97"/>
      <c r="F170" s="302"/>
      <c r="G170" s="302"/>
      <c r="H170" s="302"/>
      <c r="I170" s="302"/>
      <c r="J170" s="302"/>
      <c r="K170" s="302"/>
      <c r="L170" s="302"/>
      <c r="M170" s="302"/>
      <c r="N170" s="302"/>
      <c r="O170" s="302"/>
      <c r="P170" s="302"/>
    </row>
    <row r="171" spans="1:16" ht="17">
      <c r="A171" s="97"/>
      <c r="B171" s="97"/>
      <c r="C171" s="97"/>
      <c r="D171" s="97"/>
      <c r="E171" s="97"/>
      <c r="F171" s="302"/>
      <c r="G171" s="302"/>
      <c r="H171" s="302"/>
      <c r="I171" s="302"/>
      <c r="J171" s="302"/>
      <c r="K171" s="302"/>
      <c r="L171" s="302"/>
      <c r="M171" s="302"/>
      <c r="N171" s="302"/>
      <c r="O171" s="302"/>
      <c r="P171" s="302"/>
    </row>
    <row r="172" spans="1:16" ht="17">
      <c r="A172" s="97"/>
      <c r="B172" s="97"/>
      <c r="C172" s="97"/>
      <c r="D172" s="97"/>
      <c r="E172" s="97"/>
      <c r="F172" s="302"/>
      <c r="G172" s="302"/>
      <c r="H172" s="302"/>
      <c r="I172" s="302"/>
      <c r="J172" s="302"/>
      <c r="K172" s="302"/>
      <c r="L172" s="302"/>
      <c r="M172" s="302"/>
      <c r="N172" s="302"/>
      <c r="O172" s="302"/>
      <c r="P172" s="302"/>
    </row>
    <row r="173" spans="1:16" ht="17">
      <c r="A173" s="97"/>
      <c r="B173" s="97"/>
      <c r="C173" s="97"/>
      <c r="D173" s="97"/>
      <c r="E173" s="97"/>
      <c r="F173" s="302"/>
      <c r="G173" s="302"/>
      <c r="H173" s="302"/>
      <c r="I173" s="302"/>
      <c r="J173" s="302"/>
      <c r="K173" s="302"/>
      <c r="L173" s="302"/>
      <c r="M173" s="302"/>
      <c r="N173" s="302"/>
      <c r="O173" s="302"/>
      <c r="P173" s="302"/>
    </row>
    <row r="174" spans="1:16" ht="17">
      <c r="A174" s="97"/>
      <c r="B174" s="97"/>
      <c r="C174" s="97"/>
      <c r="D174" s="97"/>
      <c r="E174" s="97"/>
      <c r="F174" s="302"/>
      <c r="G174" s="302"/>
      <c r="H174" s="302"/>
      <c r="I174" s="302"/>
      <c r="J174" s="302"/>
      <c r="K174" s="302"/>
      <c r="L174" s="302"/>
      <c r="M174" s="302"/>
      <c r="N174" s="302"/>
      <c r="O174" s="302"/>
      <c r="P174" s="302"/>
    </row>
    <row r="175" spans="1:16" ht="17">
      <c r="A175" s="97"/>
      <c r="B175" s="97"/>
      <c r="C175" s="97"/>
      <c r="D175" s="97"/>
      <c r="E175" s="97"/>
      <c r="F175" s="302"/>
      <c r="G175" s="302"/>
      <c r="H175" s="302"/>
      <c r="I175" s="302"/>
      <c r="J175" s="302"/>
      <c r="K175" s="302"/>
      <c r="L175" s="302"/>
      <c r="M175" s="302"/>
      <c r="N175" s="302"/>
      <c r="O175" s="302"/>
      <c r="P175" s="302"/>
    </row>
    <row r="176" spans="1:16" ht="17">
      <c r="A176" s="97"/>
      <c r="B176" s="97"/>
      <c r="C176" s="97"/>
      <c r="D176" s="97"/>
      <c r="E176" s="97"/>
      <c r="F176" s="302"/>
      <c r="G176" s="302"/>
      <c r="H176" s="302"/>
      <c r="I176" s="302"/>
      <c r="J176" s="302"/>
      <c r="K176" s="302"/>
      <c r="L176" s="302"/>
      <c r="M176" s="302"/>
      <c r="N176" s="302"/>
      <c r="O176" s="302"/>
      <c r="P176" s="302"/>
    </row>
    <row r="177" spans="1:16" ht="17">
      <c r="A177" s="97"/>
      <c r="B177" s="97"/>
      <c r="C177" s="97"/>
      <c r="D177" s="97"/>
      <c r="E177" s="97"/>
      <c r="F177" s="302"/>
      <c r="G177" s="302"/>
      <c r="H177" s="302"/>
      <c r="I177" s="302"/>
      <c r="J177" s="302"/>
      <c r="K177" s="302"/>
      <c r="L177" s="302"/>
      <c r="M177" s="302"/>
      <c r="N177" s="302"/>
      <c r="O177" s="302"/>
      <c r="P177" s="302"/>
    </row>
    <row r="178" spans="1:16" ht="17">
      <c r="A178" s="97"/>
      <c r="B178" s="97"/>
      <c r="C178" s="97"/>
      <c r="D178" s="97"/>
      <c r="E178" s="97"/>
      <c r="F178" s="302"/>
      <c r="G178" s="302"/>
      <c r="H178" s="302"/>
      <c r="I178" s="302"/>
      <c r="J178" s="302"/>
      <c r="K178" s="302"/>
      <c r="L178" s="302"/>
      <c r="M178" s="302"/>
      <c r="N178" s="302"/>
      <c r="O178" s="302"/>
      <c r="P178" s="302"/>
    </row>
    <row r="179" spans="1:16" ht="17">
      <c r="A179" s="97"/>
      <c r="B179" s="97"/>
      <c r="C179" s="97"/>
      <c r="D179" s="97"/>
      <c r="E179" s="97"/>
      <c r="F179" s="302"/>
      <c r="G179" s="302"/>
      <c r="H179" s="302"/>
      <c r="I179" s="302"/>
      <c r="J179" s="302"/>
      <c r="K179" s="302"/>
      <c r="L179" s="302"/>
      <c r="M179" s="302"/>
      <c r="N179" s="302"/>
      <c r="O179" s="302"/>
      <c r="P179" s="302"/>
    </row>
    <row r="180" spans="1:16" ht="17">
      <c r="A180" s="97"/>
      <c r="B180" s="97"/>
      <c r="C180" s="97"/>
      <c r="D180" s="97"/>
      <c r="E180" s="97"/>
      <c r="F180" s="302"/>
      <c r="G180" s="302"/>
      <c r="H180" s="302"/>
      <c r="I180" s="302"/>
      <c r="J180" s="302"/>
      <c r="K180" s="302"/>
      <c r="L180" s="302"/>
      <c r="M180" s="302"/>
      <c r="N180" s="302"/>
      <c r="O180" s="302"/>
      <c r="P180" s="302"/>
    </row>
    <row r="181" spans="1:16" ht="17">
      <c r="A181" s="97"/>
      <c r="B181" s="97"/>
      <c r="C181" s="97"/>
      <c r="D181" s="97"/>
      <c r="E181" s="97"/>
      <c r="F181" s="302"/>
      <c r="G181" s="302"/>
      <c r="H181" s="302"/>
      <c r="I181" s="302"/>
      <c r="J181" s="302"/>
      <c r="K181" s="302"/>
      <c r="L181" s="302"/>
      <c r="M181" s="302"/>
      <c r="N181" s="302"/>
      <c r="O181" s="302"/>
      <c r="P181" s="302"/>
    </row>
    <row r="182" spans="1:16" ht="17">
      <c r="A182" s="97"/>
      <c r="B182" s="97"/>
      <c r="C182" s="97"/>
      <c r="D182" s="97"/>
      <c r="E182" s="97"/>
      <c r="F182" s="302"/>
      <c r="G182" s="302"/>
      <c r="H182" s="302"/>
      <c r="I182" s="302"/>
      <c r="J182" s="302"/>
      <c r="K182" s="302"/>
      <c r="L182" s="302"/>
      <c r="M182" s="302"/>
      <c r="N182" s="302"/>
      <c r="O182" s="302"/>
      <c r="P182" s="302"/>
    </row>
    <row r="183" spans="1:16" ht="17">
      <c r="A183" s="97"/>
      <c r="B183" s="97"/>
      <c r="C183" s="97"/>
      <c r="D183" s="97"/>
      <c r="E183" s="97"/>
      <c r="F183" s="302"/>
      <c r="G183" s="302"/>
      <c r="H183" s="302"/>
      <c r="I183" s="302"/>
      <c r="J183" s="302"/>
      <c r="K183" s="302"/>
      <c r="L183" s="302"/>
      <c r="M183" s="302"/>
      <c r="N183" s="302"/>
      <c r="O183" s="302"/>
      <c r="P183" s="302"/>
    </row>
    <row r="184" spans="1:16" ht="17">
      <c r="A184" s="97"/>
      <c r="B184" s="97"/>
      <c r="C184" s="97"/>
      <c r="D184" s="97"/>
      <c r="E184" s="97"/>
      <c r="F184" s="302"/>
      <c r="G184" s="302"/>
      <c r="H184" s="302"/>
      <c r="I184" s="302"/>
      <c r="J184" s="302"/>
      <c r="K184" s="302"/>
      <c r="L184" s="302"/>
      <c r="M184" s="302"/>
      <c r="N184" s="302"/>
      <c r="O184" s="302"/>
      <c r="P184" s="302"/>
    </row>
    <row r="185" spans="1:16" ht="17">
      <c r="A185" s="97"/>
      <c r="B185" s="97"/>
      <c r="C185" s="97"/>
      <c r="D185" s="97"/>
      <c r="E185" s="97"/>
      <c r="F185" s="302"/>
      <c r="G185" s="302"/>
      <c r="H185" s="302"/>
      <c r="I185" s="302"/>
      <c r="J185" s="302"/>
      <c r="K185" s="302"/>
      <c r="L185" s="302"/>
      <c r="M185" s="302"/>
      <c r="N185" s="302"/>
      <c r="O185" s="302"/>
      <c r="P185" s="302"/>
    </row>
    <row r="186" spans="1:16" ht="17">
      <c r="A186" s="97"/>
      <c r="B186" s="97"/>
      <c r="C186" s="97"/>
      <c r="D186" s="97"/>
      <c r="E186" s="97"/>
      <c r="F186" s="302"/>
      <c r="G186" s="302"/>
      <c r="H186" s="302"/>
      <c r="I186" s="302"/>
      <c r="J186" s="302"/>
      <c r="K186" s="302"/>
      <c r="L186" s="302"/>
      <c r="M186" s="302"/>
      <c r="N186" s="302"/>
      <c r="O186" s="302"/>
      <c r="P186" s="302"/>
    </row>
    <row r="187" spans="1:16" ht="17">
      <c r="A187" s="97"/>
      <c r="B187" s="97"/>
      <c r="C187" s="97"/>
      <c r="D187" s="97"/>
      <c r="E187" s="97"/>
      <c r="F187" s="302"/>
      <c r="G187" s="302"/>
      <c r="H187" s="302"/>
      <c r="I187" s="302"/>
      <c r="J187" s="302"/>
      <c r="K187" s="302"/>
      <c r="L187" s="302"/>
      <c r="M187" s="302"/>
      <c r="N187" s="302"/>
      <c r="O187" s="302"/>
      <c r="P187" s="302"/>
    </row>
    <row r="188" spans="1:16" ht="17">
      <c r="A188" s="97"/>
      <c r="B188" s="97"/>
      <c r="C188" s="97"/>
      <c r="D188" s="97"/>
      <c r="E188" s="97"/>
      <c r="F188" s="302"/>
      <c r="G188" s="302"/>
      <c r="H188" s="302"/>
      <c r="I188" s="302"/>
      <c r="J188" s="302"/>
      <c r="K188" s="302"/>
      <c r="L188" s="302"/>
      <c r="M188" s="302"/>
      <c r="N188" s="302"/>
      <c r="O188" s="302"/>
      <c r="P188" s="302"/>
    </row>
    <row r="189" spans="1:16" ht="17">
      <c r="A189" s="97"/>
      <c r="B189" s="97"/>
      <c r="C189" s="97"/>
      <c r="D189" s="97"/>
      <c r="E189" s="97"/>
      <c r="F189" s="302"/>
      <c r="G189" s="302"/>
      <c r="H189" s="302"/>
      <c r="I189" s="302"/>
      <c r="J189" s="302"/>
      <c r="K189" s="302"/>
      <c r="L189" s="302"/>
      <c r="M189" s="302"/>
      <c r="N189" s="302"/>
      <c r="O189" s="302"/>
      <c r="P189" s="302"/>
    </row>
    <row r="190" spans="1:16" ht="17">
      <c r="A190" s="97"/>
      <c r="B190" s="97"/>
      <c r="C190" s="97"/>
      <c r="D190" s="97"/>
      <c r="E190" s="97"/>
      <c r="F190" s="302"/>
      <c r="G190" s="302"/>
      <c r="H190" s="302"/>
      <c r="I190" s="302"/>
      <c r="J190" s="302"/>
      <c r="K190" s="302"/>
      <c r="L190" s="302"/>
      <c r="M190" s="302"/>
      <c r="N190" s="302"/>
      <c r="O190" s="302"/>
      <c r="P190" s="302"/>
    </row>
    <row r="191" spans="1:16" ht="17">
      <c r="A191" s="97"/>
      <c r="B191" s="97"/>
      <c r="C191" s="97"/>
      <c r="D191" s="97"/>
      <c r="E191" s="97"/>
      <c r="F191" s="302"/>
      <c r="G191" s="302"/>
      <c r="H191" s="302"/>
      <c r="I191" s="302"/>
      <c r="J191" s="302"/>
      <c r="K191" s="302"/>
      <c r="L191" s="302"/>
      <c r="M191" s="302"/>
      <c r="N191" s="302"/>
      <c r="O191" s="302"/>
      <c r="P191" s="302"/>
    </row>
    <row r="192" spans="1:16" ht="17">
      <c r="A192" s="97"/>
      <c r="B192" s="97"/>
      <c r="C192" s="97"/>
      <c r="D192" s="97"/>
      <c r="E192" s="97"/>
      <c r="F192" s="302"/>
      <c r="G192" s="302"/>
      <c r="H192" s="302"/>
      <c r="I192" s="302"/>
      <c r="J192" s="302"/>
      <c r="K192" s="302"/>
      <c r="L192" s="302"/>
      <c r="M192" s="302"/>
      <c r="N192" s="302"/>
      <c r="O192" s="302"/>
      <c r="P192" s="302"/>
    </row>
    <row r="193" spans="1:16" ht="17">
      <c r="A193" s="97"/>
      <c r="B193" s="97"/>
      <c r="C193" s="97"/>
      <c r="D193" s="97"/>
      <c r="E193" s="97"/>
      <c r="F193" s="302"/>
      <c r="G193" s="302"/>
      <c r="H193" s="302"/>
      <c r="I193" s="302"/>
      <c r="J193" s="302"/>
      <c r="K193" s="302"/>
      <c r="L193" s="302"/>
      <c r="M193" s="302"/>
      <c r="N193" s="302"/>
      <c r="O193" s="302"/>
      <c r="P193" s="302"/>
    </row>
    <row r="194" spans="1:16" ht="17">
      <c r="A194" s="97"/>
      <c r="B194" s="97"/>
      <c r="C194" s="97"/>
      <c r="D194" s="97"/>
      <c r="E194" s="97"/>
      <c r="F194" s="302"/>
      <c r="G194" s="302"/>
      <c r="H194" s="302"/>
      <c r="I194" s="302"/>
      <c r="J194" s="302"/>
      <c r="K194" s="302"/>
      <c r="L194" s="302"/>
      <c r="M194" s="302"/>
      <c r="N194" s="302"/>
      <c r="O194" s="302"/>
      <c r="P194" s="302"/>
    </row>
    <row r="195" spans="1:16" ht="17">
      <c r="A195" s="97"/>
      <c r="B195" s="97"/>
      <c r="C195" s="97"/>
      <c r="D195" s="97"/>
      <c r="E195" s="97"/>
      <c r="F195" s="302"/>
      <c r="G195" s="302"/>
      <c r="H195" s="302"/>
      <c r="I195" s="302"/>
      <c r="J195" s="302"/>
      <c r="K195" s="302"/>
      <c r="L195" s="302"/>
      <c r="M195" s="302"/>
      <c r="N195" s="302"/>
      <c r="O195" s="302"/>
      <c r="P195" s="302"/>
    </row>
    <row r="196" spans="1:16" ht="17">
      <c r="A196" s="97"/>
      <c r="B196" s="97"/>
      <c r="C196" s="97"/>
      <c r="D196" s="97"/>
      <c r="E196" s="97"/>
      <c r="F196" s="302"/>
      <c r="G196" s="302"/>
      <c r="H196" s="302"/>
      <c r="I196" s="302"/>
      <c r="J196" s="302"/>
      <c r="K196" s="302"/>
      <c r="L196" s="302"/>
      <c r="M196" s="302"/>
      <c r="N196" s="302"/>
      <c r="O196" s="302"/>
      <c r="P196" s="302"/>
    </row>
    <row r="197" spans="1:16" ht="17">
      <c r="A197" s="97"/>
      <c r="B197" s="97"/>
      <c r="C197" s="97"/>
      <c r="D197" s="97"/>
      <c r="E197" s="97"/>
      <c r="F197" s="302"/>
      <c r="G197" s="302"/>
      <c r="H197" s="302"/>
      <c r="I197" s="302"/>
      <c r="J197" s="302"/>
      <c r="K197" s="302"/>
      <c r="L197" s="302"/>
      <c r="M197" s="302"/>
      <c r="N197" s="302"/>
      <c r="O197" s="302"/>
      <c r="P197" s="302"/>
    </row>
    <row r="198" spans="1:16" ht="17">
      <c r="A198" s="97"/>
      <c r="B198" s="97"/>
      <c r="C198" s="97"/>
      <c r="D198" s="97"/>
      <c r="E198" s="97"/>
      <c r="F198" s="302"/>
      <c r="G198" s="302"/>
      <c r="H198" s="302"/>
      <c r="I198" s="302"/>
      <c r="J198" s="302"/>
      <c r="K198" s="302"/>
      <c r="L198" s="302"/>
      <c r="M198" s="302"/>
      <c r="N198" s="302"/>
      <c r="O198" s="302"/>
      <c r="P198" s="302"/>
    </row>
    <row r="199" spans="1:16" ht="17">
      <c r="A199" s="97"/>
      <c r="B199" s="97"/>
      <c r="C199" s="97"/>
      <c r="D199" s="97"/>
      <c r="E199" s="97"/>
      <c r="F199" s="302"/>
      <c r="G199" s="302"/>
      <c r="H199" s="302"/>
      <c r="I199" s="302"/>
      <c r="J199" s="302"/>
      <c r="K199" s="302"/>
      <c r="L199" s="302"/>
      <c r="M199" s="302"/>
      <c r="N199" s="302"/>
      <c r="O199" s="302"/>
      <c r="P199" s="302"/>
    </row>
    <row r="200" spans="1:16" ht="17">
      <c r="A200" s="97"/>
      <c r="B200" s="97"/>
      <c r="C200" s="97"/>
      <c r="D200" s="97"/>
      <c r="E200" s="97"/>
      <c r="F200" s="302"/>
      <c r="G200" s="302"/>
      <c r="H200" s="302"/>
      <c r="I200" s="302"/>
      <c r="J200" s="302"/>
      <c r="K200" s="302"/>
      <c r="L200" s="302"/>
      <c r="M200" s="302"/>
      <c r="N200" s="302"/>
      <c r="O200" s="302"/>
      <c r="P200" s="302"/>
    </row>
    <row r="201" spans="1:16" ht="17">
      <c r="A201" s="97"/>
      <c r="B201" s="97"/>
      <c r="C201" s="97"/>
      <c r="D201" s="97"/>
      <c r="E201" s="97"/>
      <c r="F201" s="302"/>
      <c r="G201" s="302"/>
      <c r="H201" s="302"/>
      <c r="I201" s="302"/>
      <c r="J201" s="302"/>
      <c r="K201" s="302"/>
      <c r="L201" s="302"/>
      <c r="M201" s="302"/>
      <c r="N201" s="302"/>
      <c r="O201" s="302"/>
      <c r="P201" s="302"/>
    </row>
    <row r="202" spans="1:16" ht="17">
      <c r="A202" s="97"/>
      <c r="B202" s="97"/>
      <c r="C202" s="97"/>
      <c r="D202" s="97"/>
      <c r="E202" s="97"/>
      <c r="F202" s="302"/>
      <c r="G202" s="302"/>
      <c r="H202" s="302"/>
      <c r="I202" s="302"/>
      <c r="J202" s="302"/>
      <c r="K202" s="302"/>
      <c r="L202" s="302"/>
      <c r="M202" s="302"/>
      <c r="N202" s="302"/>
      <c r="O202" s="302"/>
      <c r="P202" s="302"/>
    </row>
    <row r="203" spans="1:16" ht="17">
      <c r="A203" s="97"/>
      <c r="B203" s="97"/>
      <c r="C203" s="97"/>
      <c r="D203" s="97"/>
      <c r="E203" s="97"/>
      <c r="F203" s="302"/>
      <c r="G203" s="302"/>
      <c r="H203" s="302"/>
      <c r="I203" s="302"/>
      <c r="J203" s="302"/>
      <c r="K203" s="302"/>
      <c r="L203" s="302"/>
      <c r="M203" s="302"/>
      <c r="N203" s="302"/>
      <c r="O203" s="302"/>
      <c r="P203" s="302"/>
    </row>
    <row r="204" spans="1:16" ht="17">
      <c r="A204" s="97"/>
      <c r="B204" s="97"/>
      <c r="C204" s="97"/>
      <c r="D204" s="97"/>
      <c r="E204" s="97"/>
      <c r="F204" s="302"/>
      <c r="G204" s="302"/>
      <c r="H204" s="302"/>
      <c r="I204" s="302"/>
      <c r="J204" s="302"/>
      <c r="K204" s="302"/>
      <c r="L204" s="302"/>
      <c r="M204" s="302"/>
      <c r="N204" s="302"/>
      <c r="O204" s="302"/>
      <c r="P204" s="302"/>
    </row>
    <row r="205" spans="1:16" ht="17">
      <c r="A205" s="97"/>
      <c r="B205" s="97"/>
      <c r="C205" s="97"/>
      <c r="D205" s="97"/>
      <c r="E205" s="97"/>
      <c r="F205" s="302"/>
      <c r="G205" s="302"/>
      <c r="H205" s="302"/>
      <c r="I205" s="302"/>
      <c r="J205" s="302"/>
      <c r="K205" s="302"/>
      <c r="L205" s="302"/>
      <c r="M205" s="302"/>
      <c r="N205" s="302"/>
      <c r="O205" s="302"/>
      <c r="P205" s="302"/>
    </row>
    <row r="206" spans="1:16" ht="17">
      <c r="A206" s="97"/>
      <c r="B206" s="97"/>
      <c r="C206" s="97"/>
      <c r="D206" s="97"/>
      <c r="E206" s="97"/>
      <c r="F206" s="302"/>
      <c r="G206" s="302"/>
      <c r="H206" s="302"/>
      <c r="I206" s="302"/>
      <c r="J206" s="302"/>
      <c r="K206" s="302"/>
      <c r="L206" s="302"/>
      <c r="M206" s="302"/>
      <c r="N206" s="302"/>
      <c r="O206" s="302"/>
      <c r="P206" s="302"/>
    </row>
    <row r="207" spans="1:16" ht="17">
      <c r="A207" s="97"/>
      <c r="B207" s="97"/>
      <c r="C207" s="97"/>
      <c r="D207" s="97"/>
      <c r="E207" s="97"/>
      <c r="F207" s="302"/>
      <c r="G207" s="302"/>
      <c r="H207" s="302"/>
      <c r="I207" s="302"/>
      <c r="J207" s="302"/>
      <c r="K207" s="302"/>
      <c r="L207" s="302"/>
      <c r="M207" s="302"/>
      <c r="N207" s="302"/>
      <c r="O207" s="302"/>
      <c r="P207" s="302"/>
    </row>
    <row r="208" spans="1:16" ht="17">
      <c r="A208" s="97"/>
      <c r="B208" s="97"/>
      <c r="C208" s="97"/>
      <c r="D208" s="97"/>
      <c r="E208" s="97"/>
      <c r="F208" s="302"/>
      <c r="G208" s="302"/>
      <c r="H208" s="302"/>
      <c r="I208" s="302"/>
      <c r="J208" s="302"/>
      <c r="K208" s="302"/>
      <c r="L208" s="302"/>
      <c r="M208" s="302"/>
      <c r="N208" s="302"/>
      <c r="O208" s="302"/>
      <c r="P208" s="302"/>
    </row>
    <row r="209" spans="1:16" ht="17">
      <c r="A209" s="97"/>
      <c r="B209" s="97"/>
      <c r="C209" s="97"/>
      <c r="D209" s="97"/>
      <c r="E209" s="97"/>
      <c r="F209" s="302"/>
      <c r="G209" s="302"/>
      <c r="H209" s="302"/>
      <c r="I209" s="302"/>
      <c r="J209" s="302"/>
      <c r="K209" s="302"/>
      <c r="L209" s="302"/>
      <c r="M209" s="302"/>
      <c r="N209" s="302"/>
      <c r="O209" s="302"/>
      <c r="P209" s="302"/>
    </row>
    <row r="210" spans="1:16" ht="17">
      <c r="A210" s="97"/>
      <c r="B210" s="97"/>
      <c r="C210" s="97"/>
      <c r="D210" s="97"/>
      <c r="E210" s="97"/>
      <c r="F210" s="302"/>
      <c r="G210" s="302"/>
      <c r="H210" s="302"/>
      <c r="I210" s="302"/>
      <c r="J210" s="302"/>
      <c r="K210" s="302"/>
      <c r="L210" s="302"/>
      <c r="M210" s="302"/>
      <c r="N210" s="302"/>
      <c r="O210" s="302"/>
      <c r="P210" s="302"/>
    </row>
    <row r="211" spans="1:16" ht="17">
      <c r="A211" s="97"/>
      <c r="B211" s="97"/>
      <c r="C211" s="97"/>
      <c r="D211" s="97"/>
      <c r="E211" s="97"/>
      <c r="F211" s="302"/>
      <c r="G211" s="302"/>
      <c r="H211" s="302"/>
      <c r="I211" s="302"/>
      <c r="J211" s="302"/>
      <c r="K211" s="302"/>
      <c r="L211" s="302"/>
      <c r="M211" s="302"/>
      <c r="N211" s="302"/>
      <c r="O211" s="302"/>
      <c r="P211" s="302"/>
    </row>
    <row r="212" spans="1:16" ht="17">
      <c r="A212" s="97"/>
      <c r="B212" s="97"/>
      <c r="C212" s="97"/>
      <c r="D212" s="97"/>
      <c r="E212" s="97"/>
      <c r="F212" s="302"/>
      <c r="G212" s="302"/>
      <c r="H212" s="302"/>
      <c r="I212" s="302"/>
      <c r="J212" s="302"/>
      <c r="K212" s="302"/>
      <c r="L212" s="302"/>
      <c r="M212" s="302"/>
      <c r="N212" s="302"/>
      <c r="O212" s="302"/>
      <c r="P212" s="302"/>
    </row>
    <row r="213" spans="1:16" ht="17">
      <c r="A213" s="97"/>
      <c r="B213" s="97"/>
      <c r="C213" s="97"/>
      <c r="D213" s="97"/>
      <c r="E213" s="97"/>
      <c r="F213" s="302"/>
      <c r="G213" s="302"/>
      <c r="H213" s="302"/>
      <c r="I213" s="302"/>
      <c r="J213" s="302"/>
      <c r="K213" s="302"/>
      <c r="L213" s="302"/>
      <c r="M213" s="302"/>
      <c r="N213" s="302"/>
      <c r="O213" s="302"/>
      <c r="P213" s="302"/>
    </row>
    <row r="214" spans="1:16" ht="17">
      <c r="A214" s="97"/>
      <c r="B214" s="97"/>
      <c r="C214" s="97"/>
      <c r="D214" s="97"/>
      <c r="E214" s="97"/>
      <c r="F214" s="302"/>
      <c r="G214" s="302"/>
      <c r="H214" s="302"/>
      <c r="I214" s="302"/>
      <c r="J214" s="302"/>
      <c r="K214" s="302"/>
      <c r="L214" s="302"/>
      <c r="M214" s="302"/>
      <c r="N214" s="302"/>
      <c r="O214" s="302"/>
      <c r="P214" s="302"/>
    </row>
    <row r="215" spans="1:16" ht="17">
      <c r="A215" s="97"/>
      <c r="B215" s="97"/>
      <c r="C215" s="97"/>
      <c r="D215" s="97"/>
      <c r="E215" s="97"/>
      <c r="F215" s="302"/>
      <c r="G215" s="302"/>
      <c r="H215" s="302"/>
      <c r="I215" s="302"/>
      <c r="J215" s="302"/>
      <c r="K215" s="302"/>
      <c r="L215" s="302"/>
      <c r="M215" s="302"/>
      <c r="N215" s="302"/>
      <c r="O215" s="302"/>
      <c r="P215" s="302"/>
    </row>
    <row r="216" spans="1:16" ht="17">
      <c r="A216" s="97"/>
      <c r="B216" s="97"/>
      <c r="C216" s="97"/>
      <c r="D216" s="97"/>
      <c r="E216" s="97"/>
      <c r="F216" s="302"/>
      <c r="G216" s="302"/>
      <c r="H216" s="302"/>
      <c r="I216" s="302"/>
      <c r="J216" s="302"/>
      <c r="K216" s="302"/>
      <c r="L216" s="302"/>
      <c r="M216" s="302"/>
      <c r="N216" s="302"/>
      <c r="O216" s="302"/>
      <c r="P216" s="302"/>
    </row>
    <row r="217" spans="1:16" ht="17">
      <c r="A217" s="97"/>
      <c r="B217" s="97"/>
      <c r="C217" s="97"/>
      <c r="D217" s="97"/>
      <c r="E217" s="97"/>
      <c r="F217" s="302"/>
      <c r="G217" s="302"/>
      <c r="H217" s="302"/>
      <c r="I217" s="302"/>
      <c r="J217" s="302"/>
      <c r="K217" s="302"/>
      <c r="L217" s="302"/>
      <c r="M217" s="302"/>
      <c r="N217" s="302"/>
      <c r="O217" s="302"/>
      <c r="P217" s="302"/>
    </row>
    <row r="218" spans="1:16" ht="17">
      <c r="A218" s="97"/>
      <c r="B218" s="97"/>
      <c r="C218" s="97"/>
      <c r="D218" s="97"/>
      <c r="E218" s="97"/>
      <c r="F218" s="302"/>
      <c r="G218" s="302"/>
      <c r="H218" s="302"/>
      <c r="I218" s="302"/>
      <c r="J218" s="302"/>
      <c r="K218" s="302"/>
      <c r="L218" s="302"/>
      <c r="M218" s="302"/>
      <c r="N218" s="302"/>
      <c r="O218" s="302"/>
      <c r="P218" s="302"/>
    </row>
    <row r="219" spans="1:16" ht="17">
      <c r="A219" s="97"/>
      <c r="B219" s="97"/>
      <c r="C219" s="97"/>
      <c r="D219" s="97"/>
      <c r="E219" s="97"/>
      <c r="F219" s="302"/>
      <c r="G219" s="302"/>
      <c r="H219" s="302"/>
      <c r="I219" s="302"/>
      <c r="J219" s="302"/>
      <c r="K219" s="302"/>
      <c r="L219" s="302"/>
      <c r="M219" s="302"/>
      <c r="N219" s="302"/>
      <c r="O219" s="302"/>
      <c r="P219" s="302"/>
    </row>
    <row r="220" spans="1:16" ht="17">
      <c r="A220" s="97"/>
      <c r="B220" s="97"/>
      <c r="C220" s="97"/>
      <c r="D220" s="97"/>
      <c r="E220" s="97"/>
      <c r="F220" s="302"/>
      <c r="G220" s="302"/>
      <c r="H220" s="302"/>
      <c r="I220" s="302"/>
      <c r="J220" s="302"/>
      <c r="K220" s="302"/>
      <c r="L220" s="302"/>
      <c r="M220" s="302"/>
      <c r="N220" s="302"/>
      <c r="O220" s="302"/>
      <c r="P220" s="302"/>
    </row>
    <row r="221" spans="1:16" ht="17">
      <c r="A221" s="97"/>
      <c r="B221" s="97"/>
      <c r="C221" s="97"/>
      <c r="D221" s="97"/>
      <c r="E221" s="97"/>
      <c r="F221" s="302"/>
      <c r="G221" s="302"/>
      <c r="H221" s="302"/>
      <c r="I221" s="302"/>
      <c r="J221" s="302"/>
      <c r="K221" s="302"/>
      <c r="L221" s="302"/>
      <c r="M221" s="302"/>
      <c r="N221" s="302"/>
      <c r="O221" s="302"/>
      <c r="P221" s="302"/>
    </row>
    <row r="222" spans="1:16" ht="17">
      <c r="A222" s="97"/>
      <c r="B222" s="97"/>
      <c r="C222" s="97"/>
      <c r="D222" s="97"/>
      <c r="E222" s="97"/>
      <c r="F222" s="302"/>
      <c r="G222" s="302"/>
      <c r="H222" s="302"/>
      <c r="I222" s="302"/>
      <c r="J222" s="302"/>
      <c r="K222" s="302"/>
      <c r="L222" s="302"/>
      <c r="M222" s="302"/>
      <c r="N222" s="302"/>
      <c r="O222" s="302"/>
      <c r="P222" s="302"/>
    </row>
    <row r="223" spans="1:16" ht="17">
      <c r="A223" s="97"/>
      <c r="B223" s="97"/>
      <c r="C223" s="97"/>
      <c r="D223" s="97"/>
      <c r="E223" s="97"/>
      <c r="F223" s="302"/>
      <c r="G223" s="302"/>
      <c r="H223" s="302"/>
      <c r="I223" s="302"/>
      <c r="J223" s="302"/>
      <c r="K223" s="302"/>
      <c r="L223" s="302"/>
      <c r="M223" s="302"/>
      <c r="N223" s="302"/>
      <c r="O223" s="302"/>
      <c r="P223" s="302"/>
    </row>
    <row r="224" spans="1:16" ht="17">
      <c r="A224" s="97"/>
      <c r="B224" s="97"/>
      <c r="C224" s="97"/>
      <c r="D224" s="97"/>
      <c r="E224" s="97"/>
      <c r="F224" s="302"/>
      <c r="G224" s="302"/>
      <c r="H224" s="302"/>
      <c r="I224" s="302"/>
      <c r="J224" s="302"/>
      <c r="K224" s="302"/>
      <c r="L224" s="302"/>
      <c r="M224" s="302"/>
      <c r="N224" s="302"/>
      <c r="O224" s="302"/>
      <c r="P224" s="302"/>
    </row>
    <row r="225" spans="1:16" ht="17">
      <c r="A225" s="97"/>
      <c r="B225" s="97"/>
      <c r="C225" s="97"/>
      <c r="D225" s="97"/>
      <c r="E225" s="97"/>
      <c r="F225" s="302"/>
      <c r="G225" s="302"/>
      <c r="H225" s="302"/>
      <c r="I225" s="302"/>
      <c r="J225" s="302"/>
      <c r="K225" s="302"/>
      <c r="L225" s="302"/>
      <c r="M225" s="302"/>
      <c r="N225" s="302"/>
      <c r="O225" s="302"/>
      <c r="P225" s="302"/>
    </row>
    <row r="226" spans="1:16" ht="17">
      <c r="A226" s="97"/>
      <c r="B226" s="97"/>
      <c r="C226" s="97"/>
      <c r="D226" s="97"/>
      <c r="E226" s="97"/>
      <c r="F226" s="302"/>
      <c r="G226" s="302"/>
      <c r="H226" s="302"/>
      <c r="I226" s="302"/>
      <c r="J226" s="302"/>
      <c r="K226" s="302"/>
      <c r="L226" s="302"/>
      <c r="M226" s="302"/>
      <c r="N226" s="302"/>
      <c r="O226" s="302"/>
      <c r="P226" s="302"/>
    </row>
    <row r="227" spans="1:16" ht="17">
      <c r="A227" s="97"/>
      <c r="B227" s="97"/>
      <c r="C227" s="97"/>
      <c r="D227" s="97"/>
      <c r="E227" s="97"/>
      <c r="F227" s="302"/>
      <c r="G227" s="302"/>
      <c r="H227" s="302"/>
      <c r="I227" s="302"/>
      <c r="J227" s="302"/>
      <c r="K227" s="302"/>
      <c r="L227" s="302"/>
      <c r="M227" s="302"/>
      <c r="N227" s="302"/>
      <c r="O227" s="302"/>
      <c r="P227" s="302"/>
    </row>
    <row r="228" spans="1:16" ht="17">
      <c r="A228" s="97"/>
      <c r="B228" s="97"/>
      <c r="C228" s="97"/>
      <c r="D228" s="97"/>
      <c r="E228" s="97"/>
      <c r="F228" s="302"/>
      <c r="G228" s="302"/>
      <c r="H228" s="302"/>
      <c r="I228" s="302"/>
      <c r="J228" s="302"/>
      <c r="K228" s="302"/>
      <c r="L228" s="302"/>
      <c r="M228" s="302"/>
      <c r="N228" s="302"/>
      <c r="O228" s="302"/>
      <c r="P228" s="302"/>
    </row>
    <row r="229" spans="1:16" ht="17">
      <c r="A229" s="97"/>
      <c r="B229" s="97"/>
      <c r="C229" s="97"/>
      <c r="D229" s="97"/>
      <c r="E229" s="97"/>
      <c r="F229" s="302"/>
      <c r="G229" s="302"/>
      <c r="H229" s="302"/>
      <c r="I229" s="302"/>
      <c r="J229" s="302"/>
      <c r="K229" s="302"/>
      <c r="L229" s="302"/>
      <c r="M229" s="302"/>
      <c r="N229" s="302"/>
      <c r="O229" s="302"/>
      <c r="P229" s="302"/>
    </row>
    <row r="230" spans="1:16" ht="17">
      <c r="A230" s="97"/>
      <c r="B230" s="97"/>
      <c r="C230" s="97"/>
      <c r="D230" s="97"/>
      <c r="E230" s="97"/>
      <c r="F230" s="302"/>
      <c r="G230" s="302"/>
      <c r="H230" s="302"/>
      <c r="I230" s="302"/>
      <c r="J230" s="302"/>
      <c r="K230" s="302"/>
      <c r="L230" s="302"/>
      <c r="M230" s="302"/>
      <c r="N230" s="302"/>
      <c r="O230" s="302"/>
      <c r="P230" s="302"/>
    </row>
    <row r="231" spans="1:16" ht="17">
      <c r="A231" s="97"/>
      <c r="B231" s="97"/>
      <c r="C231" s="97"/>
      <c r="D231" s="97"/>
      <c r="E231" s="97"/>
      <c r="F231" s="302"/>
      <c r="G231" s="302"/>
      <c r="H231" s="302"/>
      <c r="I231" s="302"/>
      <c r="J231" s="302"/>
      <c r="K231" s="302"/>
      <c r="L231" s="302"/>
      <c r="M231" s="302"/>
      <c r="N231" s="302"/>
      <c r="O231" s="302"/>
      <c r="P231" s="302"/>
    </row>
    <row r="232" spans="1:16" ht="17">
      <c r="A232" s="97"/>
      <c r="B232" s="97"/>
      <c r="C232" s="97"/>
      <c r="D232" s="97"/>
      <c r="E232" s="97"/>
      <c r="F232" s="302"/>
      <c r="G232" s="302"/>
      <c r="H232" s="302"/>
      <c r="I232" s="302"/>
      <c r="J232" s="302"/>
      <c r="K232" s="302"/>
      <c r="L232" s="302"/>
      <c r="M232" s="302"/>
      <c r="N232" s="302"/>
      <c r="O232" s="302"/>
      <c r="P232" s="302"/>
    </row>
    <row r="233" spans="1:16" ht="17">
      <c r="A233" s="97"/>
      <c r="B233" s="97"/>
      <c r="C233" s="97"/>
      <c r="D233" s="97"/>
      <c r="E233" s="97"/>
      <c r="F233" s="302"/>
      <c r="G233" s="302"/>
      <c r="H233" s="302"/>
      <c r="I233" s="302"/>
      <c r="J233" s="302"/>
      <c r="K233" s="302"/>
      <c r="L233" s="302"/>
      <c r="M233" s="302"/>
      <c r="N233" s="302"/>
      <c r="O233" s="302"/>
      <c r="P233" s="302"/>
    </row>
    <row r="234" spans="1:16" ht="17">
      <c r="A234" s="97"/>
      <c r="B234" s="97"/>
      <c r="C234" s="97"/>
      <c r="D234" s="97"/>
      <c r="E234" s="97"/>
      <c r="F234" s="302"/>
      <c r="G234" s="302"/>
      <c r="H234" s="302"/>
      <c r="I234" s="302"/>
      <c r="J234" s="302"/>
      <c r="K234" s="302"/>
      <c r="L234" s="302"/>
      <c r="M234" s="302"/>
      <c r="N234" s="302"/>
      <c r="O234" s="302"/>
      <c r="P234" s="302"/>
    </row>
    <row r="235" spans="1:16" ht="17">
      <c r="A235" s="97"/>
      <c r="B235" s="97"/>
      <c r="C235" s="97"/>
      <c r="D235" s="97"/>
      <c r="E235" s="97"/>
      <c r="F235" s="302"/>
      <c r="G235" s="302"/>
      <c r="H235" s="302"/>
      <c r="I235" s="302"/>
      <c r="J235" s="302"/>
      <c r="K235" s="302"/>
      <c r="L235" s="302"/>
      <c r="M235" s="302"/>
      <c r="N235" s="302"/>
      <c r="O235" s="302"/>
      <c r="P235" s="302"/>
    </row>
    <row r="236" spans="1:16" ht="17">
      <c r="A236" s="97"/>
      <c r="B236" s="97"/>
      <c r="C236" s="97"/>
      <c r="D236" s="97"/>
      <c r="E236" s="97"/>
      <c r="F236" s="302"/>
      <c r="G236" s="302"/>
      <c r="H236" s="302"/>
      <c r="I236" s="302"/>
      <c r="J236" s="302"/>
      <c r="K236" s="302"/>
      <c r="L236" s="302"/>
      <c r="M236" s="302"/>
      <c r="N236" s="302"/>
      <c r="O236" s="302"/>
      <c r="P236" s="302"/>
    </row>
    <row r="237" spans="1:16" ht="17">
      <c r="A237" s="97"/>
      <c r="B237" s="97"/>
      <c r="C237" s="97"/>
      <c r="D237" s="97"/>
      <c r="E237" s="97"/>
      <c r="F237" s="302"/>
      <c r="G237" s="302"/>
      <c r="H237" s="302"/>
      <c r="I237" s="302"/>
      <c r="J237" s="302"/>
      <c r="K237" s="302"/>
      <c r="L237" s="302"/>
      <c r="M237" s="302"/>
      <c r="N237" s="302"/>
      <c r="O237" s="302"/>
      <c r="P237" s="302"/>
    </row>
    <row r="238" spans="1:16" ht="17">
      <c r="A238" s="97"/>
      <c r="B238" s="97"/>
      <c r="C238" s="97"/>
      <c r="D238" s="97"/>
      <c r="E238" s="97"/>
      <c r="F238" s="302"/>
      <c r="G238" s="302"/>
      <c r="H238" s="302"/>
      <c r="I238" s="302"/>
      <c r="J238" s="302"/>
      <c r="K238" s="302"/>
      <c r="L238" s="302"/>
      <c r="M238" s="302"/>
      <c r="N238" s="302"/>
      <c r="O238" s="302"/>
      <c r="P238" s="302"/>
    </row>
    <row r="239" spans="1:16" ht="17">
      <c r="A239" s="97"/>
      <c r="B239" s="97"/>
      <c r="C239" s="97"/>
      <c r="D239" s="97"/>
      <c r="E239" s="97"/>
      <c r="F239" s="302"/>
      <c r="G239" s="302"/>
      <c r="H239" s="302"/>
      <c r="I239" s="302"/>
      <c r="J239" s="302"/>
      <c r="K239" s="302"/>
      <c r="L239" s="302"/>
      <c r="M239" s="302"/>
      <c r="N239" s="302"/>
      <c r="O239" s="302"/>
      <c r="P239" s="302"/>
    </row>
    <row r="240" spans="1:16" ht="17">
      <c r="A240" s="97"/>
      <c r="B240" s="97"/>
      <c r="C240" s="97"/>
      <c r="D240" s="97"/>
      <c r="E240" s="97"/>
      <c r="F240" s="302"/>
      <c r="G240" s="302"/>
      <c r="H240" s="302"/>
      <c r="I240" s="302"/>
      <c r="J240" s="302"/>
      <c r="K240" s="302"/>
      <c r="L240" s="302"/>
      <c r="M240" s="302"/>
      <c r="N240" s="302"/>
      <c r="O240" s="302"/>
      <c r="P240" s="302"/>
    </row>
    <row r="241" spans="1:16" ht="17">
      <c r="A241" s="97"/>
      <c r="B241" s="97"/>
      <c r="C241" s="97"/>
      <c r="D241" s="97"/>
      <c r="E241" s="97"/>
      <c r="F241" s="302"/>
      <c r="G241" s="302"/>
      <c r="H241" s="302"/>
      <c r="I241" s="302"/>
      <c r="J241" s="302"/>
      <c r="K241" s="302"/>
      <c r="L241" s="302"/>
      <c r="M241" s="302"/>
      <c r="N241" s="302"/>
      <c r="O241" s="302"/>
      <c r="P241" s="302"/>
    </row>
    <row r="242" spans="1:16" ht="17">
      <c r="A242" s="97"/>
      <c r="B242" s="97"/>
      <c r="C242" s="97"/>
      <c r="D242" s="97"/>
      <c r="E242" s="97"/>
      <c r="F242" s="302"/>
      <c r="G242" s="302"/>
      <c r="H242" s="302"/>
      <c r="I242" s="302"/>
      <c r="J242" s="302"/>
      <c r="K242" s="302"/>
      <c r="L242" s="302"/>
      <c r="M242" s="302"/>
      <c r="N242" s="302"/>
      <c r="O242" s="302"/>
      <c r="P242" s="302"/>
    </row>
    <row r="243" spans="1:16" ht="17">
      <c r="A243" s="97"/>
      <c r="B243" s="97"/>
      <c r="C243" s="97"/>
      <c r="D243" s="97"/>
      <c r="E243" s="97"/>
      <c r="F243" s="302"/>
      <c r="G243" s="302"/>
      <c r="H243" s="302"/>
      <c r="I243" s="302"/>
      <c r="J243" s="302"/>
      <c r="K243" s="302"/>
      <c r="L243" s="302"/>
      <c r="M243" s="302"/>
      <c r="N243" s="302"/>
      <c r="O243" s="302"/>
      <c r="P243" s="302"/>
    </row>
    <row r="244" spans="1:16" ht="17">
      <c r="A244" s="97"/>
      <c r="B244" s="97"/>
      <c r="C244" s="97"/>
      <c r="D244" s="97"/>
      <c r="E244" s="97"/>
      <c r="F244" s="302"/>
      <c r="G244" s="302"/>
      <c r="H244" s="302"/>
      <c r="I244" s="302"/>
      <c r="J244" s="302"/>
      <c r="K244" s="302"/>
      <c r="L244" s="302"/>
      <c r="M244" s="302"/>
      <c r="N244" s="302"/>
      <c r="O244" s="302"/>
      <c r="P244" s="302"/>
    </row>
    <row r="245" spans="1:16" ht="17">
      <c r="A245" s="97"/>
      <c r="B245" s="97"/>
      <c r="C245" s="97"/>
      <c r="D245" s="97"/>
      <c r="E245" s="97"/>
      <c r="F245" s="302"/>
      <c r="G245" s="302"/>
      <c r="H245" s="302"/>
      <c r="I245" s="302"/>
      <c r="J245" s="302"/>
      <c r="K245" s="302"/>
      <c r="L245" s="302"/>
      <c r="M245" s="302"/>
      <c r="N245" s="302"/>
      <c r="O245" s="302"/>
      <c r="P245" s="302"/>
    </row>
    <row r="246" spans="1:16" ht="17">
      <c r="A246" s="97"/>
      <c r="B246" s="97"/>
      <c r="C246" s="97"/>
      <c r="D246" s="97"/>
      <c r="E246" s="97"/>
      <c r="F246" s="302"/>
      <c r="G246" s="302"/>
      <c r="H246" s="302"/>
      <c r="I246" s="302"/>
      <c r="J246" s="302"/>
      <c r="K246" s="302"/>
      <c r="L246" s="302"/>
      <c r="M246" s="302"/>
      <c r="N246" s="302"/>
      <c r="O246" s="302"/>
      <c r="P246" s="302"/>
    </row>
    <row r="247" spans="1:16" ht="17">
      <c r="A247" s="97"/>
      <c r="B247" s="97"/>
      <c r="C247" s="97"/>
      <c r="D247" s="97"/>
      <c r="E247" s="97"/>
      <c r="F247" s="302"/>
      <c r="G247" s="302"/>
      <c r="H247" s="302"/>
      <c r="I247" s="302"/>
      <c r="J247" s="302"/>
      <c r="K247" s="302"/>
      <c r="L247" s="302"/>
      <c r="M247" s="302"/>
      <c r="N247" s="302"/>
      <c r="O247" s="302"/>
      <c r="P247" s="302"/>
    </row>
    <row r="248" spans="1:16" ht="17">
      <c r="A248" s="97"/>
      <c r="B248" s="97"/>
      <c r="C248" s="97"/>
      <c r="D248" s="97"/>
      <c r="E248" s="97"/>
      <c r="F248" s="302"/>
      <c r="G248" s="302"/>
      <c r="H248" s="302"/>
      <c r="I248" s="302"/>
      <c r="J248" s="302"/>
      <c r="K248" s="302"/>
      <c r="L248" s="302"/>
      <c r="M248" s="302"/>
      <c r="N248" s="302"/>
      <c r="O248" s="302"/>
      <c r="P248" s="302"/>
    </row>
    <row r="249" spans="1:16" ht="17">
      <c r="A249" s="97"/>
      <c r="B249" s="97"/>
      <c r="C249" s="97"/>
      <c r="D249" s="97"/>
      <c r="E249" s="97"/>
      <c r="F249" s="302"/>
      <c r="G249" s="302"/>
      <c r="H249" s="302"/>
      <c r="I249" s="302"/>
      <c r="J249" s="302"/>
      <c r="K249" s="302"/>
      <c r="L249" s="302"/>
      <c r="M249" s="302"/>
      <c r="N249" s="302"/>
      <c r="O249" s="302"/>
      <c r="P249" s="302"/>
    </row>
    <row r="250" spans="1:16" ht="17">
      <c r="A250" s="97"/>
      <c r="B250" s="97"/>
      <c r="C250" s="97"/>
      <c r="D250" s="97"/>
      <c r="E250" s="97"/>
      <c r="F250" s="302"/>
      <c r="G250" s="302"/>
      <c r="H250" s="302"/>
      <c r="I250" s="302"/>
      <c r="J250" s="302"/>
      <c r="K250" s="302"/>
      <c r="L250" s="302"/>
      <c r="M250" s="302"/>
      <c r="N250" s="302"/>
      <c r="O250" s="302"/>
      <c r="P250" s="302"/>
    </row>
    <row r="251" spans="1:16" ht="17">
      <c r="A251" s="97"/>
      <c r="B251" s="97"/>
      <c r="C251" s="97"/>
      <c r="D251" s="97"/>
      <c r="E251" s="97"/>
      <c r="F251" s="302"/>
      <c r="G251" s="302"/>
      <c r="H251" s="302"/>
      <c r="I251" s="302"/>
      <c r="J251" s="302"/>
      <c r="K251" s="302"/>
      <c r="L251" s="302"/>
      <c r="M251" s="302"/>
      <c r="N251" s="302"/>
      <c r="O251" s="302"/>
      <c r="P251" s="302"/>
    </row>
    <row r="252" spans="1:16" ht="17">
      <c r="A252" s="97"/>
      <c r="B252" s="97"/>
      <c r="C252" s="97"/>
      <c r="D252" s="97"/>
      <c r="E252" s="97"/>
      <c r="F252" s="302"/>
      <c r="G252" s="302"/>
      <c r="H252" s="302"/>
      <c r="I252" s="302"/>
      <c r="J252" s="302"/>
      <c r="K252" s="302"/>
      <c r="L252" s="302"/>
      <c r="M252" s="302"/>
      <c r="N252" s="302"/>
      <c r="O252" s="302"/>
      <c r="P252" s="302"/>
    </row>
    <row r="253" spans="1:16" ht="17">
      <c r="A253" s="97"/>
      <c r="B253" s="97"/>
      <c r="C253" s="97"/>
      <c r="D253" s="97"/>
      <c r="E253" s="97"/>
      <c r="F253" s="302"/>
      <c r="G253" s="302"/>
      <c r="H253" s="302"/>
      <c r="I253" s="302"/>
      <c r="J253" s="302"/>
      <c r="K253" s="302"/>
      <c r="L253" s="302"/>
      <c r="M253" s="302"/>
      <c r="N253" s="302"/>
      <c r="O253" s="302"/>
      <c r="P253" s="302"/>
    </row>
    <row r="254" spans="1:16" ht="17">
      <c r="A254" s="97"/>
      <c r="B254" s="97"/>
      <c r="C254" s="97"/>
      <c r="D254" s="97"/>
      <c r="E254" s="97"/>
      <c r="F254" s="302"/>
      <c r="G254" s="302"/>
      <c r="H254" s="302"/>
      <c r="I254" s="302"/>
      <c r="J254" s="302"/>
      <c r="K254" s="302"/>
      <c r="L254" s="302"/>
      <c r="M254" s="302"/>
      <c r="N254" s="302"/>
      <c r="O254" s="302"/>
      <c r="P254" s="302"/>
    </row>
    <row r="255" spans="1:16" ht="17">
      <c r="A255" s="97"/>
      <c r="B255" s="97"/>
      <c r="C255" s="97"/>
      <c r="D255" s="97"/>
      <c r="E255" s="97"/>
      <c r="F255" s="302"/>
      <c r="G255" s="302"/>
      <c r="H255" s="302"/>
      <c r="I255" s="302"/>
      <c r="J255" s="302"/>
      <c r="K255" s="302"/>
      <c r="L255" s="302"/>
      <c r="M255" s="302"/>
      <c r="N255" s="302"/>
      <c r="O255" s="302"/>
      <c r="P255" s="302"/>
    </row>
    <row r="256" spans="1:16" ht="17">
      <c r="A256" s="97"/>
      <c r="B256" s="97"/>
      <c r="C256" s="97"/>
      <c r="D256" s="97"/>
      <c r="E256" s="97"/>
      <c r="F256" s="302"/>
      <c r="G256" s="302"/>
      <c r="H256" s="302"/>
      <c r="I256" s="302"/>
      <c r="J256" s="302"/>
      <c r="K256" s="302"/>
      <c r="L256" s="302"/>
      <c r="M256" s="302"/>
      <c r="N256" s="302"/>
      <c r="O256" s="302"/>
      <c r="P256" s="302"/>
    </row>
    <row r="257" spans="1:16" ht="17">
      <c r="A257" s="97"/>
      <c r="B257" s="97"/>
      <c r="C257" s="97"/>
      <c r="D257" s="97"/>
      <c r="E257" s="97"/>
      <c r="F257" s="302"/>
      <c r="G257" s="302"/>
      <c r="H257" s="302"/>
      <c r="I257" s="302"/>
      <c r="J257" s="302"/>
      <c r="K257" s="302"/>
      <c r="L257" s="302"/>
      <c r="M257" s="302"/>
      <c r="N257" s="302"/>
      <c r="O257" s="302"/>
      <c r="P257" s="302"/>
    </row>
    <row r="258" spans="1:16" ht="17">
      <c r="A258" s="97"/>
      <c r="B258" s="97"/>
      <c r="C258" s="97"/>
      <c r="D258" s="97"/>
      <c r="E258" s="97"/>
      <c r="F258" s="302"/>
      <c r="G258" s="302"/>
      <c r="H258" s="302"/>
      <c r="I258" s="302"/>
      <c r="J258" s="302"/>
      <c r="K258" s="302"/>
      <c r="L258" s="302"/>
      <c r="M258" s="302"/>
      <c r="N258" s="302"/>
      <c r="O258" s="302"/>
      <c r="P258" s="302"/>
    </row>
    <row r="259" spans="1:16" ht="17">
      <c r="A259" s="97"/>
      <c r="B259" s="97"/>
      <c r="C259" s="97"/>
      <c r="D259" s="97"/>
      <c r="E259" s="97"/>
      <c r="F259" s="302"/>
      <c r="G259" s="302"/>
      <c r="H259" s="302"/>
      <c r="I259" s="302"/>
      <c r="J259" s="302"/>
      <c r="K259" s="302"/>
      <c r="L259" s="302"/>
      <c r="M259" s="302"/>
      <c r="N259" s="302"/>
      <c r="O259" s="302"/>
      <c r="P259" s="302"/>
    </row>
    <row r="260" spans="1:16" ht="17">
      <c r="A260" s="97"/>
      <c r="B260" s="97"/>
      <c r="C260" s="97"/>
      <c r="D260" s="97"/>
      <c r="E260" s="97"/>
      <c r="F260" s="302"/>
      <c r="G260" s="302"/>
      <c r="H260" s="302"/>
      <c r="I260" s="302"/>
      <c r="J260" s="302"/>
      <c r="K260" s="302"/>
      <c r="L260" s="302"/>
      <c r="M260" s="302"/>
      <c r="N260" s="302"/>
      <c r="O260" s="302"/>
      <c r="P260" s="302"/>
    </row>
    <row r="261" spans="1:16" ht="17">
      <c r="A261" s="97"/>
      <c r="B261" s="97"/>
      <c r="C261" s="97"/>
      <c r="D261" s="97"/>
      <c r="E261" s="97"/>
      <c r="F261" s="302"/>
      <c r="G261" s="302"/>
      <c r="H261" s="302"/>
      <c r="I261" s="302"/>
      <c r="J261" s="302"/>
      <c r="K261" s="302"/>
      <c r="L261" s="302"/>
      <c r="M261" s="302"/>
      <c r="N261" s="302"/>
      <c r="O261" s="302"/>
      <c r="P261" s="302"/>
    </row>
    <row r="262" spans="1:16" ht="17">
      <c r="A262" s="97"/>
      <c r="B262" s="97"/>
      <c r="C262" s="97"/>
      <c r="D262" s="97"/>
      <c r="E262" s="97"/>
      <c r="F262" s="302"/>
      <c r="G262" s="302"/>
      <c r="H262" s="302"/>
      <c r="I262" s="302"/>
      <c r="J262" s="302"/>
      <c r="K262" s="302"/>
      <c r="L262" s="302"/>
      <c r="M262" s="302"/>
      <c r="N262" s="302"/>
      <c r="O262" s="302"/>
      <c r="P262" s="302"/>
    </row>
    <row r="263" spans="1:16" ht="17">
      <c r="A263" s="97"/>
      <c r="B263" s="97"/>
      <c r="C263" s="97"/>
      <c r="D263" s="97"/>
      <c r="E263" s="97"/>
      <c r="F263" s="302"/>
      <c r="G263" s="302"/>
      <c r="H263" s="302"/>
      <c r="I263" s="302"/>
      <c r="J263" s="302"/>
      <c r="K263" s="302"/>
      <c r="L263" s="302"/>
      <c r="M263" s="302"/>
      <c r="N263" s="302"/>
      <c r="O263" s="302"/>
      <c r="P263" s="302"/>
    </row>
    <row r="264" spans="1:16" ht="17">
      <c r="A264" s="97"/>
      <c r="B264" s="97"/>
      <c r="C264" s="97"/>
      <c r="D264" s="97"/>
      <c r="E264" s="97"/>
      <c r="F264" s="302"/>
      <c r="G264" s="302"/>
      <c r="H264" s="302"/>
      <c r="I264" s="302"/>
      <c r="J264" s="302"/>
      <c r="K264" s="302"/>
      <c r="L264" s="302"/>
      <c r="M264" s="302"/>
      <c r="N264" s="302"/>
      <c r="O264" s="302"/>
      <c r="P264" s="302"/>
    </row>
    <row r="265" spans="1:16" ht="17">
      <c r="A265" s="97"/>
      <c r="B265" s="97"/>
      <c r="C265" s="97"/>
      <c r="D265" s="97"/>
      <c r="E265" s="97"/>
      <c r="F265" s="302"/>
      <c r="G265" s="302"/>
      <c r="H265" s="302"/>
      <c r="I265" s="302"/>
      <c r="J265" s="302"/>
      <c r="K265" s="302"/>
      <c r="L265" s="302"/>
      <c r="M265" s="302"/>
      <c r="N265" s="302"/>
      <c r="O265" s="302"/>
      <c r="P265" s="302"/>
    </row>
    <row r="266" spans="1:16" ht="17">
      <c r="A266" s="97"/>
      <c r="B266" s="97"/>
      <c r="C266" s="97"/>
      <c r="D266" s="97"/>
      <c r="E266" s="97"/>
      <c r="F266" s="302"/>
      <c r="G266" s="302"/>
      <c r="H266" s="302"/>
      <c r="I266" s="302"/>
      <c r="J266" s="302"/>
      <c r="K266" s="302"/>
      <c r="L266" s="302"/>
      <c r="M266" s="302"/>
      <c r="N266" s="302"/>
      <c r="O266" s="302"/>
      <c r="P266" s="302"/>
    </row>
    <row r="267" spans="1:16" ht="17">
      <c r="A267" s="97"/>
      <c r="B267" s="97"/>
      <c r="C267" s="97"/>
      <c r="D267" s="97"/>
      <c r="E267" s="97"/>
      <c r="F267" s="302"/>
      <c r="G267" s="302"/>
      <c r="H267" s="302"/>
      <c r="I267" s="302"/>
      <c r="J267" s="302"/>
      <c r="K267" s="302"/>
      <c r="L267" s="302"/>
      <c r="M267" s="302"/>
      <c r="N267" s="302"/>
      <c r="O267" s="302"/>
      <c r="P267" s="302"/>
    </row>
    <row r="268" spans="1:16" ht="17">
      <c r="A268" s="97"/>
      <c r="B268" s="97"/>
      <c r="C268" s="97"/>
      <c r="D268" s="97"/>
      <c r="E268" s="97"/>
      <c r="F268" s="302"/>
      <c r="G268" s="302"/>
      <c r="H268" s="302"/>
      <c r="I268" s="302"/>
      <c r="J268" s="302"/>
      <c r="K268" s="302"/>
      <c r="L268" s="302"/>
      <c r="M268" s="302"/>
      <c r="N268" s="302"/>
      <c r="O268" s="302"/>
      <c r="P268" s="302"/>
    </row>
    <row r="269" spans="1:16" ht="17">
      <c r="A269" s="97"/>
      <c r="B269" s="97"/>
      <c r="C269" s="97"/>
      <c r="D269" s="97"/>
      <c r="E269" s="97"/>
      <c r="F269" s="302"/>
      <c r="G269" s="302"/>
      <c r="H269" s="302"/>
      <c r="I269" s="302"/>
      <c r="J269" s="302"/>
      <c r="K269" s="302"/>
      <c r="L269" s="302"/>
      <c r="M269" s="302"/>
      <c r="N269" s="302"/>
      <c r="O269" s="302"/>
      <c r="P269" s="302"/>
    </row>
    <row r="270" spans="1:16" ht="17">
      <c r="A270" s="97"/>
      <c r="B270" s="97"/>
      <c r="C270" s="97"/>
      <c r="D270" s="97"/>
      <c r="E270" s="97"/>
      <c r="F270" s="302"/>
      <c r="G270" s="302"/>
      <c r="H270" s="302"/>
      <c r="I270" s="302"/>
      <c r="J270" s="302"/>
      <c r="K270" s="302"/>
      <c r="L270" s="302"/>
      <c r="M270" s="302"/>
      <c r="N270" s="302"/>
      <c r="O270" s="302"/>
      <c r="P270" s="302"/>
    </row>
    <row r="271" spans="1:16" ht="17">
      <c r="A271" s="97"/>
      <c r="B271" s="97"/>
      <c r="C271" s="97"/>
      <c r="D271" s="97"/>
      <c r="E271" s="97"/>
      <c r="F271" s="302"/>
      <c r="G271" s="302"/>
      <c r="H271" s="302"/>
      <c r="I271" s="302"/>
      <c r="J271" s="302"/>
      <c r="K271" s="302"/>
      <c r="L271" s="302"/>
      <c r="M271" s="302"/>
      <c r="N271" s="302"/>
      <c r="O271" s="302"/>
      <c r="P271" s="302"/>
    </row>
    <row r="272" spans="1:16" ht="17">
      <c r="A272" s="97"/>
      <c r="B272" s="97"/>
      <c r="C272" s="97"/>
      <c r="D272" s="97"/>
      <c r="E272" s="97"/>
      <c r="F272" s="302"/>
      <c r="G272" s="302"/>
      <c r="H272" s="302"/>
      <c r="I272" s="302"/>
      <c r="J272" s="302"/>
      <c r="K272" s="302"/>
      <c r="L272" s="302"/>
      <c r="M272" s="302"/>
      <c r="N272" s="302"/>
      <c r="O272" s="302"/>
      <c r="P272" s="302"/>
    </row>
    <row r="273" spans="1:16" ht="17">
      <c r="A273" s="97"/>
      <c r="B273" s="97"/>
      <c r="C273" s="97"/>
      <c r="D273" s="97"/>
      <c r="E273" s="97"/>
      <c r="F273" s="302"/>
      <c r="G273" s="302"/>
      <c r="H273" s="302"/>
      <c r="I273" s="302"/>
      <c r="J273" s="302"/>
      <c r="K273" s="302"/>
      <c r="L273" s="302"/>
      <c r="M273" s="302"/>
      <c r="N273" s="302"/>
      <c r="O273" s="302"/>
      <c r="P273" s="302"/>
    </row>
    <row r="274" spans="1:16" ht="17">
      <c r="A274" s="97"/>
      <c r="B274" s="97"/>
      <c r="C274" s="97"/>
      <c r="D274" s="97"/>
      <c r="E274" s="97"/>
      <c r="F274" s="302"/>
      <c r="G274" s="302"/>
      <c r="H274" s="302"/>
      <c r="I274" s="302"/>
      <c r="J274" s="302"/>
      <c r="K274" s="302"/>
      <c r="L274" s="302"/>
      <c r="M274" s="302"/>
      <c r="N274" s="302"/>
      <c r="O274" s="302"/>
      <c r="P274" s="302"/>
    </row>
    <row r="275" spans="1:16" ht="17">
      <c r="A275" s="97"/>
      <c r="B275" s="97"/>
      <c r="C275" s="97"/>
      <c r="D275" s="97"/>
      <c r="E275" s="97"/>
      <c r="F275" s="302"/>
      <c r="G275" s="302"/>
      <c r="H275" s="302"/>
      <c r="I275" s="302"/>
      <c r="J275" s="302"/>
      <c r="K275" s="302"/>
      <c r="L275" s="302"/>
      <c r="M275" s="302"/>
      <c r="N275" s="302"/>
      <c r="O275" s="302"/>
      <c r="P275" s="302"/>
    </row>
    <row r="276" spans="1:16" ht="17">
      <c r="A276" s="97"/>
      <c r="B276" s="97"/>
      <c r="C276" s="97"/>
      <c r="D276" s="97"/>
      <c r="E276" s="97"/>
      <c r="F276" s="302"/>
      <c r="G276" s="302"/>
      <c r="H276" s="302"/>
      <c r="I276" s="302"/>
      <c r="J276" s="302"/>
      <c r="K276" s="302"/>
      <c r="L276" s="302"/>
      <c r="M276" s="302"/>
      <c r="N276" s="302"/>
      <c r="O276" s="302"/>
      <c r="P276" s="302"/>
    </row>
    <row r="277" spans="1:16" ht="17">
      <c r="A277" s="97"/>
      <c r="B277" s="97"/>
      <c r="C277" s="97"/>
      <c r="D277" s="97"/>
      <c r="E277" s="97"/>
      <c r="F277" s="302"/>
      <c r="G277" s="302"/>
      <c r="H277" s="302"/>
      <c r="I277" s="302"/>
      <c r="J277" s="302"/>
      <c r="K277" s="302"/>
      <c r="L277" s="302"/>
      <c r="M277" s="302"/>
      <c r="N277" s="302"/>
      <c r="O277" s="302"/>
      <c r="P277" s="302"/>
    </row>
    <row r="278" spans="1:16" ht="17">
      <c r="A278" s="97"/>
      <c r="B278" s="97"/>
      <c r="C278" s="97"/>
      <c r="D278" s="97"/>
      <c r="E278" s="97"/>
      <c r="F278" s="302"/>
      <c r="G278" s="302"/>
      <c r="H278" s="302"/>
      <c r="I278" s="302"/>
      <c r="J278" s="302"/>
      <c r="K278" s="302"/>
      <c r="L278" s="302"/>
      <c r="M278" s="302"/>
      <c r="N278" s="302"/>
      <c r="O278" s="302"/>
      <c r="P278" s="302"/>
    </row>
    <row r="279" spans="1:16" ht="17">
      <c r="A279" s="97"/>
      <c r="B279" s="97"/>
      <c r="C279" s="97"/>
      <c r="D279" s="97"/>
      <c r="E279" s="97"/>
      <c r="F279" s="302"/>
      <c r="G279" s="302"/>
      <c r="H279" s="302"/>
      <c r="I279" s="302"/>
      <c r="J279" s="302"/>
      <c r="K279" s="302"/>
      <c r="L279" s="302"/>
      <c r="M279" s="302"/>
      <c r="N279" s="302"/>
      <c r="O279" s="302"/>
      <c r="P279" s="302"/>
    </row>
    <row r="280" spans="1:16" ht="17">
      <c r="A280" s="97"/>
      <c r="B280" s="97"/>
      <c r="C280" s="97"/>
      <c r="D280" s="97"/>
      <c r="E280" s="97"/>
      <c r="F280" s="302"/>
      <c r="G280" s="302"/>
      <c r="H280" s="302"/>
      <c r="I280" s="302"/>
      <c r="J280" s="302"/>
      <c r="K280" s="302"/>
      <c r="L280" s="302"/>
      <c r="M280" s="302"/>
      <c r="N280" s="302"/>
      <c r="O280" s="302"/>
      <c r="P280" s="302"/>
    </row>
    <row r="281" spans="1:16" ht="17">
      <c r="A281" s="97"/>
      <c r="B281" s="97"/>
      <c r="C281" s="97"/>
      <c r="D281" s="97"/>
      <c r="E281" s="97"/>
      <c r="F281" s="302"/>
      <c r="G281" s="302"/>
      <c r="H281" s="302"/>
      <c r="I281" s="302"/>
      <c r="J281" s="302"/>
      <c r="K281" s="302"/>
      <c r="L281" s="302"/>
      <c r="M281" s="302"/>
      <c r="N281" s="302"/>
      <c r="O281" s="302"/>
      <c r="P281" s="302"/>
    </row>
    <row r="282" spans="1:16" ht="17">
      <c r="A282" s="97"/>
      <c r="B282" s="97"/>
      <c r="C282" s="97"/>
      <c r="D282" s="97"/>
      <c r="E282" s="97"/>
      <c r="F282" s="302"/>
      <c r="G282" s="302"/>
      <c r="H282" s="302"/>
      <c r="I282" s="302"/>
      <c r="J282" s="302"/>
      <c r="K282" s="302"/>
      <c r="L282" s="302"/>
      <c r="M282" s="302"/>
      <c r="N282" s="302"/>
      <c r="O282" s="302"/>
      <c r="P282" s="302"/>
    </row>
    <row r="283" spans="1:16" ht="17">
      <c r="A283" s="97"/>
      <c r="B283" s="97"/>
      <c r="C283" s="97"/>
      <c r="D283" s="97"/>
      <c r="E283" s="97"/>
      <c r="F283" s="302"/>
      <c r="G283" s="302"/>
      <c r="H283" s="302"/>
      <c r="I283" s="302"/>
      <c r="J283" s="302"/>
      <c r="K283" s="302"/>
      <c r="L283" s="302"/>
      <c r="M283" s="302"/>
      <c r="N283" s="302"/>
      <c r="O283" s="302"/>
      <c r="P283" s="302"/>
    </row>
    <row r="284" spans="1:16" ht="17">
      <c r="A284" s="97"/>
      <c r="B284" s="97"/>
      <c r="C284" s="97"/>
      <c r="D284" s="97"/>
      <c r="E284" s="97"/>
      <c r="F284" s="302"/>
      <c r="G284" s="302"/>
      <c r="H284" s="302"/>
      <c r="I284" s="302"/>
      <c r="J284" s="302"/>
      <c r="K284" s="302"/>
      <c r="L284" s="302"/>
      <c r="M284" s="302"/>
      <c r="N284" s="302"/>
      <c r="O284" s="302"/>
      <c r="P284" s="302"/>
    </row>
    <row r="285" spans="1:16" ht="17">
      <c r="A285" s="97"/>
      <c r="B285" s="97"/>
      <c r="C285" s="97"/>
      <c r="D285" s="97"/>
      <c r="E285" s="97"/>
      <c r="F285" s="302"/>
      <c r="G285" s="302"/>
      <c r="H285" s="302"/>
      <c r="I285" s="302"/>
      <c r="J285" s="302"/>
      <c r="K285" s="302"/>
      <c r="L285" s="302"/>
      <c r="M285" s="302"/>
      <c r="N285" s="302"/>
      <c r="O285" s="302"/>
      <c r="P285" s="302"/>
    </row>
    <row r="286" spans="1:16" ht="17">
      <c r="A286" s="97"/>
      <c r="B286" s="97"/>
      <c r="C286" s="97"/>
      <c r="D286" s="97"/>
      <c r="E286" s="97"/>
      <c r="F286" s="302"/>
      <c r="G286" s="302"/>
      <c r="H286" s="302"/>
      <c r="I286" s="302"/>
      <c r="J286" s="302"/>
      <c r="K286" s="302"/>
      <c r="L286" s="302"/>
      <c r="M286" s="302"/>
      <c r="N286" s="302"/>
      <c r="O286" s="302"/>
      <c r="P286" s="302"/>
    </row>
    <row r="287" spans="1:16" ht="17">
      <c r="A287" s="97"/>
      <c r="B287" s="97"/>
      <c r="C287" s="97"/>
      <c r="D287" s="97"/>
      <c r="E287" s="97"/>
      <c r="F287" s="302"/>
      <c r="G287" s="302"/>
      <c r="H287" s="302"/>
      <c r="I287" s="302"/>
      <c r="J287" s="302"/>
      <c r="K287" s="302"/>
      <c r="L287" s="302"/>
      <c r="M287" s="302"/>
      <c r="N287" s="302"/>
      <c r="O287" s="302"/>
      <c r="P287" s="302"/>
    </row>
    <row r="288" spans="1:16" ht="17">
      <c r="A288" s="97"/>
      <c r="B288" s="97"/>
      <c r="C288" s="97"/>
      <c r="D288" s="97"/>
      <c r="E288" s="97"/>
      <c r="F288" s="302"/>
      <c r="G288" s="302"/>
      <c r="H288" s="302"/>
      <c r="I288" s="302"/>
      <c r="J288" s="302"/>
      <c r="K288" s="302"/>
      <c r="L288" s="302"/>
      <c r="M288" s="302"/>
      <c r="N288" s="302"/>
      <c r="O288" s="302"/>
      <c r="P288" s="302"/>
    </row>
    <row r="289" spans="1:16" ht="17">
      <c r="A289" s="97"/>
      <c r="B289" s="97"/>
      <c r="C289" s="97"/>
      <c r="D289" s="97"/>
      <c r="E289" s="97"/>
      <c r="F289" s="302"/>
      <c r="G289" s="302"/>
      <c r="H289" s="302"/>
      <c r="I289" s="302"/>
      <c r="J289" s="302"/>
      <c r="K289" s="302"/>
      <c r="L289" s="302"/>
      <c r="M289" s="302"/>
      <c r="N289" s="302"/>
      <c r="O289" s="302"/>
      <c r="P289" s="302"/>
    </row>
    <row r="290" spans="1:16" ht="17">
      <c r="A290" s="97"/>
      <c r="B290" s="97"/>
      <c r="C290" s="97"/>
      <c r="D290" s="97"/>
      <c r="E290" s="97"/>
      <c r="F290" s="302"/>
      <c r="G290" s="302"/>
      <c r="H290" s="302"/>
      <c r="I290" s="302"/>
      <c r="J290" s="302"/>
      <c r="K290" s="302"/>
      <c r="L290" s="302"/>
      <c r="M290" s="302"/>
      <c r="N290" s="302"/>
      <c r="O290" s="302"/>
      <c r="P290" s="302"/>
    </row>
    <row r="291" spans="1:16" ht="17">
      <c r="A291" s="97"/>
      <c r="B291" s="97"/>
      <c r="C291" s="97"/>
      <c r="D291" s="97"/>
      <c r="E291" s="97"/>
      <c r="F291" s="302"/>
      <c r="G291" s="302"/>
      <c r="H291" s="302"/>
      <c r="I291" s="302"/>
      <c r="J291" s="302"/>
      <c r="K291" s="302"/>
      <c r="L291" s="302"/>
      <c r="M291" s="302"/>
      <c r="N291" s="302"/>
      <c r="O291" s="302"/>
      <c r="P291" s="302"/>
    </row>
    <row r="292" spans="1:16" ht="17">
      <c r="A292" s="97"/>
      <c r="B292" s="97"/>
      <c r="C292" s="97"/>
      <c r="D292" s="97"/>
      <c r="E292" s="97"/>
      <c r="F292" s="302"/>
      <c r="G292" s="302"/>
      <c r="H292" s="302"/>
      <c r="I292" s="302"/>
      <c r="J292" s="302"/>
      <c r="K292" s="302"/>
      <c r="L292" s="302"/>
      <c r="M292" s="302"/>
      <c r="N292" s="302"/>
      <c r="O292" s="302"/>
      <c r="P292" s="302"/>
    </row>
    <row r="293" spans="1:16" ht="17">
      <c r="A293" s="97"/>
      <c r="B293" s="97"/>
      <c r="C293" s="97"/>
      <c r="D293" s="97"/>
      <c r="E293" s="97"/>
      <c r="F293" s="302"/>
      <c r="G293" s="302"/>
      <c r="H293" s="302"/>
      <c r="I293" s="302"/>
      <c r="J293" s="302"/>
      <c r="K293" s="302"/>
      <c r="L293" s="302"/>
      <c r="M293" s="302"/>
      <c r="N293" s="302"/>
      <c r="O293" s="302"/>
      <c r="P293" s="302"/>
    </row>
    <row r="294" spans="1:16" ht="17">
      <c r="A294" s="97"/>
      <c r="B294" s="97"/>
      <c r="C294" s="97"/>
      <c r="D294" s="97"/>
      <c r="E294" s="97"/>
      <c r="F294" s="302"/>
      <c r="G294" s="302"/>
      <c r="H294" s="302"/>
      <c r="I294" s="302"/>
      <c r="J294" s="302"/>
      <c r="K294" s="302"/>
      <c r="L294" s="302"/>
      <c r="M294" s="302"/>
      <c r="N294" s="302"/>
      <c r="O294" s="302"/>
      <c r="P294" s="302"/>
    </row>
    <row r="295" spans="1:16" ht="17">
      <c r="A295" s="97"/>
      <c r="B295" s="97"/>
      <c r="C295" s="97"/>
      <c r="D295" s="97"/>
      <c r="E295" s="97"/>
      <c r="F295" s="302"/>
      <c r="G295" s="302"/>
      <c r="H295" s="302"/>
      <c r="I295" s="302"/>
      <c r="J295" s="302"/>
      <c r="K295" s="302"/>
      <c r="L295" s="302"/>
      <c r="M295" s="302"/>
      <c r="N295" s="302"/>
      <c r="O295" s="302"/>
      <c r="P295" s="302"/>
    </row>
    <row r="296" spans="1:16" ht="17">
      <c r="A296" s="97"/>
      <c r="B296" s="97"/>
      <c r="C296" s="97"/>
      <c r="D296" s="97"/>
      <c r="E296" s="97"/>
      <c r="F296" s="302"/>
      <c r="G296" s="302"/>
      <c r="H296" s="302"/>
      <c r="I296" s="302"/>
      <c r="J296" s="302"/>
      <c r="K296" s="302"/>
      <c r="L296" s="302"/>
      <c r="M296" s="302"/>
      <c r="N296" s="302"/>
      <c r="O296" s="302"/>
      <c r="P296" s="302"/>
    </row>
    <row r="297" spans="1:16" ht="17">
      <c r="A297" s="97"/>
      <c r="B297" s="97"/>
      <c r="C297" s="97"/>
      <c r="D297" s="97"/>
      <c r="E297" s="97"/>
      <c r="F297" s="302"/>
      <c r="G297" s="302"/>
      <c r="H297" s="302"/>
      <c r="I297" s="302"/>
      <c r="J297" s="302"/>
      <c r="K297" s="302"/>
      <c r="L297" s="302"/>
      <c r="M297" s="302"/>
      <c r="N297" s="302"/>
      <c r="O297" s="302"/>
      <c r="P297" s="302"/>
    </row>
    <row r="298" spans="1:16" ht="17">
      <c r="A298" s="97"/>
      <c r="B298" s="97"/>
      <c r="C298" s="97"/>
      <c r="D298" s="97"/>
      <c r="E298" s="97"/>
      <c r="F298" s="302"/>
      <c r="G298" s="302"/>
      <c r="H298" s="302"/>
      <c r="I298" s="302"/>
      <c r="J298" s="302"/>
      <c r="K298" s="302"/>
      <c r="L298" s="302"/>
      <c r="M298" s="302"/>
      <c r="N298" s="302"/>
      <c r="O298" s="302"/>
      <c r="P298" s="302"/>
    </row>
    <row r="299" spans="1:16" ht="17">
      <c r="A299" s="97"/>
      <c r="B299" s="97"/>
      <c r="C299" s="97"/>
      <c r="D299" s="97"/>
      <c r="E299" s="97"/>
      <c r="F299" s="302"/>
      <c r="G299" s="302"/>
      <c r="H299" s="302"/>
      <c r="I299" s="302"/>
      <c r="J299" s="302"/>
      <c r="K299" s="302"/>
      <c r="L299" s="302"/>
      <c r="M299" s="302"/>
      <c r="N299" s="302"/>
      <c r="O299" s="302"/>
      <c r="P299" s="302"/>
    </row>
    <row r="300" spans="1:16" ht="17">
      <c r="A300" s="97"/>
      <c r="B300" s="97"/>
      <c r="C300" s="97"/>
      <c r="D300" s="97"/>
      <c r="E300" s="97"/>
      <c r="F300" s="302"/>
      <c r="G300" s="302"/>
      <c r="H300" s="302"/>
      <c r="I300" s="302"/>
      <c r="J300" s="302"/>
      <c r="K300" s="302"/>
      <c r="L300" s="302"/>
      <c r="M300" s="302"/>
      <c r="N300" s="302"/>
      <c r="O300" s="302"/>
      <c r="P300" s="302"/>
    </row>
    <row r="301" spans="1:16" ht="17">
      <c r="A301" s="97"/>
      <c r="B301" s="97"/>
      <c r="C301" s="97"/>
      <c r="D301" s="97"/>
      <c r="E301" s="97"/>
      <c r="F301" s="302"/>
      <c r="G301" s="302"/>
      <c r="H301" s="302"/>
      <c r="I301" s="302"/>
      <c r="J301" s="302"/>
      <c r="K301" s="302"/>
      <c r="L301" s="302"/>
      <c r="M301" s="302"/>
      <c r="N301" s="302"/>
      <c r="O301" s="302"/>
      <c r="P301" s="302"/>
    </row>
    <row r="302" spans="1:16" ht="17">
      <c r="A302" s="97"/>
      <c r="B302" s="97"/>
      <c r="C302" s="97"/>
      <c r="D302" s="97"/>
      <c r="E302" s="97"/>
      <c r="F302" s="302"/>
      <c r="G302" s="302"/>
      <c r="H302" s="302"/>
      <c r="I302" s="302"/>
      <c r="J302" s="302"/>
      <c r="K302" s="302"/>
      <c r="L302" s="302"/>
      <c r="M302" s="302"/>
      <c r="N302" s="302"/>
      <c r="O302" s="302"/>
      <c r="P302" s="302"/>
    </row>
    <row r="303" spans="1:16" ht="17">
      <c r="A303" s="97"/>
      <c r="B303" s="97"/>
      <c r="C303" s="97"/>
      <c r="D303" s="97"/>
      <c r="E303" s="97"/>
      <c r="F303" s="302"/>
      <c r="G303" s="302"/>
      <c r="H303" s="302"/>
      <c r="I303" s="302"/>
      <c r="J303" s="302"/>
      <c r="K303" s="302"/>
      <c r="L303" s="302"/>
      <c r="M303" s="302"/>
      <c r="N303" s="302"/>
      <c r="O303" s="302"/>
      <c r="P303" s="302"/>
    </row>
    <row r="304" spans="1:16" ht="17">
      <c r="A304" s="97"/>
      <c r="B304" s="97"/>
      <c r="C304" s="97"/>
      <c r="D304" s="97"/>
      <c r="E304" s="97"/>
      <c r="F304" s="302"/>
      <c r="G304" s="302"/>
      <c r="H304" s="302"/>
      <c r="I304" s="302"/>
      <c r="J304" s="302"/>
      <c r="K304" s="302"/>
      <c r="L304" s="302"/>
      <c r="M304" s="302"/>
      <c r="N304" s="302"/>
      <c r="O304" s="302"/>
      <c r="P304" s="302"/>
    </row>
    <row r="305" spans="1:16" ht="17">
      <c r="A305" s="97"/>
      <c r="B305" s="97"/>
      <c r="C305" s="97"/>
      <c r="D305" s="97"/>
      <c r="E305" s="97"/>
      <c r="F305" s="302"/>
      <c r="G305" s="302"/>
      <c r="H305" s="302"/>
      <c r="I305" s="302"/>
      <c r="J305" s="302"/>
      <c r="K305" s="302"/>
      <c r="L305" s="302"/>
      <c r="M305" s="302"/>
      <c r="N305" s="302"/>
      <c r="O305" s="302"/>
      <c r="P305" s="302"/>
    </row>
    <row r="306" spans="1:16" ht="17">
      <c r="A306" s="97"/>
      <c r="B306" s="97"/>
      <c r="C306" s="97"/>
      <c r="D306" s="97"/>
      <c r="E306" s="97"/>
      <c r="F306" s="302"/>
      <c r="G306" s="302"/>
      <c r="H306" s="302"/>
      <c r="I306" s="302"/>
      <c r="J306" s="302"/>
      <c r="K306" s="302"/>
      <c r="L306" s="302"/>
      <c r="M306" s="302"/>
      <c r="N306" s="302"/>
      <c r="O306" s="302"/>
      <c r="P306" s="302"/>
    </row>
    <row r="307" spans="1:16" ht="17">
      <c r="A307" s="97"/>
      <c r="B307" s="97"/>
      <c r="C307" s="97"/>
      <c r="D307" s="97"/>
      <c r="E307" s="97"/>
      <c r="F307" s="302"/>
      <c r="G307" s="302"/>
      <c r="H307" s="302"/>
      <c r="I307" s="302"/>
      <c r="J307" s="302"/>
      <c r="K307" s="302"/>
      <c r="L307" s="302"/>
      <c r="M307" s="302"/>
      <c r="N307" s="302"/>
      <c r="O307" s="302"/>
      <c r="P307" s="302"/>
    </row>
    <row r="308" spans="1:16" ht="17">
      <c r="A308" s="97"/>
      <c r="B308" s="97"/>
      <c r="C308" s="97"/>
      <c r="D308" s="97"/>
      <c r="E308" s="97"/>
      <c r="F308" s="302"/>
      <c r="G308" s="302"/>
      <c r="H308" s="302"/>
      <c r="I308" s="302"/>
      <c r="J308" s="302"/>
      <c r="K308" s="302"/>
      <c r="L308" s="302"/>
      <c r="M308" s="302"/>
      <c r="N308" s="302"/>
      <c r="O308" s="302"/>
      <c r="P308" s="302"/>
    </row>
    <row r="309" spans="1:16" ht="17">
      <c r="A309" s="97"/>
      <c r="B309" s="97"/>
      <c r="C309" s="97"/>
      <c r="D309" s="97"/>
      <c r="E309" s="97"/>
      <c r="F309" s="302"/>
      <c r="G309" s="302"/>
      <c r="H309" s="302"/>
      <c r="I309" s="302"/>
      <c r="J309" s="302"/>
      <c r="K309" s="302"/>
      <c r="L309" s="302"/>
      <c r="M309" s="302"/>
      <c r="N309" s="302"/>
      <c r="O309" s="302"/>
      <c r="P309" s="302"/>
    </row>
    <row r="310" spans="1:16" ht="17">
      <c r="A310" s="97"/>
      <c r="B310" s="97"/>
      <c r="C310" s="97"/>
      <c r="D310" s="97"/>
      <c r="E310" s="97"/>
      <c r="F310" s="302"/>
      <c r="G310" s="302"/>
      <c r="H310" s="302"/>
      <c r="I310" s="302"/>
      <c r="J310" s="302"/>
      <c r="K310" s="302"/>
      <c r="L310" s="302"/>
      <c r="M310" s="302"/>
      <c r="N310" s="302"/>
      <c r="O310" s="302"/>
      <c r="P310" s="302"/>
    </row>
    <row r="311" spans="1:16" ht="17">
      <c r="A311" s="97"/>
      <c r="B311" s="97"/>
      <c r="C311" s="97"/>
      <c r="D311" s="97"/>
      <c r="E311" s="97"/>
      <c r="F311" s="302"/>
      <c r="G311" s="302"/>
      <c r="H311" s="302"/>
      <c r="I311" s="302"/>
      <c r="J311" s="302"/>
      <c r="K311" s="302"/>
      <c r="L311" s="302"/>
      <c r="M311" s="302"/>
      <c r="N311" s="302"/>
      <c r="O311" s="302"/>
      <c r="P311" s="302"/>
    </row>
    <row r="312" spans="1:16" ht="17">
      <c r="A312" s="97"/>
      <c r="B312" s="97"/>
      <c r="C312" s="97"/>
      <c r="D312" s="97"/>
      <c r="E312" s="97"/>
      <c r="F312" s="302"/>
      <c r="G312" s="302"/>
      <c r="H312" s="302"/>
      <c r="I312" s="302"/>
      <c r="J312" s="302"/>
      <c r="K312" s="302"/>
      <c r="L312" s="302"/>
      <c r="M312" s="302"/>
      <c r="N312" s="302"/>
      <c r="O312" s="302"/>
      <c r="P312" s="302"/>
    </row>
    <row r="313" spans="1:16" ht="17">
      <c r="A313" s="97"/>
      <c r="B313" s="97"/>
      <c r="C313" s="97"/>
      <c r="D313" s="97"/>
      <c r="E313" s="97"/>
      <c r="F313" s="302"/>
      <c r="G313" s="302"/>
      <c r="H313" s="302"/>
      <c r="I313" s="302"/>
      <c r="J313" s="302"/>
      <c r="K313" s="302"/>
      <c r="L313" s="302"/>
      <c r="M313" s="302"/>
      <c r="N313" s="302"/>
      <c r="O313" s="302"/>
      <c r="P313" s="302"/>
    </row>
    <row r="314" spans="1:16" ht="17">
      <c r="A314" s="97"/>
      <c r="B314" s="97"/>
      <c r="C314" s="97"/>
      <c r="D314" s="97"/>
      <c r="E314" s="97"/>
      <c r="F314" s="302"/>
      <c r="G314" s="302"/>
      <c r="H314" s="302"/>
      <c r="I314" s="302"/>
      <c r="J314" s="302"/>
      <c r="K314" s="302"/>
      <c r="L314" s="302"/>
      <c r="M314" s="302"/>
      <c r="N314" s="302"/>
      <c r="O314" s="302"/>
      <c r="P314" s="302"/>
    </row>
    <row r="315" spans="1:16" ht="17">
      <c r="A315" s="97"/>
      <c r="B315" s="97"/>
      <c r="C315" s="97"/>
      <c r="D315" s="97"/>
      <c r="E315" s="97"/>
      <c r="F315" s="302"/>
      <c r="G315" s="302"/>
      <c r="H315" s="302"/>
      <c r="I315" s="302"/>
      <c r="J315" s="302"/>
      <c r="K315" s="302"/>
      <c r="L315" s="302"/>
      <c r="M315" s="302"/>
      <c r="N315" s="302"/>
      <c r="O315" s="302"/>
      <c r="P315" s="302"/>
    </row>
    <row r="316" spans="1:16" ht="17">
      <c r="A316" s="97"/>
      <c r="B316" s="97"/>
      <c r="C316" s="97"/>
      <c r="D316" s="97"/>
      <c r="E316" s="97"/>
      <c r="F316" s="302"/>
      <c r="G316" s="302"/>
      <c r="H316" s="302"/>
      <c r="I316" s="302"/>
      <c r="J316" s="302"/>
      <c r="K316" s="302"/>
      <c r="L316" s="302"/>
      <c r="M316" s="302"/>
      <c r="N316" s="302"/>
      <c r="O316" s="302"/>
      <c r="P316" s="302"/>
    </row>
    <row r="317" spans="1:16" ht="17">
      <c r="A317" s="97"/>
      <c r="B317" s="97"/>
      <c r="C317" s="97"/>
      <c r="D317" s="97"/>
      <c r="E317" s="97"/>
      <c r="F317" s="302"/>
      <c r="G317" s="302"/>
      <c r="H317" s="302"/>
      <c r="I317" s="302"/>
      <c r="J317" s="302"/>
      <c r="K317" s="302"/>
      <c r="L317" s="302"/>
      <c r="M317" s="302"/>
      <c r="N317" s="302"/>
      <c r="O317" s="302"/>
      <c r="P317" s="302"/>
    </row>
    <row r="318" spans="1:16" ht="17">
      <c r="A318" s="97"/>
      <c r="B318" s="97"/>
      <c r="C318" s="97"/>
      <c r="D318" s="97"/>
      <c r="E318" s="97"/>
      <c r="F318" s="302"/>
      <c r="G318" s="302"/>
      <c r="H318" s="302"/>
      <c r="I318" s="302"/>
      <c r="J318" s="302"/>
      <c r="K318" s="302"/>
      <c r="L318" s="302"/>
      <c r="M318" s="302"/>
      <c r="N318" s="302"/>
      <c r="O318" s="302"/>
      <c r="P318" s="302"/>
    </row>
    <row r="319" spans="1:16" ht="17">
      <c r="A319" s="97"/>
      <c r="B319" s="97"/>
      <c r="C319" s="97"/>
      <c r="D319" s="97"/>
      <c r="E319" s="97"/>
      <c r="F319" s="302"/>
      <c r="G319" s="302"/>
      <c r="H319" s="302"/>
      <c r="I319" s="302"/>
      <c r="J319" s="302"/>
      <c r="K319" s="302"/>
      <c r="L319" s="302"/>
      <c r="M319" s="302"/>
      <c r="N319" s="302"/>
      <c r="O319" s="302"/>
      <c r="P319" s="302"/>
    </row>
    <row r="320" spans="1:16" ht="17">
      <c r="A320" s="97"/>
      <c r="B320" s="97"/>
      <c r="C320" s="97"/>
      <c r="D320" s="97"/>
      <c r="E320" s="97"/>
      <c r="F320" s="302"/>
      <c r="G320" s="302"/>
      <c r="H320" s="302"/>
      <c r="I320" s="302"/>
      <c r="J320" s="302"/>
      <c r="K320" s="302"/>
      <c r="L320" s="302"/>
      <c r="M320" s="302"/>
      <c r="N320" s="302"/>
      <c r="O320" s="302"/>
      <c r="P320" s="302"/>
    </row>
    <row r="321" spans="1:16" ht="17">
      <c r="A321" s="97"/>
      <c r="B321" s="97"/>
      <c r="C321" s="97"/>
      <c r="D321" s="97"/>
      <c r="E321" s="97"/>
      <c r="F321" s="302"/>
      <c r="G321" s="302"/>
      <c r="H321" s="302"/>
      <c r="I321" s="302"/>
      <c r="J321" s="302"/>
      <c r="K321" s="302"/>
      <c r="L321" s="302"/>
      <c r="M321" s="302"/>
      <c r="N321" s="302"/>
      <c r="O321" s="302"/>
      <c r="P321" s="302"/>
    </row>
    <row r="322" spans="1:16" ht="17">
      <c r="A322" s="97"/>
      <c r="B322" s="97"/>
      <c r="C322" s="97"/>
      <c r="D322" s="97"/>
      <c r="E322" s="97"/>
      <c r="F322" s="302"/>
      <c r="G322" s="302"/>
      <c r="H322" s="302"/>
      <c r="I322" s="302"/>
      <c r="J322" s="302"/>
      <c r="K322" s="302"/>
      <c r="L322" s="302"/>
      <c r="M322" s="302"/>
      <c r="N322" s="302"/>
      <c r="O322" s="302"/>
      <c r="P322" s="302"/>
    </row>
    <row r="323" spans="1:16" ht="17">
      <c r="A323" s="97"/>
      <c r="B323" s="97"/>
      <c r="C323" s="97"/>
      <c r="D323" s="97"/>
      <c r="E323" s="97"/>
      <c r="F323" s="302"/>
      <c r="G323" s="302"/>
      <c r="H323" s="302"/>
      <c r="I323" s="302"/>
      <c r="J323" s="302"/>
      <c r="K323" s="302"/>
      <c r="L323" s="302"/>
      <c r="M323" s="302"/>
      <c r="N323" s="302"/>
      <c r="O323" s="302"/>
      <c r="P323" s="302"/>
    </row>
    <row r="324" spans="1:16" ht="17">
      <c r="A324" s="97"/>
      <c r="B324" s="97"/>
      <c r="C324" s="97"/>
      <c r="D324" s="97"/>
      <c r="E324" s="97"/>
      <c r="F324" s="302"/>
      <c r="G324" s="302"/>
      <c r="H324" s="302"/>
      <c r="I324" s="302"/>
      <c r="J324" s="302"/>
      <c r="K324" s="302"/>
      <c r="L324" s="302"/>
      <c r="M324" s="302"/>
      <c r="N324" s="302"/>
      <c r="O324" s="302"/>
      <c r="P324" s="302"/>
    </row>
    <row r="325" spans="1:16" ht="17">
      <c r="A325" s="97"/>
      <c r="B325" s="97"/>
      <c r="C325" s="97"/>
      <c r="D325" s="97"/>
      <c r="E325" s="97"/>
      <c r="F325" s="302"/>
      <c r="G325" s="302"/>
      <c r="H325" s="302"/>
      <c r="I325" s="302"/>
      <c r="J325" s="302"/>
      <c r="K325" s="302"/>
      <c r="L325" s="302"/>
      <c r="M325" s="302"/>
      <c r="N325" s="302"/>
      <c r="O325" s="302"/>
      <c r="P325" s="302"/>
    </row>
    <row r="326" spans="1:16" ht="17">
      <c r="A326" s="97"/>
      <c r="B326" s="97"/>
      <c r="C326" s="97"/>
      <c r="D326" s="97"/>
      <c r="E326" s="97"/>
      <c r="F326" s="302"/>
      <c r="G326" s="302"/>
      <c r="H326" s="302"/>
      <c r="I326" s="302"/>
      <c r="J326" s="302"/>
      <c r="K326" s="302"/>
      <c r="L326" s="302"/>
      <c r="M326" s="302"/>
      <c r="N326" s="302"/>
      <c r="O326" s="302"/>
      <c r="P326" s="302"/>
    </row>
    <row r="327" spans="1:16" ht="17">
      <c r="A327" s="97"/>
      <c r="B327" s="97"/>
      <c r="C327" s="97"/>
      <c r="D327" s="97"/>
      <c r="E327" s="97"/>
      <c r="F327" s="302"/>
      <c r="G327" s="302"/>
      <c r="H327" s="302"/>
      <c r="I327" s="302"/>
      <c r="J327" s="302"/>
      <c r="K327" s="302"/>
      <c r="L327" s="302"/>
      <c r="M327" s="302"/>
      <c r="N327" s="302"/>
      <c r="O327" s="302"/>
      <c r="P327" s="302"/>
    </row>
    <row r="328" spans="1:16" ht="17">
      <c r="A328" s="97"/>
      <c r="B328" s="97"/>
      <c r="C328" s="97"/>
      <c r="D328" s="97"/>
      <c r="E328" s="97"/>
      <c r="F328" s="302"/>
      <c r="G328" s="302"/>
      <c r="H328" s="302"/>
      <c r="I328" s="302"/>
      <c r="J328" s="302"/>
      <c r="K328" s="302"/>
      <c r="L328" s="302"/>
      <c r="M328" s="302"/>
      <c r="N328" s="302"/>
      <c r="O328" s="302"/>
      <c r="P328" s="302"/>
    </row>
    <row r="329" spans="1:16" ht="17">
      <c r="A329" s="97"/>
      <c r="B329" s="97"/>
      <c r="C329" s="97"/>
      <c r="D329" s="97"/>
      <c r="E329" s="97"/>
      <c r="F329" s="302"/>
      <c r="G329" s="302"/>
      <c r="H329" s="302"/>
      <c r="I329" s="302"/>
      <c r="J329" s="302"/>
      <c r="K329" s="302"/>
      <c r="L329" s="302"/>
      <c r="M329" s="302"/>
      <c r="N329" s="302"/>
      <c r="O329" s="302"/>
      <c r="P329" s="302"/>
    </row>
    <row r="330" spans="1:16" ht="17">
      <c r="A330" s="97"/>
      <c r="B330" s="97"/>
      <c r="C330" s="97"/>
      <c r="D330" s="97"/>
      <c r="E330" s="97"/>
      <c r="F330" s="302"/>
      <c r="G330" s="302"/>
      <c r="H330" s="302"/>
      <c r="I330" s="302"/>
      <c r="J330" s="302"/>
      <c r="K330" s="302"/>
      <c r="L330" s="302"/>
      <c r="M330" s="302"/>
      <c r="N330" s="302"/>
      <c r="O330" s="302"/>
      <c r="P330" s="302"/>
    </row>
    <row r="331" spans="1:16" ht="17">
      <c r="A331" s="97"/>
      <c r="B331" s="97"/>
      <c r="C331" s="97"/>
      <c r="D331" s="97"/>
      <c r="E331" s="97"/>
      <c r="F331" s="302"/>
      <c r="G331" s="302"/>
      <c r="H331" s="302"/>
      <c r="I331" s="302"/>
      <c r="J331" s="302"/>
      <c r="K331" s="302"/>
      <c r="L331" s="302"/>
      <c r="M331" s="302"/>
      <c r="N331" s="302"/>
      <c r="O331" s="302"/>
      <c r="P331" s="302"/>
    </row>
    <row r="332" spans="1:16" ht="17">
      <c r="A332" s="97"/>
      <c r="B332" s="97"/>
      <c r="C332" s="97"/>
      <c r="D332" s="97"/>
      <c r="E332" s="97"/>
      <c r="F332" s="302"/>
      <c r="G332" s="302"/>
      <c r="H332" s="302"/>
      <c r="I332" s="302"/>
      <c r="J332" s="302"/>
      <c r="K332" s="302"/>
      <c r="L332" s="302"/>
      <c r="M332" s="302"/>
      <c r="N332" s="302"/>
      <c r="O332" s="302"/>
      <c r="P332" s="302"/>
    </row>
    <row r="333" spans="1:16" ht="17">
      <c r="A333" s="97"/>
      <c r="B333" s="97"/>
      <c r="C333" s="97"/>
      <c r="D333" s="97"/>
      <c r="E333" s="97"/>
      <c r="F333" s="302"/>
      <c r="G333" s="302"/>
      <c r="H333" s="302"/>
      <c r="I333" s="302"/>
      <c r="J333" s="302"/>
      <c r="K333" s="302"/>
      <c r="L333" s="302"/>
      <c r="M333" s="302"/>
      <c r="N333" s="302"/>
      <c r="O333" s="302"/>
      <c r="P333" s="302"/>
    </row>
    <row r="334" spans="1:16" ht="17">
      <c r="A334" s="97"/>
      <c r="B334" s="97"/>
      <c r="C334" s="97"/>
      <c r="D334" s="97"/>
      <c r="E334" s="97"/>
      <c r="F334" s="302"/>
      <c r="G334" s="302"/>
      <c r="H334" s="302"/>
      <c r="I334" s="302"/>
      <c r="J334" s="302"/>
      <c r="K334" s="302"/>
      <c r="L334" s="302"/>
      <c r="M334" s="302"/>
      <c r="N334" s="302"/>
      <c r="O334" s="302"/>
      <c r="P334" s="302"/>
    </row>
    <row r="335" spans="1:16" ht="17">
      <c r="A335" s="97"/>
      <c r="B335" s="97"/>
      <c r="C335" s="97"/>
      <c r="D335" s="97"/>
      <c r="E335" s="97"/>
      <c r="F335" s="302"/>
      <c r="G335" s="302"/>
      <c r="H335" s="302"/>
      <c r="I335" s="302"/>
      <c r="J335" s="302"/>
      <c r="K335" s="302"/>
      <c r="L335" s="302"/>
      <c r="M335" s="302"/>
      <c r="N335" s="302"/>
      <c r="O335" s="302"/>
      <c r="P335" s="302"/>
    </row>
    <row r="336" spans="1:16" ht="17">
      <c r="A336" s="97"/>
      <c r="B336" s="97"/>
      <c r="C336" s="97"/>
      <c r="D336" s="97"/>
      <c r="E336" s="97"/>
      <c r="F336" s="302"/>
      <c r="G336" s="302"/>
      <c r="H336" s="302"/>
      <c r="I336" s="302"/>
      <c r="J336" s="302"/>
      <c r="K336" s="302"/>
      <c r="L336" s="302"/>
      <c r="M336" s="302"/>
      <c r="N336" s="302"/>
      <c r="O336" s="302"/>
      <c r="P336" s="302"/>
    </row>
    <row r="337" spans="1:16" ht="17">
      <c r="A337" s="97"/>
      <c r="B337" s="97"/>
      <c r="C337" s="97"/>
      <c r="D337" s="97"/>
      <c r="E337" s="97"/>
      <c r="F337" s="302"/>
      <c r="G337" s="302"/>
      <c r="H337" s="302"/>
      <c r="I337" s="302"/>
      <c r="J337" s="302"/>
      <c r="K337" s="302"/>
      <c r="L337" s="302"/>
      <c r="M337" s="302"/>
      <c r="N337" s="302"/>
      <c r="O337" s="302"/>
      <c r="P337" s="302"/>
    </row>
    <row r="338" spans="1:16" ht="17">
      <c r="A338" s="97"/>
      <c r="B338" s="97"/>
      <c r="C338" s="97"/>
      <c r="D338" s="97"/>
      <c r="E338" s="97"/>
      <c r="F338" s="302"/>
      <c r="G338" s="302"/>
      <c r="H338" s="302"/>
      <c r="I338" s="302"/>
      <c r="J338" s="302"/>
      <c r="K338" s="302"/>
      <c r="L338" s="302"/>
      <c r="M338" s="302"/>
      <c r="N338" s="302"/>
      <c r="O338" s="302"/>
      <c r="P338" s="302"/>
    </row>
    <row r="339" spans="1:16" ht="17">
      <c r="A339" s="97"/>
      <c r="B339" s="97"/>
      <c r="C339" s="97"/>
      <c r="D339" s="97"/>
      <c r="E339" s="97"/>
      <c r="F339" s="302"/>
      <c r="G339" s="302"/>
      <c r="H339" s="302"/>
      <c r="I339" s="302"/>
      <c r="J339" s="302"/>
      <c r="K339" s="302"/>
      <c r="L339" s="302"/>
      <c r="M339" s="302"/>
      <c r="N339" s="302"/>
      <c r="O339" s="302"/>
      <c r="P339" s="302"/>
    </row>
    <row r="340" spans="1:16" ht="17">
      <c r="A340" s="97"/>
      <c r="B340" s="97"/>
      <c r="C340" s="97"/>
      <c r="D340" s="97"/>
      <c r="E340" s="97"/>
      <c r="F340" s="302"/>
      <c r="G340" s="302"/>
      <c r="H340" s="302"/>
      <c r="I340" s="302"/>
      <c r="J340" s="302"/>
      <c r="K340" s="302"/>
      <c r="L340" s="302"/>
      <c r="M340" s="302"/>
      <c r="N340" s="302"/>
      <c r="O340" s="302"/>
      <c r="P340" s="302"/>
    </row>
    <row r="341" spans="1:16" ht="17">
      <c r="A341" s="97"/>
      <c r="B341" s="97"/>
      <c r="C341" s="97"/>
      <c r="D341" s="97"/>
      <c r="E341" s="97"/>
      <c r="F341" s="302"/>
      <c r="G341" s="302"/>
      <c r="H341" s="302"/>
      <c r="I341" s="302"/>
      <c r="J341" s="302"/>
      <c r="K341" s="302"/>
      <c r="L341" s="302"/>
      <c r="M341" s="302"/>
      <c r="N341" s="302"/>
      <c r="O341" s="302"/>
      <c r="P341" s="302"/>
    </row>
    <row r="342" spans="1:16" ht="17">
      <c r="A342" s="97"/>
      <c r="B342" s="97"/>
      <c r="C342" s="97"/>
      <c r="D342" s="97"/>
      <c r="E342" s="97"/>
      <c r="F342" s="302"/>
      <c r="G342" s="302"/>
      <c r="H342" s="302"/>
      <c r="I342" s="302"/>
      <c r="J342" s="302"/>
      <c r="K342" s="302"/>
      <c r="L342" s="302"/>
      <c r="M342" s="302"/>
      <c r="N342" s="302"/>
      <c r="O342" s="302"/>
      <c r="P342" s="302"/>
    </row>
    <row r="343" spans="1:16" ht="17">
      <c r="A343" s="97"/>
      <c r="B343" s="97"/>
      <c r="C343" s="97"/>
      <c r="D343" s="97"/>
      <c r="E343" s="97"/>
      <c r="F343" s="302"/>
      <c r="G343" s="302"/>
      <c r="H343" s="302"/>
      <c r="I343" s="302"/>
      <c r="J343" s="302"/>
      <c r="K343" s="302"/>
      <c r="L343" s="302"/>
      <c r="M343" s="302"/>
      <c r="N343" s="302"/>
      <c r="O343" s="302"/>
      <c r="P343" s="302"/>
    </row>
    <row r="344" spans="1:16" ht="17">
      <c r="A344" s="97"/>
      <c r="B344" s="97"/>
      <c r="C344" s="97"/>
      <c r="D344" s="97"/>
      <c r="E344" s="97"/>
      <c r="F344" s="302"/>
      <c r="G344" s="302"/>
      <c r="H344" s="302"/>
      <c r="I344" s="302"/>
      <c r="J344" s="302"/>
      <c r="K344" s="302"/>
      <c r="L344" s="302"/>
      <c r="M344" s="302"/>
      <c r="N344" s="302"/>
      <c r="O344" s="302"/>
      <c r="P344" s="302"/>
    </row>
    <row r="345" spans="1:16" ht="17">
      <c r="A345" s="97"/>
      <c r="B345" s="97"/>
      <c r="C345" s="97"/>
      <c r="D345" s="97"/>
      <c r="E345" s="97"/>
      <c r="F345" s="302"/>
      <c r="G345" s="302"/>
      <c r="H345" s="302"/>
      <c r="I345" s="302"/>
      <c r="J345" s="302"/>
      <c r="K345" s="302"/>
      <c r="L345" s="302"/>
      <c r="M345" s="302"/>
      <c r="N345" s="302"/>
      <c r="O345" s="302"/>
      <c r="P345" s="302"/>
    </row>
    <row r="346" spans="1:16" ht="17">
      <c r="A346" s="97"/>
      <c r="B346" s="97"/>
      <c r="C346" s="97"/>
      <c r="D346" s="97"/>
      <c r="E346" s="97"/>
      <c r="F346" s="302"/>
      <c r="G346" s="302"/>
      <c r="H346" s="302"/>
      <c r="I346" s="302"/>
      <c r="J346" s="302"/>
      <c r="K346" s="302"/>
      <c r="L346" s="302"/>
      <c r="M346" s="302"/>
      <c r="N346" s="302"/>
      <c r="O346" s="302"/>
      <c r="P346" s="302"/>
    </row>
    <row r="347" spans="1:16" ht="17">
      <c r="A347" s="97"/>
      <c r="B347" s="97"/>
      <c r="C347" s="97"/>
      <c r="D347" s="97"/>
      <c r="E347" s="97"/>
      <c r="F347" s="302"/>
      <c r="G347" s="302"/>
      <c r="H347" s="302"/>
      <c r="I347" s="302"/>
      <c r="J347" s="302"/>
      <c r="K347" s="302"/>
      <c r="L347" s="302"/>
      <c r="M347" s="302"/>
      <c r="N347" s="302"/>
      <c r="O347" s="302"/>
      <c r="P347" s="302"/>
    </row>
    <row r="348" spans="1:16" ht="17">
      <c r="A348" s="97"/>
      <c r="B348" s="97"/>
      <c r="C348" s="97"/>
      <c r="D348" s="97"/>
      <c r="E348" s="97"/>
      <c r="F348" s="302"/>
      <c r="G348" s="302"/>
      <c r="H348" s="302"/>
      <c r="I348" s="302"/>
      <c r="J348" s="302"/>
      <c r="K348" s="302"/>
      <c r="L348" s="302"/>
      <c r="M348" s="302"/>
      <c r="N348" s="302"/>
      <c r="O348" s="302"/>
      <c r="P348" s="302"/>
    </row>
    <row r="349" spans="1:16" ht="17">
      <c r="A349" s="97"/>
      <c r="B349" s="97"/>
      <c r="C349" s="97"/>
      <c r="D349" s="97"/>
      <c r="E349" s="97"/>
      <c r="F349" s="302"/>
      <c r="G349" s="302"/>
      <c r="H349" s="302"/>
      <c r="I349" s="302"/>
      <c r="J349" s="302"/>
      <c r="K349" s="302"/>
      <c r="L349" s="302"/>
      <c r="M349" s="302"/>
      <c r="N349" s="302"/>
      <c r="O349" s="302"/>
      <c r="P349" s="302"/>
    </row>
    <row r="350" spans="1:16" ht="17">
      <c r="A350" s="97"/>
      <c r="B350" s="97"/>
      <c r="C350" s="97"/>
      <c r="D350" s="97"/>
      <c r="E350" s="97"/>
      <c r="F350" s="302"/>
      <c r="G350" s="302"/>
      <c r="H350" s="302"/>
      <c r="I350" s="302"/>
      <c r="J350" s="302"/>
      <c r="K350" s="302"/>
      <c r="L350" s="302"/>
      <c r="M350" s="302"/>
      <c r="N350" s="302"/>
      <c r="O350" s="302"/>
      <c r="P350" s="302"/>
    </row>
    <row r="351" spans="1:16" ht="17">
      <c r="A351" s="97"/>
      <c r="B351" s="97"/>
      <c r="C351" s="97"/>
      <c r="D351" s="97"/>
      <c r="E351" s="97"/>
      <c r="F351" s="302"/>
      <c r="G351" s="302"/>
      <c r="H351" s="302"/>
      <c r="I351" s="302"/>
      <c r="J351" s="302"/>
      <c r="K351" s="302"/>
      <c r="L351" s="302"/>
      <c r="M351" s="302"/>
      <c r="N351" s="302"/>
      <c r="O351" s="302"/>
      <c r="P351" s="302"/>
    </row>
    <row r="352" spans="1:16" ht="17">
      <c r="A352" s="97"/>
      <c r="B352" s="97"/>
      <c r="C352" s="97"/>
      <c r="D352" s="97"/>
      <c r="E352" s="97"/>
      <c r="F352" s="302"/>
      <c r="G352" s="302"/>
      <c r="H352" s="302"/>
      <c r="I352" s="302"/>
      <c r="J352" s="302"/>
      <c r="K352" s="302"/>
      <c r="L352" s="302"/>
      <c r="M352" s="302"/>
      <c r="N352" s="302"/>
      <c r="O352" s="302"/>
      <c r="P352" s="302"/>
    </row>
    <row r="353" spans="1:16" ht="17">
      <c r="A353" s="97"/>
      <c r="B353" s="97"/>
      <c r="C353" s="97"/>
      <c r="D353" s="97"/>
      <c r="E353" s="97"/>
      <c r="F353" s="302"/>
      <c r="G353" s="302"/>
      <c r="H353" s="302"/>
      <c r="I353" s="302"/>
      <c r="J353" s="302"/>
      <c r="K353" s="302"/>
      <c r="L353" s="302"/>
      <c r="M353" s="302"/>
      <c r="N353" s="302"/>
      <c r="O353" s="302"/>
      <c r="P353" s="302"/>
    </row>
    <row r="354" spans="1:16" ht="17">
      <c r="A354" s="97"/>
      <c r="B354" s="97"/>
      <c r="C354" s="97"/>
      <c r="D354" s="97"/>
      <c r="E354" s="97"/>
      <c r="F354" s="302"/>
      <c r="G354" s="302"/>
      <c r="H354" s="302"/>
      <c r="I354" s="302"/>
      <c r="J354" s="302"/>
      <c r="K354" s="302"/>
      <c r="L354" s="302"/>
      <c r="M354" s="302"/>
      <c r="N354" s="302"/>
      <c r="O354" s="302"/>
      <c r="P354" s="302"/>
    </row>
    <row r="355" spans="1:16" ht="17">
      <c r="A355" s="97"/>
      <c r="B355" s="97"/>
      <c r="C355" s="97"/>
      <c r="D355" s="97"/>
      <c r="E355" s="97"/>
      <c r="F355" s="302"/>
      <c r="G355" s="302"/>
      <c r="H355" s="302"/>
      <c r="I355" s="302"/>
      <c r="J355" s="302"/>
      <c r="K355" s="302"/>
      <c r="L355" s="302"/>
      <c r="M355" s="302"/>
      <c r="N355" s="302"/>
      <c r="O355" s="302"/>
      <c r="P355" s="302"/>
    </row>
    <row r="356" spans="1:16" ht="17">
      <c r="A356" s="97"/>
      <c r="B356" s="97"/>
      <c r="C356" s="97"/>
      <c r="D356" s="97"/>
      <c r="E356" s="97"/>
      <c r="F356" s="302"/>
      <c r="G356" s="302"/>
      <c r="H356" s="302"/>
      <c r="I356" s="302"/>
      <c r="J356" s="302"/>
      <c r="K356" s="302"/>
      <c r="L356" s="302"/>
      <c r="M356" s="302"/>
      <c r="N356" s="302"/>
      <c r="O356" s="302"/>
      <c r="P356" s="302"/>
    </row>
    <row r="357" spans="1:16" ht="17">
      <c r="A357" s="97"/>
      <c r="B357" s="97"/>
      <c r="C357" s="97"/>
      <c r="D357" s="97"/>
      <c r="E357" s="97"/>
      <c r="F357" s="302"/>
      <c r="G357" s="302"/>
      <c r="H357" s="302"/>
      <c r="I357" s="302"/>
      <c r="J357" s="302"/>
      <c r="K357" s="302"/>
      <c r="L357" s="302"/>
      <c r="M357" s="302"/>
      <c r="N357" s="302"/>
      <c r="O357" s="302"/>
      <c r="P357" s="302"/>
    </row>
    <row r="358" spans="1:16" ht="17">
      <c r="A358" s="97"/>
      <c r="B358" s="97"/>
      <c r="C358" s="97"/>
      <c r="D358" s="97"/>
      <c r="E358" s="97"/>
      <c r="F358" s="302"/>
      <c r="G358" s="302"/>
      <c r="H358" s="302"/>
      <c r="I358" s="302"/>
      <c r="J358" s="302"/>
      <c r="K358" s="302"/>
      <c r="L358" s="302"/>
      <c r="M358" s="302"/>
      <c r="N358" s="302"/>
      <c r="O358" s="302"/>
      <c r="P358" s="302"/>
    </row>
    <row r="359" spans="1:16" ht="17">
      <c r="A359" s="97"/>
      <c r="B359" s="97"/>
      <c r="C359" s="97"/>
      <c r="D359" s="97"/>
      <c r="E359" s="97"/>
      <c r="F359" s="302"/>
      <c r="G359" s="302"/>
      <c r="H359" s="302"/>
      <c r="I359" s="302"/>
      <c r="J359" s="302"/>
      <c r="K359" s="302"/>
      <c r="L359" s="302"/>
      <c r="M359" s="302"/>
      <c r="N359" s="302"/>
      <c r="O359" s="302"/>
      <c r="P359" s="302"/>
    </row>
    <row r="360" spans="1:16" ht="17">
      <c r="A360" s="97"/>
      <c r="B360" s="97"/>
      <c r="C360" s="97"/>
      <c r="D360" s="97"/>
      <c r="E360" s="97"/>
      <c r="F360" s="302"/>
      <c r="G360" s="302"/>
      <c r="H360" s="302"/>
      <c r="I360" s="302"/>
      <c r="J360" s="302"/>
      <c r="K360" s="302"/>
      <c r="L360" s="302"/>
      <c r="M360" s="302"/>
      <c r="N360" s="302"/>
      <c r="O360" s="302"/>
      <c r="P360" s="302"/>
    </row>
    <row r="361" spans="1:16" ht="17">
      <c r="A361" s="97"/>
      <c r="B361" s="97"/>
      <c r="C361" s="97"/>
      <c r="D361" s="97"/>
      <c r="E361" s="97"/>
      <c r="F361" s="302"/>
      <c r="G361" s="302"/>
      <c r="H361" s="302"/>
      <c r="I361" s="302"/>
      <c r="J361" s="302"/>
      <c r="K361" s="302"/>
      <c r="L361" s="302"/>
      <c r="M361" s="302"/>
      <c r="N361" s="302"/>
      <c r="O361" s="302"/>
      <c r="P361" s="302"/>
    </row>
    <row r="362" spans="1:16" ht="17">
      <c r="A362" s="97"/>
      <c r="B362" s="97"/>
      <c r="C362" s="97"/>
      <c r="D362" s="97"/>
      <c r="E362" s="97"/>
      <c r="F362" s="302"/>
      <c r="G362" s="302"/>
      <c r="H362" s="302"/>
      <c r="I362" s="302"/>
      <c r="J362" s="302"/>
      <c r="K362" s="302"/>
      <c r="L362" s="302"/>
      <c r="M362" s="302"/>
      <c r="N362" s="302"/>
      <c r="O362" s="302"/>
      <c r="P362" s="302"/>
    </row>
    <row r="363" spans="1:16" ht="17">
      <c r="A363" s="97"/>
      <c r="B363" s="97"/>
      <c r="C363" s="97"/>
      <c r="D363" s="97"/>
      <c r="E363" s="97"/>
      <c r="F363" s="302"/>
      <c r="G363" s="302"/>
      <c r="H363" s="302"/>
      <c r="I363" s="302"/>
      <c r="J363" s="302"/>
      <c r="K363" s="302"/>
      <c r="L363" s="302"/>
      <c r="M363" s="302"/>
      <c r="N363" s="302"/>
      <c r="O363" s="302"/>
      <c r="P363" s="302"/>
    </row>
    <row r="364" spans="1:16" ht="17">
      <c r="A364" s="97"/>
      <c r="B364" s="97"/>
      <c r="C364" s="97"/>
      <c r="D364" s="97"/>
      <c r="E364" s="97"/>
      <c r="F364" s="302"/>
      <c r="G364" s="302"/>
      <c r="H364" s="302"/>
      <c r="I364" s="302"/>
      <c r="J364" s="302"/>
      <c r="K364" s="302"/>
      <c r="L364" s="302"/>
      <c r="M364" s="302"/>
      <c r="N364" s="302"/>
      <c r="O364" s="302"/>
      <c r="P364" s="302"/>
    </row>
    <row r="365" spans="1:16" ht="17">
      <c r="A365" s="97"/>
      <c r="B365" s="97"/>
      <c r="C365" s="97"/>
      <c r="D365" s="97"/>
      <c r="E365" s="97"/>
      <c r="F365" s="302"/>
      <c r="G365" s="302"/>
      <c r="H365" s="302"/>
      <c r="I365" s="302"/>
      <c r="J365" s="302"/>
      <c r="K365" s="302"/>
      <c r="L365" s="302"/>
      <c r="M365" s="302"/>
      <c r="N365" s="302"/>
      <c r="O365" s="302"/>
      <c r="P365" s="302"/>
    </row>
    <row r="366" spans="1:16" ht="17">
      <c r="A366" s="97"/>
      <c r="B366" s="97"/>
      <c r="C366" s="97"/>
      <c r="D366" s="97"/>
      <c r="E366" s="97"/>
      <c r="F366" s="302"/>
      <c r="G366" s="302"/>
      <c r="H366" s="302"/>
      <c r="I366" s="302"/>
      <c r="J366" s="302"/>
      <c r="K366" s="302"/>
      <c r="L366" s="302"/>
      <c r="M366" s="302"/>
      <c r="N366" s="302"/>
      <c r="O366" s="302"/>
      <c r="P366" s="302"/>
    </row>
    <row r="367" spans="1:16" ht="17">
      <c r="A367" s="97"/>
      <c r="B367" s="97"/>
      <c r="C367" s="97"/>
      <c r="D367" s="97"/>
      <c r="E367" s="97"/>
      <c r="F367" s="302"/>
      <c r="G367" s="302"/>
      <c r="H367" s="302"/>
      <c r="I367" s="302"/>
      <c r="J367" s="302"/>
      <c r="K367" s="302"/>
      <c r="L367" s="302"/>
      <c r="M367" s="302"/>
      <c r="N367" s="302"/>
      <c r="O367" s="302"/>
      <c r="P367" s="302"/>
    </row>
    <row r="368" spans="1:16" ht="17">
      <c r="A368" s="97"/>
      <c r="B368" s="97"/>
      <c r="C368" s="97"/>
      <c r="D368" s="97"/>
      <c r="E368" s="97"/>
      <c r="F368" s="302"/>
      <c r="G368" s="302"/>
      <c r="H368" s="302"/>
      <c r="I368" s="302"/>
      <c r="J368" s="302"/>
      <c r="K368" s="302"/>
      <c r="L368" s="302"/>
      <c r="M368" s="302"/>
      <c r="N368" s="302"/>
      <c r="O368" s="302"/>
      <c r="P368" s="302"/>
    </row>
    <row r="369" spans="1:16" ht="17">
      <c r="A369" s="97"/>
      <c r="B369" s="97"/>
      <c r="C369" s="97"/>
      <c r="D369" s="97"/>
      <c r="E369" s="97"/>
      <c r="F369" s="302"/>
      <c r="G369" s="302"/>
      <c r="H369" s="302"/>
      <c r="I369" s="302"/>
      <c r="J369" s="302"/>
      <c r="K369" s="302"/>
      <c r="L369" s="302"/>
      <c r="M369" s="302"/>
      <c r="N369" s="302"/>
      <c r="O369" s="302"/>
      <c r="P369" s="302"/>
    </row>
    <row r="370" spans="1:16" ht="17">
      <c r="A370" s="97"/>
      <c r="B370" s="97"/>
      <c r="C370" s="97"/>
      <c r="D370" s="97"/>
      <c r="E370" s="97"/>
      <c r="F370" s="302"/>
      <c r="G370" s="302"/>
      <c r="H370" s="302"/>
      <c r="I370" s="302"/>
      <c r="J370" s="302"/>
      <c r="K370" s="302"/>
      <c r="L370" s="302"/>
      <c r="M370" s="302"/>
      <c r="N370" s="302"/>
      <c r="O370" s="302"/>
      <c r="P370" s="302"/>
    </row>
    <row r="371" spans="1:16" ht="17">
      <c r="A371" s="97"/>
      <c r="B371" s="97"/>
      <c r="C371" s="97"/>
      <c r="D371" s="97"/>
      <c r="E371" s="97"/>
      <c r="F371" s="302"/>
      <c r="G371" s="302"/>
      <c r="H371" s="302"/>
      <c r="I371" s="302"/>
      <c r="J371" s="302"/>
      <c r="K371" s="302"/>
      <c r="L371" s="302"/>
      <c r="M371" s="302"/>
      <c r="N371" s="302"/>
      <c r="O371" s="302"/>
      <c r="P371" s="302"/>
    </row>
    <row r="372" spans="1:16" ht="17">
      <c r="A372" s="97"/>
      <c r="B372" s="97"/>
      <c r="C372" s="97"/>
      <c r="D372" s="97"/>
      <c r="E372" s="97"/>
      <c r="F372" s="302"/>
      <c r="G372" s="302"/>
      <c r="H372" s="302"/>
      <c r="I372" s="302"/>
      <c r="J372" s="302"/>
      <c r="K372" s="302"/>
      <c r="L372" s="302"/>
      <c r="M372" s="302"/>
      <c r="N372" s="302"/>
      <c r="O372" s="302"/>
      <c r="P372" s="302"/>
    </row>
    <row r="373" spans="1:16" ht="17">
      <c r="A373" s="97"/>
      <c r="B373" s="97"/>
      <c r="C373" s="97"/>
      <c r="D373" s="97"/>
      <c r="E373" s="97"/>
      <c r="F373" s="302"/>
      <c r="G373" s="302"/>
      <c r="H373" s="302"/>
      <c r="I373" s="302"/>
      <c r="J373" s="302"/>
      <c r="K373" s="302"/>
      <c r="L373" s="302"/>
      <c r="M373" s="302"/>
      <c r="N373" s="302"/>
      <c r="O373" s="302"/>
      <c r="P373" s="302"/>
    </row>
    <row r="374" spans="1:16" ht="17">
      <c r="A374" s="97"/>
      <c r="B374" s="97"/>
      <c r="C374" s="97"/>
      <c r="D374" s="97"/>
      <c r="E374" s="97"/>
      <c r="F374" s="302"/>
      <c r="G374" s="302"/>
      <c r="H374" s="302"/>
      <c r="I374" s="302"/>
      <c r="J374" s="302"/>
      <c r="K374" s="302"/>
      <c r="L374" s="302"/>
      <c r="M374" s="302"/>
      <c r="N374" s="302"/>
      <c r="O374" s="302"/>
      <c r="P374" s="302"/>
    </row>
    <row r="375" spans="1:16" ht="17">
      <c r="A375" s="97"/>
      <c r="B375" s="97"/>
      <c r="C375" s="97"/>
      <c r="D375" s="97"/>
      <c r="E375" s="97"/>
      <c r="F375" s="302"/>
      <c r="G375" s="302"/>
      <c r="H375" s="302"/>
      <c r="I375" s="302"/>
      <c r="J375" s="302"/>
      <c r="K375" s="302"/>
      <c r="L375" s="302"/>
      <c r="M375" s="302"/>
      <c r="N375" s="302"/>
      <c r="O375" s="302"/>
      <c r="P375" s="302"/>
    </row>
    <row r="376" spans="1:16" ht="17">
      <c r="A376" s="97"/>
      <c r="B376" s="97"/>
      <c r="C376" s="97"/>
      <c r="D376" s="97"/>
      <c r="E376" s="97"/>
      <c r="F376" s="302"/>
      <c r="G376" s="302"/>
      <c r="H376" s="302"/>
      <c r="I376" s="302"/>
      <c r="J376" s="302"/>
      <c r="K376" s="302"/>
      <c r="L376" s="302"/>
      <c r="M376" s="302"/>
      <c r="N376" s="302"/>
      <c r="O376" s="302"/>
      <c r="P376" s="302"/>
    </row>
    <row r="377" spans="1:16" ht="17">
      <c r="A377" s="97"/>
      <c r="B377" s="97"/>
      <c r="C377" s="97"/>
      <c r="D377" s="97"/>
      <c r="E377" s="97"/>
      <c r="F377" s="302"/>
      <c r="G377" s="302"/>
      <c r="H377" s="302"/>
      <c r="I377" s="302"/>
      <c r="J377" s="302"/>
      <c r="K377" s="302"/>
      <c r="L377" s="302"/>
      <c r="M377" s="302"/>
      <c r="N377" s="302"/>
      <c r="O377" s="302"/>
      <c r="P377" s="302"/>
    </row>
    <row r="378" spans="1:16" ht="17">
      <c r="A378" s="97"/>
      <c r="B378" s="97"/>
      <c r="C378" s="97"/>
      <c r="D378" s="97"/>
      <c r="E378" s="97"/>
      <c r="F378" s="302"/>
      <c r="G378" s="302"/>
      <c r="H378" s="302"/>
      <c r="I378" s="302"/>
      <c r="J378" s="302"/>
      <c r="K378" s="302"/>
      <c r="L378" s="302"/>
      <c r="M378" s="302"/>
      <c r="N378" s="302"/>
      <c r="O378" s="302"/>
      <c r="P378" s="302"/>
    </row>
    <row r="379" spans="1:16" ht="17">
      <c r="A379" s="97"/>
      <c r="B379" s="97"/>
      <c r="C379" s="97"/>
      <c r="D379" s="97"/>
      <c r="E379" s="97"/>
      <c r="F379" s="302"/>
      <c r="G379" s="302"/>
      <c r="H379" s="302"/>
      <c r="I379" s="302"/>
      <c r="J379" s="302"/>
      <c r="K379" s="302"/>
      <c r="L379" s="302"/>
      <c r="M379" s="302"/>
      <c r="N379" s="302"/>
      <c r="O379" s="302"/>
      <c r="P379" s="302"/>
    </row>
    <row r="380" spans="1:16" ht="17">
      <c r="A380" s="97"/>
      <c r="B380" s="97"/>
      <c r="C380" s="97"/>
      <c r="D380" s="97"/>
      <c r="E380" s="97"/>
      <c r="F380" s="302"/>
      <c r="G380" s="302"/>
      <c r="H380" s="302"/>
      <c r="I380" s="302"/>
      <c r="J380" s="302"/>
      <c r="K380" s="302"/>
      <c r="L380" s="302"/>
      <c r="M380" s="302"/>
      <c r="N380" s="302"/>
      <c r="O380" s="302"/>
      <c r="P380" s="302"/>
    </row>
    <row r="381" spans="1:16" ht="17">
      <c r="A381" s="97"/>
      <c r="B381" s="97"/>
      <c r="C381" s="97"/>
      <c r="D381" s="97"/>
      <c r="E381" s="97"/>
      <c r="F381" s="302"/>
      <c r="G381" s="302"/>
      <c r="H381" s="302"/>
      <c r="I381" s="302"/>
      <c r="J381" s="302"/>
      <c r="K381" s="302"/>
      <c r="L381" s="302"/>
      <c r="M381" s="302"/>
      <c r="N381" s="302"/>
      <c r="O381" s="302"/>
      <c r="P381" s="302"/>
    </row>
    <row r="382" spans="1:16" ht="17">
      <c r="A382" s="97"/>
      <c r="B382" s="97"/>
      <c r="C382" s="97"/>
      <c r="D382" s="97"/>
      <c r="E382" s="97"/>
      <c r="F382" s="302"/>
      <c r="G382" s="302"/>
      <c r="H382" s="302"/>
      <c r="I382" s="302"/>
      <c r="J382" s="302"/>
      <c r="K382" s="302"/>
      <c r="L382" s="302"/>
      <c r="M382" s="302"/>
      <c r="N382" s="302"/>
      <c r="O382" s="302"/>
      <c r="P382" s="302"/>
    </row>
    <row r="383" spans="1:16" ht="17">
      <c r="A383" s="97"/>
      <c r="B383" s="97"/>
      <c r="C383" s="97"/>
      <c r="D383" s="97"/>
      <c r="E383" s="97"/>
      <c r="F383" s="302"/>
      <c r="G383" s="302"/>
      <c r="H383" s="302"/>
      <c r="I383" s="302"/>
      <c r="J383" s="302"/>
      <c r="K383" s="302"/>
      <c r="L383" s="302"/>
      <c r="M383" s="302"/>
      <c r="N383" s="302"/>
      <c r="O383" s="302"/>
      <c r="P383" s="302"/>
    </row>
    <row r="384" spans="1:16" ht="17">
      <c r="A384" s="97"/>
      <c r="B384" s="97"/>
      <c r="C384" s="97"/>
      <c r="D384" s="97"/>
      <c r="E384" s="97"/>
      <c r="F384" s="302"/>
      <c r="G384" s="302"/>
      <c r="H384" s="302"/>
      <c r="I384" s="302"/>
      <c r="J384" s="302"/>
      <c r="K384" s="302"/>
      <c r="L384" s="302"/>
      <c r="M384" s="302"/>
      <c r="N384" s="302"/>
      <c r="O384" s="302"/>
      <c r="P384" s="302"/>
    </row>
    <row r="385" spans="1:16" ht="17">
      <c r="A385" s="97"/>
      <c r="B385" s="97"/>
      <c r="C385" s="97"/>
      <c r="D385" s="97"/>
      <c r="E385" s="97"/>
      <c r="F385" s="302"/>
      <c r="G385" s="302"/>
      <c r="H385" s="302"/>
      <c r="I385" s="302"/>
      <c r="J385" s="302"/>
      <c r="K385" s="302"/>
      <c r="L385" s="302"/>
      <c r="M385" s="302"/>
      <c r="N385" s="302"/>
      <c r="O385" s="302"/>
      <c r="P385" s="302"/>
    </row>
    <row r="386" spans="1:16" ht="17">
      <c r="A386" s="97"/>
      <c r="B386" s="97"/>
      <c r="C386" s="97"/>
      <c r="D386" s="97"/>
      <c r="E386" s="97"/>
      <c r="F386" s="302"/>
      <c r="G386" s="302"/>
      <c r="H386" s="302"/>
      <c r="I386" s="302"/>
      <c r="J386" s="302"/>
      <c r="K386" s="302"/>
      <c r="L386" s="302"/>
      <c r="M386" s="302"/>
      <c r="N386" s="302"/>
      <c r="O386" s="302"/>
      <c r="P386" s="302"/>
    </row>
    <row r="387" spans="1:16" ht="17">
      <c r="A387" s="97"/>
      <c r="B387" s="97"/>
      <c r="C387" s="97"/>
      <c r="D387" s="97"/>
      <c r="E387" s="97"/>
      <c r="F387" s="302"/>
      <c r="G387" s="302"/>
      <c r="H387" s="302"/>
      <c r="I387" s="302"/>
      <c r="J387" s="302"/>
      <c r="K387" s="302"/>
      <c r="L387" s="302"/>
      <c r="M387" s="302"/>
      <c r="N387" s="302"/>
      <c r="O387" s="302"/>
      <c r="P387" s="302"/>
    </row>
    <row r="388" spans="1:16" ht="17">
      <c r="A388" s="97"/>
      <c r="B388" s="97"/>
      <c r="C388" s="97"/>
      <c r="D388" s="97"/>
      <c r="E388" s="97"/>
      <c r="F388" s="302"/>
      <c r="G388" s="302"/>
      <c r="H388" s="302"/>
      <c r="I388" s="302"/>
      <c r="J388" s="302"/>
      <c r="K388" s="302"/>
      <c r="L388" s="302"/>
      <c r="M388" s="302"/>
      <c r="N388" s="302"/>
      <c r="O388" s="302"/>
      <c r="P388" s="302"/>
    </row>
    <row r="389" spans="1:16" ht="17">
      <c r="A389" s="97"/>
      <c r="B389" s="97"/>
      <c r="C389" s="97"/>
      <c r="D389" s="97"/>
      <c r="E389" s="97"/>
      <c r="F389" s="302"/>
      <c r="G389" s="302"/>
      <c r="H389" s="302"/>
      <c r="I389" s="302"/>
      <c r="J389" s="302"/>
      <c r="K389" s="302"/>
      <c r="L389" s="302"/>
      <c r="M389" s="302"/>
      <c r="N389" s="302"/>
      <c r="O389" s="302"/>
      <c r="P389" s="302"/>
    </row>
    <row r="390" spans="1:16" ht="17">
      <c r="A390" s="97"/>
      <c r="B390" s="97"/>
      <c r="C390" s="97"/>
      <c r="D390" s="97"/>
      <c r="E390" s="97"/>
      <c r="F390" s="302"/>
      <c r="G390" s="302"/>
      <c r="H390" s="302"/>
      <c r="I390" s="302"/>
      <c r="J390" s="302"/>
      <c r="K390" s="302"/>
      <c r="L390" s="302"/>
      <c r="M390" s="302"/>
      <c r="N390" s="302"/>
      <c r="O390" s="302"/>
      <c r="P390" s="302"/>
    </row>
    <row r="391" spans="1:16" ht="17">
      <c r="A391" s="97"/>
      <c r="B391" s="97"/>
      <c r="C391" s="97"/>
      <c r="D391" s="97"/>
      <c r="E391" s="97"/>
      <c r="F391" s="302"/>
      <c r="G391" s="302"/>
      <c r="H391" s="302"/>
      <c r="I391" s="302"/>
      <c r="J391" s="302"/>
      <c r="K391" s="302"/>
      <c r="L391" s="302"/>
      <c r="M391" s="302"/>
      <c r="N391" s="302"/>
      <c r="O391" s="302"/>
      <c r="P391" s="302"/>
    </row>
    <row r="392" spans="1:16" ht="17">
      <c r="A392" s="97"/>
      <c r="B392" s="97"/>
      <c r="C392" s="97"/>
      <c r="D392" s="97"/>
      <c r="E392" s="97"/>
      <c r="F392" s="302"/>
      <c r="G392" s="302"/>
      <c r="H392" s="302"/>
      <c r="I392" s="302"/>
      <c r="J392" s="302"/>
      <c r="K392" s="302"/>
      <c r="L392" s="302"/>
      <c r="M392" s="302"/>
      <c r="N392" s="302"/>
      <c r="O392" s="302"/>
      <c r="P392" s="302"/>
    </row>
    <row r="393" spans="1:16" ht="17">
      <c r="A393" s="97"/>
      <c r="B393" s="97"/>
      <c r="C393" s="97"/>
      <c r="D393" s="97"/>
      <c r="E393" s="97"/>
      <c r="F393" s="302"/>
      <c r="G393" s="302"/>
      <c r="H393" s="302"/>
      <c r="I393" s="302"/>
      <c r="J393" s="302"/>
      <c r="K393" s="302"/>
      <c r="L393" s="302"/>
      <c r="M393" s="302"/>
      <c r="N393" s="302"/>
      <c r="O393" s="302"/>
      <c r="P393" s="302"/>
    </row>
    <row r="394" spans="1:16" ht="17">
      <c r="A394" s="97"/>
      <c r="B394" s="97"/>
      <c r="C394" s="97"/>
      <c r="D394" s="97"/>
      <c r="E394" s="97"/>
      <c r="F394" s="302"/>
      <c r="G394" s="302"/>
      <c r="H394" s="302"/>
      <c r="I394" s="302"/>
      <c r="J394" s="302"/>
      <c r="K394" s="302"/>
      <c r="L394" s="302"/>
      <c r="M394" s="302"/>
      <c r="N394" s="302"/>
      <c r="O394" s="302"/>
      <c r="P394" s="302"/>
    </row>
    <row r="395" spans="1:16" ht="17">
      <c r="A395" s="97"/>
      <c r="B395" s="97"/>
      <c r="C395" s="97"/>
      <c r="D395" s="97"/>
      <c r="E395" s="97"/>
      <c r="F395" s="302"/>
      <c r="G395" s="302"/>
      <c r="H395" s="302"/>
      <c r="I395" s="302"/>
      <c r="J395" s="302"/>
      <c r="K395" s="302"/>
      <c r="L395" s="302"/>
      <c r="M395" s="302"/>
      <c r="N395" s="302"/>
      <c r="O395" s="302"/>
      <c r="P395" s="302"/>
    </row>
    <row r="396" spans="1:16" ht="17">
      <c r="A396" s="97"/>
      <c r="B396" s="97"/>
      <c r="C396" s="97"/>
      <c r="D396" s="97"/>
      <c r="E396" s="97"/>
      <c r="F396" s="302"/>
      <c r="G396" s="302"/>
      <c r="H396" s="302"/>
      <c r="I396" s="302"/>
      <c r="J396" s="302"/>
      <c r="K396" s="302"/>
      <c r="L396" s="302"/>
      <c r="M396" s="302"/>
      <c r="N396" s="302"/>
      <c r="O396" s="302"/>
      <c r="P396" s="302"/>
    </row>
    <row r="397" spans="1:16" ht="17">
      <c r="A397" s="97"/>
      <c r="B397" s="97"/>
      <c r="C397" s="97"/>
      <c r="D397" s="97"/>
      <c r="E397" s="97"/>
      <c r="F397" s="302"/>
      <c r="G397" s="302"/>
      <c r="H397" s="302"/>
      <c r="I397" s="302"/>
      <c r="J397" s="302"/>
      <c r="K397" s="302"/>
      <c r="L397" s="302"/>
      <c r="M397" s="302"/>
      <c r="N397" s="302"/>
      <c r="O397" s="302"/>
      <c r="P397" s="302"/>
    </row>
    <row r="398" spans="1:16" ht="17">
      <c r="A398" s="97"/>
      <c r="B398" s="97"/>
      <c r="C398" s="97"/>
      <c r="D398" s="97"/>
      <c r="E398" s="97"/>
      <c r="F398" s="302"/>
      <c r="G398" s="302"/>
      <c r="H398" s="302"/>
      <c r="I398" s="302"/>
      <c r="J398" s="302"/>
      <c r="K398" s="302"/>
      <c r="L398" s="302"/>
      <c r="M398" s="302"/>
      <c r="N398" s="302"/>
      <c r="O398" s="302"/>
      <c r="P398" s="302"/>
    </row>
    <row r="399" spans="1:16" ht="17">
      <c r="A399" s="97"/>
      <c r="B399" s="97"/>
      <c r="C399" s="97"/>
      <c r="D399" s="97"/>
      <c r="E399" s="97"/>
      <c r="F399" s="302"/>
      <c r="G399" s="302"/>
      <c r="H399" s="302"/>
      <c r="I399" s="302"/>
      <c r="J399" s="302"/>
      <c r="K399" s="302"/>
      <c r="L399" s="302"/>
      <c r="M399" s="302"/>
      <c r="N399" s="302"/>
      <c r="O399" s="302"/>
      <c r="P399" s="302"/>
    </row>
    <row r="400" spans="1:16" ht="17">
      <c r="A400" s="97"/>
      <c r="B400" s="97"/>
      <c r="C400" s="97"/>
      <c r="D400" s="97"/>
      <c r="E400" s="97"/>
      <c r="F400" s="302"/>
      <c r="G400" s="302"/>
      <c r="H400" s="302"/>
      <c r="I400" s="302"/>
      <c r="J400" s="302"/>
      <c r="K400" s="302"/>
      <c r="L400" s="302"/>
      <c r="M400" s="302"/>
      <c r="N400" s="302"/>
      <c r="O400" s="302"/>
      <c r="P400" s="302"/>
    </row>
    <row r="401" spans="1:16" ht="17">
      <c r="A401" s="97"/>
      <c r="B401" s="97"/>
      <c r="C401" s="97"/>
      <c r="D401" s="97"/>
      <c r="E401" s="97"/>
      <c r="F401" s="302"/>
      <c r="G401" s="302"/>
      <c r="H401" s="302"/>
      <c r="I401" s="302"/>
      <c r="J401" s="302"/>
      <c r="K401" s="302"/>
      <c r="L401" s="302"/>
      <c r="M401" s="302"/>
      <c r="N401" s="302"/>
      <c r="O401" s="302"/>
      <c r="P401" s="302"/>
    </row>
    <row r="402" spans="1:16" ht="17">
      <c r="A402" s="97"/>
      <c r="B402" s="97"/>
      <c r="C402" s="97"/>
      <c r="D402" s="97"/>
      <c r="E402" s="97"/>
      <c r="F402" s="302"/>
      <c r="G402" s="302"/>
      <c r="H402" s="302"/>
      <c r="I402" s="302"/>
      <c r="J402" s="302"/>
      <c r="K402" s="302"/>
      <c r="L402" s="302"/>
      <c r="M402" s="302"/>
      <c r="N402" s="302"/>
      <c r="O402" s="302"/>
      <c r="P402" s="302"/>
    </row>
    <row r="403" spans="1:16" ht="17">
      <c r="A403" s="97"/>
      <c r="B403" s="97"/>
      <c r="C403" s="97"/>
      <c r="D403" s="97"/>
      <c r="E403" s="97"/>
      <c r="F403" s="302"/>
      <c r="G403" s="302"/>
      <c r="H403" s="302"/>
      <c r="I403" s="302"/>
      <c r="J403" s="302"/>
      <c r="K403" s="302"/>
      <c r="L403" s="302"/>
      <c r="M403" s="302"/>
      <c r="N403" s="302"/>
      <c r="O403" s="302"/>
      <c r="P403" s="302"/>
    </row>
    <row r="404" spans="1:16" ht="17">
      <c r="A404" s="97"/>
      <c r="B404" s="97"/>
      <c r="C404" s="97"/>
      <c r="D404" s="97"/>
      <c r="E404" s="97"/>
      <c r="F404" s="302"/>
      <c r="G404" s="302"/>
      <c r="H404" s="302"/>
      <c r="I404" s="302"/>
      <c r="J404" s="302"/>
      <c r="K404" s="302"/>
      <c r="L404" s="302"/>
      <c r="M404" s="302"/>
      <c r="N404" s="302"/>
      <c r="O404" s="302"/>
      <c r="P404" s="302"/>
    </row>
    <row r="405" spans="1:16" ht="17">
      <c r="A405" s="97"/>
      <c r="B405" s="97"/>
      <c r="C405" s="97"/>
      <c r="D405" s="97"/>
      <c r="E405" s="97"/>
      <c r="F405" s="302"/>
      <c r="G405" s="302"/>
      <c r="H405" s="302"/>
      <c r="I405" s="302"/>
      <c r="J405" s="302"/>
      <c r="K405" s="302"/>
      <c r="L405" s="302"/>
      <c r="M405" s="302"/>
      <c r="N405" s="302"/>
      <c r="O405" s="302"/>
      <c r="P405" s="302"/>
    </row>
    <row r="406" spans="1:16" ht="17">
      <c r="A406" s="97"/>
      <c r="B406" s="97"/>
      <c r="C406" s="97"/>
      <c r="D406" s="97"/>
      <c r="E406" s="97"/>
      <c r="F406" s="302"/>
      <c r="G406" s="302"/>
      <c r="H406" s="302"/>
      <c r="I406" s="302"/>
      <c r="J406" s="302"/>
      <c r="K406" s="302"/>
      <c r="L406" s="302"/>
      <c r="M406" s="302"/>
      <c r="N406" s="302"/>
      <c r="O406" s="302"/>
      <c r="P406" s="302"/>
    </row>
    <row r="407" spans="1:16" ht="17">
      <c r="A407" s="97"/>
      <c r="B407" s="97"/>
      <c r="C407" s="97"/>
      <c r="D407" s="97"/>
      <c r="E407" s="97"/>
      <c r="F407" s="302"/>
      <c r="G407" s="302"/>
      <c r="H407" s="302"/>
      <c r="I407" s="302"/>
      <c r="J407" s="302"/>
      <c r="K407" s="302"/>
      <c r="L407" s="302"/>
      <c r="M407" s="302"/>
      <c r="N407" s="302"/>
      <c r="O407" s="302"/>
      <c r="P407" s="302"/>
    </row>
    <row r="408" spans="1:16" ht="17">
      <c r="A408" s="97"/>
      <c r="B408" s="97"/>
      <c r="C408" s="97"/>
      <c r="D408" s="97"/>
      <c r="E408" s="97"/>
      <c r="F408" s="302"/>
      <c r="G408" s="302"/>
      <c r="H408" s="302"/>
      <c r="I408" s="302"/>
      <c r="J408" s="302"/>
      <c r="K408" s="302"/>
      <c r="L408" s="302"/>
      <c r="M408" s="302"/>
      <c r="N408" s="302"/>
      <c r="O408" s="302"/>
      <c r="P408" s="302"/>
    </row>
    <row r="409" spans="1:16" ht="17">
      <c r="A409" s="97"/>
      <c r="B409" s="97"/>
      <c r="C409" s="97"/>
      <c r="D409" s="97"/>
      <c r="E409" s="97"/>
      <c r="F409" s="302"/>
      <c r="G409" s="302"/>
      <c r="H409" s="302"/>
      <c r="I409" s="302"/>
      <c r="J409" s="302"/>
      <c r="K409" s="302"/>
      <c r="L409" s="302"/>
      <c r="M409" s="302"/>
      <c r="N409" s="302"/>
      <c r="O409" s="302"/>
      <c r="P409" s="302"/>
    </row>
    <row r="410" spans="1:16" ht="17">
      <c r="A410" s="97"/>
      <c r="B410" s="97"/>
      <c r="C410" s="97"/>
      <c r="D410" s="97"/>
      <c r="E410" s="97"/>
      <c r="F410" s="302"/>
      <c r="G410" s="302"/>
      <c r="H410" s="302"/>
      <c r="I410" s="302"/>
      <c r="J410" s="302"/>
      <c r="K410" s="302"/>
      <c r="L410" s="302"/>
      <c r="M410" s="302"/>
      <c r="N410" s="302"/>
      <c r="O410" s="302"/>
      <c r="P410" s="302"/>
    </row>
    <row r="411" spans="1:16" ht="17">
      <c r="A411" s="97"/>
      <c r="B411" s="97"/>
      <c r="C411" s="97"/>
      <c r="D411" s="97"/>
      <c r="E411" s="97"/>
      <c r="F411" s="302"/>
      <c r="G411" s="302"/>
      <c r="H411" s="302"/>
      <c r="I411" s="302"/>
      <c r="J411" s="302"/>
      <c r="K411" s="302"/>
      <c r="L411" s="302"/>
      <c r="M411" s="302"/>
      <c r="N411" s="302"/>
      <c r="O411" s="302"/>
      <c r="P411" s="302"/>
    </row>
    <row r="412" spans="1:16" ht="17">
      <c r="A412" s="97"/>
      <c r="B412" s="97"/>
      <c r="C412" s="97"/>
      <c r="D412" s="97"/>
      <c r="E412" s="97"/>
      <c r="F412" s="302"/>
      <c r="G412" s="302"/>
      <c r="H412" s="302"/>
      <c r="I412" s="302"/>
      <c r="J412" s="302"/>
      <c r="K412" s="302"/>
      <c r="L412" s="302"/>
      <c r="M412" s="302"/>
      <c r="N412" s="302"/>
      <c r="O412" s="302"/>
      <c r="P412" s="302"/>
    </row>
    <row r="413" spans="1:16" ht="17">
      <c r="A413" s="97"/>
      <c r="B413" s="97"/>
      <c r="C413" s="97"/>
      <c r="D413" s="97"/>
      <c r="E413" s="97"/>
      <c r="F413" s="302"/>
      <c r="G413" s="302"/>
      <c r="H413" s="302"/>
      <c r="I413" s="302"/>
      <c r="J413" s="302"/>
      <c r="K413" s="302"/>
      <c r="L413" s="302"/>
      <c r="M413" s="302"/>
      <c r="N413" s="302"/>
      <c r="O413" s="302"/>
      <c r="P413" s="302"/>
    </row>
    <row r="414" spans="1:16" ht="17">
      <c r="A414" s="97"/>
      <c r="B414" s="97"/>
      <c r="C414" s="97"/>
      <c r="D414" s="97"/>
      <c r="E414" s="97"/>
      <c r="F414" s="302"/>
      <c r="G414" s="302"/>
      <c r="H414" s="302"/>
      <c r="I414" s="302"/>
      <c r="J414" s="302"/>
      <c r="K414" s="302"/>
      <c r="L414" s="302"/>
      <c r="M414" s="302"/>
      <c r="N414" s="302"/>
      <c r="O414" s="302"/>
      <c r="P414" s="302"/>
    </row>
    <row r="415" spans="1:16" ht="17">
      <c r="A415" s="97"/>
      <c r="B415" s="97"/>
      <c r="C415" s="97"/>
      <c r="D415" s="97"/>
      <c r="E415" s="97"/>
      <c r="F415" s="302"/>
      <c r="G415" s="302"/>
      <c r="H415" s="302"/>
      <c r="I415" s="302"/>
      <c r="J415" s="302"/>
      <c r="K415" s="302"/>
      <c r="L415" s="302"/>
      <c r="M415" s="302"/>
      <c r="N415" s="302"/>
      <c r="O415" s="302"/>
      <c r="P415" s="302"/>
    </row>
    <row r="416" spans="1:16" ht="17">
      <c r="A416" s="97"/>
      <c r="B416" s="97"/>
      <c r="C416" s="97"/>
      <c r="D416" s="97"/>
      <c r="E416" s="97"/>
      <c r="F416" s="302"/>
      <c r="G416" s="302"/>
      <c r="H416" s="302"/>
      <c r="I416" s="302"/>
      <c r="J416" s="302"/>
      <c r="K416" s="302"/>
      <c r="L416" s="302"/>
      <c r="M416" s="302"/>
      <c r="N416" s="302"/>
      <c r="O416" s="302"/>
      <c r="P416" s="302"/>
    </row>
    <row r="417" spans="1:16" ht="17">
      <c r="A417" s="97"/>
      <c r="B417" s="97"/>
      <c r="C417" s="97"/>
      <c r="D417" s="97"/>
      <c r="E417" s="97"/>
      <c r="F417" s="302"/>
      <c r="G417" s="302"/>
      <c r="H417" s="302"/>
      <c r="I417" s="302"/>
      <c r="J417" s="302"/>
      <c r="K417" s="302"/>
      <c r="L417" s="302"/>
      <c r="M417" s="302"/>
      <c r="N417" s="302"/>
      <c r="O417" s="302"/>
      <c r="P417" s="302"/>
    </row>
    <row r="418" spans="1:16" ht="17">
      <c r="A418" s="97"/>
      <c r="B418" s="97"/>
      <c r="C418" s="97"/>
      <c r="D418" s="97"/>
      <c r="E418" s="97"/>
      <c r="F418" s="302"/>
      <c r="G418" s="302"/>
      <c r="H418" s="302"/>
      <c r="I418" s="302"/>
      <c r="J418" s="302"/>
      <c r="K418" s="302"/>
      <c r="L418" s="302"/>
      <c r="M418" s="302"/>
      <c r="N418" s="302"/>
      <c r="O418" s="302"/>
      <c r="P418" s="302"/>
    </row>
    <row r="419" spans="1:16" ht="17">
      <c r="A419" s="97"/>
      <c r="B419" s="97"/>
      <c r="C419" s="97"/>
      <c r="D419" s="97"/>
      <c r="E419" s="97"/>
      <c r="F419" s="302"/>
      <c r="G419" s="302"/>
      <c r="H419" s="302"/>
      <c r="I419" s="302"/>
      <c r="J419" s="302"/>
      <c r="K419" s="302"/>
      <c r="L419" s="302"/>
      <c r="M419" s="302"/>
      <c r="N419" s="302"/>
      <c r="O419" s="302"/>
      <c r="P419" s="302"/>
    </row>
    <row r="420" spans="1:16" ht="17">
      <c r="A420" s="97"/>
      <c r="B420" s="97"/>
      <c r="C420" s="97"/>
      <c r="D420" s="97"/>
      <c r="E420" s="97"/>
      <c r="F420" s="302"/>
      <c r="G420" s="302"/>
      <c r="H420" s="302"/>
      <c r="I420" s="302"/>
      <c r="J420" s="302"/>
      <c r="K420" s="302"/>
      <c r="L420" s="302"/>
      <c r="M420" s="302"/>
      <c r="N420" s="302"/>
      <c r="O420" s="302"/>
      <c r="P420" s="302"/>
    </row>
    <row r="421" spans="1:16" ht="17">
      <c r="A421" s="97"/>
      <c r="B421" s="97"/>
      <c r="C421" s="97"/>
      <c r="D421" s="97"/>
      <c r="E421" s="97"/>
      <c r="F421" s="302"/>
      <c r="G421" s="302"/>
      <c r="H421" s="302"/>
      <c r="I421" s="302"/>
      <c r="J421" s="302"/>
      <c r="K421" s="302"/>
      <c r="L421" s="302"/>
      <c r="M421" s="302"/>
      <c r="N421" s="302"/>
      <c r="O421" s="302"/>
      <c r="P421" s="302"/>
    </row>
    <row r="422" spans="1:16" ht="17">
      <c r="A422" s="97"/>
      <c r="B422" s="97"/>
      <c r="C422" s="97"/>
      <c r="D422" s="97"/>
      <c r="E422" s="97"/>
      <c r="F422" s="302"/>
      <c r="G422" s="302"/>
      <c r="H422" s="302"/>
      <c r="I422" s="302"/>
      <c r="J422" s="302"/>
      <c r="K422" s="302"/>
      <c r="L422" s="302"/>
      <c r="M422" s="302"/>
      <c r="N422" s="302"/>
      <c r="O422" s="302"/>
      <c r="P422" s="302"/>
    </row>
    <row r="423" spans="1:16" ht="17">
      <c r="A423" s="97"/>
      <c r="B423" s="97"/>
      <c r="C423" s="97"/>
      <c r="D423" s="97"/>
      <c r="E423" s="97"/>
      <c r="F423" s="302"/>
      <c r="G423" s="302"/>
      <c r="H423" s="302"/>
      <c r="I423" s="302"/>
      <c r="J423" s="302"/>
      <c r="K423" s="302"/>
      <c r="L423" s="302"/>
      <c r="M423" s="302"/>
      <c r="N423" s="302"/>
      <c r="O423" s="302"/>
      <c r="P423" s="302"/>
    </row>
    <row r="424" spans="1:16" ht="17">
      <c r="A424" s="97"/>
      <c r="B424" s="97"/>
      <c r="C424" s="97"/>
      <c r="D424" s="97"/>
      <c r="E424" s="97"/>
      <c r="F424" s="302"/>
      <c r="G424" s="302"/>
      <c r="H424" s="302"/>
      <c r="I424" s="302"/>
      <c r="J424" s="302"/>
      <c r="K424" s="302"/>
      <c r="L424" s="302"/>
      <c r="M424" s="302"/>
      <c r="N424" s="302"/>
      <c r="O424" s="302"/>
      <c r="P424" s="302"/>
    </row>
    <row r="425" spans="1:16" ht="17">
      <c r="A425" s="97"/>
      <c r="B425" s="97"/>
      <c r="C425" s="97"/>
      <c r="D425" s="97"/>
      <c r="E425" s="97"/>
      <c r="F425" s="302"/>
      <c r="G425" s="302"/>
      <c r="H425" s="302"/>
      <c r="I425" s="302"/>
      <c r="J425" s="302"/>
      <c r="K425" s="302"/>
      <c r="L425" s="302"/>
      <c r="M425" s="302"/>
      <c r="N425" s="302"/>
      <c r="O425" s="302"/>
      <c r="P425" s="302"/>
    </row>
    <row r="426" spans="1:16" ht="17">
      <c r="A426" s="97"/>
      <c r="B426" s="97"/>
      <c r="C426" s="97"/>
      <c r="D426" s="97"/>
      <c r="E426" s="97"/>
      <c r="F426" s="302"/>
      <c r="G426" s="302"/>
      <c r="H426" s="302"/>
      <c r="I426" s="302"/>
      <c r="J426" s="302"/>
      <c r="K426" s="302"/>
      <c r="L426" s="302"/>
      <c r="M426" s="302"/>
      <c r="N426" s="302"/>
      <c r="O426" s="302"/>
      <c r="P426" s="302"/>
    </row>
    <row r="427" spans="1:16" ht="17">
      <c r="A427" s="97"/>
      <c r="B427" s="97"/>
      <c r="C427" s="97"/>
      <c r="D427" s="97"/>
      <c r="E427" s="97"/>
      <c r="F427" s="302"/>
      <c r="G427" s="302"/>
      <c r="H427" s="302"/>
      <c r="I427" s="302"/>
      <c r="J427" s="302"/>
      <c r="K427" s="302"/>
      <c r="L427" s="302"/>
      <c r="M427" s="302"/>
      <c r="N427" s="302"/>
      <c r="O427" s="302"/>
      <c r="P427" s="302"/>
    </row>
    <row r="428" spans="1:16" ht="17">
      <c r="A428" s="97"/>
      <c r="B428" s="97"/>
      <c r="C428" s="97"/>
      <c r="D428" s="97"/>
      <c r="E428" s="97"/>
      <c r="F428" s="302"/>
      <c r="G428" s="302"/>
      <c r="H428" s="302"/>
      <c r="I428" s="302"/>
      <c r="J428" s="302"/>
      <c r="K428" s="302"/>
      <c r="L428" s="302"/>
      <c r="M428" s="302"/>
      <c r="N428" s="302"/>
      <c r="O428" s="302"/>
      <c r="P428" s="302"/>
    </row>
    <row r="429" spans="1:16" ht="17">
      <c r="A429" s="97"/>
      <c r="B429" s="97"/>
      <c r="C429" s="97"/>
      <c r="D429" s="97"/>
      <c r="E429" s="97"/>
      <c r="F429" s="302"/>
      <c r="G429" s="302"/>
      <c r="H429" s="302"/>
      <c r="I429" s="302"/>
      <c r="J429" s="302"/>
      <c r="K429" s="302"/>
      <c r="L429" s="302"/>
      <c r="M429" s="302"/>
      <c r="N429" s="302"/>
      <c r="O429" s="302"/>
      <c r="P429" s="302"/>
    </row>
    <row r="430" spans="1:16" ht="17">
      <c r="A430" s="97"/>
      <c r="B430" s="97"/>
      <c r="C430" s="97"/>
      <c r="D430" s="97"/>
      <c r="E430" s="97"/>
      <c r="F430" s="302"/>
      <c r="G430" s="302"/>
      <c r="H430" s="302"/>
      <c r="I430" s="302"/>
      <c r="J430" s="302"/>
      <c r="K430" s="302"/>
      <c r="L430" s="302"/>
      <c r="M430" s="302"/>
      <c r="N430" s="302"/>
      <c r="O430" s="302"/>
      <c r="P430" s="302"/>
    </row>
    <row r="431" spans="1:16" ht="17">
      <c r="A431" s="97"/>
      <c r="B431" s="97"/>
      <c r="C431" s="97"/>
      <c r="D431" s="97"/>
      <c r="E431" s="97"/>
      <c r="F431" s="302"/>
      <c r="G431" s="302"/>
      <c r="H431" s="302"/>
      <c r="I431" s="302"/>
      <c r="J431" s="302"/>
      <c r="K431" s="302"/>
      <c r="L431" s="302"/>
      <c r="M431" s="302"/>
      <c r="N431" s="302"/>
      <c r="O431" s="302"/>
      <c r="P431" s="302"/>
    </row>
    <row r="432" spans="1:16" ht="17">
      <c r="A432" s="97"/>
      <c r="B432" s="97"/>
      <c r="C432" s="97"/>
      <c r="D432" s="97"/>
      <c r="E432" s="97"/>
      <c r="F432" s="302"/>
      <c r="G432" s="302"/>
      <c r="H432" s="302"/>
      <c r="I432" s="302"/>
      <c r="J432" s="302"/>
      <c r="K432" s="302"/>
      <c r="L432" s="302"/>
      <c r="M432" s="302"/>
      <c r="N432" s="302"/>
      <c r="O432" s="302"/>
      <c r="P432" s="302"/>
    </row>
    <row r="433" spans="1:16" ht="17">
      <c r="A433" s="97"/>
      <c r="B433" s="97"/>
      <c r="C433" s="97"/>
      <c r="D433" s="97"/>
      <c r="E433" s="97"/>
      <c r="F433" s="302"/>
      <c r="G433" s="302"/>
      <c r="H433" s="302"/>
      <c r="I433" s="302"/>
      <c r="J433" s="302"/>
      <c r="K433" s="302"/>
      <c r="L433" s="302"/>
      <c r="M433" s="302"/>
      <c r="N433" s="302"/>
      <c r="O433" s="302"/>
      <c r="P433" s="302"/>
    </row>
    <row r="434" spans="1:16" ht="17">
      <c r="A434" s="97"/>
      <c r="B434" s="97"/>
      <c r="C434" s="97"/>
      <c r="D434" s="97"/>
      <c r="E434" s="97"/>
      <c r="F434" s="302"/>
      <c r="G434" s="302"/>
      <c r="H434" s="302"/>
      <c r="I434" s="302"/>
      <c r="J434" s="302"/>
      <c r="K434" s="302"/>
      <c r="L434" s="302"/>
      <c r="M434" s="302"/>
      <c r="N434" s="302"/>
      <c r="O434" s="302"/>
      <c r="P434" s="302"/>
    </row>
    <row r="435" spans="1:16" ht="17">
      <c r="A435" s="97"/>
      <c r="B435" s="97"/>
      <c r="C435" s="97"/>
      <c r="D435" s="97"/>
      <c r="E435" s="97"/>
      <c r="F435" s="302"/>
      <c r="G435" s="302"/>
      <c r="H435" s="302"/>
      <c r="I435" s="302"/>
      <c r="J435" s="302"/>
      <c r="K435" s="302"/>
      <c r="L435" s="302"/>
      <c r="M435" s="302"/>
      <c r="N435" s="302"/>
      <c r="O435" s="302"/>
      <c r="P435" s="302"/>
    </row>
    <row r="436" spans="1:16" ht="17">
      <c r="A436" s="97"/>
      <c r="B436" s="97"/>
      <c r="C436" s="97"/>
      <c r="D436" s="97"/>
      <c r="E436" s="97"/>
      <c r="F436" s="302"/>
      <c r="G436" s="302"/>
      <c r="H436" s="302"/>
      <c r="I436" s="302"/>
      <c r="J436" s="302"/>
      <c r="K436" s="302"/>
      <c r="L436" s="302"/>
      <c r="M436" s="302"/>
      <c r="N436" s="302"/>
      <c r="O436" s="302"/>
      <c r="P436" s="302"/>
    </row>
    <row r="437" spans="1:16" ht="17">
      <c r="A437" s="97"/>
      <c r="B437" s="97"/>
      <c r="C437" s="97"/>
      <c r="D437" s="97"/>
      <c r="E437" s="97"/>
      <c r="F437" s="302"/>
      <c r="G437" s="302"/>
      <c r="H437" s="302"/>
      <c r="I437" s="302"/>
      <c r="J437" s="302"/>
      <c r="K437" s="302"/>
      <c r="L437" s="302"/>
      <c r="M437" s="302"/>
      <c r="N437" s="302"/>
      <c r="O437" s="302"/>
      <c r="P437" s="302"/>
    </row>
    <row r="438" spans="1:16" ht="17">
      <c r="A438" s="97"/>
      <c r="B438" s="97"/>
      <c r="C438" s="97"/>
      <c r="D438" s="97"/>
      <c r="E438" s="97"/>
      <c r="F438" s="302"/>
      <c r="G438" s="302"/>
      <c r="H438" s="302"/>
      <c r="I438" s="302"/>
      <c r="J438" s="302"/>
      <c r="K438" s="302"/>
      <c r="L438" s="302"/>
      <c r="M438" s="302"/>
      <c r="N438" s="302"/>
      <c r="O438" s="302"/>
      <c r="P438" s="302"/>
    </row>
    <row r="439" spans="1:16" ht="17">
      <c r="A439" s="97"/>
      <c r="B439" s="97"/>
      <c r="C439" s="97"/>
      <c r="D439" s="97"/>
      <c r="E439" s="97"/>
      <c r="F439" s="302"/>
      <c r="G439" s="302"/>
      <c r="H439" s="302"/>
      <c r="I439" s="302"/>
      <c r="J439" s="302"/>
      <c r="K439" s="302"/>
      <c r="L439" s="302"/>
      <c r="M439" s="302"/>
      <c r="N439" s="302"/>
      <c r="O439" s="302"/>
      <c r="P439" s="302"/>
    </row>
    <row r="440" spans="1:16" ht="17">
      <c r="A440" s="97"/>
      <c r="B440" s="97"/>
      <c r="C440" s="97"/>
      <c r="D440" s="97"/>
      <c r="E440" s="97"/>
      <c r="F440" s="302"/>
      <c r="G440" s="302"/>
      <c r="H440" s="302"/>
      <c r="I440" s="302"/>
      <c r="J440" s="302"/>
      <c r="K440" s="302"/>
      <c r="L440" s="302"/>
      <c r="M440" s="302"/>
      <c r="N440" s="302"/>
      <c r="O440" s="302"/>
      <c r="P440" s="302"/>
    </row>
    <row r="441" spans="1:16" ht="17">
      <c r="A441" s="97"/>
      <c r="B441" s="97"/>
      <c r="C441" s="97"/>
      <c r="D441" s="97"/>
      <c r="E441" s="97"/>
      <c r="F441" s="302"/>
      <c r="G441" s="302"/>
      <c r="H441" s="302"/>
      <c r="I441" s="302"/>
      <c r="J441" s="302"/>
      <c r="K441" s="302"/>
      <c r="L441" s="302"/>
      <c r="M441" s="302"/>
      <c r="N441" s="302"/>
      <c r="O441" s="302"/>
      <c r="P441" s="302"/>
    </row>
    <row r="442" spans="1:16" ht="17">
      <c r="A442" s="97"/>
      <c r="B442" s="97"/>
      <c r="C442" s="97"/>
      <c r="D442" s="97"/>
      <c r="E442" s="97"/>
      <c r="F442" s="302"/>
      <c r="G442" s="302"/>
      <c r="H442" s="302"/>
      <c r="I442" s="302"/>
      <c r="J442" s="302"/>
      <c r="K442" s="302"/>
      <c r="L442" s="302"/>
      <c r="M442" s="302"/>
      <c r="N442" s="302"/>
      <c r="O442" s="302"/>
      <c r="P442" s="302"/>
    </row>
    <row r="443" spans="1:16" ht="17">
      <c r="A443" s="97"/>
      <c r="B443" s="97"/>
      <c r="C443" s="97"/>
      <c r="D443" s="97"/>
      <c r="E443" s="97"/>
      <c r="F443" s="302"/>
      <c r="G443" s="302"/>
      <c r="H443" s="302"/>
      <c r="I443" s="302"/>
      <c r="J443" s="302"/>
      <c r="K443" s="302"/>
      <c r="L443" s="302"/>
      <c r="M443" s="302"/>
      <c r="N443" s="302"/>
      <c r="O443" s="302"/>
      <c r="P443" s="302"/>
    </row>
    <row r="444" spans="1:16" ht="17">
      <c r="A444" s="97"/>
      <c r="B444" s="97"/>
      <c r="C444" s="97"/>
      <c r="D444" s="97"/>
      <c r="E444" s="97"/>
      <c r="F444" s="302"/>
      <c r="G444" s="302"/>
      <c r="H444" s="302"/>
      <c r="I444" s="302"/>
      <c r="J444" s="302"/>
      <c r="K444" s="302"/>
      <c r="L444" s="302"/>
      <c r="M444" s="302"/>
      <c r="N444" s="302"/>
      <c r="O444" s="302"/>
      <c r="P444" s="302"/>
    </row>
    <row r="445" spans="1:16" ht="17">
      <c r="A445" s="97"/>
      <c r="B445" s="97"/>
      <c r="C445" s="97"/>
      <c r="D445" s="97"/>
      <c r="E445" s="97"/>
      <c r="F445" s="302"/>
      <c r="G445" s="302"/>
      <c r="H445" s="302"/>
      <c r="I445" s="302"/>
      <c r="J445" s="302"/>
      <c r="K445" s="302"/>
      <c r="L445" s="302"/>
      <c r="M445" s="302"/>
      <c r="N445" s="302"/>
      <c r="O445" s="302"/>
      <c r="P445" s="302"/>
    </row>
    <row r="446" spans="1:16" ht="17">
      <c r="A446" s="97"/>
      <c r="B446" s="97"/>
      <c r="C446" s="97"/>
      <c r="D446" s="97"/>
      <c r="E446" s="97"/>
      <c r="F446" s="302"/>
      <c r="G446" s="302"/>
      <c r="H446" s="302"/>
      <c r="I446" s="302"/>
      <c r="J446" s="302"/>
      <c r="K446" s="302"/>
      <c r="L446" s="302"/>
      <c r="M446" s="302"/>
      <c r="N446" s="302"/>
      <c r="O446" s="302"/>
      <c r="P446" s="302"/>
    </row>
    <row r="447" spans="1:16" ht="17">
      <c r="A447" s="97"/>
      <c r="B447" s="97"/>
      <c r="C447" s="97"/>
      <c r="D447" s="97"/>
      <c r="E447" s="97"/>
      <c r="F447" s="302"/>
      <c r="G447" s="302"/>
      <c r="H447" s="302"/>
      <c r="I447" s="302"/>
      <c r="J447" s="302"/>
      <c r="K447" s="302"/>
      <c r="L447" s="302"/>
      <c r="M447" s="302"/>
      <c r="N447" s="302"/>
      <c r="O447" s="302"/>
      <c r="P447" s="302"/>
    </row>
    <row r="448" spans="1:16" ht="17">
      <c r="A448" s="97"/>
      <c r="B448" s="97"/>
      <c r="C448" s="97"/>
      <c r="D448" s="97"/>
      <c r="E448" s="97"/>
      <c r="F448" s="302"/>
      <c r="G448" s="302"/>
      <c r="H448" s="302"/>
      <c r="I448" s="302"/>
      <c r="J448" s="302"/>
      <c r="K448" s="302"/>
      <c r="L448" s="302"/>
      <c r="M448" s="302"/>
      <c r="N448" s="302"/>
      <c r="O448" s="302"/>
      <c r="P448" s="302"/>
    </row>
    <row r="449" spans="1:16" ht="17">
      <c r="A449" s="97"/>
      <c r="B449" s="97"/>
      <c r="C449" s="97"/>
      <c r="D449" s="97"/>
      <c r="E449" s="97"/>
      <c r="F449" s="302"/>
      <c r="G449" s="302"/>
      <c r="H449" s="302"/>
      <c r="I449" s="302"/>
      <c r="J449" s="302"/>
      <c r="K449" s="302"/>
      <c r="L449" s="302"/>
      <c r="M449" s="302"/>
      <c r="N449" s="302"/>
      <c r="O449" s="302"/>
      <c r="P449" s="302"/>
    </row>
    <row r="450" spans="1:16" ht="17">
      <c r="A450" s="97"/>
      <c r="B450" s="97"/>
      <c r="C450" s="97"/>
      <c r="D450" s="97"/>
      <c r="E450" s="97"/>
      <c r="F450" s="302"/>
      <c r="G450" s="302"/>
      <c r="H450" s="302"/>
      <c r="I450" s="302"/>
      <c r="J450" s="302"/>
      <c r="K450" s="302"/>
      <c r="L450" s="302"/>
      <c r="M450" s="302"/>
      <c r="N450" s="302"/>
      <c r="O450" s="302"/>
      <c r="P450" s="302"/>
    </row>
    <row r="451" spans="1:16" ht="17">
      <c r="A451" s="97"/>
      <c r="B451" s="97"/>
      <c r="C451" s="97"/>
      <c r="D451" s="97"/>
      <c r="E451" s="97"/>
      <c r="F451" s="302"/>
      <c r="G451" s="302"/>
      <c r="H451" s="302"/>
      <c r="I451" s="302"/>
      <c r="J451" s="302"/>
      <c r="K451" s="302"/>
      <c r="L451" s="302"/>
      <c r="M451" s="302"/>
      <c r="N451" s="302"/>
      <c r="O451" s="302"/>
      <c r="P451" s="302"/>
    </row>
    <row r="452" spans="1:16" ht="17">
      <c r="A452" s="97"/>
      <c r="B452" s="97"/>
      <c r="C452" s="97"/>
      <c r="D452" s="97"/>
      <c r="E452" s="97"/>
      <c r="F452" s="302"/>
      <c r="G452" s="302"/>
      <c r="H452" s="302"/>
      <c r="I452" s="302"/>
      <c r="J452" s="302"/>
      <c r="K452" s="302"/>
      <c r="L452" s="302"/>
      <c r="M452" s="302"/>
      <c r="N452" s="302"/>
      <c r="O452" s="302"/>
      <c r="P452" s="302"/>
    </row>
    <row r="453" spans="1:16" ht="17">
      <c r="A453" s="97"/>
      <c r="B453" s="97"/>
      <c r="C453" s="97"/>
      <c r="D453" s="97"/>
      <c r="E453" s="97"/>
      <c r="F453" s="302"/>
      <c r="G453" s="302"/>
      <c r="H453" s="302"/>
      <c r="I453" s="302"/>
      <c r="J453" s="302"/>
      <c r="K453" s="302"/>
      <c r="L453" s="302"/>
      <c r="M453" s="302"/>
      <c r="N453" s="302"/>
      <c r="O453" s="302"/>
      <c r="P453" s="302"/>
    </row>
    <row r="454" spans="1:16" ht="17">
      <c r="A454" s="97"/>
      <c r="B454" s="97"/>
      <c r="C454" s="97"/>
      <c r="D454" s="97"/>
      <c r="E454" s="97"/>
      <c r="F454" s="302"/>
      <c r="G454" s="302"/>
      <c r="H454" s="302"/>
      <c r="I454" s="302"/>
      <c r="J454" s="302"/>
      <c r="K454" s="302"/>
      <c r="L454" s="302"/>
      <c r="M454" s="302"/>
      <c r="N454" s="302"/>
      <c r="O454" s="302"/>
      <c r="P454" s="302"/>
    </row>
    <row r="455" spans="1:16" ht="17">
      <c r="A455" s="97"/>
      <c r="B455" s="97"/>
      <c r="C455" s="97"/>
      <c r="D455" s="97"/>
      <c r="E455" s="97"/>
      <c r="F455" s="302"/>
      <c r="G455" s="302"/>
      <c r="H455" s="302"/>
      <c r="I455" s="302"/>
      <c r="J455" s="302"/>
      <c r="K455" s="302"/>
      <c r="L455" s="302"/>
      <c r="M455" s="302"/>
      <c r="N455" s="302"/>
      <c r="O455" s="302"/>
      <c r="P455" s="302"/>
    </row>
    <row r="456" spans="1:16" ht="17">
      <c r="A456" s="97"/>
      <c r="B456" s="97"/>
      <c r="C456" s="97"/>
      <c r="D456" s="97"/>
      <c r="E456" s="97"/>
      <c r="F456" s="302"/>
      <c r="G456" s="302"/>
      <c r="H456" s="302"/>
      <c r="I456" s="302"/>
      <c r="J456" s="302"/>
      <c r="K456" s="302"/>
      <c r="L456" s="302"/>
      <c r="M456" s="302"/>
      <c r="N456" s="302"/>
      <c r="O456" s="302"/>
      <c r="P456" s="302"/>
    </row>
    <row r="457" spans="1:16" ht="17">
      <c r="A457" s="97"/>
      <c r="B457" s="97"/>
      <c r="C457" s="97"/>
      <c r="D457" s="97"/>
      <c r="E457" s="97"/>
      <c r="F457" s="302"/>
      <c r="G457" s="302"/>
      <c r="H457" s="302"/>
      <c r="I457" s="302"/>
      <c r="J457" s="302"/>
      <c r="K457" s="302"/>
      <c r="L457" s="302"/>
      <c r="M457" s="302"/>
      <c r="N457" s="302"/>
      <c r="O457" s="302"/>
      <c r="P457" s="302"/>
    </row>
    <row r="458" spans="1:16" ht="17">
      <c r="A458" s="97"/>
      <c r="B458" s="97"/>
      <c r="C458" s="97"/>
      <c r="D458" s="97"/>
      <c r="E458" s="97"/>
      <c r="F458" s="302"/>
      <c r="G458" s="302"/>
      <c r="H458" s="302"/>
      <c r="I458" s="302"/>
      <c r="J458" s="302"/>
      <c r="K458" s="302"/>
      <c r="L458" s="302"/>
      <c r="M458" s="302"/>
      <c r="N458" s="302"/>
      <c r="O458" s="302"/>
      <c r="P458" s="302"/>
    </row>
    <row r="459" spans="1:16" ht="17">
      <c r="A459" s="97"/>
      <c r="B459" s="97"/>
      <c r="C459" s="97"/>
      <c r="D459" s="97"/>
      <c r="E459" s="97"/>
      <c r="F459" s="302"/>
      <c r="G459" s="302"/>
      <c r="H459" s="302"/>
      <c r="I459" s="302"/>
      <c r="J459" s="302"/>
      <c r="K459" s="302"/>
      <c r="L459" s="302"/>
      <c r="M459" s="302"/>
      <c r="N459" s="302"/>
      <c r="O459" s="302"/>
      <c r="P459" s="302"/>
    </row>
    <row r="460" spans="1:16" ht="17">
      <c r="A460" s="97"/>
      <c r="B460" s="97"/>
      <c r="C460" s="97"/>
      <c r="D460" s="97"/>
      <c r="E460" s="97"/>
      <c r="F460" s="302"/>
      <c r="G460" s="302"/>
      <c r="H460" s="302"/>
      <c r="I460" s="302"/>
      <c r="J460" s="302"/>
      <c r="K460" s="302"/>
      <c r="L460" s="302"/>
      <c r="M460" s="302"/>
      <c r="N460" s="302"/>
      <c r="O460" s="302"/>
      <c r="P460" s="302"/>
    </row>
    <row r="461" spans="1:16" ht="17">
      <c r="A461" s="97"/>
      <c r="B461" s="97"/>
      <c r="C461" s="97"/>
      <c r="D461" s="97"/>
      <c r="E461" s="97"/>
      <c r="F461" s="302"/>
      <c r="G461" s="302"/>
      <c r="H461" s="302"/>
      <c r="I461" s="302"/>
      <c r="J461" s="302"/>
      <c r="K461" s="302"/>
      <c r="L461" s="302"/>
      <c r="M461" s="302"/>
      <c r="N461" s="302"/>
      <c r="O461" s="302"/>
      <c r="P461" s="302"/>
    </row>
    <row r="462" spans="1:16" ht="17">
      <c r="A462" s="97"/>
      <c r="B462" s="97"/>
      <c r="C462" s="97"/>
      <c r="D462" s="97"/>
      <c r="E462" s="97"/>
      <c r="F462" s="302"/>
      <c r="G462" s="302"/>
      <c r="H462" s="302"/>
      <c r="I462" s="302"/>
      <c r="J462" s="302"/>
      <c r="K462" s="302"/>
      <c r="L462" s="302"/>
      <c r="M462" s="302"/>
      <c r="N462" s="302"/>
      <c r="O462" s="302"/>
      <c r="P462" s="302"/>
    </row>
    <row r="463" spans="1:16" ht="17">
      <c r="A463" s="97"/>
      <c r="B463" s="97"/>
      <c r="C463" s="97"/>
      <c r="D463" s="97"/>
      <c r="E463" s="97"/>
      <c r="F463" s="302"/>
      <c r="G463" s="302"/>
      <c r="H463" s="302"/>
      <c r="I463" s="302"/>
      <c r="J463" s="302"/>
      <c r="K463" s="302"/>
      <c r="L463" s="302"/>
      <c r="M463" s="302"/>
      <c r="N463" s="302"/>
      <c r="O463" s="302"/>
      <c r="P463" s="302"/>
    </row>
    <row r="464" spans="1:16" ht="17">
      <c r="A464" s="97"/>
      <c r="B464" s="97"/>
      <c r="C464" s="97"/>
      <c r="D464" s="97"/>
      <c r="E464" s="97"/>
      <c r="F464" s="302"/>
      <c r="G464" s="302"/>
      <c r="H464" s="302"/>
      <c r="I464" s="302"/>
      <c r="J464" s="302"/>
      <c r="K464" s="302"/>
      <c r="L464" s="302"/>
      <c r="M464" s="302"/>
      <c r="N464" s="302"/>
      <c r="O464" s="302"/>
      <c r="P464" s="302"/>
    </row>
    <row r="465" spans="1:16" ht="17">
      <c r="A465" s="97"/>
      <c r="B465" s="97"/>
      <c r="C465" s="97"/>
      <c r="D465" s="97"/>
      <c r="E465" s="97"/>
      <c r="F465" s="302"/>
      <c r="G465" s="302"/>
      <c r="H465" s="302"/>
      <c r="I465" s="302"/>
      <c r="J465" s="302"/>
      <c r="K465" s="302"/>
      <c r="L465" s="302"/>
      <c r="M465" s="302"/>
      <c r="N465" s="302"/>
      <c r="O465" s="302"/>
      <c r="P465" s="302"/>
    </row>
    <row r="466" spans="1:16" ht="17">
      <c r="A466" s="97"/>
      <c r="B466" s="97"/>
      <c r="C466" s="97"/>
      <c r="D466" s="97"/>
      <c r="E466" s="97"/>
      <c r="F466" s="302"/>
      <c r="G466" s="302"/>
      <c r="H466" s="302"/>
      <c r="I466" s="302"/>
      <c r="J466" s="302"/>
      <c r="K466" s="302"/>
      <c r="L466" s="302"/>
      <c r="M466" s="302"/>
      <c r="N466" s="302"/>
      <c r="O466" s="302"/>
      <c r="P466" s="302"/>
    </row>
    <row r="467" spans="1:16" ht="17">
      <c r="A467" s="97"/>
      <c r="B467" s="97"/>
      <c r="C467" s="97"/>
      <c r="D467" s="97"/>
      <c r="E467" s="97"/>
      <c r="F467" s="302"/>
      <c r="G467" s="302"/>
      <c r="H467" s="302"/>
      <c r="I467" s="302"/>
      <c r="J467" s="302"/>
      <c r="K467" s="302"/>
      <c r="L467" s="302"/>
      <c r="M467" s="302"/>
      <c r="N467" s="302"/>
      <c r="O467" s="302"/>
      <c r="P467" s="302"/>
    </row>
    <row r="468" spans="1:16" ht="17">
      <c r="A468" s="97"/>
      <c r="B468" s="97"/>
      <c r="C468" s="97"/>
      <c r="D468" s="97"/>
      <c r="E468" s="97"/>
      <c r="F468" s="302"/>
      <c r="G468" s="302"/>
      <c r="H468" s="302"/>
      <c r="I468" s="302"/>
      <c r="J468" s="302"/>
      <c r="K468" s="302"/>
      <c r="L468" s="302"/>
      <c r="M468" s="302"/>
      <c r="N468" s="302"/>
      <c r="O468" s="302"/>
      <c r="P468" s="302"/>
    </row>
    <row r="469" spans="1:16" ht="17">
      <c r="A469" s="97"/>
      <c r="B469" s="97"/>
      <c r="C469" s="97"/>
      <c r="D469" s="97"/>
      <c r="E469" s="97"/>
      <c r="F469" s="302"/>
      <c r="G469" s="302"/>
      <c r="H469" s="302"/>
      <c r="I469" s="302"/>
      <c r="J469" s="302"/>
      <c r="K469" s="302"/>
      <c r="L469" s="302"/>
      <c r="M469" s="302"/>
      <c r="N469" s="302"/>
      <c r="O469" s="302"/>
      <c r="P469" s="302"/>
    </row>
    <row r="470" spans="1:16" ht="17">
      <c r="A470" s="97"/>
      <c r="B470" s="97"/>
      <c r="C470" s="97"/>
      <c r="D470" s="97"/>
      <c r="E470" s="97"/>
      <c r="F470" s="302"/>
      <c r="G470" s="302"/>
      <c r="H470" s="302"/>
      <c r="I470" s="302"/>
      <c r="J470" s="302"/>
      <c r="K470" s="302"/>
      <c r="L470" s="302"/>
      <c r="M470" s="302"/>
      <c r="N470" s="302"/>
      <c r="O470" s="302"/>
      <c r="P470" s="302"/>
    </row>
    <row r="471" spans="1:16" ht="17">
      <c r="A471" s="97"/>
      <c r="B471" s="97"/>
      <c r="C471" s="97"/>
      <c r="D471" s="97"/>
      <c r="E471" s="97"/>
      <c r="F471" s="302"/>
      <c r="G471" s="302"/>
      <c r="H471" s="302"/>
      <c r="I471" s="302"/>
      <c r="J471" s="302"/>
      <c r="K471" s="302"/>
      <c r="L471" s="302"/>
      <c r="M471" s="302"/>
      <c r="N471" s="302"/>
      <c r="O471" s="302"/>
      <c r="P471" s="302"/>
    </row>
    <row r="472" spans="1:16" ht="17">
      <c r="A472" s="97"/>
      <c r="B472" s="97"/>
      <c r="C472" s="97"/>
      <c r="D472" s="97"/>
      <c r="E472" s="97"/>
      <c r="F472" s="302"/>
      <c r="G472" s="302"/>
      <c r="H472" s="302"/>
      <c r="I472" s="302"/>
      <c r="J472" s="302"/>
      <c r="K472" s="302"/>
      <c r="L472" s="302"/>
      <c r="M472" s="302"/>
      <c r="N472" s="302"/>
      <c r="O472" s="302"/>
      <c r="P472" s="302"/>
    </row>
    <row r="473" spans="1:16" ht="17">
      <c r="A473" s="97"/>
      <c r="B473" s="97"/>
      <c r="C473" s="97"/>
      <c r="D473" s="97"/>
      <c r="E473" s="97"/>
      <c r="F473" s="302"/>
      <c r="G473" s="302"/>
      <c r="H473" s="302"/>
      <c r="I473" s="302"/>
      <c r="J473" s="302"/>
      <c r="K473" s="302"/>
      <c r="L473" s="302"/>
      <c r="M473" s="302"/>
      <c r="N473" s="302"/>
      <c r="O473" s="302"/>
      <c r="P473" s="302"/>
    </row>
    <row r="474" spans="1:16" ht="17">
      <c r="A474" s="97"/>
      <c r="B474" s="97"/>
      <c r="C474" s="97"/>
      <c r="D474" s="97"/>
      <c r="E474" s="97"/>
      <c r="F474" s="302"/>
      <c r="G474" s="302"/>
      <c r="H474" s="302"/>
      <c r="I474" s="302"/>
      <c r="J474" s="302"/>
      <c r="K474" s="302"/>
      <c r="L474" s="302"/>
      <c r="M474" s="302"/>
      <c r="N474" s="302"/>
      <c r="O474" s="302"/>
      <c r="P474" s="302"/>
    </row>
    <row r="475" spans="1:16" ht="17">
      <c r="A475" s="97"/>
      <c r="B475" s="97"/>
      <c r="C475" s="97"/>
      <c r="D475" s="97"/>
      <c r="E475" s="97"/>
      <c r="F475" s="302"/>
      <c r="G475" s="302"/>
      <c r="H475" s="302"/>
      <c r="I475" s="302"/>
      <c r="J475" s="302"/>
      <c r="K475" s="302"/>
      <c r="L475" s="302"/>
      <c r="M475" s="302"/>
      <c r="N475" s="302"/>
      <c r="O475" s="302"/>
      <c r="P475" s="302"/>
    </row>
    <row r="476" spans="1:16" ht="17">
      <c r="A476" s="97"/>
      <c r="B476" s="97"/>
      <c r="C476" s="97"/>
      <c r="D476" s="97"/>
      <c r="E476" s="97"/>
      <c r="F476" s="302"/>
      <c r="G476" s="302"/>
      <c r="H476" s="302"/>
      <c r="I476" s="302"/>
      <c r="J476" s="302"/>
      <c r="K476" s="302"/>
      <c r="L476" s="302"/>
      <c r="M476" s="302"/>
      <c r="N476" s="302"/>
      <c r="O476" s="302"/>
      <c r="P476" s="302"/>
    </row>
    <row r="477" spans="1:16" ht="17">
      <c r="A477" s="97"/>
      <c r="B477" s="97"/>
      <c r="C477" s="97"/>
      <c r="D477" s="97"/>
      <c r="E477" s="97"/>
      <c r="F477" s="302"/>
      <c r="G477" s="302"/>
      <c r="H477" s="302"/>
      <c r="I477" s="302"/>
      <c r="J477" s="302"/>
      <c r="K477" s="302"/>
      <c r="L477" s="302"/>
      <c r="M477" s="302"/>
      <c r="N477" s="302"/>
      <c r="O477" s="302"/>
      <c r="P477" s="302"/>
    </row>
    <row r="478" spans="1:16" ht="17">
      <c r="A478" s="97"/>
      <c r="B478" s="97"/>
      <c r="C478" s="97"/>
      <c r="D478" s="97"/>
      <c r="E478" s="97"/>
      <c r="F478" s="302"/>
      <c r="G478" s="302"/>
      <c r="H478" s="302"/>
      <c r="I478" s="302"/>
      <c r="J478" s="302"/>
      <c r="K478" s="302"/>
      <c r="L478" s="302"/>
      <c r="M478" s="302"/>
      <c r="N478" s="302"/>
      <c r="O478" s="302"/>
      <c r="P478" s="302"/>
    </row>
    <row r="479" spans="1:16" ht="17">
      <c r="A479" s="97"/>
      <c r="B479" s="97"/>
      <c r="C479" s="97"/>
      <c r="D479" s="97"/>
      <c r="E479" s="97"/>
      <c r="F479" s="302"/>
      <c r="G479" s="302"/>
      <c r="H479" s="302"/>
      <c r="I479" s="302"/>
      <c r="J479" s="302"/>
      <c r="K479" s="302"/>
      <c r="L479" s="302"/>
      <c r="M479" s="302"/>
      <c r="N479" s="302"/>
      <c r="O479" s="302"/>
      <c r="P479" s="302"/>
    </row>
    <row r="480" spans="1:16" ht="17">
      <c r="A480" s="97"/>
      <c r="B480" s="97"/>
      <c r="C480" s="97"/>
      <c r="D480" s="97"/>
      <c r="E480" s="97"/>
      <c r="F480" s="302"/>
      <c r="G480" s="302"/>
      <c r="H480" s="302"/>
      <c r="I480" s="302"/>
      <c r="J480" s="302"/>
      <c r="K480" s="302"/>
      <c r="L480" s="302"/>
      <c r="M480" s="302"/>
      <c r="N480" s="302"/>
      <c r="O480" s="302"/>
      <c r="P480" s="302"/>
    </row>
    <row r="481" spans="1:16" ht="17">
      <c r="A481" s="97"/>
      <c r="B481" s="97"/>
      <c r="C481" s="97"/>
      <c r="D481" s="97"/>
      <c r="E481" s="97"/>
      <c r="F481" s="302"/>
      <c r="G481" s="302"/>
      <c r="H481" s="302"/>
      <c r="I481" s="302"/>
      <c r="J481" s="302"/>
      <c r="K481" s="302"/>
      <c r="L481" s="302"/>
      <c r="M481" s="302"/>
      <c r="N481" s="302"/>
      <c r="O481" s="302"/>
      <c r="P481" s="302"/>
    </row>
    <row r="482" spans="1:16" ht="17">
      <c r="A482" s="97"/>
      <c r="B482" s="97"/>
      <c r="C482" s="97"/>
      <c r="D482" s="97"/>
      <c r="E482" s="97"/>
      <c r="F482" s="302"/>
      <c r="G482" s="302"/>
      <c r="H482" s="302"/>
      <c r="I482" s="302"/>
      <c r="J482" s="302"/>
      <c r="K482" s="302"/>
      <c r="L482" s="302"/>
      <c r="M482" s="302"/>
      <c r="N482" s="302"/>
      <c r="O482" s="302"/>
      <c r="P482" s="302"/>
    </row>
    <row r="483" spans="1:16" ht="17">
      <c r="A483" s="97"/>
      <c r="B483" s="97"/>
      <c r="C483" s="97"/>
      <c r="D483" s="97"/>
      <c r="E483" s="97"/>
      <c r="F483" s="302"/>
      <c r="G483" s="302"/>
      <c r="H483" s="302"/>
      <c r="I483" s="302"/>
      <c r="J483" s="302"/>
      <c r="K483" s="302"/>
      <c r="L483" s="302"/>
      <c r="M483" s="302"/>
      <c r="N483" s="302"/>
      <c r="O483" s="302"/>
      <c r="P483" s="302"/>
    </row>
    <row r="484" spans="1:16" ht="17">
      <c r="A484" s="97"/>
      <c r="B484" s="97"/>
      <c r="C484" s="97"/>
      <c r="D484" s="97"/>
      <c r="E484" s="97"/>
      <c r="F484" s="302"/>
      <c r="G484" s="302"/>
      <c r="H484" s="302"/>
      <c r="I484" s="302"/>
      <c r="J484" s="302"/>
      <c r="K484" s="302"/>
      <c r="L484" s="302"/>
      <c r="M484" s="302"/>
      <c r="N484" s="302"/>
      <c r="O484" s="302"/>
      <c r="P484" s="302"/>
    </row>
    <row r="485" spans="1:16" ht="17">
      <c r="A485" s="97"/>
      <c r="B485" s="97"/>
      <c r="C485" s="97"/>
      <c r="D485" s="97"/>
      <c r="E485" s="97"/>
      <c r="F485" s="302"/>
      <c r="G485" s="302"/>
      <c r="H485" s="302"/>
      <c r="I485" s="302"/>
      <c r="J485" s="302"/>
      <c r="K485" s="302"/>
      <c r="L485" s="302"/>
      <c r="M485" s="302"/>
      <c r="N485" s="302"/>
      <c r="O485" s="302"/>
      <c r="P485" s="302"/>
    </row>
    <row r="486" spans="1:16" ht="17">
      <c r="A486" s="97"/>
      <c r="B486" s="97"/>
      <c r="C486" s="97"/>
      <c r="D486" s="97"/>
      <c r="E486" s="97"/>
      <c r="F486" s="302"/>
      <c r="G486" s="302"/>
      <c r="H486" s="302"/>
      <c r="I486" s="302"/>
      <c r="J486" s="302"/>
      <c r="K486" s="302"/>
      <c r="L486" s="302"/>
      <c r="M486" s="302"/>
      <c r="N486" s="302"/>
      <c r="O486" s="302"/>
      <c r="P486" s="302"/>
    </row>
    <row r="487" spans="1:16" ht="17">
      <c r="A487" s="97"/>
      <c r="B487" s="97"/>
      <c r="C487" s="97"/>
      <c r="D487" s="97"/>
      <c r="E487" s="97"/>
      <c r="F487" s="302"/>
      <c r="G487" s="302"/>
      <c r="H487" s="302"/>
      <c r="I487" s="302"/>
      <c r="J487" s="302"/>
      <c r="K487" s="302"/>
      <c r="L487" s="302"/>
      <c r="M487" s="302"/>
      <c r="N487" s="302"/>
      <c r="O487" s="302"/>
      <c r="P487" s="302"/>
    </row>
    <row r="488" spans="1:16" ht="17">
      <c r="A488" s="97"/>
      <c r="B488" s="97"/>
      <c r="C488" s="97"/>
      <c r="D488" s="97"/>
      <c r="E488" s="97"/>
      <c r="F488" s="302"/>
      <c r="G488" s="302"/>
      <c r="H488" s="302"/>
      <c r="I488" s="302"/>
      <c r="J488" s="302"/>
      <c r="K488" s="302"/>
      <c r="L488" s="302"/>
      <c r="M488" s="302"/>
      <c r="N488" s="302"/>
      <c r="O488" s="302"/>
      <c r="P488" s="302"/>
    </row>
    <row r="489" spans="1:16" ht="17">
      <c r="A489" s="97"/>
      <c r="B489" s="97"/>
      <c r="C489" s="97"/>
      <c r="D489" s="97"/>
      <c r="E489" s="97"/>
      <c r="F489" s="302"/>
      <c r="G489" s="302"/>
      <c r="H489" s="302"/>
      <c r="I489" s="302"/>
      <c r="J489" s="302"/>
      <c r="K489" s="302"/>
      <c r="L489" s="302"/>
      <c r="M489" s="302"/>
      <c r="N489" s="302"/>
      <c r="O489" s="302"/>
      <c r="P489" s="302"/>
    </row>
    <row r="490" spans="1:16" ht="17">
      <c r="A490" s="97"/>
      <c r="B490" s="97"/>
      <c r="C490" s="97"/>
      <c r="D490" s="97"/>
      <c r="E490" s="97"/>
      <c r="F490" s="302"/>
      <c r="G490" s="302"/>
      <c r="H490" s="302"/>
      <c r="I490" s="302"/>
      <c r="J490" s="302"/>
      <c r="K490" s="302"/>
      <c r="L490" s="302"/>
      <c r="M490" s="302"/>
      <c r="N490" s="302"/>
      <c r="O490" s="302"/>
      <c r="P490" s="302"/>
    </row>
    <row r="491" spans="1:16" ht="17">
      <c r="A491" s="97"/>
      <c r="B491" s="97"/>
      <c r="C491" s="97"/>
      <c r="D491" s="97"/>
      <c r="E491" s="97"/>
      <c r="F491" s="302"/>
      <c r="G491" s="302"/>
      <c r="H491" s="302"/>
      <c r="I491" s="302"/>
      <c r="J491" s="302"/>
      <c r="K491" s="302"/>
      <c r="L491" s="302"/>
      <c r="M491" s="302"/>
      <c r="N491" s="302"/>
      <c r="O491" s="302"/>
      <c r="P491" s="302"/>
    </row>
    <row r="492" spans="1:16" ht="17">
      <c r="A492" s="97"/>
      <c r="B492" s="97"/>
      <c r="C492" s="97"/>
      <c r="D492" s="97"/>
      <c r="E492" s="97"/>
      <c r="F492" s="302"/>
      <c r="G492" s="302"/>
      <c r="H492" s="302"/>
      <c r="I492" s="302"/>
      <c r="J492" s="302"/>
      <c r="K492" s="302"/>
      <c r="L492" s="302"/>
      <c r="M492" s="302"/>
      <c r="N492" s="302"/>
      <c r="O492" s="302"/>
      <c r="P492" s="302"/>
    </row>
    <row r="493" spans="1:16" ht="17">
      <c r="A493" s="97"/>
      <c r="B493" s="97"/>
      <c r="C493" s="97"/>
      <c r="D493" s="97"/>
      <c r="E493" s="97"/>
      <c r="F493" s="302"/>
      <c r="G493" s="302"/>
      <c r="H493" s="302"/>
      <c r="I493" s="302"/>
      <c r="J493" s="302"/>
      <c r="K493" s="302"/>
      <c r="L493" s="302"/>
      <c r="M493" s="302"/>
      <c r="N493" s="302"/>
      <c r="O493" s="302"/>
      <c r="P493" s="302"/>
    </row>
    <row r="494" spans="1:16" ht="17">
      <c r="A494" s="97"/>
      <c r="B494" s="97"/>
      <c r="C494" s="97"/>
      <c r="D494" s="97"/>
      <c r="E494" s="97"/>
      <c r="F494" s="302"/>
      <c r="G494" s="302"/>
      <c r="H494" s="302"/>
      <c r="I494" s="302"/>
      <c r="J494" s="302"/>
      <c r="K494" s="302"/>
      <c r="L494" s="302"/>
      <c r="M494" s="302"/>
      <c r="N494" s="302"/>
      <c r="O494" s="302"/>
      <c r="P494" s="302"/>
    </row>
    <row r="495" spans="1:16" ht="17">
      <c r="A495" s="97"/>
      <c r="B495" s="97"/>
      <c r="C495" s="97"/>
      <c r="D495" s="97"/>
      <c r="E495" s="97"/>
      <c r="F495" s="302"/>
      <c r="G495" s="302"/>
      <c r="H495" s="302"/>
      <c r="I495" s="302"/>
      <c r="J495" s="302"/>
      <c r="K495" s="302"/>
      <c r="L495" s="302"/>
      <c r="M495" s="302"/>
      <c r="N495" s="302"/>
      <c r="O495" s="302"/>
      <c r="P495" s="302"/>
    </row>
    <row r="496" spans="1:16" ht="17">
      <c r="A496" s="97"/>
      <c r="B496" s="97"/>
      <c r="C496" s="97"/>
      <c r="D496" s="97"/>
      <c r="E496" s="97"/>
      <c r="F496" s="302"/>
      <c r="G496" s="302"/>
      <c r="H496" s="302"/>
      <c r="I496" s="302"/>
      <c r="J496" s="302"/>
      <c r="K496" s="302"/>
      <c r="L496" s="302"/>
      <c r="M496" s="302"/>
      <c r="N496" s="302"/>
      <c r="O496" s="302"/>
      <c r="P496" s="302"/>
    </row>
    <row r="497" spans="1:16" ht="17">
      <c r="A497" s="97"/>
      <c r="B497" s="97"/>
      <c r="C497" s="97"/>
      <c r="D497" s="97"/>
      <c r="E497" s="97"/>
      <c r="F497" s="302"/>
      <c r="G497" s="302"/>
      <c r="H497" s="302"/>
      <c r="I497" s="302"/>
      <c r="J497" s="302"/>
      <c r="K497" s="302"/>
      <c r="L497" s="302"/>
      <c r="M497" s="302"/>
      <c r="N497" s="302"/>
      <c r="O497" s="302"/>
      <c r="P497" s="302"/>
    </row>
    <row r="498" spans="1:16" ht="17">
      <c r="A498" s="97"/>
      <c r="B498" s="97"/>
      <c r="C498" s="97"/>
      <c r="D498" s="97"/>
      <c r="E498" s="97"/>
      <c r="F498" s="302"/>
      <c r="G498" s="302"/>
      <c r="H498" s="302"/>
      <c r="I498" s="302"/>
      <c r="J498" s="302"/>
      <c r="K498" s="302"/>
      <c r="L498" s="302"/>
      <c r="M498" s="302"/>
      <c r="N498" s="302"/>
      <c r="O498" s="302"/>
      <c r="P498" s="302"/>
    </row>
    <row r="499" spans="1:16" ht="17">
      <c r="A499" s="97"/>
      <c r="B499" s="97"/>
      <c r="C499" s="97"/>
      <c r="D499" s="97"/>
      <c r="E499" s="97"/>
      <c r="F499" s="302"/>
      <c r="G499" s="302"/>
      <c r="H499" s="302"/>
      <c r="I499" s="302"/>
      <c r="J499" s="302"/>
      <c r="K499" s="302"/>
      <c r="L499" s="302"/>
      <c r="M499" s="302"/>
      <c r="N499" s="302"/>
      <c r="O499" s="302"/>
      <c r="P499" s="302"/>
    </row>
    <row r="500" spans="1:16" ht="17">
      <c r="A500" s="97"/>
      <c r="B500" s="97"/>
      <c r="C500" s="97"/>
      <c r="D500" s="97"/>
      <c r="E500" s="97"/>
      <c r="F500" s="302"/>
      <c r="G500" s="302"/>
      <c r="H500" s="302"/>
      <c r="I500" s="302"/>
      <c r="J500" s="302"/>
      <c r="K500" s="302"/>
      <c r="L500" s="302"/>
      <c r="M500" s="302"/>
      <c r="N500" s="302"/>
      <c r="O500" s="302"/>
      <c r="P500" s="302"/>
    </row>
    <row r="501" spans="1:16" ht="17">
      <c r="A501" s="97"/>
      <c r="B501" s="97"/>
      <c r="C501" s="97"/>
      <c r="D501" s="97"/>
      <c r="E501" s="97"/>
      <c r="F501" s="302"/>
      <c r="G501" s="302"/>
      <c r="H501" s="302"/>
      <c r="I501" s="302"/>
      <c r="J501" s="302"/>
      <c r="K501" s="302"/>
      <c r="L501" s="302"/>
      <c r="M501" s="302"/>
      <c r="N501" s="302"/>
      <c r="O501" s="302"/>
      <c r="P501" s="302"/>
    </row>
    <row r="502" spans="1:16" ht="17">
      <c r="A502" s="97"/>
      <c r="B502" s="97"/>
      <c r="C502" s="97"/>
      <c r="D502" s="97"/>
      <c r="E502" s="97"/>
      <c r="F502" s="302"/>
      <c r="G502" s="302"/>
      <c r="H502" s="302"/>
      <c r="I502" s="302"/>
      <c r="J502" s="302"/>
      <c r="K502" s="302"/>
      <c r="L502" s="302"/>
      <c r="M502" s="302"/>
      <c r="N502" s="302"/>
      <c r="O502" s="302"/>
      <c r="P502" s="302"/>
    </row>
    <row r="503" spans="1:16" ht="17">
      <c r="A503" s="97"/>
      <c r="B503" s="97"/>
      <c r="C503" s="97"/>
      <c r="D503" s="97"/>
      <c r="E503" s="97"/>
      <c r="F503" s="302"/>
      <c r="G503" s="302"/>
      <c r="H503" s="302"/>
      <c r="I503" s="302"/>
      <c r="J503" s="302"/>
      <c r="K503" s="302"/>
      <c r="L503" s="302"/>
      <c r="M503" s="302"/>
      <c r="N503" s="302"/>
      <c r="O503" s="302"/>
      <c r="P503" s="302"/>
    </row>
    <row r="504" spans="1:16" ht="17">
      <c r="A504" s="97"/>
      <c r="B504" s="97"/>
      <c r="C504" s="97"/>
      <c r="D504" s="97"/>
      <c r="E504" s="97"/>
      <c r="F504" s="302"/>
      <c r="G504" s="302"/>
      <c r="H504" s="302"/>
      <c r="I504" s="302"/>
      <c r="J504" s="302"/>
      <c r="K504" s="302"/>
      <c r="L504" s="302"/>
      <c r="M504" s="302"/>
      <c r="N504" s="302"/>
      <c r="O504" s="302"/>
      <c r="P504" s="302"/>
    </row>
    <row r="505" spans="1:16" ht="17">
      <c r="A505" s="97"/>
      <c r="B505" s="97"/>
      <c r="C505" s="97"/>
      <c r="D505" s="97"/>
      <c r="E505" s="97"/>
      <c r="F505" s="302"/>
      <c r="G505" s="302"/>
      <c r="H505" s="302"/>
      <c r="I505" s="302"/>
      <c r="J505" s="302"/>
      <c r="K505" s="302"/>
      <c r="L505" s="302"/>
      <c r="M505" s="302"/>
      <c r="N505" s="302"/>
      <c r="O505" s="302"/>
      <c r="P505" s="302"/>
    </row>
    <row r="506" spans="1:16" ht="17">
      <c r="A506" s="97"/>
      <c r="B506" s="97"/>
      <c r="C506" s="97"/>
      <c r="D506" s="97"/>
      <c r="E506" s="97"/>
      <c r="F506" s="302"/>
      <c r="G506" s="302"/>
      <c r="H506" s="302"/>
      <c r="I506" s="302"/>
      <c r="J506" s="302"/>
      <c r="K506" s="302"/>
      <c r="L506" s="302"/>
      <c r="M506" s="302"/>
      <c r="N506" s="302"/>
      <c r="O506" s="302"/>
      <c r="P506" s="302"/>
    </row>
    <row r="507" spans="1:16" ht="17">
      <c r="A507" s="97"/>
      <c r="B507" s="97"/>
      <c r="C507" s="97"/>
      <c r="D507" s="97"/>
      <c r="E507" s="97"/>
      <c r="F507" s="302"/>
      <c r="G507" s="302"/>
      <c r="H507" s="302"/>
      <c r="I507" s="302"/>
      <c r="J507" s="302"/>
      <c r="K507" s="302"/>
      <c r="L507" s="302"/>
      <c r="M507" s="302"/>
      <c r="N507" s="302"/>
      <c r="O507" s="302"/>
      <c r="P507" s="302"/>
    </row>
    <row r="508" spans="1:16" ht="17">
      <c r="A508" s="97"/>
      <c r="B508" s="97"/>
      <c r="C508" s="97"/>
      <c r="D508" s="97"/>
      <c r="E508" s="97"/>
      <c r="F508" s="302"/>
      <c r="G508" s="302"/>
      <c r="H508" s="302"/>
      <c r="I508" s="302"/>
      <c r="J508" s="302"/>
      <c r="K508" s="302"/>
      <c r="L508" s="302"/>
      <c r="M508" s="302"/>
      <c r="N508" s="302"/>
      <c r="O508" s="302"/>
      <c r="P508" s="302"/>
    </row>
    <row r="509" spans="1:16" ht="17">
      <c r="A509" s="97"/>
      <c r="B509" s="97"/>
      <c r="C509" s="97"/>
      <c r="D509" s="97"/>
      <c r="E509" s="97"/>
      <c r="F509" s="302"/>
      <c r="G509" s="302"/>
      <c r="H509" s="302"/>
      <c r="I509" s="302"/>
      <c r="J509" s="302"/>
      <c r="K509" s="302"/>
      <c r="L509" s="302"/>
      <c r="M509" s="302"/>
      <c r="N509" s="302"/>
      <c r="O509" s="302"/>
      <c r="P509" s="302"/>
    </row>
    <row r="510" spans="1:16" ht="17">
      <c r="A510" s="97"/>
      <c r="B510" s="97"/>
      <c r="C510" s="97"/>
      <c r="D510" s="97"/>
      <c r="E510" s="97"/>
      <c r="F510" s="302"/>
      <c r="G510" s="302"/>
      <c r="H510" s="302"/>
      <c r="I510" s="302"/>
      <c r="J510" s="302"/>
      <c r="K510" s="302"/>
      <c r="L510" s="302"/>
      <c r="M510" s="302"/>
      <c r="N510" s="302"/>
      <c r="O510" s="302"/>
      <c r="P510" s="302"/>
    </row>
    <row r="511" spans="1:16" ht="17">
      <c r="A511" s="97"/>
      <c r="B511" s="97"/>
      <c r="C511" s="97"/>
      <c r="D511" s="97"/>
      <c r="E511" s="97"/>
      <c r="F511" s="302"/>
      <c r="G511" s="302"/>
      <c r="H511" s="302"/>
      <c r="I511" s="302"/>
      <c r="J511" s="302"/>
      <c r="K511" s="302"/>
      <c r="L511" s="302"/>
      <c r="M511" s="302"/>
      <c r="N511" s="302"/>
      <c r="O511" s="302"/>
      <c r="P511" s="302"/>
    </row>
    <row r="512" spans="1:16" ht="17">
      <c r="A512" s="97"/>
      <c r="B512" s="97"/>
      <c r="C512" s="97"/>
      <c r="D512" s="97"/>
      <c r="E512" s="97"/>
      <c r="F512" s="302"/>
      <c r="G512" s="302"/>
      <c r="H512" s="302"/>
      <c r="I512" s="302"/>
      <c r="J512" s="302"/>
      <c r="K512" s="302"/>
      <c r="L512" s="302"/>
      <c r="M512" s="302"/>
      <c r="N512" s="302"/>
      <c r="O512" s="302"/>
      <c r="P512" s="302"/>
    </row>
    <row r="513" spans="1:16" ht="17">
      <c r="A513" s="97"/>
      <c r="B513" s="97"/>
      <c r="C513" s="97"/>
      <c r="D513" s="97"/>
      <c r="E513" s="97"/>
      <c r="F513" s="302"/>
      <c r="G513" s="302"/>
      <c r="H513" s="302"/>
      <c r="I513" s="302"/>
      <c r="J513" s="302"/>
      <c r="K513" s="302"/>
      <c r="L513" s="302"/>
      <c r="M513" s="302"/>
      <c r="N513" s="302"/>
      <c r="O513" s="302"/>
      <c r="P513" s="302"/>
    </row>
    <row r="514" spans="1:16" ht="17">
      <c r="A514" s="97"/>
      <c r="B514" s="97"/>
      <c r="C514" s="97"/>
      <c r="D514" s="97"/>
      <c r="E514" s="97"/>
      <c r="F514" s="302"/>
      <c r="G514" s="302"/>
      <c r="H514" s="302"/>
      <c r="I514" s="302"/>
      <c r="J514" s="302"/>
      <c r="K514" s="302"/>
      <c r="L514" s="302"/>
      <c r="M514" s="302"/>
      <c r="N514" s="302"/>
      <c r="O514" s="302"/>
      <c r="P514" s="302"/>
    </row>
    <row r="515" spans="1:16" ht="17">
      <c r="A515" s="97"/>
      <c r="B515" s="97"/>
      <c r="C515" s="97"/>
      <c r="D515" s="97"/>
      <c r="E515" s="97"/>
      <c r="F515" s="302"/>
      <c r="G515" s="302"/>
      <c r="H515" s="302"/>
      <c r="I515" s="302"/>
      <c r="J515" s="302"/>
      <c r="K515" s="302"/>
      <c r="L515" s="302"/>
      <c r="M515" s="302"/>
      <c r="N515" s="302"/>
      <c r="O515" s="302"/>
      <c r="P515" s="302"/>
    </row>
    <row r="516" spans="1:16" ht="17">
      <c r="A516" s="97"/>
      <c r="B516" s="97"/>
      <c r="C516" s="97"/>
      <c r="D516" s="97"/>
      <c r="E516" s="97"/>
      <c r="F516" s="302"/>
      <c r="G516" s="302"/>
      <c r="H516" s="302"/>
      <c r="I516" s="302"/>
      <c r="J516" s="302"/>
      <c r="K516" s="302"/>
      <c r="L516" s="302"/>
      <c r="M516" s="302"/>
      <c r="N516" s="302"/>
      <c r="O516" s="302"/>
      <c r="P516" s="302"/>
    </row>
    <row r="517" spans="1:16" ht="17">
      <c r="A517" s="97"/>
      <c r="B517" s="97"/>
      <c r="C517" s="97"/>
      <c r="D517" s="97"/>
      <c r="E517" s="97"/>
      <c r="F517" s="302"/>
      <c r="G517" s="302"/>
      <c r="H517" s="302"/>
      <c r="I517" s="302"/>
      <c r="J517" s="302"/>
      <c r="K517" s="302"/>
      <c r="L517" s="302"/>
      <c r="M517" s="302"/>
      <c r="N517" s="302"/>
      <c r="O517" s="302"/>
      <c r="P517" s="302"/>
    </row>
    <row r="518" spans="1:16" ht="17">
      <c r="A518" s="97"/>
      <c r="B518" s="97"/>
      <c r="C518" s="97"/>
      <c r="D518" s="97"/>
      <c r="E518" s="97"/>
      <c r="F518" s="302"/>
      <c r="G518" s="302"/>
      <c r="H518" s="302"/>
      <c r="I518" s="302"/>
      <c r="J518" s="302"/>
      <c r="K518" s="302"/>
      <c r="L518" s="302"/>
      <c r="M518" s="302"/>
      <c r="N518" s="302"/>
      <c r="O518" s="302"/>
      <c r="P518" s="302"/>
    </row>
    <row r="519" spans="1:16" ht="17">
      <c r="A519" s="97"/>
      <c r="B519" s="97"/>
      <c r="C519" s="97"/>
      <c r="D519" s="97"/>
      <c r="E519" s="97"/>
      <c r="F519" s="302"/>
      <c r="G519" s="302"/>
      <c r="H519" s="302"/>
      <c r="I519" s="302"/>
      <c r="J519" s="302"/>
      <c r="K519" s="302"/>
      <c r="L519" s="302"/>
      <c r="M519" s="302"/>
      <c r="N519" s="302"/>
      <c r="O519" s="302"/>
      <c r="P519" s="302"/>
    </row>
    <row r="520" spans="1:16" ht="17">
      <c r="A520" s="97"/>
      <c r="B520" s="97"/>
      <c r="C520" s="97"/>
      <c r="D520" s="97"/>
      <c r="E520" s="97"/>
      <c r="F520" s="302"/>
      <c r="G520" s="302"/>
      <c r="H520" s="302"/>
      <c r="I520" s="302"/>
      <c r="J520" s="302"/>
      <c r="K520" s="302"/>
      <c r="L520" s="302"/>
      <c r="M520" s="302"/>
      <c r="N520" s="302"/>
      <c r="O520" s="302"/>
      <c r="P520" s="302"/>
    </row>
    <row r="521" spans="1:16" ht="17">
      <c r="A521" s="97"/>
      <c r="B521" s="97"/>
      <c r="C521" s="97"/>
      <c r="D521" s="97"/>
      <c r="E521" s="97"/>
      <c r="F521" s="302"/>
      <c r="G521" s="302"/>
      <c r="H521" s="302"/>
      <c r="I521" s="302"/>
      <c r="J521" s="302"/>
      <c r="K521" s="302"/>
      <c r="L521" s="302"/>
      <c r="M521" s="302"/>
      <c r="N521" s="302"/>
      <c r="O521" s="302"/>
      <c r="P521" s="302"/>
    </row>
    <row r="522" spans="1:16" ht="17">
      <c r="A522" s="97"/>
      <c r="B522" s="97"/>
      <c r="C522" s="97"/>
      <c r="D522" s="97"/>
      <c r="E522" s="97"/>
      <c r="F522" s="302"/>
      <c r="G522" s="302"/>
      <c r="H522" s="302"/>
      <c r="I522" s="302"/>
      <c r="J522" s="302"/>
      <c r="K522" s="302"/>
      <c r="L522" s="302"/>
      <c r="M522" s="302"/>
      <c r="N522" s="302"/>
      <c r="O522" s="302"/>
      <c r="P522" s="302"/>
    </row>
    <row r="523" spans="1:16" ht="17">
      <c r="A523" s="97"/>
      <c r="B523" s="97"/>
      <c r="C523" s="97"/>
      <c r="D523" s="97"/>
      <c r="E523" s="97"/>
      <c r="F523" s="302"/>
      <c r="G523" s="302"/>
      <c r="H523" s="302"/>
      <c r="I523" s="302"/>
      <c r="J523" s="302"/>
      <c r="K523" s="302"/>
      <c r="L523" s="302"/>
      <c r="M523" s="302"/>
      <c r="N523" s="302"/>
      <c r="O523" s="302"/>
      <c r="P523" s="302"/>
    </row>
    <row r="524" spans="1:16" ht="17">
      <c r="A524" s="97"/>
      <c r="B524" s="97"/>
      <c r="C524" s="97"/>
      <c r="D524" s="97"/>
      <c r="E524" s="97"/>
      <c r="F524" s="302"/>
      <c r="G524" s="302"/>
      <c r="H524" s="302"/>
      <c r="I524" s="302"/>
      <c r="J524" s="302"/>
      <c r="K524" s="302"/>
      <c r="L524" s="302"/>
      <c r="M524" s="302"/>
      <c r="N524" s="302"/>
      <c r="O524" s="302"/>
      <c r="P524" s="302"/>
    </row>
    <row r="525" spans="1:16" ht="17">
      <c r="A525" s="97"/>
      <c r="B525" s="97"/>
      <c r="C525" s="97"/>
      <c r="D525" s="97"/>
      <c r="E525" s="97"/>
      <c r="F525" s="302"/>
      <c r="G525" s="302"/>
      <c r="H525" s="302"/>
      <c r="I525" s="302"/>
      <c r="J525" s="302"/>
      <c r="K525" s="302"/>
      <c r="L525" s="302"/>
      <c r="M525" s="302"/>
      <c r="N525" s="302"/>
      <c r="O525" s="302"/>
      <c r="P525" s="302"/>
    </row>
    <row r="526" spans="1:16" ht="17">
      <c r="A526" s="97"/>
      <c r="B526" s="97"/>
      <c r="C526" s="97"/>
      <c r="D526" s="97"/>
      <c r="E526" s="97"/>
      <c r="F526" s="302"/>
      <c r="G526" s="302"/>
      <c r="H526" s="302"/>
      <c r="I526" s="302"/>
      <c r="J526" s="302"/>
      <c r="K526" s="302"/>
      <c r="L526" s="302"/>
      <c r="M526" s="302"/>
      <c r="N526" s="302"/>
      <c r="O526" s="302"/>
      <c r="P526" s="302"/>
    </row>
    <row r="527" spans="1:16" ht="17">
      <c r="A527" s="97"/>
      <c r="B527" s="97"/>
      <c r="C527" s="97"/>
      <c r="D527" s="97"/>
      <c r="E527" s="97"/>
      <c r="F527" s="302"/>
      <c r="G527" s="302"/>
      <c r="H527" s="302"/>
      <c r="I527" s="302"/>
      <c r="J527" s="302"/>
      <c r="K527" s="302"/>
      <c r="L527" s="302"/>
      <c r="M527" s="302"/>
      <c r="N527" s="302"/>
      <c r="O527" s="302"/>
      <c r="P527" s="302"/>
    </row>
    <row r="528" spans="1:16" ht="17">
      <c r="A528" s="97"/>
      <c r="B528" s="97"/>
      <c r="C528" s="97"/>
      <c r="D528" s="97"/>
      <c r="E528" s="97"/>
      <c r="F528" s="302"/>
      <c r="G528" s="302"/>
      <c r="H528" s="302"/>
      <c r="I528" s="302"/>
      <c r="J528" s="302"/>
      <c r="K528" s="302"/>
      <c r="L528" s="302"/>
      <c r="M528" s="302"/>
      <c r="N528" s="302"/>
      <c r="O528" s="302"/>
      <c r="P528" s="302"/>
    </row>
    <row r="529" spans="1:16" ht="17">
      <c r="A529" s="97"/>
      <c r="B529" s="97"/>
      <c r="C529" s="97"/>
      <c r="D529" s="97"/>
      <c r="E529" s="97"/>
      <c r="F529" s="302"/>
      <c r="G529" s="302"/>
      <c r="H529" s="302"/>
      <c r="I529" s="302"/>
      <c r="J529" s="302"/>
      <c r="K529" s="302"/>
      <c r="L529" s="302"/>
      <c r="M529" s="302"/>
      <c r="N529" s="302"/>
      <c r="O529" s="302"/>
      <c r="P529" s="302"/>
    </row>
    <row r="530" spans="1:16" ht="17">
      <c r="A530" s="97"/>
      <c r="B530" s="97"/>
      <c r="C530" s="97"/>
      <c r="D530" s="97"/>
      <c r="E530" s="97"/>
      <c r="F530" s="302"/>
      <c r="G530" s="302"/>
      <c r="H530" s="302"/>
      <c r="I530" s="302"/>
      <c r="J530" s="302"/>
      <c r="K530" s="302"/>
      <c r="L530" s="302"/>
      <c r="M530" s="302"/>
      <c r="N530" s="302"/>
      <c r="O530" s="302"/>
      <c r="P530" s="302"/>
    </row>
    <row r="531" spans="1:16" ht="17">
      <c r="A531" s="97"/>
      <c r="B531" s="97"/>
      <c r="C531" s="97"/>
      <c r="D531" s="97"/>
      <c r="E531" s="97"/>
      <c r="F531" s="302"/>
      <c r="G531" s="302"/>
      <c r="H531" s="302"/>
      <c r="I531" s="302"/>
      <c r="J531" s="302"/>
      <c r="K531" s="302"/>
      <c r="L531" s="302"/>
      <c r="M531" s="302"/>
      <c r="N531" s="302"/>
      <c r="O531" s="302"/>
      <c r="P531" s="302"/>
    </row>
    <row r="532" spans="1:16" ht="17">
      <c r="A532" s="97"/>
      <c r="B532" s="97"/>
      <c r="C532" s="97"/>
      <c r="D532" s="97"/>
      <c r="E532" s="97"/>
      <c r="F532" s="302"/>
      <c r="G532" s="302"/>
      <c r="H532" s="302"/>
      <c r="I532" s="302"/>
      <c r="J532" s="302"/>
      <c r="K532" s="302"/>
      <c r="L532" s="302"/>
      <c r="M532" s="302"/>
      <c r="N532" s="302"/>
      <c r="O532" s="302"/>
      <c r="P532" s="302"/>
    </row>
    <row r="533" spans="1:16" ht="17">
      <c r="A533" s="97"/>
      <c r="B533" s="97"/>
      <c r="C533" s="97"/>
      <c r="D533" s="97"/>
      <c r="E533" s="97"/>
      <c r="F533" s="302"/>
      <c r="G533" s="302"/>
      <c r="H533" s="302"/>
      <c r="I533" s="302"/>
      <c r="J533" s="302"/>
      <c r="K533" s="302"/>
      <c r="L533" s="302"/>
      <c r="M533" s="302"/>
      <c r="N533" s="302"/>
      <c r="O533" s="302"/>
      <c r="P533" s="302"/>
    </row>
    <row r="534" spans="1:16" ht="17">
      <c r="A534" s="97"/>
      <c r="B534" s="97"/>
      <c r="C534" s="97"/>
      <c r="D534" s="97"/>
      <c r="E534" s="97"/>
      <c r="F534" s="302"/>
      <c r="G534" s="302"/>
      <c r="H534" s="302"/>
      <c r="I534" s="302"/>
      <c r="J534" s="302"/>
      <c r="K534" s="302"/>
      <c r="L534" s="302"/>
      <c r="M534" s="302"/>
      <c r="N534" s="302"/>
      <c r="O534" s="302"/>
      <c r="P534" s="302"/>
    </row>
    <row r="535" spans="1:16" ht="17">
      <c r="A535" s="97"/>
      <c r="B535" s="97"/>
      <c r="C535" s="97"/>
      <c r="D535" s="97"/>
      <c r="E535" s="97"/>
      <c r="F535" s="302"/>
      <c r="G535" s="302"/>
      <c r="H535" s="302"/>
      <c r="I535" s="302"/>
      <c r="J535" s="302"/>
      <c r="K535" s="302"/>
      <c r="L535" s="302"/>
      <c r="M535" s="302"/>
      <c r="N535" s="302"/>
      <c r="O535" s="302"/>
      <c r="P535" s="302"/>
    </row>
    <row r="536" spans="1:16" ht="17">
      <c r="A536" s="97"/>
      <c r="B536" s="97"/>
      <c r="C536" s="97"/>
      <c r="D536" s="97"/>
      <c r="E536" s="97"/>
      <c r="F536" s="302"/>
      <c r="G536" s="302"/>
      <c r="H536" s="302"/>
      <c r="I536" s="302"/>
      <c r="J536" s="302"/>
      <c r="K536" s="302"/>
      <c r="L536" s="302"/>
      <c r="M536" s="302"/>
      <c r="N536" s="302"/>
      <c r="O536" s="302"/>
      <c r="P536" s="302"/>
    </row>
    <row r="537" spans="1:16" ht="17">
      <c r="A537" s="97"/>
      <c r="B537" s="97"/>
      <c r="C537" s="97"/>
      <c r="D537" s="97"/>
      <c r="E537" s="97"/>
      <c r="F537" s="302"/>
      <c r="G537" s="302"/>
      <c r="H537" s="302"/>
      <c r="I537" s="302"/>
      <c r="J537" s="302"/>
      <c r="K537" s="302"/>
      <c r="L537" s="302"/>
      <c r="M537" s="302"/>
      <c r="N537" s="302"/>
      <c r="O537" s="302"/>
      <c r="P537" s="302"/>
    </row>
    <row r="538" spans="1:16" ht="17">
      <c r="A538" s="97"/>
      <c r="B538" s="97"/>
      <c r="C538" s="97"/>
      <c r="D538" s="97"/>
      <c r="E538" s="97"/>
      <c r="F538" s="302"/>
      <c r="G538" s="302"/>
      <c r="H538" s="302"/>
      <c r="I538" s="302"/>
      <c r="J538" s="302"/>
      <c r="K538" s="302"/>
      <c r="L538" s="302"/>
      <c r="M538" s="302"/>
      <c r="N538" s="302"/>
      <c r="O538" s="302"/>
      <c r="P538" s="302"/>
    </row>
    <row r="539" spans="1:16" ht="17">
      <c r="A539" s="97"/>
      <c r="B539" s="97"/>
      <c r="C539" s="97"/>
      <c r="D539" s="97"/>
      <c r="E539" s="97"/>
      <c r="F539" s="302"/>
      <c r="G539" s="302"/>
      <c r="H539" s="302"/>
      <c r="I539" s="302"/>
      <c r="J539" s="302"/>
      <c r="K539" s="302"/>
      <c r="L539" s="302"/>
      <c r="M539" s="302"/>
      <c r="N539" s="302"/>
      <c r="O539" s="302"/>
      <c r="P539" s="302"/>
    </row>
    <row r="540" spans="1:16" ht="17">
      <c r="A540" s="97"/>
      <c r="B540" s="97"/>
      <c r="C540" s="97"/>
      <c r="D540" s="97"/>
      <c r="E540" s="97"/>
      <c r="F540" s="302"/>
      <c r="G540" s="302"/>
      <c r="H540" s="302"/>
      <c r="I540" s="302"/>
      <c r="J540" s="302"/>
      <c r="K540" s="302"/>
      <c r="L540" s="302"/>
      <c r="M540" s="302"/>
      <c r="N540" s="302"/>
      <c r="O540" s="302"/>
      <c r="P540" s="302"/>
    </row>
    <row r="541" spans="1:16" ht="17">
      <c r="A541" s="97"/>
      <c r="B541" s="97"/>
      <c r="C541" s="97"/>
      <c r="D541" s="97"/>
      <c r="E541" s="97"/>
      <c r="F541" s="302"/>
      <c r="G541" s="302"/>
      <c r="H541" s="302"/>
      <c r="I541" s="302"/>
      <c r="J541" s="302"/>
      <c r="K541" s="302"/>
      <c r="L541" s="302"/>
      <c r="M541" s="302"/>
      <c r="N541" s="302"/>
      <c r="O541" s="302"/>
      <c r="P541" s="302"/>
    </row>
    <row r="542" spans="1:16" ht="17">
      <c r="A542" s="97"/>
      <c r="B542" s="97"/>
      <c r="C542" s="97"/>
      <c r="D542" s="97"/>
      <c r="E542" s="97"/>
      <c r="F542" s="302"/>
      <c r="G542" s="302"/>
      <c r="H542" s="302"/>
      <c r="I542" s="302"/>
      <c r="J542" s="302"/>
      <c r="K542" s="302"/>
      <c r="L542" s="302"/>
      <c r="M542" s="302"/>
      <c r="N542" s="302"/>
      <c r="O542" s="302"/>
      <c r="P542" s="302"/>
    </row>
    <row r="543" spans="1:16" ht="17">
      <c r="A543" s="97"/>
      <c r="B543" s="97"/>
      <c r="C543" s="97"/>
      <c r="D543" s="97"/>
      <c r="E543" s="97"/>
      <c r="F543" s="302"/>
      <c r="G543" s="302"/>
      <c r="H543" s="302"/>
      <c r="I543" s="302"/>
      <c r="J543" s="302"/>
      <c r="K543" s="302"/>
      <c r="L543" s="302"/>
      <c r="M543" s="302"/>
      <c r="N543" s="302"/>
      <c r="O543" s="302"/>
      <c r="P543" s="302"/>
    </row>
    <row r="544" spans="1:16" ht="17">
      <c r="A544" s="97"/>
      <c r="B544" s="97"/>
      <c r="C544" s="97"/>
      <c r="D544" s="97"/>
      <c r="E544" s="97"/>
      <c r="F544" s="302"/>
      <c r="G544" s="302"/>
      <c r="H544" s="302"/>
      <c r="I544" s="302"/>
      <c r="J544" s="302"/>
      <c r="K544" s="302"/>
      <c r="L544" s="302"/>
      <c r="M544" s="302"/>
      <c r="N544" s="302"/>
      <c r="O544" s="302"/>
      <c r="P544" s="302"/>
    </row>
    <row r="545" spans="1:16" ht="17">
      <c r="A545" s="97"/>
      <c r="B545" s="97"/>
      <c r="C545" s="97"/>
      <c r="D545" s="97"/>
      <c r="E545" s="97"/>
      <c r="F545" s="302"/>
      <c r="G545" s="302"/>
      <c r="H545" s="302"/>
      <c r="I545" s="302"/>
      <c r="J545" s="302"/>
      <c r="K545" s="302"/>
      <c r="L545" s="302"/>
      <c r="M545" s="302"/>
      <c r="N545" s="302"/>
      <c r="O545" s="302"/>
      <c r="P545" s="302"/>
    </row>
    <row r="546" spans="1:16" ht="17">
      <c r="A546" s="97"/>
      <c r="B546" s="97"/>
      <c r="C546" s="97"/>
      <c r="D546" s="97"/>
      <c r="E546" s="97"/>
      <c r="F546" s="302"/>
      <c r="G546" s="302"/>
      <c r="H546" s="302"/>
      <c r="I546" s="302"/>
      <c r="J546" s="302"/>
      <c r="K546" s="302"/>
      <c r="L546" s="302"/>
      <c r="M546" s="302"/>
      <c r="N546" s="302"/>
      <c r="O546" s="302"/>
      <c r="P546" s="302"/>
    </row>
    <row r="547" spans="1:16" ht="17">
      <c r="A547" s="97"/>
      <c r="B547" s="97"/>
      <c r="C547" s="97"/>
      <c r="D547" s="97"/>
      <c r="E547" s="97"/>
      <c r="F547" s="302"/>
      <c r="G547" s="302"/>
      <c r="H547" s="302"/>
      <c r="I547" s="302"/>
      <c r="J547" s="302"/>
      <c r="K547" s="302"/>
      <c r="L547" s="302"/>
      <c r="M547" s="302"/>
      <c r="N547" s="302"/>
      <c r="O547" s="302"/>
      <c r="P547" s="302"/>
    </row>
    <row r="548" spans="1:16" ht="17">
      <c r="A548" s="97"/>
      <c r="B548" s="97"/>
      <c r="C548" s="97"/>
      <c r="D548" s="97"/>
      <c r="E548" s="97"/>
      <c r="F548" s="302"/>
      <c r="G548" s="302"/>
      <c r="H548" s="302"/>
      <c r="I548" s="302"/>
      <c r="J548" s="302"/>
      <c r="K548" s="302"/>
      <c r="L548" s="302"/>
      <c r="M548" s="302"/>
      <c r="N548" s="302"/>
      <c r="O548" s="302"/>
      <c r="P548" s="302"/>
    </row>
    <row r="549" spans="1:16" ht="17">
      <c r="A549" s="97"/>
      <c r="B549" s="97"/>
      <c r="C549" s="97"/>
      <c r="D549" s="97"/>
      <c r="E549" s="97"/>
      <c r="F549" s="302"/>
      <c r="G549" s="302"/>
      <c r="H549" s="302"/>
      <c r="I549" s="302"/>
      <c r="J549" s="302"/>
      <c r="K549" s="302"/>
      <c r="L549" s="302"/>
      <c r="M549" s="302"/>
      <c r="N549" s="302"/>
      <c r="O549" s="302"/>
      <c r="P549" s="302"/>
    </row>
    <row r="550" spans="1:16" ht="17">
      <c r="A550" s="97"/>
      <c r="B550" s="97"/>
      <c r="C550" s="97"/>
      <c r="D550" s="97"/>
      <c r="E550" s="97"/>
      <c r="F550" s="302"/>
      <c r="G550" s="302"/>
      <c r="H550" s="302"/>
      <c r="I550" s="302"/>
      <c r="J550" s="302"/>
      <c r="K550" s="302"/>
      <c r="L550" s="302"/>
      <c r="M550" s="302"/>
      <c r="N550" s="302"/>
      <c r="O550" s="302"/>
      <c r="P550" s="302"/>
    </row>
    <row r="551" spans="1:16" ht="17">
      <c r="A551" s="97"/>
      <c r="B551" s="97"/>
      <c r="C551" s="97"/>
      <c r="D551" s="97"/>
      <c r="E551" s="97"/>
      <c r="F551" s="302"/>
      <c r="G551" s="302"/>
      <c r="H551" s="302"/>
      <c r="I551" s="302"/>
      <c r="J551" s="302"/>
      <c r="K551" s="302"/>
      <c r="L551" s="302"/>
      <c r="M551" s="302"/>
      <c r="N551" s="302"/>
      <c r="O551" s="302"/>
      <c r="P551" s="302"/>
    </row>
    <row r="552" spans="1:16" ht="17">
      <c r="A552" s="97"/>
      <c r="B552" s="97"/>
      <c r="C552" s="97"/>
      <c r="D552" s="97"/>
      <c r="E552" s="97"/>
      <c r="F552" s="302"/>
      <c r="G552" s="302"/>
      <c r="H552" s="302"/>
      <c r="I552" s="302"/>
      <c r="J552" s="302"/>
      <c r="K552" s="302"/>
      <c r="L552" s="302"/>
      <c r="M552" s="302"/>
      <c r="N552" s="302"/>
      <c r="O552" s="302"/>
      <c r="P552" s="302"/>
    </row>
    <row r="553" spans="1:16" ht="17">
      <c r="A553" s="97"/>
      <c r="B553" s="97"/>
      <c r="C553" s="97"/>
      <c r="D553" s="97"/>
      <c r="E553" s="97"/>
      <c r="F553" s="302"/>
      <c r="G553" s="302"/>
      <c r="H553" s="302"/>
      <c r="I553" s="302"/>
      <c r="J553" s="302"/>
      <c r="K553" s="302"/>
      <c r="L553" s="302"/>
      <c r="M553" s="302"/>
      <c r="N553" s="302"/>
      <c r="O553" s="302"/>
      <c r="P553" s="302"/>
    </row>
    <row r="554" spans="1:16" ht="17">
      <c r="A554" s="97"/>
      <c r="B554" s="97"/>
      <c r="C554" s="97"/>
      <c r="D554" s="97"/>
      <c r="E554" s="97"/>
      <c r="F554" s="302"/>
      <c r="G554" s="302"/>
      <c r="H554" s="302"/>
      <c r="I554" s="302"/>
      <c r="J554" s="302"/>
      <c r="K554" s="302"/>
      <c r="L554" s="302"/>
      <c r="M554" s="302"/>
      <c r="N554" s="302"/>
      <c r="O554" s="302"/>
      <c r="P554" s="302"/>
    </row>
    <row r="555" spans="1:16" ht="17">
      <c r="A555" s="97"/>
      <c r="B555" s="97"/>
      <c r="C555" s="97"/>
      <c r="D555" s="97"/>
      <c r="E555" s="97"/>
      <c r="F555" s="302"/>
      <c r="G555" s="302"/>
      <c r="H555" s="302"/>
      <c r="I555" s="302"/>
      <c r="J555" s="302"/>
      <c r="K555" s="302"/>
      <c r="L555" s="302"/>
      <c r="M555" s="302"/>
      <c r="N555" s="302"/>
      <c r="O555" s="302"/>
      <c r="P555" s="302"/>
    </row>
    <row r="556" spans="1:16" ht="17">
      <c r="A556" s="97"/>
      <c r="B556" s="97"/>
      <c r="C556" s="97"/>
      <c r="D556" s="97"/>
      <c r="E556" s="97"/>
      <c r="F556" s="302"/>
      <c r="G556" s="302"/>
      <c r="H556" s="302"/>
      <c r="I556" s="302"/>
      <c r="J556" s="302"/>
      <c r="K556" s="302"/>
      <c r="L556" s="302"/>
      <c r="M556" s="302"/>
      <c r="N556" s="302"/>
      <c r="O556" s="302"/>
      <c r="P556" s="302"/>
    </row>
    <row r="557" spans="1:16" ht="17">
      <c r="A557" s="97"/>
      <c r="B557" s="97"/>
      <c r="C557" s="97"/>
      <c r="D557" s="97"/>
      <c r="E557" s="97"/>
      <c r="F557" s="302"/>
      <c r="G557" s="302"/>
      <c r="H557" s="302"/>
      <c r="I557" s="302"/>
      <c r="J557" s="302"/>
      <c r="K557" s="302"/>
      <c r="L557" s="302"/>
      <c r="M557" s="302"/>
      <c r="N557" s="302"/>
      <c r="O557" s="302"/>
      <c r="P557" s="302"/>
    </row>
    <row r="558" spans="1:16" ht="17">
      <c r="A558" s="97"/>
      <c r="B558" s="97"/>
      <c r="C558" s="97"/>
      <c r="D558" s="97"/>
      <c r="E558" s="97"/>
      <c r="F558" s="302"/>
      <c r="G558" s="302"/>
      <c r="H558" s="302"/>
      <c r="I558" s="302"/>
      <c r="J558" s="302"/>
      <c r="K558" s="302"/>
      <c r="L558" s="302"/>
      <c r="M558" s="302"/>
      <c r="N558" s="302"/>
      <c r="O558" s="302"/>
      <c r="P558" s="302"/>
    </row>
    <row r="559" spans="1:16" ht="17">
      <c r="A559" s="97"/>
      <c r="B559" s="97"/>
      <c r="C559" s="97"/>
      <c r="D559" s="97"/>
      <c r="E559" s="97"/>
      <c r="F559" s="302"/>
      <c r="G559" s="302"/>
      <c r="H559" s="302"/>
      <c r="I559" s="302"/>
      <c r="J559" s="302"/>
      <c r="K559" s="302"/>
      <c r="L559" s="302"/>
      <c r="M559" s="302"/>
      <c r="N559" s="302"/>
      <c r="O559" s="302"/>
      <c r="P559" s="302"/>
    </row>
    <row r="560" spans="1:16" ht="17">
      <c r="A560" s="97"/>
      <c r="B560" s="97"/>
      <c r="C560" s="97"/>
      <c r="D560" s="97"/>
      <c r="E560" s="97"/>
      <c r="F560" s="302"/>
      <c r="G560" s="302"/>
      <c r="H560" s="302"/>
      <c r="I560" s="302"/>
      <c r="J560" s="302"/>
      <c r="K560" s="302"/>
      <c r="L560" s="302"/>
      <c r="M560" s="302"/>
      <c r="N560" s="302"/>
      <c r="O560" s="302"/>
      <c r="P560" s="302"/>
    </row>
    <row r="561" spans="1:16" ht="17">
      <c r="A561" s="97"/>
      <c r="B561" s="97"/>
      <c r="C561" s="97"/>
      <c r="D561" s="97"/>
      <c r="E561" s="97"/>
      <c r="F561" s="302"/>
      <c r="G561" s="302"/>
      <c r="H561" s="302"/>
      <c r="I561" s="302"/>
      <c r="J561" s="302"/>
      <c r="K561" s="302"/>
      <c r="L561" s="302"/>
      <c r="M561" s="302"/>
      <c r="N561" s="302"/>
      <c r="O561" s="302"/>
      <c r="P561" s="302"/>
    </row>
    <row r="562" spans="1:16" ht="17">
      <c r="A562" s="97"/>
      <c r="B562" s="97"/>
      <c r="C562" s="97"/>
      <c r="D562" s="97"/>
      <c r="E562" s="97"/>
      <c r="F562" s="302"/>
      <c r="G562" s="302"/>
      <c r="H562" s="302"/>
      <c r="I562" s="302"/>
      <c r="J562" s="302"/>
      <c r="K562" s="302"/>
      <c r="L562" s="302"/>
      <c r="M562" s="302"/>
      <c r="N562" s="302"/>
      <c r="O562" s="302"/>
      <c r="P562" s="302"/>
    </row>
    <row r="563" spans="1:16" ht="17">
      <c r="A563" s="97"/>
      <c r="B563" s="97"/>
      <c r="C563" s="97"/>
      <c r="D563" s="97"/>
      <c r="E563" s="97"/>
      <c r="F563" s="302"/>
      <c r="G563" s="302"/>
      <c r="H563" s="302"/>
      <c r="I563" s="302"/>
      <c r="J563" s="302"/>
      <c r="K563" s="302"/>
      <c r="L563" s="302"/>
      <c r="M563" s="302"/>
      <c r="N563" s="302"/>
      <c r="O563" s="302"/>
      <c r="P563" s="302"/>
    </row>
    <row r="564" spans="1:16" ht="17">
      <c r="A564" s="97"/>
      <c r="B564" s="97"/>
      <c r="C564" s="97"/>
      <c r="D564" s="97"/>
      <c r="E564" s="97"/>
      <c r="F564" s="302"/>
      <c r="G564" s="302"/>
      <c r="H564" s="302"/>
      <c r="I564" s="302"/>
      <c r="J564" s="302"/>
      <c r="K564" s="302"/>
      <c r="L564" s="302"/>
      <c r="M564" s="302"/>
      <c r="N564" s="302"/>
      <c r="O564" s="302"/>
      <c r="P564" s="302"/>
    </row>
    <row r="565" spans="1:16" ht="17">
      <c r="A565" s="97"/>
      <c r="B565" s="97"/>
      <c r="C565" s="97"/>
      <c r="D565" s="97"/>
      <c r="E565" s="97"/>
      <c r="F565" s="302"/>
      <c r="G565" s="302"/>
      <c r="H565" s="302"/>
      <c r="I565" s="302"/>
      <c r="J565" s="302"/>
      <c r="K565" s="302"/>
      <c r="L565" s="302"/>
      <c r="M565" s="302"/>
      <c r="N565" s="302"/>
      <c r="O565" s="302"/>
      <c r="P565" s="302"/>
    </row>
    <row r="566" spans="1:16" ht="17">
      <c r="A566" s="97"/>
      <c r="B566" s="97"/>
      <c r="C566" s="97"/>
      <c r="D566" s="97"/>
      <c r="E566" s="97"/>
      <c r="F566" s="302"/>
      <c r="G566" s="302"/>
      <c r="H566" s="302"/>
      <c r="I566" s="302"/>
      <c r="J566" s="302"/>
      <c r="K566" s="302"/>
      <c r="L566" s="302"/>
      <c r="M566" s="302"/>
      <c r="N566" s="302"/>
      <c r="O566" s="302"/>
      <c r="P566" s="302"/>
    </row>
    <row r="567" spans="1:16" ht="17">
      <c r="A567" s="97"/>
      <c r="B567" s="97"/>
      <c r="C567" s="97"/>
      <c r="D567" s="97"/>
      <c r="E567" s="97"/>
      <c r="F567" s="302"/>
      <c r="G567" s="302"/>
      <c r="H567" s="302"/>
      <c r="I567" s="302"/>
      <c r="J567" s="302"/>
      <c r="K567" s="302"/>
      <c r="L567" s="302"/>
      <c r="M567" s="302"/>
      <c r="N567" s="302"/>
      <c r="O567" s="302"/>
      <c r="P567" s="302"/>
    </row>
    <row r="568" spans="1:16" ht="17">
      <c r="A568" s="97"/>
      <c r="B568" s="97"/>
      <c r="C568" s="97"/>
      <c r="D568" s="97"/>
      <c r="E568" s="97"/>
      <c r="F568" s="302"/>
      <c r="G568" s="302"/>
      <c r="H568" s="302"/>
      <c r="I568" s="302"/>
      <c r="J568" s="302"/>
      <c r="K568" s="302"/>
      <c r="L568" s="302"/>
      <c r="M568" s="302"/>
      <c r="N568" s="302"/>
      <c r="O568" s="302"/>
      <c r="P568" s="302"/>
    </row>
    <row r="569" spans="1:16" ht="17">
      <c r="A569" s="97"/>
      <c r="B569" s="97"/>
      <c r="C569" s="97"/>
      <c r="D569" s="97"/>
      <c r="E569" s="97"/>
      <c r="F569" s="302"/>
      <c r="G569" s="302"/>
      <c r="H569" s="302"/>
      <c r="I569" s="302"/>
      <c r="J569" s="302"/>
      <c r="K569" s="302"/>
      <c r="L569" s="302"/>
      <c r="M569" s="302"/>
      <c r="N569" s="302"/>
      <c r="O569" s="302"/>
      <c r="P569" s="302"/>
    </row>
    <row r="570" spans="1:16" ht="17">
      <c r="A570" s="97"/>
      <c r="B570" s="97"/>
      <c r="C570" s="97"/>
      <c r="D570" s="97"/>
      <c r="E570" s="97"/>
      <c r="F570" s="302"/>
      <c r="G570" s="302"/>
      <c r="H570" s="302"/>
      <c r="I570" s="302"/>
      <c r="J570" s="302"/>
      <c r="K570" s="302"/>
      <c r="L570" s="302"/>
      <c r="M570" s="302"/>
      <c r="N570" s="302"/>
      <c r="O570" s="302"/>
      <c r="P570" s="302"/>
    </row>
    <row r="571" spans="1:16" ht="17">
      <c r="A571" s="97"/>
      <c r="B571" s="97"/>
      <c r="C571" s="97"/>
      <c r="D571" s="97"/>
      <c r="E571" s="97"/>
      <c r="F571" s="302"/>
      <c r="G571" s="302"/>
      <c r="H571" s="302"/>
      <c r="I571" s="302"/>
      <c r="J571" s="302"/>
      <c r="K571" s="302"/>
      <c r="L571" s="302"/>
      <c r="M571" s="302"/>
      <c r="N571" s="302"/>
      <c r="O571" s="302"/>
      <c r="P571" s="302"/>
    </row>
    <row r="572" spans="1:16" ht="17">
      <c r="A572" s="97"/>
      <c r="B572" s="97"/>
      <c r="C572" s="97"/>
      <c r="D572" s="97"/>
      <c r="E572" s="97"/>
      <c r="F572" s="302"/>
      <c r="G572" s="302"/>
      <c r="H572" s="302"/>
      <c r="I572" s="302"/>
      <c r="J572" s="302"/>
      <c r="K572" s="302"/>
      <c r="L572" s="302"/>
      <c r="M572" s="302"/>
      <c r="N572" s="302"/>
      <c r="O572" s="302"/>
      <c r="P572" s="302"/>
    </row>
    <row r="573" spans="1:16" ht="17">
      <c r="A573" s="97"/>
      <c r="B573" s="97"/>
      <c r="C573" s="97"/>
      <c r="D573" s="97"/>
      <c r="E573" s="97"/>
      <c r="F573" s="302"/>
      <c r="G573" s="302"/>
      <c r="H573" s="302"/>
      <c r="I573" s="302"/>
      <c r="J573" s="302"/>
      <c r="K573" s="302"/>
      <c r="L573" s="302"/>
      <c r="M573" s="302"/>
      <c r="N573" s="302"/>
      <c r="O573" s="302"/>
      <c r="P573" s="302"/>
    </row>
    <row r="574" spans="1:16" ht="17">
      <c r="A574" s="97"/>
      <c r="B574" s="97"/>
      <c r="C574" s="97"/>
      <c r="D574" s="97"/>
      <c r="E574" s="97"/>
      <c r="F574" s="302"/>
      <c r="G574" s="302"/>
      <c r="H574" s="302"/>
      <c r="I574" s="302"/>
      <c r="J574" s="302"/>
      <c r="K574" s="302"/>
      <c r="L574" s="302"/>
      <c r="M574" s="302"/>
      <c r="N574" s="302"/>
      <c r="O574" s="302"/>
      <c r="P574" s="302"/>
    </row>
    <row r="575" spans="1:16" ht="17">
      <c r="A575" s="97"/>
      <c r="B575" s="97"/>
      <c r="C575" s="97"/>
      <c r="D575" s="97"/>
      <c r="E575" s="97"/>
      <c r="F575" s="302"/>
      <c r="G575" s="302"/>
      <c r="H575" s="302"/>
      <c r="I575" s="302"/>
      <c r="J575" s="302"/>
      <c r="K575" s="302"/>
      <c r="L575" s="302"/>
      <c r="M575" s="302"/>
      <c r="N575" s="302"/>
      <c r="O575" s="302"/>
      <c r="P575" s="302"/>
    </row>
    <row r="576" spans="1:16" ht="17">
      <c r="A576" s="97"/>
      <c r="B576" s="97"/>
      <c r="C576" s="97"/>
      <c r="D576" s="97"/>
      <c r="E576" s="97"/>
      <c r="F576" s="302"/>
      <c r="G576" s="302"/>
      <c r="H576" s="302"/>
      <c r="I576" s="302"/>
      <c r="J576" s="302"/>
      <c r="K576" s="302"/>
      <c r="L576" s="302"/>
      <c r="M576" s="302"/>
      <c r="N576" s="302"/>
      <c r="O576" s="302"/>
      <c r="P576" s="302"/>
    </row>
    <row r="577" spans="1:16" ht="17">
      <c r="A577" s="97"/>
      <c r="B577" s="97"/>
      <c r="C577" s="97"/>
      <c r="D577" s="97"/>
      <c r="E577" s="97"/>
      <c r="F577" s="302"/>
      <c r="G577" s="302"/>
      <c r="H577" s="302"/>
      <c r="I577" s="302"/>
      <c r="J577" s="302"/>
      <c r="K577" s="302"/>
      <c r="L577" s="302"/>
      <c r="M577" s="302"/>
      <c r="N577" s="302"/>
      <c r="O577" s="302"/>
      <c r="P577" s="302"/>
    </row>
    <row r="578" spans="1:16" ht="17">
      <c r="A578" s="97"/>
      <c r="B578" s="97"/>
      <c r="C578" s="97"/>
      <c r="D578" s="97"/>
      <c r="E578" s="97"/>
      <c r="F578" s="302"/>
      <c r="G578" s="302"/>
      <c r="H578" s="302"/>
      <c r="I578" s="302"/>
      <c r="J578" s="302"/>
      <c r="K578" s="302"/>
      <c r="L578" s="302"/>
      <c r="M578" s="302"/>
      <c r="N578" s="302"/>
      <c r="O578" s="302"/>
      <c r="P578" s="302"/>
    </row>
    <row r="579" spans="1:16" ht="17">
      <c r="A579" s="97"/>
      <c r="B579" s="97"/>
      <c r="C579" s="97"/>
      <c r="D579" s="97"/>
      <c r="E579" s="97"/>
      <c r="F579" s="302"/>
      <c r="G579" s="302"/>
      <c r="H579" s="302"/>
      <c r="I579" s="302"/>
      <c r="J579" s="302"/>
      <c r="K579" s="302"/>
      <c r="L579" s="302"/>
      <c r="M579" s="302"/>
      <c r="N579" s="302"/>
      <c r="O579" s="302"/>
      <c r="P579" s="302"/>
    </row>
    <row r="580" spans="1:16" ht="17">
      <c r="A580" s="97"/>
      <c r="B580" s="97"/>
      <c r="C580" s="97"/>
      <c r="D580" s="97"/>
      <c r="E580" s="97"/>
      <c r="F580" s="302"/>
      <c r="G580" s="302"/>
      <c r="H580" s="302"/>
      <c r="I580" s="302"/>
      <c r="J580" s="302"/>
      <c r="K580" s="302"/>
      <c r="L580" s="302"/>
      <c r="M580" s="302"/>
      <c r="N580" s="302"/>
      <c r="O580" s="302"/>
      <c r="P580" s="302"/>
    </row>
    <row r="581" spans="1:16" ht="17">
      <c r="A581" s="97"/>
      <c r="B581" s="97"/>
      <c r="C581" s="97"/>
      <c r="D581" s="97"/>
      <c r="E581" s="97"/>
      <c r="F581" s="302"/>
      <c r="G581" s="302"/>
      <c r="H581" s="302"/>
      <c r="I581" s="302"/>
      <c r="J581" s="302"/>
      <c r="K581" s="302"/>
      <c r="L581" s="302"/>
      <c r="M581" s="302"/>
      <c r="N581" s="302"/>
      <c r="O581" s="302"/>
      <c r="P581" s="302"/>
    </row>
    <row r="582" spans="1:16" ht="17">
      <c r="A582" s="97"/>
      <c r="B582" s="97"/>
      <c r="C582" s="97"/>
      <c r="D582" s="97"/>
      <c r="E582" s="97"/>
      <c r="F582" s="302"/>
      <c r="G582" s="302"/>
      <c r="H582" s="302"/>
      <c r="I582" s="302"/>
      <c r="J582" s="302"/>
      <c r="K582" s="302"/>
      <c r="L582" s="302"/>
      <c r="M582" s="302"/>
      <c r="N582" s="302"/>
      <c r="O582" s="302"/>
      <c r="P582" s="302"/>
    </row>
    <row r="583" spans="1:16" ht="17">
      <c r="A583" s="97"/>
      <c r="B583" s="97"/>
      <c r="C583" s="97"/>
      <c r="D583" s="97"/>
      <c r="E583" s="97"/>
      <c r="F583" s="302"/>
      <c r="G583" s="302"/>
      <c r="H583" s="302"/>
      <c r="I583" s="302"/>
      <c r="J583" s="302"/>
      <c r="K583" s="302"/>
      <c r="L583" s="302"/>
      <c r="M583" s="302"/>
      <c r="N583" s="302"/>
      <c r="O583" s="302"/>
      <c r="P583" s="302"/>
    </row>
    <row r="584" spans="1:16" ht="17">
      <c r="A584" s="97"/>
      <c r="B584" s="97"/>
      <c r="C584" s="97"/>
      <c r="D584" s="97"/>
      <c r="E584" s="97"/>
      <c r="F584" s="302"/>
      <c r="G584" s="302"/>
      <c r="H584" s="302"/>
      <c r="I584" s="302"/>
      <c r="J584" s="302"/>
      <c r="K584" s="302"/>
      <c r="L584" s="302"/>
      <c r="M584" s="302"/>
      <c r="N584" s="302"/>
      <c r="O584" s="302"/>
      <c r="P584" s="302"/>
    </row>
    <row r="585" spans="1:16" ht="17">
      <c r="A585" s="97"/>
      <c r="B585" s="97"/>
      <c r="C585" s="97"/>
      <c r="D585" s="97"/>
      <c r="E585" s="97"/>
      <c r="F585" s="302"/>
      <c r="G585" s="302"/>
      <c r="H585" s="302"/>
      <c r="I585" s="302"/>
      <c r="J585" s="302"/>
      <c r="K585" s="302"/>
      <c r="L585" s="302"/>
      <c r="M585" s="302"/>
      <c r="N585" s="302"/>
      <c r="O585" s="302"/>
      <c r="P585" s="302"/>
    </row>
    <row r="586" spans="1:16" ht="17">
      <c r="A586" s="97"/>
      <c r="B586" s="97"/>
      <c r="C586" s="97"/>
      <c r="D586" s="97"/>
      <c r="E586" s="97"/>
      <c r="F586" s="302"/>
      <c r="G586" s="302"/>
      <c r="H586" s="302"/>
      <c r="I586" s="302"/>
      <c r="J586" s="302"/>
      <c r="K586" s="302"/>
      <c r="L586" s="302"/>
      <c r="M586" s="302"/>
      <c r="N586" s="302"/>
      <c r="O586" s="302"/>
      <c r="P586" s="302"/>
    </row>
    <row r="587" spans="1:16" ht="17">
      <c r="A587" s="97"/>
      <c r="B587" s="97"/>
      <c r="C587" s="97"/>
      <c r="D587" s="97"/>
      <c r="E587" s="97"/>
      <c r="F587" s="302"/>
      <c r="G587" s="302"/>
      <c r="H587" s="302"/>
      <c r="I587" s="302"/>
      <c r="J587" s="302"/>
      <c r="K587" s="302"/>
      <c r="L587" s="302"/>
      <c r="M587" s="302"/>
      <c r="N587" s="302"/>
      <c r="O587" s="302"/>
      <c r="P587" s="302"/>
    </row>
    <row r="588" spans="1:16" ht="17">
      <c r="A588" s="97"/>
      <c r="B588" s="97"/>
      <c r="C588" s="97"/>
      <c r="D588" s="97"/>
      <c r="E588" s="97"/>
      <c r="F588" s="302"/>
      <c r="G588" s="302"/>
      <c r="H588" s="302"/>
      <c r="I588" s="302"/>
      <c r="J588" s="302"/>
      <c r="K588" s="302"/>
      <c r="L588" s="302"/>
      <c r="M588" s="302"/>
      <c r="N588" s="302"/>
      <c r="O588" s="302"/>
      <c r="P588" s="302"/>
    </row>
    <row r="589" spans="1:16" ht="17">
      <c r="A589" s="97"/>
      <c r="B589" s="97"/>
      <c r="C589" s="97"/>
      <c r="D589" s="97"/>
      <c r="E589" s="97"/>
      <c r="F589" s="302"/>
      <c r="G589" s="302"/>
      <c r="H589" s="302"/>
      <c r="I589" s="302"/>
      <c r="J589" s="302"/>
      <c r="K589" s="302"/>
      <c r="L589" s="302"/>
      <c r="M589" s="302"/>
      <c r="N589" s="302"/>
      <c r="O589" s="302"/>
      <c r="P589" s="302"/>
    </row>
    <row r="590" spans="1:16" ht="17">
      <c r="A590" s="97"/>
      <c r="B590" s="97"/>
      <c r="C590" s="97"/>
      <c r="D590" s="97"/>
      <c r="E590" s="97"/>
      <c r="F590" s="302"/>
      <c r="G590" s="302"/>
      <c r="H590" s="302"/>
      <c r="I590" s="302"/>
      <c r="J590" s="302"/>
      <c r="K590" s="302"/>
      <c r="L590" s="302"/>
      <c r="M590" s="302"/>
      <c r="N590" s="302"/>
      <c r="O590" s="302"/>
      <c r="P590" s="302"/>
    </row>
    <row r="591" spans="1:16" ht="17">
      <c r="A591" s="97"/>
      <c r="B591" s="97"/>
      <c r="C591" s="97"/>
      <c r="D591" s="97"/>
      <c r="E591" s="97"/>
      <c r="F591" s="302"/>
      <c r="G591" s="302"/>
      <c r="H591" s="302"/>
      <c r="I591" s="302"/>
      <c r="J591" s="302"/>
      <c r="K591" s="302"/>
      <c r="L591" s="302"/>
      <c r="M591" s="302"/>
      <c r="N591" s="302"/>
      <c r="O591" s="302"/>
      <c r="P591" s="302"/>
    </row>
    <row r="592" spans="1:16" ht="17">
      <c r="A592" s="97"/>
      <c r="B592" s="97"/>
      <c r="C592" s="97"/>
      <c r="D592" s="97"/>
      <c r="E592" s="97"/>
      <c r="F592" s="302"/>
      <c r="G592" s="302"/>
      <c r="H592" s="302"/>
      <c r="I592" s="302"/>
      <c r="J592" s="302"/>
      <c r="K592" s="302"/>
      <c r="L592" s="302"/>
      <c r="M592" s="302"/>
      <c r="N592" s="302"/>
      <c r="O592" s="302"/>
      <c r="P592" s="302"/>
    </row>
    <row r="593" spans="1:16" ht="17">
      <c r="A593" s="97"/>
      <c r="B593" s="97"/>
      <c r="C593" s="97"/>
      <c r="D593" s="97"/>
      <c r="E593" s="97"/>
      <c r="F593" s="302"/>
      <c r="G593" s="302"/>
      <c r="H593" s="302"/>
      <c r="I593" s="302"/>
      <c r="J593" s="302"/>
      <c r="K593" s="302"/>
      <c r="L593" s="302"/>
      <c r="M593" s="302"/>
      <c r="N593" s="302"/>
      <c r="O593" s="302"/>
      <c r="P593" s="302"/>
    </row>
    <row r="594" spans="1:16" ht="17">
      <c r="A594" s="97"/>
      <c r="B594" s="97"/>
      <c r="C594" s="97"/>
      <c r="D594" s="97"/>
      <c r="E594" s="97"/>
      <c r="F594" s="302"/>
      <c r="G594" s="302"/>
      <c r="H594" s="302"/>
      <c r="I594" s="302"/>
      <c r="J594" s="302"/>
      <c r="K594" s="302"/>
      <c r="L594" s="302"/>
      <c r="M594" s="302"/>
      <c r="N594" s="302"/>
      <c r="O594" s="302"/>
      <c r="P594" s="302"/>
    </row>
    <row r="595" spans="1:16" ht="17">
      <c r="A595" s="97"/>
      <c r="B595" s="97"/>
      <c r="C595" s="97"/>
      <c r="D595" s="97"/>
      <c r="E595" s="97"/>
      <c r="F595" s="302"/>
      <c r="G595" s="302"/>
      <c r="H595" s="302"/>
      <c r="I595" s="302"/>
      <c r="J595" s="302"/>
      <c r="K595" s="302"/>
      <c r="L595" s="302"/>
      <c r="M595" s="302"/>
      <c r="N595" s="302"/>
      <c r="O595" s="302"/>
      <c r="P595" s="302"/>
    </row>
    <row r="596" spans="1:16" ht="17">
      <c r="A596" s="97"/>
      <c r="B596" s="97"/>
      <c r="C596" s="97"/>
      <c r="D596" s="97"/>
      <c r="E596" s="97"/>
      <c r="F596" s="302"/>
      <c r="G596" s="302"/>
      <c r="H596" s="302"/>
      <c r="I596" s="302"/>
      <c r="J596" s="302"/>
      <c r="K596" s="302"/>
      <c r="L596" s="302"/>
      <c r="M596" s="302"/>
      <c r="N596" s="302"/>
      <c r="O596" s="302"/>
      <c r="P596" s="302"/>
    </row>
    <row r="597" spans="1:16" ht="17">
      <c r="A597" s="97"/>
      <c r="B597" s="97"/>
      <c r="C597" s="97"/>
      <c r="D597" s="97"/>
      <c r="E597" s="97"/>
      <c r="F597" s="302"/>
      <c r="G597" s="302"/>
      <c r="H597" s="302"/>
      <c r="I597" s="302"/>
      <c r="J597" s="302"/>
      <c r="K597" s="302"/>
      <c r="L597" s="302"/>
      <c r="M597" s="302"/>
      <c r="N597" s="302"/>
      <c r="O597" s="302"/>
      <c r="P597" s="302"/>
    </row>
    <row r="598" spans="1:16" ht="17">
      <c r="A598" s="97"/>
      <c r="B598" s="97"/>
      <c r="C598" s="97"/>
      <c r="D598" s="97"/>
      <c r="E598" s="97"/>
      <c r="F598" s="302"/>
      <c r="G598" s="302"/>
      <c r="H598" s="302"/>
      <c r="I598" s="302"/>
      <c r="J598" s="302"/>
      <c r="K598" s="302"/>
      <c r="L598" s="302"/>
      <c r="M598" s="302"/>
      <c r="N598" s="302"/>
      <c r="O598" s="302"/>
      <c r="P598" s="302"/>
    </row>
    <row r="599" spans="1:16" ht="17">
      <c r="A599" s="97"/>
      <c r="B599" s="97"/>
      <c r="C599" s="97"/>
      <c r="D599" s="97"/>
      <c r="E599" s="97"/>
      <c r="F599" s="302"/>
      <c r="G599" s="302"/>
      <c r="H599" s="302"/>
      <c r="I599" s="302"/>
      <c r="J599" s="302"/>
      <c r="K599" s="302"/>
      <c r="L599" s="302"/>
      <c r="M599" s="302"/>
      <c r="N599" s="302"/>
      <c r="O599" s="302"/>
      <c r="P599" s="302"/>
    </row>
    <row r="600" spans="1:16" ht="17">
      <c r="A600" s="97"/>
      <c r="B600" s="97"/>
      <c r="C600" s="97"/>
      <c r="D600" s="97"/>
      <c r="E600" s="97"/>
      <c r="F600" s="302"/>
      <c r="G600" s="302"/>
      <c r="H600" s="302"/>
      <c r="I600" s="302"/>
      <c r="J600" s="302"/>
      <c r="K600" s="302"/>
      <c r="L600" s="302"/>
      <c r="M600" s="302"/>
      <c r="N600" s="302"/>
      <c r="O600" s="302"/>
      <c r="P600" s="302"/>
    </row>
    <row r="601" spans="1:16" ht="17">
      <c r="A601" s="97"/>
      <c r="B601" s="97"/>
      <c r="C601" s="97"/>
      <c r="D601" s="97"/>
      <c r="E601" s="97"/>
      <c r="F601" s="302"/>
      <c r="G601" s="302"/>
      <c r="H601" s="302"/>
      <c r="I601" s="302"/>
      <c r="J601" s="302"/>
      <c r="K601" s="302"/>
      <c r="L601" s="302"/>
      <c r="M601" s="302"/>
      <c r="N601" s="302"/>
      <c r="O601" s="302"/>
      <c r="P601" s="302"/>
    </row>
    <row r="602" spans="1:16" ht="17">
      <c r="A602" s="97"/>
      <c r="B602" s="97"/>
      <c r="C602" s="97"/>
      <c r="D602" s="97"/>
      <c r="E602" s="97"/>
      <c r="F602" s="302"/>
      <c r="G602" s="302"/>
      <c r="H602" s="302"/>
      <c r="I602" s="302"/>
      <c r="J602" s="302"/>
      <c r="K602" s="302"/>
      <c r="L602" s="302"/>
      <c r="M602" s="302"/>
      <c r="N602" s="302"/>
      <c r="O602" s="302"/>
      <c r="P602" s="302"/>
    </row>
    <row r="603" spans="1:16" ht="17">
      <c r="A603" s="97"/>
      <c r="B603" s="97"/>
      <c r="C603" s="97"/>
      <c r="D603" s="97"/>
      <c r="E603" s="97"/>
      <c r="F603" s="302"/>
      <c r="G603" s="302"/>
      <c r="H603" s="302"/>
      <c r="I603" s="302"/>
      <c r="J603" s="302"/>
      <c r="K603" s="302"/>
      <c r="L603" s="302"/>
      <c r="M603" s="302"/>
      <c r="N603" s="302"/>
      <c r="O603" s="302"/>
      <c r="P603" s="302"/>
    </row>
    <row r="604" spans="1:16" ht="17">
      <c r="A604" s="97"/>
      <c r="B604" s="97"/>
      <c r="C604" s="97"/>
      <c r="D604" s="97"/>
      <c r="E604" s="97"/>
      <c r="F604" s="302"/>
      <c r="G604" s="302"/>
      <c r="H604" s="302"/>
      <c r="I604" s="302"/>
      <c r="J604" s="302"/>
      <c r="K604" s="302"/>
      <c r="L604" s="302"/>
      <c r="M604" s="302"/>
      <c r="N604" s="302"/>
      <c r="O604" s="302"/>
      <c r="P604" s="302"/>
    </row>
    <row r="605" spans="1:16" ht="17">
      <c r="A605" s="97"/>
      <c r="B605" s="97"/>
      <c r="C605" s="97"/>
      <c r="D605" s="97"/>
      <c r="E605" s="97"/>
      <c r="F605" s="302"/>
      <c r="G605" s="302"/>
      <c r="H605" s="302"/>
      <c r="I605" s="302"/>
      <c r="J605" s="302"/>
      <c r="K605" s="302"/>
      <c r="L605" s="302"/>
      <c r="M605" s="302"/>
      <c r="N605" s="302"/>
      <c r="O605" s="302"/>
      <c r="P605" s="302"/>
    </row>
    <row r="606" spans="1:16" ht="17">
      <c r="A606" s="97"/>
      <c r="B606" s="97"/>
      <c r="C606" s="97"/>
      <c r="D606" s="97"/>
      <c r="E606" s="97"/>
      <c r="F606" s="302"/>
      <c r="G606" s="302"/>
      <c r="H606" s="302"/>
      <c r="I606" s="302"/>
      <c r="J606" s="302"/>
      <c r="K606" s="302"/>
      <c r="L606" s="302"/>
      <c r="M606" s="302"/>
      <c r="N606" s="302"/>
      <c r="O606" s="302"/>
      <c r="P606" s="302"/>
    </row>
    <row r="607" spans="1:16" ht="17">
      <c r="A607" s="97"/>
      <c r="B607" s="97"/>
      <c r="C607" s="97"/>
      <c r="D607" s="97"/>
      <c r="E607" s="97"/>
      <c r="F607" s="302"/>
      <c r="G607" s="302"/>
      <c r="H607" s="302"/>
      <c r="I607" s="302"/>
      <c r="J607" s="302"/>
      <c r="K607" s="302"/>
      <c r="L607" s="302"/>
      <c r="M607" s="302"/>
      <c r="N607" s="302"/>
      <c r="O607" s="302"/>
      <c r="P607" s="302"/>
    </row>
    <row r="608" spans="1:16" ht="17">
      <c r="A608" s="97"/>
      <c r="B608" s="97"/>
      <c r="C608" s="97"/>
      <c r="D608" s="97"/>
      <c r="E608" s="97"/>
      <c r="F608" s="302"/>
      <c r="G608" s="302"/>
      <c r="H608" s="302"/>
      <c r="I608" s="302"/>
      <c r="J608" s="302"/>
      <c r="K608" s="302"/>
      <c r="L608" s="302"/>
      <c r="M608" s="302"/>
      <c r="N608" s="302"/>
      <c r="O608" s="302"/>
      <c r="P608" s="302"/>
    </row>
    <row r="609" spans="1:16" ht="17">
      <c r="A609" s="97"/>
      <c r="B609" s="97"/>
      <c r="C609" s="97"/>
      <c r="D609" s="97"/>
      <c r="E609" s="97"/>
      <c r="F609" s="302"/>
      <c r="G609" s="302"/>
      <c r="H609" s="302"/>
      <c r="I609" s="302"/>
      <c r="J609" s="302"/>
      <c r="K609" s="302"/>
      <c r="L609" s="302"/>
      <c r="M609" s="302"/>
      <c r="N609" s="302"/>
      <c r="O609" s="302"/>
      <c r="P609" s="302"/>
    </row>
    <row r="610" spans="1:16" ht="17">
      <c r="A610" s="97"/>
      <c r="B610" s="97"/>
      <c r="C610" s="97"/>
      <c r="D610" s="97"/>
      <c r="E610" s="97"/>
      <c r="F610" s="302"/>
      <c r="G610" s="302"/>
      <c r="H610" s="302"/>
      <c r="I610" s="302"/>
      <c r="J610" s="302"/>
      <c r="K610" s="302"/>
      <c r="L610" s="302"/>
      <c r="M610" s="302"/>
      <c r="N610" s="302"/>
      <c r="O610" s="302"/>
      <c r="P610" s="302"/>
    </row>
    <row r="611" spans="1:16" ht="17">
      <c r="A611" s="97"/>
      <c r="B611" s="97"/>
      <c r="C611" s="97"/>
      <c r="D611" s="97"/>
      <c r="E611" s="97"/>
      <c r="F611" s="302"/>
      <c r="G611" s="302"/>
      <c r="H611" s="302"/>
      <c r="I611" s="302"/>
      <c r="J611" s="302"/>
      <c r="K611" s="302"/>
      <c r="L611" s="302"/>
      <c r="M611" s="302"/>
      <c r="N611" s="302"/>
      <c r="O611" s="302"/>
      <c r="P611" s="302"/>
    </row>
    <row r="612" spans="1:16" ht="17">
      <c r="A612" s="97"/>
      <c r="B612" s="97"/>
      <c r="C612" s="97"/>
      <c r="D612" s="97"/>
      <c r="E612" s="97"/>
      <c r="F612" s="302"/>
      <c r="G612" s="302"/>
      <c r="H612" s="302"/>
      <c r="I612" s="302"/>
      <c r="J612" s="302"/>
      <c r="K612" s="302"/>
      <c r="L612" s="302"/>
      <c r="M612" s="302"/>
      <c r="N612" s="302"/>
      <c r="O612" s="302"/>
      <c r="P612" s="302"/>
    </row>
    <row r="613" spans="1:16" ht="17">
      <c r="A613" s="97"/>
      <c r="B613" s="97"/>
      <c r="C613" s="97"/>
      <c r="D613" s="97"/>
      <c r="E613" s="97"/>
      <c r="F613" s="302"/>
      <c r="G613" s="302"/>
      <c r="H613" s="302"/>
      <c r="I613" s="302"/>
      <c r="J613" s="302"/>
      <c r="K613" s="302"/>
      <c r="L613" s="302"/>
      <c r="M613" s="302"/>
      <c r="N613" s="302"/>
      <c r="O613" s="302"/>
      <c r="P613" s="302"/>
    </row>
    <row r="614" spans="1:16" ht="17">
      <c r="A614" s="97"/>
      <c r="B614" s="97"/>
      <c r="C614" s="97"/>
      <c r="D614" s="97"/>
      <c r="E614" s="97"/>
      <c r="F614" s="302"/>
      <c r="G614" s="302"/>
      <c r="H614" s="302"/>
      <c r="I614" s="302"/>
      <c r="J614" s="302"/>
      <c r="K614" s="302"/>
      <c r="L614" s="302"/>
      <c r="M614" s="302"/>
      <c r="N614" s="302"/>
      <c r="O614" s="302"/>
      <c r="P614" s="302"/>
    </row>
    <row r="615" spans="1:16" ht="17">
      <c r="A615" s="97"/>
      <c r="B615" s="97"/>
      <c r="C615" s="97"/>
      <c r="D615" s="97"/>
      <c r="E615" s="97"/>
      <c r="F615" s="302"/>
      <c r="G615" s="302"/>
      <c r="H615" s="302"/>
      <c r="I615" s="302"/>
      <c r="J615" s="302"/>
      <c r="K615" s="302"/>
      <c r="L615" s="302"/>
      <c r="M615" s="302"/>
      <c r="N615" s="302"/>
      <c r="O615" s="302"/>
      <c r="P615" s="302"/>
    </row>
    <row r="616" spans="1:16" ht="17">
      <c r="A616" s="97"/>
      <c r="B616" s="97"/>
      <c r="C616" s="97"/>
      <c r="D616" s="97"/>
      <c r="E616" s="97"/>
      <c r="F616" s="302"/>
      <c r="G616" s="302"/>
      <c r="H616" s="302"/>
      <c r="I616" s="302"/>
      <c r="J616" s="302"/>
      <c r="K616" s="302"/>
      <c r="L616" s="302"/>
      <c r="M616" s="302"/>
      <c r="N616" s="302"/>
      <c r="O616" s="302"/>
      <c r="P616" s="302"/>
    </row>
    <row r="617" spans="1:16" ht="17">
      <c r="A617" s="97"/>
      <c r="B617" s="97"/>
      <c r="C617" s="97"/>
      <c r="D617" s="97"/>
      <c r="E617" s="97"/>
      <c r="F617" s="302"/>
      <c r="G617" s="302"/>
      <c r="H617" s="302"/>
      <c r="I617" s="302"/>
      <c r="J617" s="302"/>
      <c r="K617" s="302"/>
      <c r="L617" s="302"/>
      <c r="M617" s="302"/>
      <c r="N617" s="302"/>
      <c r="O617" s="302"/>
      <c r="P617" s="302"/>
    </row>
    <row r="618" spans="1:16" ht="17">
      <c r="A618" s="97"/>
      <c r="B618" s="97"/>
      <c r="C618" s="97"/>
      <c r="D618" s="97"/>
      <c r="E618" s="97"/>
      <c r="F618" s="302"/>
      <c r="G618" s="302"/>
      <c r="H618" s="302"/>
      <c r="I618" s="302"/>
      <c r="J618" s="302"/>
      <c r="K618" s="302"/>
      <c r="L618" s="302"/>
      <c r="M618" s="302"/>
      <c r="N618" s="302"/>
      <c r="O618" s="302"/>
      <c r="P618" s="302"/>
    </row>
    <row r="619" spans="1:16" ht="17">
      <c r="A619" s="97"/>
      <c r="B619" s="97"/>
      <c r="C619" s="97"/>
      <c r="D619" s="97"/>
      <c r="E619" s="97"/>
      <c r="F619" s="302"/>
      <c r="G619" s="302"/>
      <c r="H619" s="302"/>
      <c r="I619" s="302"/>
      <c r="J619" s="302"/>
      <c r="K619" s="302"/>
      <c r="L619" s="302"/>
      <c r="M619" s="302"/>
      <c r="N619" s="302"/>
      <c r="O619" s="302"/>
      <c r="P619" s="302"/>
    </row>
    <row r="620" spans="1:16" ht="17">
      <c r="A620" s="97"/>
      <c r="B620" s="97"/>
      <c r="C620" s="97"/>
      <c r="D620" s="97"/>
      <c r="E620" s="97"/>
      <c r="F620" s="302"/>
      <c r="G620" s="302"/>
      <c r="H620" s="302"/>
      <c r="I620" s="302"/>
      <c r="J620" s="302"/>
      <c r="K620" s="302"/>
      <c r="L620" s="302"/>
      <c r="M620" s="302"/>
      <c r="N620" s="302"/>
      <c r="O620" s="302"/>
      <c r="P620" s="302"/>
    </row>
    <row r="621" spans="1:16" ht="17">
      <c r="A621" s="97"/>
      <c r="B621" s="97"/>
      <c r="C621" s="97"/>
      <c r="D621" s="97"/>
      <c r="E621" s="97"/>
      <c r="F621" s="302"/>
      <c r="G621" s="302"/>
      <c r="H621" s="302"/>
      <c r="I621" s="302"/>
      <c r="J621" s="302"/>
      <c r="K621" s="302"/>
      <c r="L621" s="302"/>
      <c r="M621" s="302"/>
      <c r="N621" s="302"/>
      <c r="O621" s="302"/>
      <c r="P621" s="302"/>
    </row>
    <row r="622" spans="1:16" ht="17">
      <c r="A622" s="97"/>
      <c r="B622" s="97"/>
      <c r="C622" s="97"/>
      <c r="D622" s="97"/>
      <c r="E622" s="97"/>
      <c r="F622" s="302"/>
      <c r="G622" s="302"/>
      <c r="H622" s="302"/>
      <c r="I622" s="302"/>
      <c r="J622" s="302"/>
      <c r="K622" s="302"/>
      <c r="L622" s="302"/>
      <c r="M622" s="302"/>
      <c r="N622" s="302"/>
      <c r="O622" s="302"/>
      <c r="P622" s="302"/>
    </row>
    <row r="623" spans="1:16" ht="17">
      <c r="A623" s="97"/>
      <c r="B623" s="97"/>
      <c r="C623" s="97"/>
      <c r="D623" s="97"/>
      <c r="E623" s="97"/>
      <c r="F623" s="302"/>
      <c r="G623" s="302"/>
      <c r="H623" s="302"/>
      <c r="I623" s="302"/>
      <c r="J623" s="302"/>
      <c r="K623" s="302"/>
      <c r="L623" s="302"/>
      <c r="M623" s="302"/>
      <c r="N623" s="302"/>
      <c r="O623" s="302"/>
      <c r="P623" s="302"/>
    </row>
    <row r="624" spans="1:16" ht="17">
      <c r="A624" s="97"/>
      <c r="B624" s="97"/>
      <c r="C624" s="97"/>
      <c r="D624" s="97"/>
      <c r="E624" s="97"/>
      <c r="F624" s="302"/>
      <c r="G624" s="302"/>
      <c r="H624" s="302"/>
      <c r="I624" s="302"/>
      <c r="J624" s="302"/>
      <c r="K624" s="302"/>
      <c r="L624" s="302"/>
      <c r="M624" s="302"/>
      <c r="N624" s="302"/>
      <c r="O624" s="302"/>
      <c r="P624" s="302"/>
    </row>
    <row r="625" spans="1:16" ht="17">
      <c r="A625" s="97"/>
      <c r="B625" s="97"/>
      <c r="C625" s="97"/>
      <c r="D625" s="97"/>
      <c r="E625" s="97"/>
      <c r="F625" s="302"/>
      <c r="G625" s="302"/>
      <c r="H625" s="302"/>
      <c r="I625" s="302"/>
      <c r="J625" s="302"/>
      <c r="K625" s="302"/>
      <c r="L625" s="302"/>
      <c r="M625" s="302"/>
      <c r="N625" s="302"/>
      <c r="O625" s="302"/>
      <c r="P625" s="302"/>
    </row>
    <row r="626" spans="1:16" ht="17">
      <c r="A626" s="97"/>
      <c r="B626" s="97"/>
      <c r="C626" s="97"/>
      <c r="D626" s="97"/>
      <c r="E626" s="97"/>
      <c r="F626" s="302"/>
      <c r="G626" s="302"/>
      <c r="H626" s="302"/>
      <c r="I626" s="302"/>
      <c r="J626" s="302"/>
      <c r="K626" s="302"/>
      <c r="L626" s="302"/>
      <c r="M626" s="302"/>
      <c r="N626" s="302"/>
      <c r="O626" s="302"/>
      <c r="P626" s="302"/>
    </row>
    <row r="627" spans="1:16" ht="17">
      <c r="A627" s="97"/>
      <c r="B627" s="97"/>
      <c r="C627" s="97"/>
      <c r="D627" s="97"/>
      <c r="E627" s="97"/>
      <c r="F627" s="302"/>
      <c r="G627" s="302"/>
      <c r="H627" s="302"/>
      <c r="I627" s="302"/>
      <c r="J627" s="302"/>
      <c r="K627" s="302"/>
      <c r="L627" s="302"/>
      <c r="M627" s="302"/>
      <c r="N627" s="302"/>
      <c r="O627" s="302"/>
      <c r="P627" s="302"/>
    </row>
    <row r="628" spans="1:16" ht="17">
      <c r="A628" s="97"/>
      <c r="B628" s="97"/>
      <c r="C628" s="97"/>
      <c r="D628" s="97"/>
      <c r="E628" s="97"/>
      <c r="F628" s="302"/>
      <c r="G628" s="302"/>
      <c r="H628" s="302"/>
      <c r="I628" s="302"/>
      <c r="J628" s="302"/>
      <c r="K628" s="302"/>
      <c r="L628" s="302"/>
      <c r="M628" s="302"/>
      <c r="N628" s="302"/>
      <c r="O628" s="302"/>
      <c r="P628" s="302"/>
    </row>
    <row r="629" spans="1:16" ht="17">
      <c r="A629" s="97"/>
      <c r="B629" s="97"/>
      <c r="C629" s="97"/>
      <c r="D629" s="97"/>
      <c r="E629" s="97"/>
      <c r="F629" s="302"/>
      <c r="G629" s="302"/>
      <c r="H629" s="302"/>
      <c r="I629" s="302"/>
      <c r="J629" s="302"/>
      <c r="K629" s="302"/>
      <c r="L629" s="302"/>
      <c r="M629" s="302"/>
      <c r="N629" s="302"/>
      <c r="O629" s="302"/>
      <c r="P629" s="302"/>
    </row>
    <row r="630" spans="1:16" ht="17">
      <c r="A630" s="97"/>
      <c r="B630" s="97"/>
      <c r="C630" s="97"/>
      <c r="D630" s="97"/>
      <c r="E630" s="97"/>
      <c r="F630" s="302"/>
      <c r="G630" s="302"/>
      <c r="H630" s="302"/>
      <c r="I630" s="302"/>
      <c r="J630" s="302"/>
      <c r="K630" s="302"/>
      <c r="L630" s="302"/>
      <c r="M630" s="302"/>
      <c r="N630" s="302"/>
      <c r="O630" s="302"/>
      <c r="P630" s="302"/>
    </row>
    <row r="631" spans="1:16" ht="17">
      <c r="A631" s="97"/>
      <c r="B631" s="97"/>
      <c r="C631" s="97"/>
      <c r="D631" s="97"/>
      <c r="E631" s="97"/>
      <c r="F631" s="302"/>
      <c r="G631" s="302"/>
      <c r="H631" s="302"/>
      <c r="I631" s="302"/>
      <c r="J631" s="302"/>
      <c r="K631" s="302"/>
      <c r="L631" s="302"/>
      <c r="M631" s="302"/>
      <c r="N631" s="302"/>
      <c r="O631" s="302"/>
      <c r="P631" s="302"/>
    </row>
    <row r="632" spans="1:16" ht="17">
      <c r="A632" s="97"/>
      <c r="B632" s="97"/>
      <c r="C632" s="97"/>
      <c r="D632" s="97"/>
      <c r="E632" s="97"/>
      <c r="F632" s="302"/>
      <c r="G632" s="302"/>
      <c r="H632" s="302"/>
      <c r="I632" s="302"/>
      <c r="J632" s="302"/>
      <c r="K632" s="302"/>
      <c r="L632" s="302"/>
      <c r="M632" s="302"/>
      <c r="N632" s="302"/>
      <c r="O632" s="302"/>
      <c r="P632" s="302"/>
    </row>
    <row r="633" spans="1:16" ht="17">
      <c r="A633" s="97"/>
      <c r="B633" s="97"/>
      <c r="C633" s="97"/>
      <c r="D633" s="97"/>
      <c r="E633" s="97"/>
      <c r="F633" s="302"/>
      <c r="G633" s="302"/>
      <c r="H633" s="302"/>
      <c r="I633" s="302"/>
      <c r="J633" s="302"/>
      <c r="K633" s="302"/>
      <c r="L633" s="302"/>
      <c r="M633" s="302"/>
      <c r="N633" s="302"/>
      <c r="O633" s="302"/>
      <c r="P633" s="302"/>
    </row>
    <row r="634" spans="1:16" ht="17">
      <c r="A634" s="97"/>
      <c r="B634" s="97"/>
      <c r="C634" s="97"/>
      <c r="D634" s="97"/>
      <c r="E634" s="97"/>
      <c r="F634" s="302"/>
      <c r="G634" s="302"/>
      <c r="H634" s="302"/>
      <c r="I634" s="302"/>
      <c r="J634" s="302"/>
      <c r="K634" s="302"/>
      <c r="L634" s="302"/>
      <c r="M634" s="302"/>
      <c r="N634" s="302"/>
      <c r="O634" s="302"/>
      <c r="P634" s="302"/>
    </row>
    <row r="635" spans="1:16" ht="17">
      <c r="A635" s="97"/>
      <c r="B635" s="97"/>
      <c r="C635" s="97"/>
      <c r="D635" s="97"/>
      <c r="E635" s="97"/>
      <c r="F635" s="302"/>
      <c r="G635" s="302"/>
      <c r="H635" s="302"/>
      <c r="I635" s="302"/>
      <c r="J635" s="302"/>
      <c r="K635" s="302"/>
      <c r="L635" s="302"/>
      <c r="M635" s="302"/>
      <c r="N635" s="302"/>
      <c r="O635" s="302"/>
      <c r="P635" s="302"/>
    </row>
    <row r="636" spans="1:16" ht="17">
      <c r="A636" s="97"/>
      <c r="B636" s="97"/>
      <c r="C636" s="97"/>
      <c r="D636" s="97"/>
      <c r="E636" s="97"/>
      <c r="F636" s="302"/>
      <c r="G636" s="302"/>
      <c r="H636" s="302"/>
      <c r="I636" s="302"/>
      <c r="J636" s="302"/>
      <c r="K636" s="302"/>
      <c r="L636" s="302"/>
      <c r="M636" s="302"/>
      <c r="N636" s="302"/>
      <c r="O636" s="302"/>
      <c r="P636" s="302"/>
    </row>
    <row r="637" spans="1:16" ht="17">
      <c r="A637" s="97"/>
      <c r="B637" s="97"/>
      <c r="C637" s="97"/>
      <c r="D637" s="97"/>
      <c r="E637" s="97"/>
      <c r="F637" s="302"/>
      <c r="G637" s="302"/>
      <c r="H637" s="302"/>
      <c r="I637" s="302"/>
      <c r="J637" s="302"/>
      <c r="K637" s="302"/>
      <c r="L637" s="302"/>
      <c r="M637" s="302"/>
      <c r="N637" s="302"/>
      <c r="O637" s="302"/>
      <c r="P637" s="302"/>
    </row>
    <row r="638" spans="1:16" ht="17">
      <c r="A638" s="97"/>
      <c r="B638" s="97"/>
      <c r="C638" s="97"/>
      <c r="D638" s="97"/>
      <c r="E638" s="97"/>
      <c r="F638" s="302"/>
      <c r="G638" s="302"/>
      <c r="H638" s="302"/>
      <c r="I638" s="302"/>
      <c r="J638" s="302"/>
      <c r="K638" s="302"/>
      <c r="L638" s="302"/>
      <c r="M638" s="302"/>
      <c r="N638" s="302"/>
      <c r="O638" s="302"/>
      <c r="P638" s="302"/>
    </row>
    <row r="639" spans="1:16" ht="17">
      <c r="A639" s="97"/>
      <c r="B639" s="97"/>
      <c r="C639" s="97"/>
      <c r="D639" s="97"/>
      <c r="E639" s="97"/>
      <c r="F639" s="302"/>
      <c r="G639" s="302"/>
      <c r="H639" s="302"/>
      <c r="I639" s="302"/>
      <c r="J639" s="302"/>
      <c r="K639" s="302"/>
      <c r="L639" s="302"/>
      <c r="M639" s="302"/>
      <c r="N639" s="302"/>
      <c r="O639" s="302"/>
      <c r="P639" s="302"/>
    </row>
    <row r="640" spans="1:16" ht="17">
      <c r="A640" s="97"/>
      <c r="B640" s="97"/>
      <c r="C640" s="97"/>
      <c r="D640" s="97"/>
      <c r="E640" s="97"/>
      <c r="F640" s="302"/>
      <c r="G640" s="302"/>
      <c r="H640" s="302"/>
      <c r="I640" s="302"/>
      <c r="J640" s="302"/>
      <c r="K640" s="302"/>
      <c r="L640" s="302"/>
      <c r="M640" s="302"/>
      <c r="N640" s="302"/>
      <c r="O640" s="302"/>
      <c r="P640" s="302"/>
    </row>
    <row r="641" spans="1:16" ht="17">
      <c r="A641" s="97"/>
      <c r="B641" s="97"/>
      <c r="C641" s="97"/>
      <c r="D641" s="97"/>
      <c r="E641" s="97"/>
      <c r="F641" s="302"/>
      <c r="G641" s="302"/>
      <c r="H641" s="302"/>
      <c r="I641" s="302"/>
      <c r="J641" s="302"/>
      <c r="K641" s="302"/>
      <c r="L641" s="302"/>
      <c r="M641" s="302"/>
      <c r="N641" s="302"/>
      <c r="O641" s="302"/>
      <c r="P641" s="302"/>
    </row>
    <row r="642" spans="1:16" ht="17">
      <c r="A642" s="97"/>
      <c r="B642" s="97"/>
      <c r="C642" s="97"/>
      <c r="D642" s="97"/>
      <c r="E642" s="97"/>
      <c r="F642" s="302"/>
      <c r="G642" s="302"/>
      <c r="H642" s="302"/>
      <c r="I642" s="302"/>
      <c r="J642" s="302"/>
      <c r="K642" s="302"/>
      <c r="L642" s="302"/>
      <c r="M642" s="302"/>
      <c r="N642" s="302"/>
      <c r="O642" s="302"/>
      <c r="P642" s="302"/>
    </row>
    <row r="643" spans="1:16" ht="17">
      <c r="A643" s="97"/>
      <c r="B643" s="97"/>
      <c r="C643" s="97"/>
      <c r="D643" s="97"/>
      <c r="E643" s="97"/>
      <c r="F643" s="302"/>
      <c r="G643" s="302"/>
      <c r="H643" s="302"/>
      <c r="I643" s="302"/>
      <c r="J643" s="302"/>
      <c r="K643" s="302"/>
      <c r="L643" s="302"/>
      <c r="M643" s="302"/>
      <c r="N643" s="302"/>
      <c r="O643" s="302"/>
      <c r="P643" s="302"/>
    </row>
    <row r="644" spans="1:16" ht="17">
      <c r="A644" s="97"/>
      <c r="B644" s="97"/>
      <c r="C644" s="97"/>
      <c r="D644" s="97"/>
      <c r="E644" s="97"/>
      <c r="F644" s="302"/>
      <c r="G644" s="302"/>
      <c r="H644" s="302"/>
      <c r="I644" s="302"/>
      <c r="J644" s="302"/>
      <c r="K644" s="302"/>
      <c r="L644" s="302"/>
      <c r="M644" s="302"/>
      <c r="N644" s="302"/>
      <c r="O644" s="302"/>
      <c r="P644" s="302"/>
    </row>
    <row r="645" spans="1:16" ht="17">
      <c r="A645" s="97"/>
      <c r="B645" s="97"/>
      <c r="C645" s="97"/>
      <c r="D645" s="97"/>
      <c r="E645" s="97"/>
      <c r="F645" s="302"/>
      <c r="G645" s="302"/>
      <c r="H645" s="302"/>
      <c r="I645" s="302"/>
      <c r="J645" s="302"/>
      <c r="K645" s="302"/>
      <c r="L645" s="302"/>
      <c r="M645" s="302"/>
      <c r="N645" s="302"/>
      <c r="O645" s="302"/>
      <c r="P645" s="302"/>
    </row>
    <row r="646" spans="1:16" ht="17">
      <c r="A646" s="97"/>
      <c r="B646" s="97"/>
      <c r="C646" s="97"/>
      <c r="D646" s="97"/>
      <c r="E646" s="97"/>
      <c r="F646" s="302"/>
      <c r="G646" s="302"/>
      <c r="H646" s="302"/>
      <c r="I646" s="302"/>
      <c r="J646" s="302"/>
      <c r="K646" s="302"/>
      <c r="L646" s="302"/>
      <c r="M646" s="302"/>
      <c r="N646" s="302"/>
      <c r="O646" s="302"/>
      <c r="P646" s="302"/>
    </row>
    <row r="647" spans="1:16" ht="17">
      <c r="A647" s="97"/>
      <c r="B647" s="97"/>
      <c r="C647" s="97"/>
      <c r="D647" s="97"/>
      <c r="E647" s="97"/>
      <c r="F647" s="302"/>
      <c r="G647" s="302"/>
      <c r="H647" s="302"/>
      <c r="I647" s="302"/>
      <c r="J647" s="302"/>
      <c r="K647" s="302"/>
      <c r="L647" s="302"/>
      <c r="M647" s="302"/>
      <c r="N647" s="302"/>
      <c r="O647" s="302"/>
      <c r="P647" s="302"/>
    </row>
    <row r="648" spans="1:16" ht="17">
      <c r="A648" s="97"/>
      <c r="B648" s="97"/>
      <c r="C648" s="97"/>
      <c r="D648" s="97"/>
      <c r="E648" s="97"/>
      <c r="F648" s="302"/>
      <c r="G648" s="302"/>
      <c r="H648" s="302"/>
      <c r="I648" s="302"/>
      <c r="J648" s="302"/>
      <c r="K648" s="302"/>
      <c r="L648" s="302"/>
      <c r="M648" s="302"/>
      <c r="N648" s="302"/>
      <c r="O648" s="302"/>
      <c r="P648" s="302"/>
    </row>
    <row r="649" spans="1:16" ht="17">
      <c r="A649" s="97"/>
      <c r="B649" s="97"/>
      <c r="C649" s="97"/>
      <c r="D649" s="97"/>
      <c r="E649" s="97"/>
      <c r="F649" s="302"/>
      <c r="G649" s="302"/>
      <c r="H649" s="302"/>
      <c r="I649" s="302"/>
      <c r="J649" s="302"/>
      <c r="K649" s="302"/>
      <c r="L649" s="302"/>
      <c r="M649" s="302"/>
      <c r="N649" s="302"/>
      <c r="O649" s="302"/>
      <c r="P649" s="302"/>
    </row>
    <row r="650" spans="1:16" ht="17">
      <c r="A650" s="97"/>
      <c r="B650" s="97"/>
      <c r="C650" s="97"/>
      <c r="D650" s="97"/>
      <c r="E650" s="97"/>
      <c r="F650" s="302"/>
      <c r="G650" s="302"/>
      <c r="H650" s="302"/>
      <c r="I650" s="302"/>
      <c r="J650" s="302"/>
      <c r="K650" s="302"/>
      <c r="L650" s="302"/>
      <c r="M650" s="302"/>
      <c r="N650" s="302"/>
      <c r="O650" s="302"/>
      <c r="P650" s="302"/>
    </row>
    <row r="651" spans="1:16" ht="17">
      <c r="A651" s="97"/>
      <c r="B651" s="97"/>
      <c r="C651" s="97"/>
      <c r="D651" s="97"/>
      <c r="E651" s="97"/>
      <c r="F651" s="302"/>
      <c r="G651" s="302"/>
      <c r="H651" s="302"/>
      <c r="I651" s="302"/>
      <c r="J651" s="302"/>
      <c r="K651" s="302"/>
      <c r="L651" s="302"/>
      <c r="M651" s="302"/>
      <c r="N651" s="302"/>
      <c r="O651" s="302"/>
      <c r="P651" s="302"/>
    </row>
    <row r="652" spans="1:16" ht="17">
      <c r="A652" s="97"/>
      <c r="B652" s="97"/>
      <c r="C652" s="97"/>
      <c r="D652" s="97"/>
      <c r="E652" s="97"/>
      <c r="F652" s="302"/>
      <c r="G652" s="302"/>
      <c r="H652" s="302"/>
      <c r="I652" s="302"/>
      <c r="J652" s="302"/>
      <c r="K652" s="302"/>
      <c r="L652" s="302"/>
      <c r="M652" s="302"/>
      <c r="N652" s="302"/>
      <c r="O652" s="302"/>
      <c r="P652" s="302"/>
    </row>
    <row r="653" spans="1:16" ht="17">
      <c r="A653" s="97"/>
      <c r="B653" s="97"/>
      <c r="C653" s="97"/>
      <c r="D653" s="97"/>
      <c r="E653" s="97"/>
      <c r="F653" s="302"/>
      <c r="G653" s="302"/>
      <c r="H653" s="302"/>
      <c r="I653" s="302"/>
      <c r="J653" s="302"/>
      <c r="K653" s="302"/>
      <c r="L653" s="302"/>
      <c r="M653" s="302"/>
      <c r="N653" s="302"/>
      <c r="O653" s="302"/>
      <c r="P653" s="302"/>
    </row>
    <row r="654" spans="1:16" ht="17">
      <c r="A654" s="97"/>
      <c r="B654" s="97"/>
      <c r="C654" s="97"/>
      <c r="D654" s="97"/>
      <c r="E654" s="97"/>
      <c r="F654" s="302"/>
      <c r="G654" s="302"/>
      <c r="H654" s="302"/>
      <c r="I654" s="302"/>
      <c r="J654" s="302"/>
      <c r="K654" s="302"/>
      <c r="L654" s="302"/>
      <c r="M654" s="302"/>
      <c r="N654" s="302"/>
      <c r="O654" s="302"/>
      <c r="P654" s="302"/>
    </row>
    <row r="655" spans="1:16" ht="17">
      <c r="A655" s="97"/>
      <c r="B655" s="97"/>
      <c r="C655" s="97"/>
      <c r="D655" s="97"/>
      <c r="E655" s="97"/>
      <c r="F655" s="302"/>
      <c r="G655" s="302"/>
      <c r="H655" s="302"/>
      <c r="I655" s="302"/>
      <c r="J655" s="302"/>
      <c r="K655" s="302"/>
      <c r="L655" s="302"/>
      <c r="M655" s="302"/>
      <c r="N655" s="302"/>
      <c r="O655" s="302"/>
      <c r="P655" s="302"/>
    </row>
    <row r="656" spans="1:16" ht="17">
      <c r="A656" s="97"/>
      <c r="B656" s="97"/>
      <c r="C656" s="97"/>
      <c r="D656" s="97"/>
      <c r="E656" s="97"/>
      <c r="F656" s="302"/>
      <c r="G656" s="302"/>
      <c r="H656" s="302"/>
      <c r="I656" s="302"/>
      <c r="J656" s="302"/>
      <c r="K656" s="302"/>
      <c r="L656" s="302"/>
      <c r="M656" s="302"/>
      <c r="N656" s="302"/>
      <c r="O656" s="302"/>
      <c r="P656" s="302"/>
    </row>
    <row r="657" spans="1:16" ht="17">
      <c r="A657" s="97"/>
      <c r="B657" s="97"/>
      <c r="C657" s="97"/>
      <c r="D657" s="97"/>
      <c r="E657" s="97"/>
      <c r="F657" s="302"/>
      <c r="G657" s="302"/>
      <c r="H657" s="302"/>
      <c r="I657" s="302"/>
      <c r="J657" s="302"/>
      <c r="K657" s="302"/>
      <c r="L657" s="302"/>
      <c r="M657" s="302"/>
      <c r="N657" s="302"/>
      <c r="O657" s="302"/>
      <c r="P657" s="302"/>
    </row>
    <row r="658" spans="1:16" ht="17">
      <c r="A658" s="97"/>
      <c r="B658" s="97"/>
      <c r="C658" s="97"/>
      <c r="D658" s="97"/>
      <c r="E658" s="97"/>
      <c r="F658" s="302"/>
      <c r="G658" s="302"/>
      <c r="H658" s="302"/>
      <c r="I658" s="302"/>
      <c r="J658" s="302"/>
      <c r="K658" s="302"/>
      <c r="L658" s="302"/>
      <c r="M658" s="302"/>
      <c r="N658" s="302"/>
      <c r="O658" s="302"/>
      <c r="P658" s="302"/>
    </row>
    <row r="659" spans="1:16" ht="17">
      <c r="A659" s="97"/>
      <c r="B659" s="97"/>
      <c r="C659" s="97"/>
      <c r="D659" s="97"/>
      <c r="E659" s="97"/>
      <c r="F659" s="302"/>
      <c r="G659" s="302"/>
      <c r="H659" s="302"/>
      <c r="I659" s="302"/>
      <c r="J659" s="302"/>
      <c r="K659" s="302"/>
      <c r="L659" s="302"/>
      <c r="M659" s="302"/>
      <c r="N659" s="302"/>
      <c r="O659" s="302"/>
      <c r="P659" s="302"/>
    </row>
    <row r="660" spans="1:16" ht="17">
      <c r="A660" s="97"/>
      <c r="B660" s="97"/>
      <c r="C660" s="97"/>
      <c r="D660" s="97"/>
      <c r="E660" s="97"/>
      <c r="F660" s="302"/>
      <c r="G660" s="302"/>
      <c r="H660" s="302"/>
      <c r="I660" s="302"/>
      <c r="J660" s="302"/>
      <c r="K660" s="302"/>
      <c r="L660" s="302"/>
      <c r="M660" s="302"/>
      <c r="N660" s="302"/>
      <c r="O660" s="302"/>
      <c r="P660" s="302"/>
    </row>
    <row r="661" spans="1:16" ht="17">
      <c r="A661" s="97"/>
      <c r="B661" s="97"/>
      <c r="C661" s="97"/>
      <c r="D661" s="97"/>
      <c r="E661" s="97"/>
      <c r="F661" s="302"/>
      <c r="G661" s="302"/>
      <c r="H661" s="302"/>
      <c r="I661" s="302"/>
      <c r="J661" s="302"/>
      <c r="K661" s="302"/>
      <c r="L661" s="302"/>
      <c r="M661" s="302"/>
      <c r="N661" s="302"/>
      <c r="O661" s="302"/>
      <c r="P661" s="302"/>
    </row>
    <row r="662" spans="1:16" ht="17">
      <c r="A662" s="97"/>
      <c r="B662" s="97"/>
      <c r="C662" s="97"/>
      <c r="D662" s="97"/>
      <c r="E662" s="97"/>
      <c r="F662" s="302"/>
      <c r="G662" s="302"/>
      <c r="H662" s="302"/>
      <c r="I662" s="302"/>
      <c r="J662" s="302"/>
      <c r="K662" s="302"/>
      <c r="L662" s="302"/>
      <c r="M662" s="302"/>
      <c r="N662" s="302"/>
      <c r="O662" s="302"/>
      <c r="P662" s="302"/>
    </row>
    <row r="663" spans="1:16" ht="17">
      <c r="A663" s="97"/>
      <c r="B663" s="97"/>
      <c r="C663" s="97"/>
      <c r="D663" s="97"/>
      <c r="E663" s="97"/>
      <c r="F663" s="302"/>
      <c r="G663" s="302"/>
      <c r="H663" s="302"/>
      <c r="I663" s="302"/>
      <c r="J663" s="302"/>
      <c r="K663" s="302"/>
      <c r="L663" s="302"/>
      <c r="M663" s="302"/>
      <c r="N663" s="302"/>
      <c r="O663" s="302"/>
      <c r="P663" s="302"/>
    </row>
    <row r="664" spans="1:16" ht="17">
      <c r="A664" s="97"/>
      <c r="B664" s="97"/>
      <c r="C664" s="97"/>
      <c r="D664" s="97"/>
      <c r="E664" s="97"/>
      <c r="F664" s="302"/>
      <c r="G664" s="302"/>
      <c r="H664" s="302"/>
      <c r="I664" s="302"/>
      <c r="J664" s="302"/>
      <c r="K664" s="302"/>
      <c r="L664" s="302"/>
      <c r="M664" s="302"/>
      <c r="N664" s="302"/>
      <c r="O664" s="302"/>
      <c r="P664" s="302"/>
    </row>
    <row r="665" spans="1:16" ht="17">
      <c r="A665" s="97"/>
      <c r="B665" s="97"/>
      <c r="C665" s="97"/>
      <c r="D665" s="97"/>
      <c r="E665" s="97"/>
      <c r="F665" s="302"/>
      <c r="G665" s="302"/>
      <c r="H665" s="302"/>
      <c r="I665" s="302"/>
      <c r="J665" s="302"/>
      <c r="K665" s="302"/>
      <c r="L665" s="302"/>
      <c r="M665" s="302"/>
      <c r="N665" s="302"/>
      <c r="O665" s="302"/>
      <c r="P665" s="302"/>
    </row>
    <row r="666" spans="1:16" ht="17">
      <c r="A666" s="97"/>
      <c r="B666" s="97"/>
      <c r="C666" s="97"/>
      <c r="D666" s="97"/>
      <c r="E666" s="97"/>
      <c r="F666" s="302"/>
      <c r="G666" s="302"/>
      <c r="H666" s="302"/>
      <c r="I666" s="302"/>
      <c r="J666" s="302"/>
      <c r="K666" s="302"/>
      <c r="L666" s="302"/>
      <c r="M666" s="302"/>
      <c r="N666" s="302"/>
      <c r="O666" s="302"/>
      <c r="P666" s="302"/>
    </row>
    <row r="667" spans="1:16" ht="17">
      <c r="A667" s="97"/>
      <c r="B667" s="97"/>
      <c r="C667" s="97"/>
      <c r="D667" s="97"/>
      <c r="E667" s="97"/>
      <c r="F667" s="302"/>
      <c r="G667" s="302"/>
      <c r="H667" s="302"/>
      <c r="I667" s="302"/>
      <c r="J667" s="302"/>
      <c r="K667" s="302"/>
      <c r="L667" s="302"/>
      <c r="M667" s="302"/>
      <c r="N667" s="302"/>
      <c r="O667" s="302"/>
      <c r="P667" s="302"/>
    </row>
    <row r="668" spans="1:16" ht="17">
      <c r="A668" s="97"/>
      <c r="B668" s="97"/>
      <c r="C668" s="97"/>
      <c r="D668" s="97"/>
      <c r="E668" s="97"/>
      <c r="F668" s="302"/>
      <c r="G668" s="302"/>
      <c r="H668" s="302"/>
      <c r="I668" s="302"/>
      <c r="J668" s="302"/>
      <c r="K668" s="302"/>
      <c r="L668" s="302"/>
      <c r="M668" s="302"/>
      <c r="N668" s="302"/>
      <c r="O668" s="302"/>
      <c r="P668" s="302"/>
    </row>
    <row r="669" spans="1:16" ht="17">
      <c r="A669" s="97"/>
      <c r="B669" s="97"/>
      <c r="C669" s="97"/>
      <c r="D669" s="97"/>
      <c r="E669" s="97"/>
      <c r="F669" s="302"/>
      <c r="G669" s="302"/>
      <c r="H669" s="302"/>
      <c r="I669" s="302"/>
      <c r="J669" s="302"/>
      <c r="K669" s="302"/>
      <c r="L669" s="302"/>
      <c r="M669" s="302"/>
      <c r="N669" s="302"/>
      <c r="O669" s="302"/>
      <c r="P669" s="302"/>
    </row>
    <row r="670" spans="1:16" ht="17">
      <c r="A670" s="97"/>
      <c r="B670" s="97"/>
      <c r="C670" s="97"/>
      <c r="D670" s="97"/>
      <c r="E670" s="97"/>
      <c r="F670" s="302"/>
      <c r="G670" s="302"/>
      <c r="H670" s="302"/>
      <c r="I670" s="302"/>
      <c r="J670" s="302"/>
      <c r="K670" s="302"/>
      <c r="L670" s="302"/>
      <c r="M670" s="302"/>
      <c r="N670" s="302"/>
      <c r="O670" s="302"/>
      <c r="P670" s="302"/>
    </row>
    <row r="671" spans="1:16" ht="17">
      <c r="A671" s="97"/>
      <c r="B671" s="97"/>
      <c r="C671" s="97"/>
      <c r="D671" s="97"/>
      <c r="E671" s="97"/>
      <c r="F671" s="302"/>
      <c r="G671" s="302"/>
      <c r="H671" s="302"/>
      <c r="I671" s="302"/>
      <c r="J671" s="302"/>
      <c r="K671" s="302"/>
      <c r="L671" s="302"/>
      <c r="M671" s="302"/>
      <c r="N671" s="302"/>
      <c r="O671" s="302"/>
      <c r="P671" s="302"/>
    </row>
    <row r="672" spans="1:16" ht="17">
      <c r="A672" s="97"/>
      <c r="B672" s="97"/>
      <c r="C672" s="97"/>
      <c r="D672" s="97"/>
      <c r="E672" s="97"/>
      <c r="F672" s="302"/>
      <c r="G672" s="302"/>
      <c r="H672" s="302"/>
      <c r="I672" s="302"/>
      <c r="J672" s="302"/>
      <c r="K672" s="302"/>
      <c r="L672" s="302"/>
      <c r="M672" s="302"/>
      <c r="N672" s="302"/>
      <c r="O672" s="302"/>
      <c r="P672" s="302"/>
    </row>
    <row r="673" spans="1:16" ht="17">
      <c r="A673" s="97"/>
      <c r="B673" s="97"/>
      <c r="C673" s="97"/>
      <c r="D673" s="97"/>
      <c r="E673" s="97"/>
      <c r="F673" s="302"/>
      <c r="G673" s="302"/>
      <c r="H673" s="302"/>
      <c r="I673" s="302"/>
      <c r="J673" s="302"/>
      <c r="K673" s="302"/>
      <c r="L673" s="302"/>
      <c r="M673" s="302"/>
      <c r="N673" s="302"/>
      <c r="O673" s="302"/>
      <c r="P673" s="302"/>
    </row>
    <row r="674" spans="1:16" ht="17">
      <c r="A674" s="97"/>
      <c r="B674" s="97"/>
      <c r="C674" s="97"/>
      <c r="D674" s="97"/>
      <c r="E674" s="97"/>
      <c r="F674" s="302"/>
      <c r="G674" s="302"/>
      <c r="H674" s="302"/>
      <c r="I674" s="302"/>
      <c r="J674" s="302"/>
      <c r="K674" s="302"/>
      <c r="L674" s="302"/>
      <c r="M674" s="302"/>
      <c r="N674" s="302"/>
      <c r="O674" s="302"/>
      <c r="P674" s="302"/>
    </row>
    <row r="675" spans="1:16" ht="17">
      <c r="A675" s="97"/>
      <c r="B675" s="97"/>
      <c r="C675" s="97"/>
      <c r="D675" s="97"/>
      <c r="E675" s="97"/>
      <c r="F675" s="302"/>
      <c r="G675" s="302"/>
      <c r="H675" s="302"/>
      <c r="I675" s="302"/>
      <c r="J675" s="302"/>
      <c r="K675" s="302"/>
      <c r="L675" s="302"/>
      <c r="M675" s="302"/>
      <c r="N675" s="302"/>
      <c r="O675" s="302"/>
      <c r="P675" s="302"/>
    </row>
    <row r="676" spans="1:16" ht="17">
      <c r="A676" s="97"/>
      <c r="B676" s="97"/>
      <c r="C676" s="97"/>
      <c r="D676" s="97"/>
      <c r="E676" s="97"/>
      <c r="F676" s="302"/>
      <c r="G676" s="302"/>
      <c r="H676" s="302"/>
      <c r="I676" s="302"/>
      <c r="J676" s="302"/>
      <c r="K676" s="302"/>
      <c r="L676" s="302"/>
      <c r="M676" s="302"/>
      <c r="N676" s="302"/>
      <c r="O676" s="302"/>
      <c r="P676" s="302"/>
    </row>
    <row r="677" spans="1:16" ht="17">
      <c r="A677" s="97"/>
      <c r="B677" s="97"/>
      <c r="C677" s="97"/>
      <c r="D677" s="97"/>
      <c r="E677" s="97"/>
      <c r="F677" s="302"/>
      <c r="G677" s="302"/>
      <c r="H677" s="302"/>
      <c r="I677" s="302"/>
      <c r="J677" s="302"/>
      <c r="K677" s="302"/>
      <c r="L677" s="302"/>
      <c r="M677" s="302"/>
      <c r="N677" s="302"/>
      <c r="O677" s="302"/>
      <c r="P677" s="302"/>
    </row>
    <row r="678" spans="1:16" ht="17">
      <c r="A678" s="97"/>
      <c r="B678" s="97"/>
      <c r="C678" s="97"/>
      <c r="D678" s="97"/>
      <c r="E678" s="97"/>
      <c r="F678" s="302"/>
      <c r="G678" s="302"/>
      <c r="H678" s="302"/>
      <c r="I678" s="302"/>
      <c r="J678" s="302"/>
      <c r="K678" s="302"/>
      <c r="L678" s="302"/>
      <c r="M678" s="302"/>
      <c r="N678" s="302"/>
      <c r="O678" s="302"/>
      <c r="P678" s="302"/>
    </row>
    <row r="679" spans="1:16" ht="17">
      <c r="A679" s="97"/>
      <c r="B679" s="97"/>
      <c r="C679" s="97"/>
      <c r="D679" s="97"/>
      <c r="E679" s="97"/>
      <c r="F679" s="302"/>
      <c r="G679" s="302"/>
      <c r="H679" s="302"/>
      <c r="I679" s="302"/>
      <c r="J679" s="302"/>
      <c r="K679" s="302"/>
      <c r="L679" s="302"/>
      <c r="M679" s="302"/>
      <c r="N679" s="302"/>
      <c r="O679" s="302"/>
      <c r="P679" s="302"/>
    </row>
    <row r="680" spans="1:16" ht="17">
      <c r="A680" s="97"/>
      <c r="B680" s="97"/>
      <c r="C680" s="97"/>
      <c r="D680" s="97"/>
      <c r="E680" s="97"/>
      <c r="F680" s="302"/>
      <c r="G680" s="302"/>
      <c r="H680" s="302"/>
      <c r="I680" s="302"/>
      <c r="J680" s="302"/>
      <c r="K680" s="302"/>
      <c r="L680" s="302"/>
      <c r="M680" s="302"/>
      <c r="N680" s="302"/>
      <c r="O680" s="302"/>
      <c r="P680" s="302"/>
    </row>
    <row r="681" spans="1:16" ht="17">
      <c r="A681" s="97"/>
      <c r="B681" s="97"/>
      <c r="C681" s="97"/>
      <c r="D681" s="97"/>
      <c r="E681" s="97"/>
      <c r="F681" s="302"/>
      <c r="G681" s="302"/>
      <c r="H681" s="302"/>
      <c r="I681" s="302"/>
      <c r="J681" s="302"/>
      <c r="K681" s="302"/>
      <c r="L681" s="302"/>
      <c r="M681" s="302"/>
      <c r="N681" s="302"/>
      <c r="O681" s="302"/>
      <c r="P681" s="302"/>
    </row>
    <row r="682" spans="1:16" ht="17">
      <c r="A682" s="97"/>
      <c r="B682" s="97"/>
      <c r="C682" s="97"/>
      <c r="D682" s="97"/>
      <c r="E682" s="97"/>
      <c r="F682" s="302"/>
      <c r="G682" s="302"/>
      <c r="H682" s="302"/>
      <c r="I682" s="302"/>
      <c r="J682" s="302"/>
      <c r="K682" s="302"/>
      <c r="L682" s="302"/>
      <c r="M682" s="302"/>
      <c r="N682" s="302"/>
      <c r="O682" s="302"/>
      <c r="P682" s="302"/>
    </row>
    <row r="683" spans="1:16" ht="17">
      <c r="A683" s="97"/>
      <c r="B683" s="97"/>
      <c r="C683" s="97"/>
      <c r="D683" s="97"/>
      <c r="E683" s="97"/>
      <c r="F683" s="302"/>
      <c r="G683" s="302"/>
      <c r="H683" s="302"/>
      <c r="I683" s="302"/>
      <c r="J683" s="302"/>
      <c r="K683" s="302"/>
      <c r="L683" s="302"/>
      <c r="M683" s="302"/>
      <c r="N683" s="302"/>
      <c r="O683" s="302"/>
      <c r="P683" s="302"/>
    </row>
    <row r="684" spans="1:16" ht="17">
      <c r="A684" s="97"/>
      <c r="B684" s="97"/>
      <c r="C684" s="97"/>
      <c r="D684" s="97"/>
      <c r="E684" s="97"/>
      <c r="F684" s="302"/>
      <c r="G684" s="302"/>
      <c r="H684" s="302"/>
      <c r="I684" s="302"/>
      <c r="J684" s="302"/>
      <c r="K684" s="302"/>
      <c r="L684" s="302"/>
      <c r="M684" s="302"/>
      <c r="N684" s="302"/>
      <c r="O684" s="302"/>
      <c r="P684" s="302"/>
    </row>
    <row r="685" spans="1:16" ht="17">
      <c r="A685" s="97"/>
      <c r="B685" s="97"/>
      <c r="C685" s="97"/>
      <c r="D685" s="97"/>
      <c r="E685" s="97"/>
      <c r="F685" s="302"/>
      <c r="G685" s="302"/>
      <c r="H685" s="302"/>
      <c r="I685" s="302"/>
      <c r="J685" s="302"/>
      <c r="K685" s="302"/>
      <c r="L685" s="302"/>
      <c r="M685" s="302"/>
      <c r="N685" s="302"/>
      <c r="O685" s="302"/>
      <c r="P685" s="302"/>
    </row>
    <row r="686" spans="1:16" ht="17">
      <c r="A686" s="97"/>
      <c r="B686" s="97"/>
      <c r="C686" s="97"/>
      <c r="D686" s="97"/>
      <c r="E686" s="97"/>
      <c r="F686" s="302"/>
      <c r="G686" s="302"/>
      <c r="H686" s="302"/>
      <c r="I686" s="302"/>
      <c r="J686" s="302"/>
      <c r="K686" s="302"/>
      <c r="L686" s="302"/>
      <c r="M686" s="302"/>
      <c r="N686" s="302"/>
      <c r="O686" s="302"/>
      <c r="P686" s="302"/>
    </row>
    <row r="687" spans="1:16" ht="17">
      <c r="A687" s="97"/>
      <c r="B687" s="97"/>
      <c r="C687" s="97"/>
      <c r="D687" s="97"/>
      <c r="E687" s="97"/>
      <c r="F687" s="302"/>
      <c r="G687" s="302"/>
      <c r="H687" s="302"/>
      <c r="I687" s="302"/>
      <c r="J687" s="302"/>
      <c r="K687" s="302"/>
      <c r="L687" s="302"/>
      <c r="M687" s="302"/>
      <c r="N687" s="302"/>
      <c r="O687" s="302"/>
      <c r="P687" s="302"/>
    </row>
    <row r="688" spans="1:16" ht="17">
      <c r="A688" s="97"/>
      <c r="B688" s="97"/>
      <c r="C688" s="97"/>
      <c r="D688" s="97"/>
      <c r="E688" s="97"/>
      <c r="F688" s="302"/>
      <c r="G688" s="302"/>
      <c r="H688" s="302"/>
      <c r="I688" s="302"/>
      <c r="J688" s="302"/>
      <c r="K688" s="302"/>
      <c r="L688" s="302"/>
      <c r="M688" s="302"/>
      <c r="N688" s="302"/>
      <c r="O688" s="302"/>
      <c r="P688" s="302"/>
    </row>
    <row r="689" spans="1:16" ht="17">
      <c r="A689" s="97"/>
      <c r="B689" s="97"/>
      <c r="C689" s="97"/>
      <c r="D689" s="97"/>
      <c r="E689" s="97"/>
      <c r="F689" s="302"/>
      <c r="G689" s="302"/>
      <c r="H689" s="302"/>
      <c r="I689" s="302"/>
      <c r="J689" s="302"/>
      <c r="K689" s="302"/>
      <c r="L689" s="302"/>
      <c r="M689" s="302"/>
      <c r="N689" s="302"/>
      <c r="O689" s="302"/>
      <c r="P689" s="302"/>
    </row>
    <row r="690" spans="1:16" ht="17">
      <c r="A690" s="97"/>
      <c r="B690" s="97"/>
      <c r="C690" s="97"/>
      <c r="D690" s="97"/>
      <c r="E690" s="97"/>
      <c r="F690" s="302"/>
      <c r="G690" s="302"/>
      <c r="H690" s="302"/>
      <c r="I690" s="302"/>
      <c r="J690" s="302"/>
      <c r="K690" s="302"/>
      <c r="L690" s="302"/>
      <c r="M690" s="302"/>
      <c r="N690" s="302"/>
      <c r="O690" s="302"/>
      <c r="P690" s="302"/>
    </row>
    <row r="691" spans="1:16" ht="17">
      <c r="A691" s="97"/>
      <c r="B691" s="97"/>
      <c r="C691" s="97"/>
      <c r="D691" s="97"/>
      <c r="E691" s="97"/>
      <c r="F691" s="302"/>
      <c r="G691" s="302"/>
      <c r="H691" s="302"/>
      <c r="I691" s="302"/>
      <c r="J691" s="302"/>
      <c r="K691" s="302"/>
      <c r="L691" s="302"/>
      <c r="M691" s="302"/>
      <c r="N691" s="302"/>
      <c r="O691" s="302"/>
      <c r="P691" s="302"/>
    </row>
    <row r="692" spans="1:16" ht="17">
      <c r="A692" s="97"/>
      <c r="B692" s="97"/>
      <c r="C692" s="97"/>
      <c r="D692" s="97"/>
      <c r="E692" s="97"/>
      <c r="F692" s="302"/>
      <c r="G692" s="302"/>
      <c r="H692" s="302"/>
      <c r="I692" s="302"/>
      <c r="J692" s="302"/>
      <c r="K692" s="302"/>
      <c r="L692" s="302"/>
      <c r="M692" s="302"/>
      <c r="N692" s="302"/>
      <c r="O692" s="302"/>
      <c r="P692" s="302"/>
    </row>
    <row r="693" spans="1:16" ht="17">
      <c r="A693" s="97"/>
      <c r="B693" s="97"/>
      <c r="C693" s="97"/>
      <c r="D693" s="97"/>
      <c r="E693" s="97"/>
      <c r="F693" s="302"/>
      <c r="G693" s="302"/>
      <c r="H693" s="302"/>
      <c r="I693" s="302"/>
      <c r="J693" s="302"/>
      <c r="K693" s="302"/>
      <c r="L693" s="302"/>
      <c r="M693" s="302"/>
      <c r="N693" s="302"/>
      <c r="O693" s="302"/>
      <c r="P693" s="302"/>
    </row>
    <row r="694" spans="1:16" ht="17">
      <c r="A694" s="97"/>
      <c r="B694" s="97"/>
      <c r="C694" s="97"/>
      <c r="D694" s="97"/>
      <c r="E694" s="97"/>
      <c r="F694" s="302"/>
      <c r="G694" s="302"/>
      <c r="H694" s="302"/>
      <c r="I694" s="302"/>
      <c r="J694" s="302"/>
      <c r="K694" s="302"/>
      <c r="L694" s="302"/>
      <c r="M694" s="302"/>
      <c r="N694" s="302"/>
      <c r="O694" s="302"/>
      <c r="P694" s="302"/>
    </row>
    <row r="695" spans="1:16" ht="17">
      <c r="A695" s="97"/>
      <c r="B695" s="97"/>
      <c r="C695" s="97"/>
      <c r="D695" s="97"/>
      <c r="E695" s="97"/>
      <c r="F695" s="302"/>
      <c r="G695" s="302"/>
      <c r="H695" s="302"/>
      <c r="I695" s="302"/>
      <c r="J695" s="302"/>
      <c r="K695" s="302"/>
      <c r="L695" s="302"/>
      <c r="M695" s="302"/>
      <c r="N695" s="302"/>
      <c r="O695" s="302"/>
      <c r="P695" s="302"/>
    </row>
    <row r="696" spans="1:16" ht="17">
      <c r="A696" s="97"/>
      <c r="B696" s="97"/>
      <c r="C696" s="97"/>
      <c r="D696" s="97"/>
      <c r="E696" s="97"/>
      <c r="F696" s="302"/>
      <c r="G696" s="302"/>
      <c r="H696" s="302"/>
      <c r="I696" s="302"/>
      <c r="J696" s="302"/>
      <c r="K696" s="302"/>
      <c r="L696" s="302"/>
      <c r="M696" s="302"/>
      <c r="N696" s="302"/>
      <c r="O696" s="302"/>
      <c r="P696" s="302"/>
    </row>
    <row r="697" spans="1:16" ht="17">
      <c r="A697" s="97"/>
      <c r="B697" s="97"/>
      <c r="C697" s="97"/>
      <c r="D697" s="97"/>
      <c r="E697" s="97"/>
      <c r="F697" s="302"/>
      <c r="G697" s="302"/>
      <c r="H697" s="302"/>
      <c r="I697" s="302"/>
      <c r="J697" s="302"/>
      <c r="K697" s="302"/>
      <c r="L697" s="302"/>
      <c r="M697" s="302"/>
      <c r="N697" s="302"/>
      <c r="O697" s="302"/>
      <c r="P697" s="302"/>
    </row>
    <row r="698" spans="1:16" ht="17">
      <c r="A698" s="97"/>
      <c r="B698" s="97"/>
      <c r="C698" s="97"/>
      <c r="D698" s="97"/>
      <c r="E698" s="97"/>
      <c r="F698" s="302"/>
      <c r="G698" s="302"/>
      <c r="H698" s="302"/>
      <c r="I698" s="302"/>
      <c r="J698" s="302"/>
      <c r="K698" s="302"/>
      <c r="L698" s="302"/>
      <c r="M698" s="302"/>
      <c r="N698" s="302"/>
      <c r="O698" s="302"/>
      <c r="P698" s="302"/>
    </row>
    <row r="699" spans="1:16" ht="17">
      <c r="A699" s="97"/>
      <c r="B699" s="97"/>
      <c r="C699" s="97"/>
      <c r="D699" s="97"/>
      <c r="E699" s="97"/>
      <c r="F699" s="302"/>
      <c r="G699" s="302"/>
      <c r="H699" s="302"/>
      <c r="I699" s="302"/>
      <c r="J699" s="302"/>
      <c r="K699" s="302"/>
      <c r="L699" s="302"/>
      <c r="M699" s="302"/>
      <c r="N699" s="302"/>
      <c r="O699" s="302"/>
      <c r="P699" s="302"/>
    </row>
    <row r="700" spans="1:16" ht="17">
      <c r="A700" s="97"/>
      <c r="B700" s="97"/>
      <c r="C700" s="97"/>
      <c r="D700" s="97"/>
      <c r="E700" s="97"/>
      <c r="F700" s="302"/>
      <c r="G700" s="302"/>
      <c r="H700" s="302"/>
      <c r="I700" s="302"/>
      <c r="J700" s="302"/>
      <c r="K700" s="302"/>
      <c r="L700" s="302"/>
      <c r="M700" s="302"/>
      <c r="N700" s="302"/>
      <c r="O700" s="302"/>
      <c r="P700" s="302"/>
    </row>
    <row r="701" spans="1:16" ht="17">
      <c r="A701" s="97"/>
      <c r="B701" s="97"/>
      <c r="C701" s="97"/>
      <c r="D701" s="97"/>
      <c r="E701" s="97"/>
      <c r="F701" s="302"/>
      <c r="G701" s="302"/>
      <c r="H701" s="302"/>
      <c r="I701" s="302"/>
      <c r="J701" s="302"/>
      <c r="K701" s="302"/>
      <c r="L701" s="302"/>
      <c r="M701" s="302"/>
      <c r="N701" s="302"/>
      <c r="O701" s="302"/>
      <c r="P701" s="302"/>
    </row>
    <row r="702" spans="1:16" ht="17">
      <c r="A702" s="97"/>
      <c r="B702" s="97"/>
      <c r="C702" s="97"/>
      <c r="D702" s="97"/>
      <c r="E702" s="97"/>
      <c r="F702" s="302"/>
      <c r="G702" s="302"/>
      <c r="H702" s="302"/>
      <c r="I702" s="302"/>
      <c r="J702" s="302"/>
      <c r="K702" s="302"/>
      <c r="L702" s="302"/>
      <c r="M702" s="302"/>
      <c r="N702" s="302"/>
      <c r="O702" s="302"/>
      <c r="P702" s="302"/>
    </row>
    <row r="703" spans="1:16" ht="17">
      <c r="A703" s="97"/>
      <c r="B703" s="97"/>
      <c r="C703" s="97"/>
      <c r="D703" s="97"/>
      <c r="E703" s="97"/>
      <c r="F703" s="302"/>
      <c r="G703" s="302"/>
      <c r="H703" s="302"/>
      <c r="I703" s="302"/>
      <c r="J703" s="302"/>
      <c r="K703" s="302"/>
      <c r="L703" s="302"/>
      <c r="M703" s="302"/>
      <c r="N703" s="302"/>
      <c r="O703" s="302"/>
      <c r="P703" s="302"/>
    </row>
    <row r="704" spans="1:16" ht="17">
      <c r="A704" s="97"/>
      <c r="B704" s="97"/>
      <c r="C704" s="97"/>
      <c r="D704" s="97"/>
      <c r="E704" s="97"/>
      <c r="F704" s="302"/>
      <c r="G704" s="302"/>
      <c r="H704" s="302"/>
      <c r="I704" s="302"/>
      <c r="J704" s="302"/>
      <c r="K704" s="302"/>
      <c r="L704" s="302"/>
      <c r="M704" s="302"/>
      <c r="N704" s="302"/>
      <c r="O704" s="302"/>
      <c r="P704" s="302"/>
    </row>
    <row r="705" spans="1:16" ht="17">
      <c r="A705" s="97"/>
      <c r="B705" s="97"/>
      <c r="C705" s="97"/>
      <c r="D705" s="97"/>
      <c r="E705" s="97"/>
      <c r="F705" s="302"/>
      <c r="G705" s="302"/>
      <c r="H705" s="302"/>
      <c r="I705" s="302"/>
      <c r="J705" s="302"/>
      <c r="K705" s="302"/>
      <c r="L705" s="302"/>
      <c r="M705" s="302"/>
      <c r="N705" s="302"/>
      <c r="O705" s="302"/>
      <c r="P705" s="302"/>
    </row>
    <row r="706" spans="1:16" ht="17">
      <c r="A706" s="97"/>
      <c r="B706" s="97"/>
      <c r="C706" s="97"/>
      <c r="D706" s="97"/>
      <c r="E706" s="97"/>
      <c r="F706" s="302"/>
      <c r="G706" s="302"/>
      <c r="H706" s="302"/>
      <c r="I706" s="302"/>
      <c r="J706" s="302"/>
      <c r="K706" s="302"/>
      <c r="L706" s="302"/>
      <c r="M706" s="302"/>
      <c r="N706" s="302"/>
      <c r="O706" s="302"/>
      <c r="P706" s="302"/>
    </row>
    <row r="707" spans="1:16" ht="17">
      <c r="A707" s="97"/>
      <c r="B707" s="97"/>
      <c r="C707" s="97"/>
      <c r="D707" s="97"/>
      <c r="E707" s="97"/>
      <c r="F707" s="302"/>
      <c r="G707" s="302"/>
      <c r="H707" s="302"/>
      <c r="I707" s="302"/>
      <c r="J707" s="302"/>
      <c r="K707" s="302"/>
      <c r="L707" s="302"/>
      <c r="M707" s="302"/>
      <c r="N707" s="302"/>
      <c r="O707" s="302"/>
      <c r="P707" s="302"/>
    </row>
    <row r="708" spans="1:16" ht="17">
      <c r="A708" s="97"/>
      <c r="B708" s="97"/>
      <c r="C708" s="97"/>
      <c r="D708" s="97"/>
      <c r="E708" s="97"/>
      <c r="F708" s="302"/>
      <c r="G708" s="302"/>
      <c r="H708" s="302"/>
      <c r="I708" s="302"/>
      <c r="J708" s="302"/>
      <c r="K708" s="302"/>
      <c r="L708" s="302"/>
      <c r="M708" s="302"/>
      <c r="N708" s="302"/>
      <c r="O708" s="302"/>
      <c r="P708" s="302"/>
    </row>
    <row r="709" spans="1:16" ht="17">
      <c r="A709" s="97"/>
      <c r="B709" s="97"/>
      <c r="C709" s="97"/>
      <c r="D709" s="97"/>
      <c r="E709" s="97"/>
      <c r="F709" s="302"/>
      <c r="G709" s="302"/>
      <c r="H709" s="302"/>
      <c r="I709" s="302"/>
      <c r="J709" s="302"/>
      <c r="K709" s="302"/>
      <c r="L709" s="302"/>
      <c r="M709" s="302"/>
      <c r="N709" s="302"/>
      <c r="O709" s="302"/>
      <c r="P709" s="302"/>
    </row>
    <row r="710" spans="1:16" ht="17">
      <c r="A710" s="97"/>
      <c r="B710" s="97"/>
      <c r="C710" s="97"/>
      <c r="D710" s="97"/>
      <c r="E710" s="97"/>
      <c r="F710" s="302"/>
      <c r="G710" s="302"/>
      <c r="H710" s="302"/>
      <c r="I710" s="302"/>
      <c r="J710" s="302"/>
      <c r="K710" s="302"/>
      <c r="L710" s="302"/>
      <c r="M710" s="302"/>
      <c r="N710" s="302"/>
      <c r="O710" s="302"/>
      <c r="P710" s="302"/>
    </row>
    <row r="711" spans="1:16" ht="17">
      <c r="A711" s="97"/>
      <c r="B711" s="97"/>
      <c r="C711" s="97"/>
      <c r="D711" s="97"/>
      <c r="E711" s="97"/>
      <c r="F711" s="302"/>
      <c r="G711" s="302"/>
      <c r="H711" s="302"/>
      <c r="I711" s="302"/>
      <c r="J711" s="302"/>
      <c r="K711" s="302"/>
      <c r="L711" s="302"/>
      <c r="M711" s="302"/>
      <c r="N711" s="302"/>
      <c r="O711" s="302"/>
      <c r="P711" s="302"/>
    </row>
    <row r="712" spans="1:16" ht="17">
      <c r="A712" s="97"/>
      <c r="B712" s="97"/>
      <c r="C712" s="97"/>
      <c r="D712" s="97"/>
      <c r="E712" s="97"/>
      <c r="F712" s="302"/>
      <c r="G712" s="302"/>
      <c r="H712" s="302"/>
      <c r="I712" s="302"/>
      <c r="J712" s="302"/>
      <c r="K712" s="302"/>
      <c r="L712" s="302"/>
      <c r="M712" s="302"/>
      <c r="N712" s="302"/>
      <c r="O712" s="302"/>
      <c r="P712" s="302"/>
    </row>
    <row r="713" spans="1:16" ht="17">
      <c r="A713" s="97"/>
      <c r="B713" s="97"/>
      <c r="C713" s="97"/>
      <c r="D713" s="97"/>
      <c r="E713" s="97"/>
      <c r="F713" s="302"/>
      <c r="G713" s="302"/>
      <c r="H713" s="302"/>
      <c r="I713" s="302"/>
      <c r="J713" s="302"/>
      <c r="K713" s="302"/>
      <c r="L713" s="302"/>
      <c r="M713" s="302"/>
      <c r="N713" s="302"/>
      <c r="O713" s="302"/>
      <c r="P713" s="302"/>
    </row>
    <row r="714" spans="1:16" ht="17">
      <c r="A714" s="97"/>
      <c r="B714" s="97"/>
      <c r="C714" s="97"/>
      <c r="D714" s="97"/>
      <c r="E714" s="97"/>
      <c r="F714" s="302"/>
      <c r="G714" s="302"/>
      <c r="H714" s="302"/>
      <c r="I714" s="302"/>
      <c r="J714" s="302"/>
      <c r="K714" s="302"/>
      <c r="L714" s="302"/>
      <c r="M714" s="302"/>
      <c r="N714" s="302"/>
      <c r="O714" s="302"/>
      <c r="P714" s="302"/>
    </row>
    <row r="715" spans="1:16" ht="17">
      <c r="A715" s="97"/>
      <c r="B715" s="97"/>
      <c r="C715" s="97"/>
      <c r="D715" s="97"/>
      <c r="E715" s="97"/>
      <c r="F715" s="302"/>
      <c r="G715" s="302"/>
      <c r="H715" s="302"/>
      <c r="I715" s="302"/>
      <c r="J715" s="302"/>
      <c r="K715" s="302"/>
      <c r="L715" s="302"/>
      <c r="M715" s="302"/>
      <c r="N715" s="302"/>
      <c r="O715" s="302"/>
      <c r="P715" s="302"/>
    </row>
    <row r="716" spans="1:16" ht="17">
      <c r="A716" s="97"/>
      <c r="B716" s="97"/>
      <c r="C716" s="97"/>
      <c r="D716" s="97"/>
      <c r="E716" s="97"/>
      <c r="F716" s="302"/>
      <c r="G716" s="302"/>
      <c r="H716" s="302"/>
      <c r="I716" s="302"/>
      <c r="J716" s="302"/>
      <c r="K716" s="302"/>
      <c r="L716" s="302"/>
      <c r="M716" s="302"/>
      <c r="N716" s="302"/>
      <c r="O716" s="302"/>
      <c r="P716" s="302"/>
    </row>
    <row r="717" spans="1:16" ht="17">
      <c r="A717" s="97"/>
      <c r="B717" s="97"/>
      <c r="C717" s="97"/>
      <c r="D717" s="97"/>
      <c r="E717" s="97"/>
      <c r="F717" s="302"/>
      <c r="G717" s="302"/>
      <c r="H717" s="302"/>
      <c r="I717" s="302"/>
      <c r="J717" s="302"/>
      <c r="K717" s="302"/>
      <c r="L717" s="302"/>
      <c r="M717" s="302"/>
      <c r="N717" s="302"/>
      <c r="O717" s="302"/>
      <c r="P717" s="302"/>
    </row>
    <row r="718" spans="1:16" ht="17">
      <c r="A718" s="97"/>
      <c r="B718" s="97"/>
      <c r="C718" s="97"/>
      <c r="D718" s="97"/>
      <c r="E718" s="97"/>
      <c r="F718" s="302"/>
      <c r="G718" s="302"/>
      <c r="H718" s="302"/>
      <c r="I718" s="302"/>
      <c r="J718" s="302"/>
      <c r="K718" s="302"/>
      <c r="L718" s="302"/>
      <c r="M718" s="302"/>
      <c r="N718" s="302"/>
      <c r="O718" s="302"/>
      <c r="P718" s="302"/>
    </row>
    <row r="719" spans="1:16" ht="17">
      <c r="A719" s="97"/>
      <c r="B719" s="97"/>
      <c r="C719" s="97"/>
      <c r="D719" s="97"/>
      <c r="E719" s="97"/>
      <c r="F719" s="302"/>
      <c r="G719" s="302"/>
      <c r="H719" s="302"/>
      <c r="I719" s="302"/>
      <c r="J719" s="302"/>
      <c r="K719" s="302"/>
      <c r="L719" s="302"/>
      <c r="M719" s="302"/>
      <c r="N719" s="302"/>
      <c r="O719" s="302"/>
      <c r="P719" s="302"/>
    </row>
    <row r="720" spans="1:16" ht="17">
      <c r="A720" s="97"/>
      <c r="B720" s="97"/>
      <c r="C720" s="97"/>
      <c r="D720" s="97"/>
      <c r="E720" s="97"/>
      <c r="F720" s="302"/>
      <c r="G720" s="302"/>
      <c r="H720" s="302"/>
      <c r="I720" s="302"/>
      <c r="J720" s="302"/>
      <c r="K720" s="302"/>
      <c r="L720" s="302"/>
      <c r="M720" s="302"/>
      <c r="N720" s="302"/>
      <c r="O720" s="302"/>
      <c r="P720" s="302"/>
    </row>
    <row r="721" spans="1:16" ht="17">
      <c r="A721" s="97"/>
      <c r="B721" s="97"/>
      <c r="C721" s="97"/>
      <c r="D721" s="97"/>
      <c r="E721" s="97"/>
      <c r="F721" s="302"/>
      <c r="G721" s="302"/>
      <c r="H721" s="302"/>
      <c r="I721" s="302"/>
      <c r="J721" s="302"/>
      <c r="K721" s="302"/>
      <c r="L721" s="302"/>
      <c r="M721" s="302"/>
      <c r="N721" s="302"/>
      <c r="O721" s="302"/>
      <c r="P721" s="302"/>
    </row>
    <row r="722" spans="1:16" ht="17">
      <c r="A722" s="97"/>
      <c r="B722" s="97"/>
      <c r="C722" s="97"/>
      <c r="D722" s="97"/>
      <c r="E722" s="97"/>
      <c r="F722" s="302"/>
      <c r="G722" s="302"/>
      <c r="H722" s="302"/>
      <c r="I722" s="302"/>
      <c r="J722" s="302"/>
      <c r="K722" s="302"/>
      <c r="L722" s="302"/>
      <c r="M722" s="302"/>
      <c r="N722" s="302"/>
      <c r="O722" s="302"/>
      <c r="P722" s="302"/>
    </row>
    <row r="723" spans="1:16" ht="17">
      <c r="A723" s="97"/>
      <c r="B723" s="97"/>
      <c r="C723" s="97"/>
      <c r="D723" s="97"/>
      <c r="E723" s="97"/>
      <c r="F723" s="302"/>
      <c r="G723" s="302"/>
      <c r="H723" s="302"/>
      <c r="I723" s="302"/>
      <c r="J723" s="302"/>
      <c r="K723" s="302"/>
      <c r="L723" s="302"/>
      <c r="M723" s="302"/>
      <c r="N723" s="302"/>
      <c r="O723" s="302"/>
      <c r="P723" s="302"/>
    </row>
    <row r="724" spans="1:16" ht="17">
      <c r="A724" s="97"/>
      <c r="B724" s="97"/>
      <c r="C724" s="97"/>
      <c r="D724" s="97"/>
      <c r="E724" s="97"/>
      <c r="F724" s="302"/>
      <c r="G724" s="302"/>
      <c r="H724" s="302"/>
      <c r="I724" s="302"/>
      <c r="J724" s="302"/>
      <c r="K724" s="302"/>
      <c r="L724" s="302"/>
      <c r="M724" s="302"/>
      <c r="N724" s="302"/>
      <c r="O724" s="302"/>
      <c r="P724" s="302"/>
    </row>
    <row r="725" spans="1:16" ht="17">
      <c r="A725" s="97"/>
      <c r="B725" s="97"/>
      <c r="C725" s="97"/>
      <c r="D725" s="97"/>
      <c r="E725" s="97"/>
      <c r="F725" s="302"/>
      <c r="G725" s="302"/>
      <c r="H725" s="302"/>
      <c r="I725" s="302"/>
      <c r="J725" s="302"/>
      <c r="K725" s="302"/>
      <c r="L725" s="302"/>
      <c r="M725" s="302"/>
      <c r="N725" s="302"/>
      <c r="O725" s="302"/>
      <c r="P725" s="302"/>
    </row>
    <row r="726" spans="1:16" ht="17">
      <c r="A726" s="97"/>
      <c r="B726" s="97"/>
      <c r="C726" s="97"/>
      <c r="D726" s="97"/>
      <c r="E726" s="97"/>
      <c r="F726" s="302"/>
      <c r="G726" s="302"/>
      <c r="H726" s="302"/>
      <c r="I726" s="302"/>
      <c r="J726" s="302"/>
      <c r="K726" s="302"/>
      <c r="L726" s="302"/>
      <c r="M726" s="302"/>
      <c r="N726" s="302"/>
      <c r="O726" s="302"/>
      <c r="P726" s="302"/>
    </row>
    <row r="727" spans="1:16" ht="17">
      <c r="A727" s="97"/>
      <c r="B727" s="97"/>
      <c r="C727" s="97"/>
      <c r="D727" s="97"/>
      <c r="E727" s="97"/>
      <c r="F727" s="302"/>
      <c r="G727" s="302"/>
      <c r="H727" s="302"/>
      <c r="I727" s="302"/>
      <c r="J727" s="302"/>
      <c r="K727" s="302"/>
      <c r="L727" s="302"/>
      <c r="M727" s="302"/>
      <c r="N727" s="302"/>
      <c r="O727" s="302"/>
      <c r="P727" s="302"/>
    </row>
    <row r="728" spans="1:16" ht="17">
      <c r="A728" s="97"/>
      <c r="B728" s="97"/>
      <c r="C728" s="97"/>
      <c r="D728" s="97"/>
      <c r="E728" s="97"/>
      <c r="F728" s="302"/>
      <c r="G728" s="302"/>
      <c r="H728" s="302"/>
      <c r="I728" s="302"/>
      <c r="J728" s="302"/>
      <c r="K728" s="302"/>
      <c r="L728" s="302"/>
      <c r="M728" s="302"/>
      <c r="N728" s="302"/>
      <c r="O728" s="302"/>
      <c r="P728" s="302"/>
    </row>
    <row r="729" spans="1:16" ht="17">
      <c r="A729" s="97"/>
      <c r="B729" s="97"/>
      <c r="C729" s="97"/>
      <c r="D729" s="97"/>
      <c r="E729" s="97"/>
      <c r="F729" s="302"/>
      <c r="G729" s="302"/>
      <c r="H729" s="302"/>
      <c r="I729" s="302"/>
      <c r="J729" s="302"/>
      <c r="K729" s="302"/>
      <c r="L729" s="302"/>
      <c r="M729" s="302"/>
      <c r="N729" s="302"/>
      <c r="O729" s="302"/>
      <c r="P729" s="302"/>
    </row>
    <row r="730" spans="1:16" ht="17">
      <c r="A730" s="97"/>
      <c r="B730" s="97"/>
      <c r="C730" s="97"/>
      <c r="D730" s="97"/>
      <c r="E730" s="97"/>
      <c r="F730" s="302"/>
      <c r="G730" s="302"/>
      <c r="H730" s="302"/>
      <c r="I730" s="302"/>
      <c r="J730" s="302"/>
      <c r="K730" s="302"/>
      <c r="L730" s="302"/>
      <c r="M730" s="302"/>
      <c r="N730" s="302"/>
      <c r="O730" s="302"/>
      <c r="P730" s="302"/>
    </row>
    <row r="731" spans="1:16" ht="17">
      <c r="A731" s="97"/>
      <c r="B731" s="97"/>
      <c r="C731" s="97"/>
      <c r="D731" s="97"/>
      <c r="E731" s="97"/>
      <c r="F731" s="302"/>
      <c r="G731" s="302"/>
      <c r="H731" s="302"/>
      <c r="I731" s="302"/>
      <c r="J731" s="302"/>
      <c r="K731" s="302"/>
      <c r="L731" s="302"/>
      <c r="M731" s="302"/>
      <c r="N731" s="302"/>
      <c r="O731" s="302"/>
      <c r="P731" s="302"/>
    </row>
    <row r="732" spans="1:16" ht="17">
      <c r="A732" s="97"/>
      <c r="B732" s="97"/>
      <c r="C732" s="97"/>
      <c r="D732" s="97"/>
      <c r="E732" s="97"/>
      <c r="F732" s="302"/>
      <c r="G732" s="302"/>
      <c r="H732" s="302"/>
      <c r="I732" s="302"/>
      <c r="J732" s="302"/>
      <c r="K732" s="302"/>
      <c r="L732" s="302"/>
      <c r="M732" s="302"/>
      <c r="N732" s="302"/>
      <c r="O732" s="302"/>
      <c r="P732" s="302"/>
    </row>
    <row r="733" spans="1:16" ht="17">
      <c r="A733" s="97"/>
      <c r="B733" s="97"/>
      <c r="C733" s="97"/>
      <c r="D733" s="97"/>
      <c r="E733" s="97"/>
      <c r="F733" s="302"/>
      <c r="G733" s="302"/>
      <c r="H733" s="302"/>
      <c r="I733" s="302"/>
      <c r="J733" s="302"/>
      <c r="K733" s="302"/>
      <c r="L733" s="302"/>
      <c r="M733" s="302"/>
      <c r="N733" s="302"/>
      <c r="O733" s="302"/>
      <c r="P733" s="302"/>
    </row>
    <row r="734" spans="1:16" ht="17">
      <c r="A734" s="97"/>
      <c r="B734" s="97"/>
      <c r="C734" s="97"/>
      <c r="D734" s="97"/>
      <c r="E734" s="97"/>
      <c r="F734" s="302"/>
      <c r="G734" s="302"/>
      <c r="H734" s="302"/>
      <c r="I734" s="302"/>
      <c r="J734" s="302"/>
      <c r="K734" s="302"/>
      <c r="L734" s="302"/>
      <c r="M734" s="302"/>
      <c r="N734" s="302"/>
      <c r="O734" s="302"/>
      <c r="P734" s="302"/>
    </row>
    <row r="735" spans="1:16" ht="17">
      <c r="A735" s="97"/>
      <c r="B735" s="97"/>
      <c r="C735" s="97"/>
      <c r="D735" s="97"/>
      <c r="E735" s="97"/>
      <c r="F735" s="302"/>
      <c r="G735" s="302"/>
      <c r="H735" s="302"/>
      <c r="I735" s="302"/>
      <c r="J735" s="302"/>
      <c r="K735" s="302"/>
      <c r="L735" s="302"/>
      <c r="M735" s="302"/>
      <c r="N735" s="302"/>
      <c r="O735" s="302"/>
      <c r="P735" s="302"/>
    </row>
    <row r="736" spans="1:16" ht="17">
      <c r="A736" s="97"/>
      <c r="B736" s="97"/>
      <c r="C736" s="97"/>
      <c r="D736" s="97"/>
      <c r="E736" s="97"/>
      <c r="F736" s="302"/>
      <c r="G736" s="302"/>
      <c r="H736" s="302"/>
      <c r="I736" s="302"/>
      <c r="J736" s="302"/>
      <c r="K736" s="302"/>
      <c r="L736" s="302"/>
      <c r="M736" s="302"/>
      <c r="N736" s="302"/>
      <c r="O736" s="302"/>
      <c r="P736" s="302"/>
    </row>
    <row r="737" spans="1:16" ht="17">
      <c r="A737" s="97"/>
      <c r="B737" s="97"/>
      <c r="C737" s="97"/>
      <c r="D737" s="97"/>
      <c r="E737" s="97"/>
      <c r="F737" s="302"/>
      <c r="G737" s="302"/>
      <c r="H737" s="302"/>
      <c r="I737" s="302"/>
      <c r="J737" s="302"/>
      <c r="K737" s="302"/>
      <c r="L737" s="302"/>
      <c r="M737" s="302"/>
      <c r="N737" s="302"/>
      <c r="O737" s="302"/>
      <c r="P737" s="302"/>
    </row>
    <row r="738" spans="1:16" ht="17">
      <c r="A738" s="97"/>
      <c r="B738" s="97"/>
      <c r="C738" s="97"/>
      <c r="D738" s="97"/>
      <c r="E738" s="97"/>
      <c r="F738" s="302"/>
      <c r="G738" s="302"/>
      <c r="H738" s="302"/>
      <c r="I738" s="302"/>
      <c r="J738" s="302"/>
      <c r="K738" s="302"/>
      <c r="L738" s="302"/>
      <c r="M738" s="302"/>
      <c r="N738" s="302"/>
      <c r="O738" s="302"/>
      <c r="P738" s="302"/>
    </row>
    <row r="739" spans="1:16" ht="17">
      <c r="A739" s="97"/>
      <c r="B739" s="97"/>
      <c r="C739" s="97"/>
      <c r="D739" s="97"/>
      <c r="E739" s="97"/>
      <c r="F739" s="302"/>
      <c r="G739" s="302"/>
      <c r="H739" s="302"/>
      <c r="I739" s="302"/>
      <c r="J739" s="302"/>
      <c r="K739" s="302"/>
      <c r="L739" s="302"/>
      <c r="M739" s="302"/>
      <c r="N739" s="302"/>
      <c r="O739" s="302"/>
      <c r="P739" s="302"/>
    </row>
    <row r="740" spans="1:16" ht="17">
      <c r="A740" s="97"/>
      <c r="B740" s="97"/>
      <c r="C740" s="97"/>
      <c r="D740" s="97"/>
      <c r="E740" s="97"/>
      <c r="F740" s="302"/>
      <c r="G740" s="302"/>
      <c r="H740" s="302"/>
      <c r="I740" s="302"/>
      <c r="J740" s="302"/>
      <c r="K740" s="302"/>
      <c r="L740" s="302"/>
      <c r="M740" s="302"/>
      <c r="N740" s="302"/>
      <c r="O740" s="302"/>
      <c r="P740" s="302"/>
    </row>
    <row r="741" spans="1:16" ht="17">
      <c r="A741" s="97"/>
      <c r="B741" s="97"/>
      <c r="C741" s="97"/>
      <c r="D741" s="97"/>
      <c r="E741" s="97"/>
      <c r="F741" s="302"/>
      <c r="G741" s="302"/>
      <c r="H741" s="302"/>
      <c r="I741" s="302"/>
      <c r="J741" s="302"/>
      <c r="K741" s="302"/>
      <c r="L741" s="302"/>
      <c r="M741" s="302"/>
      <c r="N741" s="302"/>
      <c r="O741" s="302"/>
      <c r="P741" s="302"/>
    </row>
    <row r="742" spans="1:16" ht="17">
      <c r="A742" s="97"/>
      <c r="B742" s="97"/>
      <c r="C742" s="97"/>
      <c r="D742" s="97"/>
      <c r="E742" s="97"/>
      <c r="F742" s="302"/>
      <c r="G742" s="302"/>
      <c r="H742" s="302"/>
      <c r="I742" s="302"/>
      <c r="J742" s="302"/>
      <c r="K742" s="302"/>
      <c r="L742" s="302"/>
      <c r="M742" s="302"/>
      <c r="N742" s="302"/>
      <c r="O742" s="302"/>
      <c r="P742" s="302"/>
    </row>
    <row r="743" spans="1:16" ht="17">
      <c r="A743" s="97"/>
      <c r="B743" s="97"/>
      <c r="C743" s="97"/>
      <c r="D743" s="97"/>
      <c r="E743" s="97"/>
      <c r="F743" s="302"/>
      <c r="G743" s="302"/>
      <c r="H743" s="302"/>
      <c r="I743" s="302"/>
      <c r="J743" s="302"/>
      <c r="K743" s="302"/>
      <c r="L743" s="302"/>
      <c r="M743" s="302"/>
      <c r="N743" s="302"/>
      <c r="O743" s="302"/>
      <c r="P743" s="302"/>
    </row>
    <row r="744" spans="1:16" ht="17">
      <c r="A744" s="97"/>
      <c r="B744" s="97"/>
      <c r="C744" s="97"/>
      <c r="D744" s="97"/>
      <c r="E744" s="97"/>
      <c r="F744" s="302"/>
      <c r="G744" s="302"/>
      <c r="H744" s="302"/>
      <c r="I744" s="302"/>
      <c r="J744" s="302"/>
      <c r="K744" s="302"/>
      <c r="L744" s="302"/>
      <c r="M744" s="302"/>
      <c r="N744" s="302"/>
      <c r="O744" s="302"/>
      <c r="P744" s="302"/>
    </row>
    <row r="745" spans="1:16" ht="17">
      <c r="A745" s="97"/>
      <c r="B745" s="97"/>
      <c r="C745" s="97"/>
      <c r="D745" s="97"/>
      <c r="E745" s="97"/>
      <c r="F745" s="302"/>
      <c r="G745" s="302"/>
      <c r="H745" s="302"/>
      <c r="I745" s="302"/>
      <c r="J745" s="302"/>
      <c r="K745" s="302"/>
      <c r="L745" s="302"/>
      <c r="M745" s="302"/>
      <c r="N745" s="302"/>
      <c r="O745" s="302"/>
      <c r="P745" s="302"/>
    </row>
    <row r="746" spans="1:16" ht="17">
      <c r="A746" s="97"/>
      <c r="B746" s="97"/>
      <c r="C746" s="97"/>
      <c r="D746" s="97"/>
      <c r="E746" s="97"/>
      <c r="F746" s="302"/>
      <c r="G746" s="302"/>
      <c r="H746" s="302"/>
      <c r="I746" s="302"/>
      <c r="J746" s="302"/>
      <c r="K746" s="302"/>
      <c r="L746" s="302"/>
      <c r="M746" s="302"/>
      <c r="N746" s="302"/>
      <c r="O746" s="302"/>
      <c r="P746" s="302"/>
    </row>
    <row r="747" spans="1:16" ht="17">
      <c r="A747" s="97"/>
      <c r="B747" s="97"/>
      <c r="C747" s="97"/>
      <c r="D747" s="97"/>
      <c r="E747" s="97"/>
      <c r="F747" s="302"/>
      <c r="G747" s="302"/>
      <c r="H747" s="302"/>
      <c r="I747" s="302"/>
      <c r="J747" s="302"/>
      <c r="K747" s="302"/>
      <c r="L747" s="302"/>
      <c r="M747" s="302"/>
      <c r="N747" s="302"/>
      <c r="O747" s="302"/>
      <c r="P747" s="302"/>
    </row>
    <row r="748" spans="1:16" ht="17">
      <c r="A748" s="97"/>
      <c r="B748" s="97"/>
      <c r="C748" s="97"/>
      <c r="D748" s="97"/>
      <c r="E748" s="97"/>
      <c r="F748" s="302"/>
      <c r="G748" s="302"/>
      <c r="H748" s="302"/>
      <c r="I748" s="302"/>
      <c r="J748" s="302"/>
      <c r="K748" s="302"/>
      <c r="L748" s="302"/>
      <c r="M748" s="302"/>
      <c r="N748" s="302"/>
      <c r="O748" s="302"/>
      <c r="P748" s="302"/>
    </row>
    <row r="749" spans="1:16" ht="17">
      <c r="A749" s="97"/>
      <c r="B749" s="97"/>
      <c r="C749" s="97"/>
      <c r="D749" s="97"/>
      <c r="E749" s="97"/>
      <c r="F749" s="302"/>
      <c r="G749" s="302"/>
      <c r="H749" s="302"/>
      <c r="I749" s="302"/>
      <c r="J749" s="302"/>
      <c r="K749" s="302"/>
      <c r="L749" s="302"/>
      <c r="M749" s="302"/>
      <c r="N749" s="302"/>
      <c r="O749" s="302"/>
      <c r="P749" s="302"/>
    </row>
    <row r="750" spans="1:16" ht="17">
      <c r="A750" s="97"/>
      <c r="B750" s="97"/>
      <c r="C750" s="97"/>
      <c r="D750" s="97"/>
      <c r="E750" s="97"/>
      <c r="F750" s="302"/>
      <c r="G750" s="302"/>
      <c r="H750" s="302"/>
      <c r="I750" s="302"/>
      <c r="J750" s="302"/>
      <c r="K750" s="302"/>
      <c r="L750" s="302"/>
      <c r="M750" s="302"/>
      <c r="N750" s="302"/>
      <c r="O750" s="302"/>
      <c r="P750" s="302"/>
    </row>
    <row r="751" spans="1:16" ht="17">
      <c r="A751" s="97"/>
      <c r="B751" s="97"/>
      <c r="C751" s="97"/>
      <c r="D751" s="97"/>
      <c r="E751" s="97"/>
      <c r="F751" s="302"/>
      <c r="G751" s="302"/>
      <c r="H751" s="302"/>
      <c r="I751" s="302"/>
      <c r="J751" s="302"/>
      <c r="K751" s="302"/>
      <c r="L751" s="302"/>
      <c r="M751" s="302"/>
      <c r="N751" s="302"/>
      <c r="O751" s="302"/>
      <c r="P751" s="302"/>
    </row>
    <row r="752" spans="1:16" ht="17">
      <c r="A752" s="97"/>
      <c r="B752" s="97"/>
      <c r="C752" s="97"/>
      <c r="D752" s="97"/>
      <c r="E752" s="97"/>
      <c r="F752" s="302"/>
      <c r="G752" s="302"/>
      <c r="H752" s="302"/>
      <c r="I752" s="302"/>
      <c r="J752" s="302"/>
      <c r="K752" s="302"/>
      <c r="L752" s="302"/>
      <c r="M752" s="302"/>
      <c r="N752" s="302"/>
      <c r="O752" s="302"/>
      <c r="P752" s="302"/>
    </row>
    <row r="753" spans="1:16" ht="17">
      <c r="A753" s="97"/>
      <c r="B753" s="97"/>
      <c r="C753" s="97"/>
      <c r="D753" s="97"/>
      <c r="E753" s="97"/>
      <c r="F753" s="302"/>
      <c r="G753" s="302"/>
      <c r="H753" s="302"/>
      <c r="I753" s="302"/>
      <c r="J753" s="302"/>
      <c r="K753" s="302"/>
      <c r="L753" s="302"/>
      <c r="M753" s="302"/>
      <c r="N753" s="302"/>
      <c r="O753" s="302"/>
      <c r="P753" s="302"/>
    </row>
    <row r="754" spans="1:16" ht="17">
      <c r="A754" s="97"/>
      <c r="B754" s="97"/>
      <c r="C754" s="97"/>
      <c r="D754" s="97"/>
      <c r="E754" s="97"/>
      <c r="F754" s="302"/>
      <c r="G754" s="302"/>
      <c r="H754" s="302"/>
      <c r="I754" s="302"/>
      <c r="J754" s="302"/>
      <c r="K754" s="302"/>
      <c r="L754" s="302"/>
      <c r="M754" s="302"/>
      <c r="N754" s="302"/>
      <c r="O754" s="302"/>
      <c r="P754" s="302"/>
    </row>
    <row r="755" spans="1:16" ht="17">
      <c r="A755" s="97"/>
      <c r="B755" s="97"/>
      <c r="C755" s="97"/>
      <c r="D755" s="97"/>
      <c r="E755" s="97"/>
      <c r="F755" s="302"/>
      <c r="G755" s="302"/>
      <c r="H755" s="302"/>
      <c r="I755" s="302"/>
      <c r="J755" s="302"/>
      <c r="K755" s="302"/>
      <c r="L755" s="302"/>
      <c r="M755" s="302"/>
      <c r="N755" s="302"/>
      <c r="O755" s="302"/>
      <c r="P755" s="302"/>
    </row>
    <row r="756" spans="1:16" ht="17">
      <c r="A756" s="97"/>
      <c r="B756" s="97"/>
      <c r="C756" s="97"/>
      <c r="D756" s="97"/>
      <c r="E756" s="97"/>
      <c r="F756" s="302"/>
      <c r="G756" s="302"/>
      <c r="H756" s="302"/>
      <c r="I756" s="302"/>
      <c r="J756" s="302"/>
      <c r="K756" s="302"/>
      <c r="L756" s="302"/>
      <c r="M756" s="302"/>
      <c r="N756" s="302"/>
      <c r="O756" s="302"/>
      <c r="P756" s="302"/>
    </row>
    <row r="757" spans="1:16" ht="17">
      <c r="A757" s="97"/>
      <c r="B757" s="97"/>
      <c r="C757" s="97"/>
      <c r="D757" s="97"/>
      <c r="E757" s="97"/>
      <c r="F757" s="302"/>
      <c r="G757" s="302"/>
      <c r="H757" s="302"/>
      <c r="I757" s="302"/>
      <c r="J757" s="302"/>
      <c r="K757" s="302"/>
      <c r="L757" s="302"/>
      <c r="M757" s="302"/>
      <c r="N757" s="302"/>
      <c r="O757" s="302"/>
      <c r="P757" s="302"/>
    </row>
    <row r="758" spans="1:16" ht="17">
      <c r="A758" s="97"/>
      <c r="B758" s="97"/>
      <c r="C758" s="97"/>
      <c r="D758" s="97"/>
      <c r="E758" s="97"/>
      <c r="F758" s="302"/>
      <c r="G758" s="302"/>
      <c r="H758" s="302"/>
      <c r="I758" s="302"/>
      <c r="J758" s="302"/>
      <c r="K758" s="302"/>
      <c r="L758" s="302"/>
      <c r="M758" s="302"/>
      <c r="N758" s="302"/>
      <c r="O758" s="302"/>
      <c r="P758" s="302"/>
    </row>
    <row r="759" spans="1:16" ht="17">
      <c r="A759" s="97"/>
      <c r="B759" s="97"/>
      <c r="C759" s="97"/>
      <c r="D759" s="97"/>
      <c r="E759" s="97"/>
      <c r="F759" s="302"/>
      <c r="G759" s="302"/>
      <c r="H759" s="302"/>
      <c r="I759" s="302"/>
      <c r="J759" s="302"/>
      <c r="K759" s="302"/>
      <c r="L759" s="302"/>
      <c r="M759" s="302"/>
      <c r="N759" s="302"/>
      <c r="O759" s="302"/>
      <c r="P759" s="302"/>
    </row>
    <row r="760" spans="1:16" ht="17">
      <c r="A760" s="97"/>
      <c r="B760" s="97"/>
      <c r="C760" s="97"/>
      <c r="D760" s="97"/>
      <c r="E760" s="97"/>
      <c r="F760" s="302"/>
      <c r="G760" s="302"/>
      <c r="H760" s="302"/>
      <c r="I760" s="302"/>
      <c r="J760" s="302"/>
      <c r="K760" s="302"/>
      <c r="L760" s="302"/>
      <c r="M760" s="302"/>
      <c r="N760" s="302"/>
      <c r="O760" s="302"/>
      <c r="P760" s="302"/>
    </row>
    <row r="761" spans="1:16" ht="17">
      <c r="A761" s="97"/>
      <c r="B761" s="97"/>
      <c r="C761" s="97"/>
      <c r="D761" s="97"/>
      <c r="E761" s="97"/>
      <c r="F761" s="302"/>
      <c r="G761" s="302"/>
      <c r="H761" s="302"/>
      <c r="I761" s="302"/>
      <c r="J761" s="302"/>
      <c r="K761" s="302"/>
      <c r="L761" s="302"/>
      <c r="M761" s="302"/>
      <c r="N761" s="302"/>
      <c r="O761" s="302"/>
      <c r="P761" s="302"/>
    </row>
    <row r="762" spans="1:16" ht="17">
      <c r="A762" s="97"/>
      <c r="B762" s="97"/>
      <c r="C762" s="97"/>
      <c r="D762" s="97"/>
      <c r="E762" s="97"/>
      <c r="F762" s="302"/>
      <c r="G762" s="302"/>
      <c r="H762" s="302"/>
      <c r="I762" s="302"/>
      <c r="J762" s="302"/>
      <c r="K762" s="302"/>
      <c r="L762" s="302"/>
      <c r="M762" s="302"/>
      <c r="N762" s="302"/>
      <c r="O762" s="302"/>
      <c r="P762" s="302"/>
    </row>
    <row r="763" spans="1:16" ht="17">
      <c r="A763" s="97"/>
      <c r="B763" s="97"/>
      <c r="C763" s="97"/>
      <c r="D763" s="97"/>
      <c r="E763" s="97"/>
      <c r="F763" s="302"/>
      <c r="G763" s="302"/>
      <c r="H763" s="302"/>
      <c r="I763" s="302"/>
      <c r="J763" s="302"/>
      <c r="K763" s="302"/>
      <c r="L763" s="302"/>
      <c r="M763" s="302"/>
      <c r="N763" s="302"/>
      <c r="O763" s="302"/>
      <c r="P763" s="302"/>
    </row>
    <row r="764" spans="1:16" ht="17">
      <c r="A764" s="97"/>
      <c r="B764" s="97"/>
      <c r="C764" s="97"/>
      <c r="D764" s="97"/>
      <c r="E764" s="97"/>
      <c r="F764" s="302"/>
      <c r="G764" s="302"/>
      <c r="H764" s="302"/>
      <c r="I764" s="302"/>
      <c r="J764" s="302"/>
      <c r="K764" s="302"/>
      <c r="L764" s="302"/>
      <c r="M764" s="302"/>
      <c r="N764" s="302"/>
      <c r="O764" s="302"/>
      <c r="P764" s="302"/>
    </row>
    <row r="765" spans="1:16" ht="17">
      <c r="A765" s="97"/>
      <c r="B765" s="97"/>
      <c r="C765" s="97"/>
      <c r="D765" s="97"/>
      <c r="E765" s="97"/>
      <c r="F765" s="302"/>
      <c r="G765" s="302"/>
      <c r="H765" s="302"/>
      <c r="I765" s="302"/>
      <c r="J765" s="302"/>
      <c r="K765" s="302"/>
      <c r="L765" s="302"/>
      <c r="M765" s="302"/>
      <c r="N765" s="302"/>
      <c r="O765" s="302"/>
      <c r="P765" s="302"/>
    </row>
    <row r="766" spans="1:16" ht="17">
      <c r="A766" s="97"/>
      <c r="B766" s="97"/>
      <c r="C766" s="97"/>
      <c r="D766" s="97"/>
      <c r="E766" s="97"/>
      <c r="F766" s="302"/>
      <c r="G766" s="302"/>
      <c r="H766" s="302"/>
      <c r="I766" s="302"/>
      <c r="J766" s="302"/>
      <c r="K766" s="302"/>
      <c r="L766" s="302"/>
      <c r="M766" s="302"/>
      <c r="N766" s="302"/>
      <c r="O766" s="302"/>
      <c r="P766" s="302"/>
    </row>
    <row r="767" spans="1:16" ht="17">
      <c r="A767" s="97"/>
      <c r="B767" s="97"/>
      <c r="C767" s="97"/>
      <c r="D767" s="97"/>
      <c r="E767" s="97"/>
      <c r="F767" s="302"/>
      <c r="G767" s="302"/>
      <c r="H767" s="302"/>
      <c r="I767" s="302"/>
      <c r="J767" s="302"/>
      <c r="K767" s="302"/>
      <c r="L767" s="302"/>
      <c r="M767" s="302"/>
      <c r="N767" s="302"/>
      <c r="O767" s="302"/>
      <c r="P767" s="302"/>
    </row>
    <row r="768" spans="1:16" ht="17">
      <c r="A768" s="97"/>
      <c r="B768" s="97"/>
      <c r="C768" s="97"/>
      <c r="D768" s="97"/>
      <c r="E768" s="97"/>
      <c r="F768" s="302"/>
      <c r="G768" s="302"/>
      <c r="H768" s="302"/>
      <c r="I768" s="302"/>
      <c r="J768" s="302"/>
      <c r="K768" s="302"/>
      <c r="L768" s="302"/>
      <c r="M768" s="302"/>
      <c r="N768" s="302"/>
      <c r="O768" s="302"/>
      <c r="P768" s="302"/>
    </row>
    <row r="769" spans="1:16" ht="17">
      <c r="A769" s="97"/>
      <c r="B769" s="97"/>
      <c r="C769" s="97"/>
      <c r="D769" s="97"/>
      <c r="E769" s="97"/>
      <c r="F769" s="302"/>
      <c r="G769" s="302"/>
      <c r="H769" s="302"/>
      <c r="I769" s="302"/>
      <c r="J769" s="302"/>
      <c r="K769" s="302"/>
      <c r="L769" s="302"/>
      <c r="M769" s="302"/>
      <c r="N769" s="302"/>
      <c r="O769" s="302"/>
      <c r="P769" s="302"/>
    </row>
    <row r="770" spans="1:16" ht="17">
      <c r="A770" s="97"/>
      <c r="B770" s="97"/>
      <c r="C770" s="97"/>
      <c r="D770" s="97"/>
      <c r="E770" s="97"/>
      <c r="F770" s="302"/>
      <c r="G770" s="302"/>
      <c r="H770" s="302"/>
      <c r="I770" s="302"/>
      <c r="J770" s="302"/>
      <c r="K770" s="302"/>
      <c r="L770" s="302"/>
      <c r="M770" s="302"/>
      <c r="N770" s="302"/>
      <c r="O770" s="302"/>
      <c r="P770" s="302"/>
    </row>
    <row r="771" spans="1:16" ht="17">
      <c r="A771" s="97"/>
      <c r="B771" s="97"/>
      <c r="C771" s="97"/>
      <c r="D771" s="97"/>
      <c r="E771" s="97"/>
      <c r="F771" s="302"/>
      <c r="G771" s="302"/>
      <c r="H771" s="302"/>
      <c r="I771" s="302"/>
      <c r="J771" s="302"/>
      <c r="K771" s="302"/>
      <c r="L771" s="302"/>
      <c r="M771" s="302"/>
      <c r="N771" s="302"/>
      <c r="O771" s="302"/>
      <c r="P771" s="302"/>
    </row>
    <row r="772" spans="1:16" ht="17">
      <c r="A772" s="97"/>
      <c r="B772" s="97"/>
      <c r="C772" s="97"/>
      <c r="D772" s="97"/>
      <c r="E772" s="97"/>
      <c r="F772" s="302"/>
      <c r="G772" s="302"/>
      <c r="H772" s="302"/>
      <c r="I772" s="302"/>
      <c r="J772" s="302"/>
      <c r="K772" s="302"/>
      <c r="L772" s="302"/>
      <c r="M772" s="302"/>
      <c r="N772" s="302"/>
      <c r="O772" s="302"/>
      <c r="P772" s="302"/>
    </row>
    <row r="773" spans="1:16" ht="17">
      <c r="A773" s="97"/>
      <c r="B773" s="97"/>
      <c r="C773" s="97"/>
      <c r="D773" s="97"/>
      <c r="E773" s="97"/>
      <c r="F773" s="302"/>
      <c r="G773" s="302"/>
      <c r="H773" s="302"/>
      <c r="I773" s="302"/>
      <c r="J773" s="302"/>
      <c r="K773" s="302"/>
      <c r="L773" s="302"/>
      <c r="M773" s="302"/>
      <c r="N773" s="302"/>
      <c r="O773" s="302"/>
      <c r="P773" s="302"/>
    </row>
    <row r="774" spans="1:16" ht="17">
      <c r="A774" s="97"/>
      <c r="B774" s="97"/>
      <c r="C774" s="97"/>
      <c r="D774" s="97"/>
      <c r="E774" s="97"/>
      <c r="F774" s="302"/>
      <c r="G774" s="302"/>
      <c r="H774" s="302"/>
      <c r="I774" s="302"/>
      <c r="J774" s="302"/>
      <c r="K774" s="302"/>
      <c r="L774" s="302"/>
      <c r="M774" s="302"/>
      <c r="N774" s="302"/>
      <c r="O774" s="302"/>
      <c r="P774" s="302"/>
    </row>
    <row r="775" spans="1:16" ht="17">
      <c r="A775" s="97"/>
      <c r="B775" s="97"/>
      <c r="C775" s="97"/>
      <c r="D775" s="97"/>
      <c r="E775" s="97"/>
      <c r="F775" s="302"/>
      <c r="G775" s="302"/>
      <c r="H775" s="302"/>
      <c r="I775" s="302"/>
      <c r="J775" s="302"/>
      <c r="K775" s="302"/>
      <c r="L775" s="302"/>
      <c r="M775" s="302"/>
      <c r="N775" s="302"/>
      <c r="O775" s="302"/>
      <c r="P775" s="302"/>
    </row>
    <row r="776" spans="1:16" ht="17">
      <c r="A776" s="97"/>
      <c r="B776" s="97"/>
      <c r="C776" s="97"/>
      <c r="D776" s="97"/>
      <c r="E776" s="97"/>
      <c r="F776" s="302"/>
      <c r="G776" s="302"/>
      <c r="H776" s="302"/>
      <c r="I776" s="302"/>
      <c r="J776" s="302"/>
      <c r="K776" s="302"/>
      <c r="L776" s="302"/>
      <c r="M776" s="302"/>
      <c r="N776" s="302"/>
      <c r="O776" s="302"/>
      <c r="P776" s="302"/>
    </row>
    <row r="777" spans="1:16" ht="17">
      <c r="A777" s="97"/>
      <c r="B777" s="97"/>
      <c r="C777" s="97"/>
      <c r="D777" s="97"/>
      <c r="E777" s="97"/>
      <c r="F777" s="302"/>
      <c r="G777" s="302"/>
      <c r="H777" s="302"/>
      <c r="I777" s="302"/>
      <c r="J777" s="302"/>
      <c r="K777" s="302"/>
      <c r="L777" s="302"/>
      <c r="M777" s="302"/>
      <c r="N777" s="302"/>
      <c r="O777" s="302"/>
      <c r="P777" s="302"/>
    </row>
    <row r="778" spans="1:16" ht="17">
      <c r="A778" s="97"/>
      <c r="B778" s="97"/>
      <c r="C778" s="97"/>
      <c r="D778" s="97"/>
      <c r="E778" s="97"/>
      <c r="F778" s="302"/>
      <c r="G778" s="302"/>
      <c r="H778" s="302"/>
      <c r="I778" s="302"/>
      <c r="J778" s="302"/>
      <c r="K778" s="302"/>
      <c r="L778" s="302"/>
      <c r="M778" s="302"/>
      <c r="N778" s="302"/>
      <c r="O778" s="302"/>
      <c r="P778" s="302"/>
    </row>
    <row r="779" spans="1:16" ht="17">
      <c r="A779" s="97"/>
      <c r="B779" s="97"/>
      <c r="C779" s="97"/>
      <c r="D779" s="97"/>
      <c r="E779" s="97"/>
      <c r="F779" s="302"/>
      <c r="G779" s="302"/>
      <c r="H779" s="302"/>
      <c r="I779" s="302"/>
      <c r="J779" s="302"/>
      <c r="K779" s="302"/>
      <c r="L779" s="302"/>
      <c r="M779" s="302"/>
      <c r="N779" s="302"/>
      <c r="O779" s="302"/>
      <c r="P779" s="302"/>
    </row>
    <row r="780" spans="1:16" ht="17">
      <c r="A780" s="97"/>
      <c r="B780" s="97"/>
      <c r="C780" s="97"/>
      <c r="D780" s="97"/>
      <c r="E780" s="97"/>
      <c r="F780" s="302"/>
      <c r="G780" s="302"/>
      <c r="H780" s="302"/>
      <c r="I780" s="302"/>
      <c r="J780" s="302"/>
      <c r="K780" s="302"/>
      <c r="L780" s="302"/>
      <c r="M780" s="302"/>
      <c r="N780" s="302"/>
      <c r="O780" s="302"/>
      <c r="P780" s="302"/>
    </row>
    <row r="781" spans="1:16" ht="17">
      <c r="A781" s="97"/>
      <c r="B781" s="97"/>
      <c r="C781" s="97"/>
      <c r="D781" s="97"/>
      <c r="E781" s="97"/>
      <c r="F781" s="302"/>
      <c r="G781" s="302"/>
      <c r="H781" s="302"/>
      <c r="I781" s="302"/>
      <c r="J781" s="302"/>
      <c r="K781" s="302"/>
      <c r="L781" s="302"/>
      <c r="M781" s="302"/>
      <c r="N781" s="302"/>
      <c r="O781" s="302"/>
      <c r="P781" s="302"/>
    </row>
    <row r="782" spans="1:16" ht="17">
      <c r="A782" s="97"/>
      <c r="B782" s="97"/>
      <c r="C782" s="97"/>
      <c r="D782" s="97"/>
      <c r="E782" s="97"/>
      <c r="F782" s="302"/>
      <c r="G782" s="302"/>
      <c r="H782" s="302"/>
      <c r="I782" s="302"/>
      <c r="J782" s="302"/>
      <c r="K782" s="302"/>
      <c r="L782" s="302"/>
      <c r="M782" s="302"/>
      <c r="N782" s="302"/>
      <c r="O782" s="302"/>
      <c r="P782" s="302"/>
    </row>
    <row r="783" spans="1:16" ht="17">
      <c r="A783" s="97"/>
      <c r="B783" s="97"/>
      <c r="C783" s="97"/>
      <c r="D783" s="97"/>
      <c r="E783" s="97"/>
      <c r="F783" s="302"/>
      <c r="G783" s="302"/>
      <c r="H783" s="302"/>
      <c r="I783" s="302"/>
      <c r="J783" s="302"/>
      <c r="K783" s="302"/>
      <c r="L783" s="302"/>
      <c r="M783" s="302"/>
      <c r="N783" s="302"/>
      <c r="O783" s="302"/>
      <c r="P783" s="302"/>
    </row>
    <row r="784" spans="1:16" ht="17">
      <c r="A784" s="97"/>
      <c r="B784" s="97"/>
      <c r="C784" s="97"/>
      <c r="D784" s="97"/>
      <c r="E784" s="97"/>
      <c r="F784" s="302"/>
      <c r="G784" s="302"/>
      <c r="H784" s="302"/>
      <c r="I784" s="302"/>
      <c r="J784" s="302"/>
      <c r="K784" s="302"/>
      <c r="L784" s="302"/>
      <c r="M784" s="302"/>
      <c r="N784" s="302"/>
      <c r="O784" s="302"/>
      <c r="P784" s="302"/>
    </row>
    <row r="785" spans="1:16" ht="17">
      <c r="A785" s="97"/>
      <c r="B785" s="97"/>
      <c r="C785" s="97"/>
      <c r="D785" s="97"/>
      <c r="E785" s="97"/>
      <c r="F785" s="302"/>
      <c r="G785" s="302"/>
      <c r="H785" s="302"/>
      <c r="I785" s="302"/>
      <c r="J785" s="302"/>
      <c r="K785" s="302"/>
      <c r="L785" s="302"/>
      <c r="M785" s="302"/>
      <c r="N785" s="302"/>
      <c r="O785" s="302"/>
      <c r="P785" s="302"/>
    </row>
    <row r="786" spans="1:16" ht="17">
      <c r="A786" s="97"/>
      <c r="B786" s="97"/>
      <c r="C786" s="97"/>
      <c r="D786" s="97"/>
      <c r="E786" s="97"/>
      <c r="F786" s="302"/>
      <c r="G786" s="302"/>
      <c r="H786" s="302"/>
      <c r="I786" s="302"/>
      <c r="J786" s="302"/>
      <c r="K786" s="302"/>
      <c r="L786" s="302"/>
      <c r="M786" s="302"/>
      <c r="N786" s="302"/>
      <c r="O786" s="302"/>
      <c r="P786" s="302"/>
    </row>
    <row r="787" spans="1:16" ht="17">
      <c r="A787" s="97"/>
      <c r="B787" s="97"/>
      <c r="C787" s="97"/>
      <c r="D787" s="97"/>
      <c r="E787" s="97"/>
      <c r="F787" s="302"/>
      <c r="G787" s="302"/>
      <c r="H787" s="302"/>
      <c r="I787" s="302"/>
      <c r="J787" s="302"/>
      <c r="K787" s="302"/>
      <c r="L787" s="302"/>
      <c r="M787" s="302"/>
      <c r="N787" s="302"/>
      <c r="O787" s="302"/>
      <c r="P787" s="302"/>
    </row>
    <row r="788" spans="1:16" ht="17">
      <c r="A788" s="97"/>
      <c r="B788" s="97"/>
      <c r="C788" s="97"/>
      <c r="D788" s="97"/>
      <c r="E788" s="97"/>
      <c r="F788" s="302"/>
      <c r="G788" s="302"/>
      <c r="H788" s="302"/>
      <c r="I788" s="302"/>
      <c r="J788" s="302"/>
      <c r="K788" s="302"/>
      <c r="L788" s="302"/>
      <c r="M788" s="302"/>
      <c r="N788" s="302"/>
      <c r="O788" s="302"/>
      <c r="P788" s="302"/>
    </row>
    <row r="789" spans="1:16" ht="17">
      <c r="A789" s="97"/>
      <c r="B789" s="97"/>
      <c r="C789" s="97"/>
      <c r="D789" s="97"/>
      <c r="E789" s="97"/>
      <c r="F789" s="302"/>
      <c r="G789" s="302"/>
      <c r="H789" s="302"/>
      <c r="I789" s="302"/>
      <c r="J789" s="302"/>
      <c r="K789" s="302"/>
      <c r="L789" s="302"/>
      <c r="M789" s="302"/>
      <c r="N789" s="302"/>
      <c r="O789" s="302"/>
      <c r="P789" s="302"/>
    </row>
    <row r="790" spans="1:16" ht="17">
      <c r="A790" s="97"/>
      <c r="B790" s="97"/>
      <c r="C790" s="97"/>
      <c r="D790" s="97"/>
      <c r="E790" s="97"/>
      <c r="F790" s="302"/>
      <c r="G790" s="302"/>
      <c r="H790" s="302"/>
      <c r="I790" s="302"/>
      <c r="J790" s="302"/>
      <c r="K790" s="302"/>
      <c r="L790" s="302"/>
      <c r="M790" s="302"/>
      <c r="N790" s="302"/>
      <c r="O790" s="302"/>
      <c r="P790" s="302"/>
    </row>
    <row r="791" spans="1:16" ht="17">
      <c r="A791" s="97"/>
      <c r="B791" s="97"/>
      <c r="C791" s="97"/>
      <c r="D791" s="97"/>
      <c r="E791" s="97"/>
      <c r="F791" s="302"/>
      <c r="G791" s="302"/>
      <c r="H791" s="302"/>
      <c r="I791" s="302"/>
      <c r="J791" s="302"/>
      <c r="K791" s="302"/>
      <c r="L791" s="302"/>
      <c r="M791" s="302"/>
      <c r="N791" s="302"/>
      <c r="O791" s="302"/>
      <c r="P791" s="302"/>
    </row>
    <row r="792" spans="1:16" ht="17">
      <c r="A792" s="97"/>
      <c r="B792" s="97"/>
      <c r="C792" s="97"/>
      <c r="D792" s="97"/>
      <c r="E792" s="97"/>
      <c r="F792" s="302"/>
      <c r="G792" s="302"/>
      <c r="H792" s="302"/>
      <c r="I792" s="302"/>
      <c r="J792" s="302"/>
      <c r="K792" s="302"/>
      <c r="L792" s="302"/>
      <c r="M792" s="302"/>
      <c r="N792" s="302"/>
      <c r="O792" s="302"/>
      <c r="P792" s="302"/>
    </row>
    <row r="793" spans="1:16" ht="17">
      <c r="A793" s="97"/>
      <c r="B793" s="97"/>
      <c r="C793" s="97"/>
      <c r="D793" s="97"/>
      <c r="E793" s="97"/>
      <c r="F793" s="302"/>
      <c r="G793" s="302"/>
      <c r="H793" s="302"/>
      <c r="I793" s="302"/>
      <c r="J793" s="302"/>
      <c r="K793" s="302"/>
      <c r="L793" s="302"/>
      <c r="M793" s="302"/>
      <c r="N793" s="302"/>
      <c r="O793" s="302"/>
      <c r="P793" s="302"/>
    </row>
    <row r="794" spans="1:16" ht="17">
      <c r="A794" s="97"/>
      <c r="B794" s="97"/>
      <c r="C794" s="97"/>
      <c r="D794" s="97"/>
      <c r="E794" s="97"/>
      <c r="F794" s="302"/>
      <c r="G794" s="302"/>
      <c r="H794" s="302"/>
      <c r="I794" s="302"/>
      <c r="J794" s="302"/>
      <c r="K794" s="302"/>
      <c r="L794" s="302"/>
      <c r="M794" s="302"/>
      <c r="N794" s="302"/>
      <c r="O794" s="302"/>
      <c r="P794" s="302"/>
    </row>
    <row r="795" spans="1:16" ht="17">
      <c r="A795" s="97"/>
      <c r="B795" s="97"/>
      <c r="C795" s="97"/>
      <c r="D795" s="97"/>
      <c r="E795" s="97"/>
      <c r="F795" s="302"/>
      <c r="G795" s="302"/>
      <c r="H795" s="302"/>
      <c r="I795" s="302"/>
      <c r="J795" s="302"/>
      <c r="K795" s="302"/>
      <c r="L795" s="302"/>
      <c r="M795" s="302"/>
      <c r="N795" s="302"/>
      <c r="O795" s="302"/>
      <c r="P795" s="302"/>
    </row>
    <row r="796" spans="1:16" ht="17">
      <c r="A796" s="97"/>
      <c r="B796" s="97"/>
      <c r="C796" s="97"/>
      <c r="D796" s="97"/>
      <c r="E796" s="97"/>
      <c r="F796" s="302"/>
      <c r="G796" s="302"/>
      <c r="H796" s="302"/>
      <c r="I796" s="302"/>
      <c r="J796" s="302"/>
      <c r="K796" s="302"/>
      <c r="L796" s="302"/>
      <c r="M796" s="302"/>
      <c r="N796" s="302"/>
      <c r="O796" s="302"/>
      <c r="P796" s="302"/>
    </row>
    <row r="797" spans="1:16" ht="17">
      <c r="A797" s="97"/>
      <c r="B797" s="97"/>
      <c r="C797" s="97"/>
      <c r="D797" s="97"/>
      <c r="E797" s="97"/>
      <c r="F797" s="302"/>
      <c r="G797" s="302"/>
      <c r="H797" s="302"/>
      <c r="I797" s="302"/>
      <c r="J797" s="302"/>
      <c r="K797" s="302"/>
      <c r="L797" s="302"/>
      <c r="M797" s="302"/>
      <c r="N797" s="302"/>
      <c r="O797" s="302"/>
      <c r="P797" s="302"/>
    </row>
    <row r="798" spans="1:16" ht="17">
      <c r="A798" s="97"/>
      <c r="B798" s="97"/>
      <c r="C798" s="97"/>
      <c r="D798" s="97"/>
      <c r="E798" s="97"/>
      <c r="F798" s="302"/>
      <c r="G798" s="302"/>
      <c r="H798" s="302"/>
      <c r="I798" s="302"/>
      <c r="J798" s="302"/>
      <c r="K798" s="302"/>
      <c r="L798" s="302"/>
      <c r="M798" s="302"/>
      <c r="N798" s="302"/>
      <c r="O798" s="302"/>
      <c r="P798" s="302"/>
    </row>
    <row r="799" spans="1:16" ht="17">
      <c r="A799" s="97"/>
      <c r="B799" s="97"/>
      <c r="C799" s="97"/>
      <c r="D799" s="97"/>
      <c r="E799" s="97"/>
      <c r="F799" s="302"/>
      <c r="G799" s="302"/>
      <c r="H799" s="302"/>
      <c r="I799" s="302"/>
      <c r="J799" s="302"/>
      <c r="K799" s="302"/>
      <c r="L799" s="302"/>
      <c r="M799" s="302"/>
      <c r="N799" s="302"/>
      <c r="O799" s="302"/>
      <c r="P799" s="302"/>
    </row>
    <row r="800" spans="1:16" ht="17">
      <c r="A800" s="97"/>
      <c r="B800" s="97"/>
      <c r="C800" s="97"/>
      <c r="D800" s="97"/>
      <c r="E800" s="97"/>
      <c r="F800" s="302"/>
      <c r="G800" s="302"/>
      <c r="H800" s="302"/>
      <c r="I800" s="302"/>
      <c r="J800" s="302"/>
      <c r="K800" s="302"/>
      <c r="L800" s="302"/>
      <c r="M800" s="302"/>
      <c r="N800" s="302"/>
      <c r="O800" s="302"/>
      <c r="P800" s="302"/>
    </row>
    <row r="801" spans="1:16" ht="17">
      <c r="A801" s="97"/>
      <c r="B801" s="97"/>
      <c r="C801" s="97"/>
      <c r="D801" s="97"/>
      <c r="E801" s="97"/>
      <c r="F801" s="302"/>
      <c r="G801" s="302"/>
      <c r="H801" s="302"/>
      <c r="I801" s="302"/>
      <c r="J801" s="302"/>
      <c r="K801" s="302"/>
      <c r="L801" s="302"/>
      <c r="M801" s="302"/>
      <c r="N801" s="302"/>
      <c r="O801" s="302"/>
      <c r="P801" s="302"/>
    </row>
    <row r="802" spans="1:16" ht="17">
      <c r="A802" s="97"/>
      <c r="B802" s="97"/>
      <c r="C802" s="97"/>
      <c r="D802" s="97"/>
      <c r="E802" s="97"/>
      <c r="F802" s="302"/>
      <c r="G802" s="302"/>
      <c r="H802" s="302"/>
      <c r="I802" s="302"/>
      <c r="J802" s="302"/>
      <c r="K802" s="302"/>
      <c r="L802" s="302"/>
      <c r="M802" s="302"/>
      <c r="N802" s="302"/>
      <c r="O802" s="302"/>
      <c r="P802" s="302"/>
    </row>
    <row r="803" spans="1:16" ht="17">
      <c r="A803" s="97"/>
      <c r="B803" s="97"/>
      <c r="C803" s="97"/>
      <c r="D803" s="97"/>
      <c r="E803" s="97"/>
      <c r="F803" s="302"/>
      <c r="G803" s="302"/>
      <c r="H803" s="302"/>
      <c r="I803" s="302"/>
      <c r="J803" s="302"/>
      <c r="K803" s="302"/>
      <c r="L803" s="302"/>
      <c r="M803" s="302"/>
      <c r="N803" s="302"/>
      <c r="O803" s="302"/>
      <c r="P803" s="302"/>
    </row>
    <row r="804" spans="1:16" ht="17">
      <c r="A804" s="97"/>
      <c r="B804" s="97"/>
      <c r="C804" s="97"/>
      <c r="D804" s="97"/>
      <c r="E804" s="97"/>
      <c r="F804" s="302"/>
      <c r="G804" s="302"/>
      <c r="H804" s="302"/>
      <c r="I804" s="302"/>
      <c r="J804" s="302"/>
      <c r="K804" s="302"/>
      <c r="L804" s="302"/>
      <c r="M804" s="302"/>
      <c r="N804" s="302"/>
      <c r="O804" s="302"/>
      <c r="P804" s="302"/>
    </row>
    <row r="805" spans="1:16" ht="17">
      <c r="A805" s="97"/>
      <c r="B805" s="97"/>
      <c r="C805" s="97"/>
      <c r="D805" s="97"/>
      <c r="E805" s="97"/>
      <c r="F805" s="302"/>
      <c r="G805" s="302"/>
      <c r="H805" s="302"/>
      <c r="I805" s="302"/>
      <c r="J805" s="302"/>
      <c r="K805" s="302"/>
      <c r="L805" s="302"/>
      <c r="M805" s="302"/>
      <c r="N805" s="302"/>
      <c r="O805" s="302"/>
      <c r="P805" s="302"/>
    </row>
    <row r="806" spans="1:16" ht="17">
      <c r="A806" s="97"/>
      <c r="B806" s="97"/>
      <c r="C806" s="97"/>
      <c r="D806" s="97"/>
      <c r="E806" s="97"/>
      <c r="F806" s="302"/>
      <c r="G806" s="302"/>
      <c r="H806" s="302"/>
      <c r="I806" s="302"/>
      <c r="J806" s="302"/>
      <c r="K806" s="302"/>
      <c r="L806" s="302"/>
      <c r="M806" s="302"/>
      <c r="N806" s="302"/>
      <c r="O806" s="302"/>
      <c r="P806" s="302"/>
    </row>
    <row r="807" spans="1:16" ht="17">
      <c r="A807" s="97"/>
      <c r="B807" s="97"/>
      <c r="C807" s="97"/>
      <c r="D807" s="97"/>
      <c r="E807" s="97"/>
      <c r="F807" s="302"/>
      <c r="G807" s="302"/>
      <c r="H807" s="302"/>
      <c r="I807" s="302"/>
      <c r="J807" s="302"/>
      <c r="K807" s="302"/>
      <c r="L807" s="302"/>
      <c r="M807" s="302"/>
      <c r="N807" s="302"/>
      <c r="O807" s="302"/>
      <c r="P807" s="302"/>
    </row>
    <row r="808" spans="1:16" ht="17">
      <c r="A808" s="97"/>
      <c r="B808" s="97"/>
      <c r="C808" s="97"/>
      <c r="D808" s="97"/>
      <c r="E808" s="97"/>
      <c r="F808" s="302"/>
      <c r="G808" s="302"/>
      <c r="H808" s="302"/>
      <c r="I808" s="302"/>
      <c r="J808" s="302"/>
      <c r="K808" s="302"/>
      <c r="L808" s="302"/>
      <c r="M808" s="302"/>
      <c r="N808" s="302"/>
      <c r="O808" s="302"/>
      <c r="P808" s="302"/>
    </row>
    <row r="809" spans="1:16" ht="17">
      <c r="A809" s="97"/>
      <c r="B809" s="97"/>
      <c r="C809" s="97"/>
      <c r="D809" s="97"/>
      <c r="E809" s="97"/>
      <c r="F809" s="302"/>
      <c r="G809" s="302"/>
      <c r="H809" s="302"/>
      <c r="I809" s="302"/>
      <c r="J809" s="302"/>
      <c r="K809" s="302"/>
      <c r="L809" s="302"/>
      <c r="M809" s="302"/>
      <c r="N809" s="302"/>
      <c r="O809" s="302"/>
      <c r="P809" s="302"/>
    </row>
    <row r="810" spans="1:16" ht="17">
      <c r="A810" s="97"/>
      <c r="B810" s="97"/>
      <c r="C810" s="97"/>
      <c r="D810" s="97"/>
      <c r="E810" s="97"/>
      <c r="F810" s="302"/>
      <c r="G810" s="302"/>
      <c r="H810" s="302"/>
      <c r="I810" s="302"/>
      <c r="J810" s="302"/>
      <c r="K810" s="302"/>
      <c r="L810" s="302"/>
      <c r="M810" s="302"/>
      <c r="N810" s="302"/>
      <c r="O810" s="302"/>
      <c r="P810" s="302"/>
    </row>
    <row r="811" spans="1:16" ht="17">
      <c r="A811" s="97"/>
      <c r="B811" s="97"/>
      <c r="C811" s="97"/>
      <c r="D811" s="97"/>
      <c r="E811" s="97"/>
      <c r="F811" s="302"/>
      <c r="G811" s="302"/>
      <c r="H811" s="302"/>
      <c r="I811" s="302"/>
      <c r="J811" s="302"/>
      <c r="K811" s="302"/>
      <c r="L811" s="302"/>
      <c r="M811" s="302"/>
      <c r="N811" s="302"/>
      <c r="O811" s="302"/>
      <c r="P811" s="302"/>
    </row>
    <row r="812" spans="1:16" ht="17">
      <c r="A812" s="97"/>
      <c r="B812" s="97"/>
      <c r="C812" s="97"/>
      <c r="D812" s="97"/>
      <c r="E812" s="97"/>
      <c r="F812" s="302"/>
      <c r="G812" s="302"/>
      <c r="H812" s="302"/>
      <c r="I812" s="302"/>
      <c r="J812" s="302"/>
      <c r="K812" s="302"/>
      <c r="L812" s="302"/>
      <c r="M812" s="302"/>
      <c r="N812" s="302"/>
      <c r="O812" s="302"/>
      <c r="P812" s="302"/>
    </row>
    <row r="813" spans="1:16" ht="17">
      <c r="A813" s="97"/>
      <c r="B813" s="97"/>
      <c r="C813" s="97"/>
      <c r="D813" s="97"/>
      <c r="E813" s="97"/>
      <c r="F813" s="302"/>
      <c r="G813" s="302"/>
      <c r="H813" s="302"/>
      <c r="I813" s="302"/>
      <c r="J813" s="302"/>
      <c r="K813" s="302"/>
      <c r="L813" s="302"/>
      <c r="M813" s="302"/>
      <c r="N813" s="302"/>
      <c r="O813" s="302"/>
      <c r="P813" s="302"/>
    </row>
    <row r="814" spans="1:16" ht="17">
      <c r="A814" s="97"/>
      <c r="B814" s="97"/>
      <c r="C814" s="97"/>
      <c r="D814" s="97"/>
      <c r="E814" s="97"/>
      <c r="F814" s="302"/>
      <c r="G814" s="302"/>
      <c r="H814" s="302"/>
      <c r="I814" s="302"/>
      <c r="J814" s="302"/>
      <c r="K814" s="302"/>
      <c r="L814" s="302"/>
      <c r="M814" s="302"/>
      <c r="N814" s="302"/>
      <c r="O814" s="302"/>
      <c r="P814" s="302"/>
    </row>
    <row r="815" spans="1:16" ht="17">
      <c r="A815" s="97"/>
      <c r="B815" s="97"/>
      <c r="C815" s="97"/>
      <c r="D815" s="97"/>
      <c r="E815" s="97"/>
      <c r="F815" s="302"/>
      <c r="G815" s="302"/>
      <c r="H815" s="302"/>
      <c r="I815" s="302"/>
      <c r="J815" s="302"/>
      <c r="K815" s="302"/>
      <c r="L815" s="302"/>
      <c r="M815" s="302"/>
      <c r="N815" s="302"/>
      <c r="O815" s="302"/>
      <c r="P815" s="302"/>
    </row>
    <row r="816" spans="1:16" ht="17">
      <c r="A816" s="97"/>
      <c r="B816" s="97"/>
      <c r="C816" s="97"/>
      <c r="D816" s="97"/>
      <c r="E816" s="97"/>
      <c r="F816" s="302"/>
      <c r="G816" s="302"/>
      <c r="H816" s="302"/>
      <c r="I816" s="302"/>
      <c r="J816" s="302"/>
      <c r="K816" s="302"/>
      <c r="L816" s="302"/>
      <c r="M816" s="302"/>
      <c r="N816" s="302"/>
      <c r="O816" s="302"/>
      <c r="P816" s="302"/>
    </row>
    <row r="817" spans="1:16" ht="17">
      <c r="A817" s="97"/>
      <c r="B817" s="97"/>
      <c r="C817" s="97"/>
      <c r="D817" s="97"/>
      <c r="E817" s="97"/>
      <c r="F817" s="302"/>
      <c r="G817" s="302"/>
      <c r="H817" s="302"/>
      <c r="I817" s="302"/>
      <c r="J817" s="302"/>
      <c r="K817" s="302"/>
      <c r="L817" s="302"/>
      <c r="M817" s="302"/>
      <c r="N817" s="302"/>
      <c r="O817" s="302"/>
      <c r="P817" s="302"/>
    </row>
    <row r="818" spans="1:16" ht="17">
      <c r="A818" s="97"/>
      <c r="B818" s="97"/>
      <c r="C818" s="97"/>
      <c r="D818" s="97"/>
      <c r="E818" s="97"/>
      <c r="F818" s="302"/>
      <c r="G818" s="302"/>
      <c r="H818" s="302"/>
      <c r="I818" s="302"/>
      <c r="J818" s="302"/>
      <c r="K818" s="302"/>
      <c r="L818" s="302"/>
      <c r="M818" s="302"/>
      <c r="N818" s="302"/>
      <c r="O818" s="302"/>
      <c r="P818" s="302"/>
    </row>
    <row r="819" spans="1:16" ht="17">
      <c r="A819" s="97"/>
      <c r="B819" s="97"/>
      <c r="C819" s="97"/>
      <c r="D819" s="97"/>
      <c r="E819" s="97"/>
      <c r="F819" s="302"/>
      <c r="G819" s="302"/>
      <c r="H819" s="302"/>
      <c r="I819" s="302"/>
      <c r="J819" s="302"/>
      <c r="K819" s="302"/>
      <c r="L819" s="302"/>
      <c r="M819" s="302"/>
      <c r="N819" s="302"/>
      <c r="O819" s="302"/>
      <c r="P819" s="302"/>
    </row>
    <row r="820" spans="1:16" ht="17">
      <c r="A820" s="97"/>
      <c r="B820" s="97"/>
      <c r="C820" s="97"/>
      <c r="D820" s="97"/>
      <c r="E820" s="97"/>
      <c r="F820" s="302"/>
      <c r="G820" s="302"/>
      <c r="H820" s="302"/>
      <c r="I820" s="302"/>
      <c r="J820" s="302"/>
      <c r="K820" s="302"/>
      <c r="L820" s="302"/>
      <c r="M820" s="302"/>
      <c r="N820" s="302"/>
      <c r="O820" s="302"/>
      <c r="P820" s="302"/>
    </row>
    <row r="821" spans="1:16" ht="17">
      <c r="A821" s="97"/>
      <c r="B821" s="97"/>
      <c r="C821" s="97"/>
      <c r="D821" s="97"/>
      <c r="E821" s="97"/>
      <c r="F821" s="302"/>
      <c r="G821" s="302"/>
      <c r="H821" s="302"/>
      <c r="I821" s="302"/>
      <c r="J821" s="302"/>
      <c r="K821" s="302"/>
      <c r="L821" s="302"/>
      <c r="M821" s="302"/>
      <c r="N821" s="302"/>
      <c r="O821" s="302"/>
      <c r="P821" s="302"/>
    </row>
    <row r="822" spans="1:16" ht="17">
      <c r="A822" s="97"/>
      <c r="B822" s="97"/>
      <c r="C822" s="97"/>
      <c r="D822" s="97"/>
      <c r="E822" s="97"/>
      <c r="F822" s="302"/>
      <c r="G822" s="302"/>
      <c r="H822" s="302"/>
      <c r="I822" s="302"/>
      <c r="J822" s="302"/>
      <c r="K822" s="302"/>
      <c r="L822" s="302"/>
      <c r="M822" s="302"/>
      <c r="N822" s="302"/>
      <c r="O822" s="302"/>
      <c r="P822" s="302"/>
    </row>
    <row r="823" spans="1:16" ht="17">
      <c r="A823" s="97"/>
      <c r="B823" s="97"/>
      <c r="C823" s="97"/>
      <c r="D823" s="97"/>
      <c r="E823" s="97"/>
      <c r="F823" s="302"/>
      <c r="G823" s="302"/>
      <c r="H823" s="302"/>
      <c r="I823" s="302"/>
      <c r="J823" s="302"/>
      <c r="K823" s="302"/>
      <c r="L823" s="302"/>
      <c r="M823" s="302"/>
      <c r="N823" s="302"/>
      <c r="O823" s="302"/>
      <c r="P823" s="302"/>
    </row>
    <row r="824" spans="1:16" ht="17">
      <c r="A824" s="97"/>
      <c r="B824" s="97"/>
      <c r="C824" s="97"/>
      <c r="D824" s="97"/>
      <c r="E824" s="97"/>
      <c r="F824" s="302"/>
      <c r="G824" s="302"/>
      <c r="H824" s="302"/>
      <c r="I824" s="302"/>
      <c r="J824" s="302"/>
      <c r="K824" s="302"/>
      <c r="L824" s="302"/>
      <c r="M824" s="302"/>
      <c r="N824" s="302"/>
      <c r="O824" s="302"/>
      <c r="P824" s="302"/>
    </row>
    <row r="825" spans="1:16" ht="17">
      <c r="A825" s="97"/>
      <c r="B825" s="97"/>
      <c r="C825" s="97"/>
      <c r="D825" s="97"/>
      <c r="E825" s="97"/>
      <c r="F825" s="302"/>
      <c r="G825" s="302"/>
      <c r="H825" s="302"/>
      <c r="I825" s="302"/>
      <c r="J825" s="302"/>
      <c r="K825" s="302"/>
      <c r="L825" s="302"/>
      <c r="M825" s="302"/>
      <c r="N825" s="302"/>
      <c r="O825" s="302"/>
      <c r="P825" s="302"/>
    </row>
    <row r="826" spans="1:16" ht="17">
      <c r="A826" s="97"/>
      <c r="B826" s="97"/>
      <c r="C826" s="97"/>
      <c r="D826" s="97"/>
      <c r="E826" s="97"/>
      <c r="F826" s="302"/>
      <c r="G826" s="302"/>
      <c r="H826" s="302"/>
      <c r="I826" s="302"/>
      <c r="J826" s="302"/>
      <c r="K826" s="302"/>
      <c r="L826" s="302"/>
      <c r="M826" s="302"/>
      <c r="N826" s="302"/>
      <c r="O826" s="302"/>
      <c r="P826" s="302"/>
    </row>
    <row r="827" spans="1:16" ht="17">
      <c r="A827" s="97"/>
      <c r="B827" s="97"/>
      <c r="C827" s="97"/>
      <c r="D827" s="97"/>
      <c r="E827" s="97"/>
      <c r="F827" s="302"/>
      <c r="G827" s="302"/>
      <c r="H827" s="302"/>
      <c r="I827" s="302"/>
      <c r="J827" s="302"/>
      <c r="K827" s="302"/>
      <c r="L827" s="302"/>
      <c r="M827" s="302"/>
      <c r="N827" s="302"/>
      <c r="O827" s="302"/>
      <c r="P827" s="302"/>
    </row>
    <row r="828" spans="1:16" ht="17">
      <c r="A828" s="97"/>
      <c r="B828" s="97"/>
      <c r="C828" s="97"/>
      <c r="D828" s="97"/>
      <c r="E828" s="97"/>
      <c r="F828" s="302"/>
      <c r="G828" s="302"/>
      <c r="H828" s="302"/>
      <c r="I828" s="302"/>
      <c r="J828" s="302"/>
      <c r="K828" s="302"/>
      <c r="L828" s="302"/>
      <c r="M828" s="302"/>
      <c r="N828" s="302"/>
      <c r="O828" s="302"/>
      <c r="P828" s="302"/>
    </row>
    <row r="829" spans="1:16" ht="17">
      <c r="A829" s="97"/>
      <c r="B829" s="97"/>
      <c r="C829" s="97"/>
      <c r="D829" s="97"/>
      <c r="E829" s="97"/>
      <c r="F829" s="302"/>
      <c r="G829" s="302"/>
      <c r="H829" s="302"/>
      <c r="I829" s="302"/>
      <c r="J829" s="302"/>
      <c r="K829" s="302"/>
      <c r="L829" s="302"/>
      <c r="M829" s="302"/>
      <c r="N829" s="302"/>
      <c r="O829" s="302"/>
      <c r="P829" s="302"/>
    </row>
    <row r="830" spans="1:16" ht="17">
      <c r="A830" s="97"/>
      <c r="B830" s="97"/>
      <c r="C830" s="97"/>
      <c r="D830" s="97"/>
      <c r="E830" s="97"/>
      <c r="F830" s="302"/>
      <c r="G830" s="302"/>
      <c r="H830" s="302"/>
      <c r="I830" s="302"/>
      <c r="J830" s="302"/>
      <c r="K830" s="302"/>
      <c r="L830" s="302"/>
      <c r="M830" s="302"/>
      <c r="N830" s="302"/>
      <c r="O830" s="302"/>
      <c r="P830" s="302"/>
    </row>
    <row r="831" spans="1:16" ht="17">
      <c r="A831" s="97"/>
      <c r="B831" s="97"/>
      <c r="C831" s="97"/>
      <c r="D831" s="97"/>
      <c r="E831" s="97"/>
      <c r="F831" s="302"/>
      <c r="G831" s="302"/>
      <c r="H831" s="302"/>
      <c r="I831" s="302"/>
      <c r="J831" s="302"/>
      <c r="K831" s="302"/>
      <c r="L831" s="302"/>
      <c r="M831" s="302"/>
      <c r="N831" s="302"/>
      <c r="O831" s="302"/>
      <c r="P831" s="302"/>
    </row>
    <row r="832" spans="1:16" ht="17">
      <c r="A832" s="97"/>
      <c r="B832" s="97"/>
      <c r="C832" s="97"/>
      <c r="D832" s="97"/>
      <c r="E832" s="97"/>
      <c r="F832" s="302"/>
      <c r="G832" s="302"/>
      <c r="H832" s="302"/>
      <c r="I832" s="302"/>
      <c r="J832" s="302"/>
      <c r="K832" s="302"/>
      <c r="L832" s="302"/>
      <c r="M832" s="302"/>
      <c r="N832" s="302"/>
      <c r="O832" s="302"/>
      <c r="P832" s="302"/>
    </row>
    <row r="833" spans="1:16" ht="17">
      <c r="A833" s="97"/>
      <c r="B833" s="97"/>
      <c r="C833" s="97"/>
      <c r="D833" s="97"/>
      <c r="E833" s="97"/>
      <c r="F833" s="302"/>
      <c r="G833" s="302"/>
      <c r="H833" s="302"/>
      <c r="I833" s="302"/>
      <c r="J833" s="302"/>
      <c r="K833" s="302"/>
      <c r="L833" s="302"/>
      <c r="M833" s="302"/>
      <c r="N833" s="302"/>
      <c r="O833" s="302"/>
      <c r="P833" s="302"/>
    </row>
    <row r="834" spans="1:16" ht="17">
      <c r="A834" s="97"/>
      <c r="B834" s="97"/>
      <c r="C834" s="97"/>
      <c r="D834" s="97"/>
      <c r="E834" s="97"/>
      <c r="F834" s="302"/>
      <c r="G834" s="302"/>
      <c r="H834" s="302"/>
      <c r="I834" s="302"/>
      <c r="J834" s="302"/>
      <c r="K834" s="302"/>
      <c r="L834" s="302"/>
      <c r="M834" s="302"/>
      <c r="N834" s="302"/>
      <c r="O834" s="302"/>
      <c r="P834" s="302"/>
    </row>
    <row r="835" spans="1:16" ht="17">
      <c r="A835" s="97"/>
      <c r="B835" s="97"/>
      <c r="C835" s="97"/>
      <c r="D835" s="97"/>
      <c r="E835" s="97"/>
      <c r="F835" s="302"/>
      <c r="G835" s="302"/>
      <c r="H835" s="302"/>
      <c r="I835" s="302"/>
      <c r="J835" s="302"/>
      <c r="K835" s="302"/>
      <c r="L835" s="302"/>
      <c r="M835" s="302"/>
      <c r="N835" s="302"/>
      <c r="O835" s="302"/>
      <c r="P835" s="302"/>
    </row>
    <row r="836" spans="1:16" ht="17">
      <c r="A836" s="97"/>
      <c r="B836" s="97"/>
      <c r="C836" s="97"/>
      <c r="D836" s="97"/>
      <c r="E836" s="97"/>
      <c r="F836" s="302"/>
      <c r="G836" s="302"/>
      <c r="H836" s="302"/>
      <c r="I836" s="302"/>
      <c r="J836" s="302"/>
      <c r="K836" s="302"/>
      <c r="L836" s="302"/>
      <c r="M836" s="302"/>
      <c r="N836" s="302"/>
      <c r="O836" s="302"/>
      <c r="P836" s="302"/>
    </row>
    <row r="837" spans="1:16" ht="17">
      <c r="A837" s="97"/>
      <c r="B837" s="97"/>
      <c r="C837" s="97"/>
      <c r="D837" s="97"/>
      <c r="E837" s="97"/>
      <c r="F837" s="302"/>
      <c r="G837" s="302"/>
      <c r="H837" s="302"/>
      <c r="I837" s="302"/>
      <c r="J837" s="302"/>
      <c r="K837" s="302"/>
      <c r="L837" s="302"/>
      <c r="M837" s="302"/>
      <c r="N837" s="302"/>
      <c r="O837" s="302"/>
      <c r="P837" s="302"/>
    </row>
    <row r="838" spans="1:16" ht="17">
      <c r="A838" s="97"/>
      <c r="B838" s="97"/>
      <c r="C838" s="97"/>
      <c r="D838" s="97"/>
      <c r="E838" s="97"/>
      <c r="F838" s="302"/>
      <c r="G838" s="302"/>
      <c r="H838" s="302"/>
      <c r="I838" s="302"/>
      <c r="J838" s="302"/>
      <c r="K838" s="302"/>
      <c r="L838" s="302"/>
      <c r="M838" s="302"/>
      <c r="N838" s="302"/>
      <c r="O838" s="302"/>
      <c r="P838" s="302"/>
    </row>
    <row r="839" spans="1:16" ht="17">
      <c r="A839" s="97"/>
      <c r="B839" s="97"/>
      <c r="C839" s="97"/>
      <c r="D839" s="97"/>
      <c r="E839" s="97"/>
      <c r="F839" s="302"/>
      <c r="G839" s="302"/>
      <c r="H839" s="302"/>
      <c r="I839" s="302"/>
      <c r="J839" s="302"/>
      <c r="K839" s="302"/>
      <c r="L839" s="302"/>
      <c r="M839" s="302"/>
      <c r="N839" s="302"/>
      <c r="O839" s="302"/>
      <c r="P839" s="302"/>
    </row>
    <row r="840" spans="1:16" ht="17">
      <c r="A840" s="97"/>
      <c r="B840" s="97"/>
      <c r="C840" s="97"/>
      <c r="D840" s="97"/>
      <c r="E840" s="97"/>
      <c r="F840" s="302"/>
      <c r="G840" s="302"/>
      <c r="H840" s="302"/>
      <c r="I840" s="302"/>
      <c r="J840" s="302"/>
      <c r="K840" s="302"/>
      <c r="L840" s="302"/>
      <c r="M840" s="302"/>
      <c r="N840" s="302"/>
      <c r="O840" s="302"/>
      <c r="P840" s="302"/>
    </row>
    <row r="841" spans="1:16" ht="17">
      <c r="A841" s="97"/>
      <c r="B841" s="97"/>
      <c r="C841" s="97"/>
      <c r="D841" s="97"/>
      <c r="E841" s="97"/>
      <c r="F841" s="302"/>
      <c r="G841" s="302"/>
      <c r="H841" s="302"/>
      <c r="I841" s="302"/>
      <c r="J841" s="302"/>
      <c r="K841" s="302"/>
      <c r="L841" s="302"/>
      <c r="M841" s="302"/>
      <c r="N841" s="302"/>
      <c r="O841" s="302"/>
      <c r="P841" s="302"/>
    </row>
    <row r="842" spans="1:16" ht="17">
      <c r="A842" s="97"/>
      <c r="B842" s="97"/>
      <c r="C842" s="97"/>
      <c r="D842" s="97"/>
      <c r="E842" s="97"/>
      <c r="F842" s="302"/>
      <c r="G842" s="302"/>
      <c r="H842" s="302"/>
      <c r="I842" s="302"/>
      <c r="J842" s="302"/>
      <c r="K842" s="302"/>
      <c r="L842" s="302"/>
      <c r="M842" s="302"/>
      <c r="N842" s="302"/>
      <c r="O842" s="302"/>
      <c r="P842" s="302"/>
    </row>
    <row r="843" spans="1:16" ht="17">
      <c r="A843" s="97"/>
      <c r="B843" s="97"/>
      <c r="C843" s="97"/>
      <c r="D843" s="97"/>
      <c r="E843" s="97"/>
      <c r="F843" s="302"/>
      <c r="G843" s="302"/>
      <c r="H843" s="302"/>
      <c r="I843" s="302"/>
      <c r="J843" s="302"/>
      <c r="K843" s="302"/>
      <c r="L843" s="302"/>
      <c r="M843" s="302"/>
      <c r="N843" s="302"/>
      <c r="O843" s="302"/>
      <c r="P843" s="302"/>
    </row>
    <row r="844" spans="1:16" ht="17">
      <c r="A844" s="97"/>
      <c r="B844" s="97"/>
      <c r="C844" s="97"/>
      <c r="D844" s="97"/>
      <c r="E844" s="97"/>
      <c r="F844" s="302"/>
      <c r="G844" s="302"/>
      <c r="H844" s="302"/>
      <c r="I844" s="302"/>
      <c r="J844" s="302"/>
      <c r="K844" s="302"/>
      <c r="L844" s="302"/>
      <c r="M844" s="302"/>
      <c r="N844" s="302"/>
      <c r="O844" s="302"/>
      <c r="P844" s="302"/>
    </row>
    <row r="845" spans="1:16" ht="17">
      <c r="A845" s="97"/>
      <c r="B845" s="97"/>
      <c r="C845" s="97"/>
      <c r="D845" s="97"/>
      <c r="E845" s="97"/>
      <c r="F845" s="302"/>
      <c r="G845" s="302"/>
      <c r="H845" s="302"/>
      <c r="I845" s="302"/>
      <c r="J845" s="302"/>
      <c r="K845" s="302"/>
      <c r="L845" s="302"/>
      <c r="M845" s="302"/>
      <c r="N845" s="302"/>
      <c r="O845" s="302"/>
      <c r="P845" s="302"/>
    </row>
    <row r="846" spans="1:16" ht="17">
      <c r="A846" s="97"/>
      <c r="B846" s="97"/>
      <c r="C846" s="97"/>
      <c r="D846" s="97"/>
      <c r="E846" s="97"/>
      <c r="F846" s="302"/>
      <c r="G846" s="302"/>
      <c r="H846" s="302"/>
      <c r="I846" s="302"/>
      <c r="J846" s="302"/>
      <c r="K846" s="302"/>
      <c r="L846" s="302"/>
      <c r="M846" s="302"/>
      <c r="N846" s="302"/>
      <c r="O846" s="302"/>
      <c r="P846" s="302"/>
    </row>
    <row r="847" spans="1:16" ht="17">
      <c r="A847" s="97"/>
      <c r="B847" s="97"/>
      <c r="C847" s="97"/>
      <c r="D847" s="97"/>
      <c r="E847" s="97"/>
      <c r="F847" s="302"/>
      <c r="G847" s="302"/>
      <c r="H847" s="302"/>
      <c r="I847" s="302"/>
      <c r="J847" s="302"/>
      <c r="K847" s="302"/>
      <c r="L847" s="302"/>
      <c r="M847" s="302"/>
      <c r="N847" s="302"/>
      <c r="O847" s="302"/>
      <c r="P847" s="302"/>
    </row>
    <row r="848" spans="1:16" ht="17">
      <c r="A848" s="97"/>
      <c r="B848" s="97"/>
      <c r="C848" s="97"/>
      <c r="D848" s="97"/>
      <c r="E848" s="97"/>
      <c r="F848" s="302"/>
      <c r="G848" s="302"/>
      <c r="H848" s="302"/>
      <c r="I848" s="302"/>
      <c r="J848" s="302"/>
      <c r="K848" s="302"/>
      <c r="L848" s="302"/>
      <c r="M848" s="302"/>
      <c r="N848" s="302"/>
      <c r="O848" s="302"/>
      <c r="P848" s="302"/>
    </row>
    <row r="849" spans="1:16" ht="17">
      <c r="A849" s="97"/>
      <c r="B849" s="97"/>
      <c r="C849" s="97"/>
      <c r="D849" s="97"/>
      <c r="E849" s="97"/>
      <c r="F849" s="302"/>
      <c r="G849" s="302"/>
      <c r="H849" s="302"/>
      <c r="I849" s="302"/>
      <c r="J849" s="302"/>
      <c r="K849" s="302"/>
      <c r="L849" s="302"/>
      <c r="M849" s="302"/>
      <c r="N849" s="302"/>
      <c r="O849" s="302"/>
      <c r="P849" s="302"/>
    </row>
    <row r="850" spans="1:16" ht="17">
      <c r="A850" s="97"/>
      <c r="B850" s="97"/>
      <c r="C850" s="97"/>
      <c r="D850" s="97"/>
      <c r="E850" s="97"/>
      <c r="F850" s="302"/>
      <c r="G850" s="302"/>
      <c r="H850" s="302"/>
      <c r="I850" s="302"/>
      <c r="J850" s="302"/>
      <c r="K850" s="302"/>
      <c r="L850" s="302"/>
      <c r="M850" s="302"/>
      <c r="N850" s="302"/>
      <c r="O850" s="302"/>
      <c r="P850" s="302"/>
    </row>
    <row r="851" spans="1:16" ht="17">
      <c r="A851" s="97"/>
      <c r="B851" s="97"/>
      <c r="C851" s="97"/>
      <c r="D851" s="97"/>
      <c r="E851" s="97"/>
      <c r="F851" s="302"/>
      <c r="G851" s="302"/>
      <c r="H851" s="302"/>
      <c r="I851" s="302"/>
      <c r="J851" s="302"/>
      <c r="K851" s="302"/>
      <c r="L851" s="302"/>
      <c r="M851" s="302"/>
      <c r="N851" s="302"/>
      <c r="O851" s="302"/>
      <c r="P851" s="302"/>
    </row>
    <row r="852" spans="1:16" ht="17">
      <c r="A852" s="97"/>
      <c r="B852" s="97"/>
      <c r="C852" s="97"/>
      <c r="D852" s="97"/>
      <c r="E852" s="97"/>
      <c r="F852" s="302"/>
      <c r="G852" s="302"/>
      <c r="H852" s="302"/>
      <c r="I852" s="302"/>
      <c r="J852" s="302"/>
      <c r="K852" s="302"/>
      <c r="L852" s="302"/>
      <c r="M852" s="302"/>
      <c r="N852" s="302"/>
      <c r="O852" s="302"/>
      <c r="P852" s="302"/>
    </row>
    <row r="853" spans="1:16" ht="17">
      <c r="A853" s="97"/>
      <c r="B853" s="97"/>
      <c r="C853" s="97"/>
      <c r="D853" s="97"/>
      <c r="E853" s="97"/>
      <c r="F853" s="302"/>
      <c r="G853" s="302"/>
      <c r="H853" s="302"/>
      <c r="I853" s="302"/>
      <c r="J853" s="302"/>
      <c r="K853" s="302"/>
      <c r="L853" s="302"/>
      <c r="M853" s="302"/>
      <c r="N853" s="302"/>
      <c r="O853" s="302"/>
      <c r="P853" s="302"/>
    </row>
    <row r="854" spans="1:16" ht="17">
      <c r="A854" s="97"/>
      <c r="B854" s="97"/>
      <c r="C854" s="97"/>
      <c r="D854" s="97"/>
      <c r="E854" s="97"/>
      <c r="F854" s="302"/>
      <c r="G854" s="302"/>
      <c r="H854" s="302"/>
      <c r="I854" s="302"/>
      <c r="J854" s="302"/>
      <c r="K854" s="302"/>
      <c r="L854" s="302"/>
      <c r="M854" s="302"/>
      <c r="N854" s="302"/>
      <c r="O854" s="302"/>
      <c r="P854" s="302"/>
    </row>
    <row r="855" spans="1:16" ht="17">
      <c r="A855" s="97"/>
      <c r="B855" s="97"/>
      <c r="C855" s="97"/>
      <c r="D855" s="97"/>
      <c r="E855" s="97"/>
      <c r="F855" s="302"/>
      <c r="G855" s="302"/>
      <c r="H855" s="302"/>
      <c r="I855" s="302"/>
      <c r="J855" s="302"/>
      <c r="K855" s="302"/>
      <c r="L855" s="302"/>
      <c r="M855" s="302"/>
      <c r="N855" s="302"/>
      <c r="O855" s="302"/>
      <c r="P855" s="302"/>
    </row>
    <row r="856" spans="1:16" ht="17">
      <c r="A856" s="97"/>
      <c r="B856" s="97"/>
      <c r="C856" s="97"/>
      <c r="D856" s="97"/>
      <c r="E856" s="97"/>
      <c r="F856" s="302"/>
      <c r="G856" s="302"/>
      <c r="H856" s="302"/>
      <c r="I856" s="302"/>
      <c r="J856" s="302"/>
      <c r="K856" s="302"/>
      <c r="L856" s="302"/>
      <c r="M856" s="302"/>
      <c r="N856" s="302"/>
      <c r="O856" s="302"/>
      <c r="P856" s="302"/>
    </row>
    <row r="857" spans="1:16" ht="17">
      <c r="A857" s="97"/>
      <c r="B857" s="97"/>
      <c r="C857" s="97"/>
      <c r="D857" s="97"/>
      <c r="E857" s="97"/>
      <c r="F857" s="302"/>
      <c r="G857" s="302"/>
      <c r="H857" s="302"/>
      <c r="I857" s="302"/>
      <c r="J857" s="302"/>
      <c r="K857" s="302"/>
      <c r="L857" s="302"/>
      <c r="M857" s="302"/>
      <c r="N857" s="302"/>
      <c r="O857" s="302"/>
      <c r="P857" s="302"/>
    </row>
    <row r="858" spans="1:16" ht="17">
      <c r="A858" s="97"/>
      <c r="B858" s="97"/>
      <c r="C858" s="97"/>
      <c r="D858" s="97"/>
      <c r="E858" s="97"/>
      <c r="F858" s="302"/>
      <c r="G858" s="302"/>
      <c r="H858" s="302"/>
      <c r="I858" s="302"/>
      <c r="J858" s="302"/>
      <c r="K858" s="302"/>
      <c r="L858" s="302"/>
      <c r="M858" s="302"/>
      <c r="N858" s="302"/>
      <c r="O858" s="302"/>
      <c r="P858" s="302"/>
    </row>
    <row r="859" spans="1:16" ht="17">
      <c r="A859" s="97"/>
      <c r="B859" s="97"/>
      <c r="C859" s="97"/>
      <c r="D859" s="97"/>
      <c r="E859" s="97"/>
      <c r="F859" s="302"/>
      <c r="G859" s="302"/>
      <c r="H859" s="302"/>
      <c r="I859" s="302"/>
      <c r="J859" s="302"/>
      <c r="K859" s="302"/>
      <c r="L859" s="302"/>
      <c r="M859" s="302"/>
      <c r="N859" s="302"/>
      <c r="O859" s="302"/>
      <c r="P859" s="302"/>
    </row>
    <row r="860" spans="1:16" ht="17">
      <c r="A860" s="97"/>
      <c r="B860" s="97"/>
      <c r="C860" s="97"/>
      <c r="D860" s="97"/>
      <c r="E860" s="97"/>
      <c r="F860" s="302"/>
      <c r="G860" s="302"/>
      <c r="H860" s="302"/>
      <c r="I860" s="302"/>
      <c r="J860" s="302"/>
      <c r="K860" s="302"/>
      <c r="L860" s="302"/>
      <c r="M860" s="302"/>
      <c r="N860" s="302"/>
      <c r="O860" s="302"/>
      <c r="P860" s="302"/>
    </row>
    <row r="861" spans="1:16" ht="17">
      <c r="A861" s="97"/>
      <c r="B861" s="97"/>
      <c r="C861" s="97"/>
      <c r="D861" s="97"/>
      <c r="E861" s="97"/>
      <c r="F861" s="302"/>
      <c r="G861" s="302"/>
      <c r="H861" s="302"/>
      <c r="I861" s="302"/>
      <c r="J861" s="302"/>
      <c r="K861" s="302"/>
      <c r="L861" s="302"/>
      <c r="M861" s="302"/>
      <c r="N861" s="302"/>
      <c r="O861" s="302"/>
      <c r="P861" s="302"/>
    </row>
    <row r="862" spans="1:16" ht="17">
      <c r="A862" s="97"/>
      <c r="B862" s="97"/>
      <c r="C862" s="97"/>
      <c r="D862" s="97"/>
      <c r="E862" s="97"/>
      <c r="F862" s="302"/>
      <c r="G862" s="302"/>
      <c r="H862" s="302"/>
      <c r="I862" s="302"/>
      <c r="J862" s="302"/>
      <c r="K862" s="302"/>
      <c r="L862" s="302"/>
      <c r="M862" s="302"/>
      <c r="N862" s="302"/>
      <c r="O862" s="302"/>
      <c r="P862" s="302"/>
    </row>
    <row r="863" spans="1:16" ht="17">
      <c r="A863" s="97"/>
      <c r="B863" s="97"/>
      <c r="C863" s="97"/>
      <c r="D863" s="97"/>
      <c r="E863" s="97"/>
      <c r="F863" s="302"/>
      <c r="G863" s="302"/>
      <c r="H863" s="302"/>
      <c r="I863" s="302"/>
      <c r="J863" s="302"/>
      <c r="K863" s="302"/>
      <c r="L863" s="302"/>
      <c r="M863" s="302"/>
      <c r="N863" s="302"/>
      <c r="O863" s="302"/>
      <c r="P863" s="302"/>
    </row>
    <row r="864" spans="1:16" ht="17">
      <c r="A864" s="97"/>
      <c r="B864" s="97"/>
      <c r="C864" s="97"/>
      <c r="D864" s="97"/>
      <c r="E864" s="97"/>
      <c r="F864" s="302"/>
      <c r="G864" s="302"/>
      <c r="H864" s="302"/>
      <c r="I864" s="302"/>
      <c r="J864" s="302"/>
      <c r="K864" s="302"/>
      <c r="L864" s="302"/>
      <c r="M864" s="302"/>
      <c r="N864" s="302"/>
      <c r="O864" s="302"/>
      <c r="P864" s="302"/>
    </row>
    <row r="865" spans="1:16" ht="17">
      <c r="A865" s="97"/>
      <c r="B865" s="97"/>
      <c r="C865" s="97"/>
      <c r="D865" s="97"/>
      <c r="E865" s="97"/>
      <c r="F865" s="302"/>
      <c r="G865" s="302"/>
      <c r="H865" s="302"/>
      <c r="I865" s="302"/>
      <c r="J865" s="302"/>
      <c r="K865" s="302"/>
      <c r="L865" s="302"/>
      <c r="M865" s="302"/>
      <c r="N865" s="302"/>
      <c r="O865" s="302"/>
      <c r="P865" s="302"/>
    </row>
    <row r="866" spans="1:16" ht="17">
      <c r="A866" s="97"/>
      <c r="B866" s="97"/>
      <c r="C866" s="97"/>
      <c r="D866" s="97"/>
      <c r="E866" s="97"/>
      <c r="F866" s="302"/>
      <c r="G866" s="302"/>
      <c r="H866" s="302"/>
      <c r="I866" s="302"/>
      <c r="J866" s="302"/>
      <c r="K866" s="302"/>
      <c r="L866" s="302"/>
      <c r="M866" s="302"/>
      <c r="N866" s="302"/>
      <c r="O866" s="302"/>
      <c r="P866" s="302"/>
    </row>
    <row r="867" spans="1:16" ht="17">
      <c r="A867" s="97"/>
      <c r="B867" s="97"/>
      <c r="C867" s="97"/>
      <c r="D867" s="97"/>
      <c r="E867" s="97"/>
      <c r="F867" s="302"/>
      <c r="G867" s="302"/>
      <c r="H867" s="302"/>
      <c r="I867" s="302"/>
      <c r="J867" s="302"/>
      <c r="K867" s="302"/>
      <c r="L867" s="302"/>
      <c r="M867" s="302"/>
      <c r="N867" s="302"/>
      <c r="O867" s="302"/>
      <c r="P867" s="302"/>
    </row>
    <row r="868" spans="1:16" ht="17">
      <c r="A868" s="97"/>
      <c r="B868" s="97"/>
      <c r="C868" s="97"/>
      <c r="D868" s="97"/>
      <c r="E868" s="97"/>
      <c r="F868" s="302"/>
      <c r="G868" s="302"/>
      <c r="H868" s="302"/>
      <c r="I868" s="302"/>
      <c r="J868" s="302"/>
      <c r="K868" s="302"/>
      <c r="L868" s="302"/>
      <c r="M868" s="302"/>
      <c r="N868" s="302"/>
      <c r="O868" s="302"/>
      <c r="P868" s="302"/>
    </row>
    <row r="869" spans="1:16" ht="17">
      <c r="A869" s="97"/>
      <c r="B869" s="97"/>
      <c r="C869" s="97"/>
      <c r="D869" s="97"/>
      <c r="E869" s="97"/>
      <c r="F869" s="302"/>
      <c r="G869" s="302"/>
      <c r="H869" s="302"/>
      <c r="I869" s="302"/>
      <c r="J869" s="302"/>
      <c r="K869" s="302"/>
      <c r="L869" s="302"/>
      <c r="M869" s="302"/>
      <c r="N869" s="302"/>
      <c r="O869" s="302"/>
      <c r="P869" s="302"/>
    </row>
    <row r="870" spans="1:16" ht="17">
      <c r="A870" s="97"/>
      <c r="B870" s="97"/>
      <c r="C870" s="97"/>
      <c r="D870" s="97"/>
      <c r="E870" s="97"/>
      <c r="F870" s="302"/>
      <c r="G870" s="302"/>
      <c r="H870" s="302"/>
      <c r="I870" s="302"/>
      <c r="J870" s="302"/>
      <c r="K870" s="302"/>
      <c r="L870" s="302"/>
      <c r="M870" s="302"/>
      <c r="N870" s="302"/>
      <c r="O870" s="302"/>
      <c r="P870" s="302"/>
    </row>
    <row r="871" spans="1:16" ht="17">
      <c r="A871" s="97"/>
      <c r="B871" s="97"/>
      <c r="C871" s="97"/>
      <c r="D871" s="97"/>
      <c r="E871" s="97"/>
      <c r="F871" s="302"/>
      <c r="G871" s="302"/>
      <c r="H871" s="302"/>
      <c r="I871" s="302"/>
      <c r="J871" s="302"/>
      <c r="K871" s="302"/>
      <c r="L871" s="302"/>
      <c r="M871" s="302"/>
      <c r="N871" s="302"/>
      <c r="O871" s="302"/>
      <c r="P871" s="302"/>
    </row>
    <row r="872" spans="1:16" ht="17">
      <c r="A872" s="97"/>
      <c r="B872" s="97"/>
      <c r="C872" s="97"/>
      <c r="D872" s="97"/>
      <c r="E872" s="97"/>
      <c r="F872" s="302"/>
      <c r="G872" s="302"/>
      <c r="H872" s="302"/>
      <c r="I872" s="302"/>
      <c r="J872" s="302"/>
      <c r="K872" s="302"/>
      <c r="L872" s="302"/>
      <c r="M872" s="302"/>
      <c r="N872" s="302"/>
      <c r="O872" s="302"/>
      <c r="P872" s="302"/>
    </row>
    <row r="873" spans="1:16" ht="17">
      <c r="A873" s="97"/>
      <c r="B873" s="97"/>
      <c r="C873" s="97"/>
      <c r="D873" s="97"/>
      <c r="E873" s="97"/>
      <c r="F873" s="302"/>
      <c r="G873" s="302"/>
      <c r="H873" s="302"/>
      <c r="I873" s="302"/>
      <c r="J873" s="302"/>
      <c r="K873" s="302"/>
      <c r="L873" s="302"/>
      <c r="M873" s="302"/>
      <c r="N873" s="302"/>
      <c r="O873" s="302"/>
      <c r="P873" s="302"/>
    </row>
    <row r="874" spans="1:16" ht="17">
      <c r="A874" s="97"/>
      <c r="B874" s="97"/>
      <c r="C874" s="97"/>
      <c r="D874" s="97"/>
      <c r="E874" s="97"/>
      <c r="F874" s="302"/>
      <c r="G874" s="302"/>
      <c r="H874" s="302"/>
      <c r="I874" s="302"/>
      <c r="J874" s="302"/>
      <c r="K874" s="302"/>
      <c r="L874" s="302"/>
      <c r="M874" s="302"/>
      <c r="N874" s="302"/>
      <c r="O874" s="302"/>
      <c r="P874" s="302"/>
    </row>
    <row r="875" spans="1:16" ht="17">
      <c r="A875" s="97"/>
      <c r="B875" s="97"/>
      <c r="C875" s="97"/>
      <c r="D875" s="97"/>
      <c r="E875" s="97"/>
      <c r="F875" s="302"/>
      <c r="G875" s="302"/>
      <c r="H875" s="302"/>
      <c r="I875" s="302"/>
      <c r="J875" s="302"/>
      <c r="K875" s="302"/>
      <c r="L875" s="302"/>
      <c r="M875" s="302"/>
      <c r="N875" s="302"/>
      <c r="O875" s="302"/>
      <c r="P875" s="302"/>
    </row>
    <row r="876" spans="1:16" ht="17">
      <c r="A876" s="97"/>
      <c r="B876" s="97"/>
      <c r="C876" s="97"/>
      <c r="D876" s="97"/>
      <c r="E876" s="97"/>
      <c r="F876" s="302"/>
      <c r="G876" s="302"/>
      <c r="H876" s="302"/>
      <c r="I876" s="302"/>
      <c r="J876" s="302"/>
      <c r="K876" s="302"/>
      <c r="L876" s="302"/>
      <c r="M876" s="302"/>
      <c r="N876" s="302"/>
      <c r="O876" s="302"/>
      <c r="P876" s="302"/>
    </row>
    <row r="877" spans="1:16" ht="17">
      <c r="A877" s="97"/>
      <c r="B877" s="97"/>
      <c r="C877" s="97"/>
      <c r="D877" s="97"/>
      <c r="E877" s="97"/>
      <c r="F877" s="302"/>
      <c r="G877" s="302"/>
      <c r="H877" s="302"/>
      <c r="I877" s="302"/>
      <c r="J877" s="302"/>
      <c r="K877" s="302"/>
      <c r="L877" s="302"/>
      <c r="M877" s="302"/>
      <c r="N877" s="302"/>
      <c r="O877" s="302"/>
      <c r="P877" s="302"/>
    </row>
    <row r="878" spans="1:16" ht="17">
      <c r="A878" s="97"/>
      <c r="B878" s="97"/>
      <c r="C878" s="97"/>
      <c r="D878" s="97"/>
      <c r="E878" s="97"/>
      <c r="F878" s="302"/>
      <c r="G878" s="302"/>
      <c r="H878" s="302"/>
      <c r="I878" s="302"/>
      <c r="J878" s="302"/>
      <c r="K878" s="302"/>
      <c r="L878" s="302"/>
      <c r="M878" s="302"/>
      <c r="N878" s="302"/>
      <c r="O878" s="302"/>
      <c r="P878" s="302"/>
    </row>
    <row r="879" spans="1:16" ht="17">
      <c r="A879" s="97"/>
      <c r="B879" s="97"/>
      <c r="C879" s="97"/>
      <c r="D879" s="97"/>
      <c r="E879" s="97"/>
      <c r="F879" s="302"/>
      <c r="G879" s="302"/>
      <c r="H879" s="302"/>
      <c r="I879" s="302"/>
      <c r="J879" s="302"/>
      <c r="K879" s="302"/>
      <c r="L879" s="302"/>
      <c r="M879" s="302"/>
      <c r="N879" s="302"/>
      <c r="O879" s="302"/>
      <c r="P879" s="302"/>
    </row>
    <row r="880" spans="1:16" ht="17">
      <c r="A880" s="97"/>
      <c r="B880" s="97"/>
      <c r="C880" s="97"/>
      <c r="D880" s="97"/>
      <c r="E880" s="97"/>
      <c r="F880" s="302"/>
      <c r="G880" s="302"/>
      <c r="H880" s="302"/>
      <c r="I880" s="302"/>
      <c r="J880" s="302"/>
      <c r="K880" s="302"/>
      <c r="L880" s="302"/>
      <c r="M880" s="302"/>
      <c r="N880" s="302"/>
      <c r="O880" s="302"/>
      <c r="P880" s="302"/>
    </row>
    <row r="881" spans="1:16" ht="17">
      <c r="A881" s="97"/>
      <c r="B881" s="97"/>
      <c r="C881" s="97"/>
      <c r="D881" s="97"/>
      <c r="E881" s="97"/>
      <c r="F881" s="302"/>
      <c r="G881" s="302"/>
      <c r="H881" s="302"/>
      <c r="I881" s="302"/>
      <c r="J881" s="302"/>
      <c r="K881" s="302"/>
      <c r="L881" s="302"/>
      <c r="M881" s="302"/>
      <c r="N881" s="302"/>
      <c r="O881" s="302"/>
      <c r="P881" s="302"/>
    </row>
    <row r="882" spans="1:16" ht="17">
      <c r="A882" s="97"/>
      <c r="B882" s="97"/>
      <c r="C882" s="97"/>
      <c r="D882" s="97"/>
      <c r="E882" s="97"/>
      <c r="F882" s="302"/>
      <c r="G882" s="302"/>
      <c r="H882" s="302"/>
      <c r="I882" s="302"/>
      <c r="J882" s="302"/>
      <c r="K882" s="302"/>
      <c r="L882" s="302"/>
      <c r="M882" s="302"/>
      <c r="N882" s="302"/>
      <c r="O882" s="302"/>
      <c r="P882" s="302"/>
    </row>
    <row r="883" spans="1:16" ht="17">
      <c r="A883" s="97"/>
      <c r="B883" s="97"/>
      <c r="C883" s="97"/>
      <c r="D883" s="97"/>
      <c r="E883" s="97"/>
      <c r="F883" s="302"/>
      <c r="G883" s="302"/>
      <c r="H883" s="302"/>
      <c r="I883" s="302"/>
      <c r="J883" s="302"/>
      <c r="K883" s="302"/>
      <c r="L883" s="302"/>
      <c r="M883" s="302"/>
      <c r="N883" s="302"/>
      <c r="O883" s="302"/>
      <c r="P883" s="302"/>
    </row>
    <row r="884" spans="1:16" ht="17">
      <c r="A884" s="97"/>
      <c r="B884" s="97"/>
      <c r="C884" s="97"/>
      <c r="D884" s="97"/>
      <c r="E884" s="97"/>
      <c r="F884" s="302"/>
      <c r="G884" s="302"/>
      <c r="H884" s="302"/>
      <c r="I884" s="302"/>
      <c r="J884" s="302"/>
      <c r="K884" s="302"/>
      <c r="L884" s="302"/>
      <c r="M884" s="302"/>
      <c r="N884" s="302"/>
      <c r="O884" s="302"/>
      <c r="P884" s="302"/>
    </row>
    <row r="885" spans="1:16" ht="17">
      <c r="A885" s="97"/>
      <c r="B885" s="97"/>
      <c r="C885" s="97"/>
      <c r="D885" s="97"/>
      <c r="E885" s="97"/>
      <c r="F885" s="302"/>
      <c r="G885" s="302"/>
      <c r="H885" s="302"/>
      <c r="I885" s="302"/>
      <c r="J885" s="302"/>
      <c r="K885" s="302"/>
      <c r="L885" s="302"/>
      <c r="M885" s="302"/>
      <c r="N885" s="302"/>
      <c r="O885" s="302"/>
      <c r="P885" s="302"/>
    </row>
    <row r="886" spans="1:16" ht="17">
      <c r="A886" s="97"/>
      <c r="B886" s="97"/>
      <c r="C886" s="97"/>
      <c r="D886" s="97"/>
      <c r="E886" s="97"/>
      <c r="F886" s="302"/>
      <c r="G886" s="302"/>
      <c r="H886" s="302"/>
      <c r="I886" s="302"/>
      <c r="J886" s="302"/>
      <c r="K886" s="302"/>
      <c r="L886" s="302"/>
      <c r="M886" s="302"/>
      <c r="N886" s="302"/>
      <c r="O886" s="302"/>
      <c r="P886" s="302"/>
    </row>
    <row r="887" spans="1:16" ht="17">
      <c r="A887" s="97"/>
      <c r="B887" s="97"/>
      <c r="C887" s="97"/>
      <c r="D887" s="97"/>
      <c r="E887" s="97"/>
      <c r="F887" s="302"/>
      <c r="G887" s="302"/>
      <c r="H887" s="302"/>
      <c r="I887" s="302"/>
      <c r="J887" s="302"/>
      <c r="K887" s="302"/>
      <c r="L887" s="302"/>
      <c r="M887" s="302"/>
      <c r="N887" s="302"/>
      <c r="O887" s="302"/>
      <c r="P887" s="302"/>
    </row>
    <row r="888" spans="1:16" ht="17">
      <c r="A888" s="97"/>
      <c r="B888" s="97"/>
      <c r="C888" s="97"/>
      <c r="D888" s="97"/>
      <c r="E888" s="97"/>
      <c r="F888" s="302"/>
      <c r="G888" s="302"/>
      <c r="H888" s="302"/>
      <c r="I888" s="302"/>
      <c r="J888" s="302"/>
      <c r="K888" s="302"/>
      <c r="L888" s="302"/>
      <c r="M888" s="302"/>
      <c r="N888" s="302"/>
      <c r="O888" s="302"/>
      <c r="P888" s="302"/>
    </row>
    <row r="889" spans="1:16" ht="17">
      <c r="A889" s="97"/>
      <c r="B889" s="97"/>
      <c r="C889" s="97"/>
      <c r="D889" s="97"/>
      <c r="E889" s="97"/>
      <c r="F889" s="302"/>
      <c r="G889" s="302"/>
      <c r="H889" s="302"/>
      <c r="I889" s="302"/>
      <c r="J889" s="302"/>
      <c r="K889" s="302"/>
      <c r="L889" s="302"/>
      <c r="M889" s="302"/>
      <c r="N889" s="302"/>
      <c r="O889" s="302"/>
      <c r="P889" s="302"/>
    </row>
    <row r="890" spans="1:16" ht="17">
      <c r="A890" s="97"/>
      <c r="B890" s="97"/>
      <c r="C890" s="97"/>
      <c r="D890" s="97"/>
      <c r="E890" s="97"/>
      <c r="F890" s="302"/>
      <c r="G890" s="302"/>
      <c r="H890" s="302"/>
      <c r="I890" s="302"/>
      <c r="J890" s="302"/>
      <c r="K890" s="302"/>
      <c r="L890" s="302"/>
      <c r="M890" s="302"/>
      <c r="N890" s="302"/>
      <c r="O890" s="302"/>
      <c r="P890" s="302"/>
    </row>
    <row r="891" spans="1:16" ht="17">
      <c r="A891" s="97"/>
      <c r="B891" s="97"/>
      <c r="C891" s="97"/>
      <c r="D891" s="97"/>
      <c r="E891" s="97"/>
      <c r="F891" s="302"/>
      <c r="G891" s="302"/>
      <c r="H891" s="302"/>
      <c r="I891" s="302"/>
      <c r="J891" s="302"/>
      <c r="K891" s="302"/>
      <c r="L891" s="302"/>
      <c r="M891" s="302"/>
      <c r="N891" s="302"/>
      <c r="O891" s="302"/>
      <c r="P891" s="302"/>
    </row>
    <row r="892" spans="1:16" ht="17">
      <c r="A892" s="97"/>
      <c r="B892" s="97"/>
      <c r="C892" s="97"/>
      <c r="D892" s="97"/>
      <c r="E892" s="97"/>
      <c r="F892" s="302"/>
      <c r="G892" s="302"/>
      <c r="H892" s="302"/>
      <c r="I892" s="302"/>
      <c r="J892" s="302"/>
      <c r="K892" s="302"/>
      <c r="L892" s="302"/>
      <c r="M892" s="302"/>
      <c r="N892" s="302"/>
      <c r="O892" s="302"/>
      <c r="P892" s="302"/>
    </row>
    <row r="893" spans="1:16" ht="17">
      <c r="A893" s="97"/>
      <c r="B893" s="97"/>
      <c r="C893" s="97"/>
      <c r="D893" s="97"/>
      <c r="E893" s="97"/>
      <c r="F893" s="302"/>
      <c r="G893" s="302"/>
      <c r="H893" s="302"/>
      <c r="I893" s="302"/>
      <c r="J893" s="302"/>
      <c r="K893" s="302"/>
      <c r="L893" s="302"/>
      <c r="M893" s="302"/>
      <c r="N893" s="302"/>
      <c r="O893" s="302"/>
      <c r="P893" s="302"/>
    </row>
    <row r="894" spans="1:16" ht="17">
      <c r="A894" s="97"/>
      <c r="B894" s="97"/>
      <c r="C894" s="97"/>
      <c r="D894" s="97"/>
      <c r="E894" s="97"/>
      <c r="F894" s="302"/>
      <c r="G894" s="302"/>
      <c r="H894" s="302"/>
      <c r="I894" s="302"/>
      <c r="J894" s="302"/>
      <c r="K894" s="302"/>
      <c r="L894" s="302"/>
      <c r="M894" s="302"/>
      <c r="N894" s="302"/>
      <c r="O894" s="302"/>
      <c r="P894" s="302"/>
    </row>
    <row r="895" spans="1:16" ht="17">
      <c r="A895" s="97"/>
      <c r="B895" s="97"/>
      <c r="C895" s="97"/>
      <c r="D895" s="97"/>
      <c r="E895" s="97"/>
      <c r="F895" s="302"/>
      <c r="G895" s="302"/>
      <c r="H895" s="302"/>
      <c r="I895" s="302"/>
      <c r="J895" s="302"/>
      <c r="K895" s="302"/>
      <c r="L895" s="302"/>
      <c r="M895" s="302"/>
      <c r="N895" s="302"/>
      <c r="O895" s="302"/>
      <c r="P895" s="302"/>
    </row>
    <row r="896" spans="1:16" ht="17">
      <c r="A896" s="97"/>
      <c r="B896" s="97"/>
      <c r="C896" s="97"/>
      <c r="D896" s="97"/>
      <c r="E896" s="97"/>
      <c r="F896" s="302"/>
      <c r="G896" s="302"/>
      <c r="H896" s="302"/>
      <c r="I896" s="302"/>
      <c r="J896" s="302"/>
      <c r="K896" s="302"/>
      <c r="L896" s="302"/>
      <c r="M896" s="302"/>
      <c r="N896" s="302"/>
      <c r="O896" s="302"/>
      <c r="P896" s="302"/>
    </row>
    <row r="897" spans="1:16" ht="17">
      <c r="A897" s="97"/>
      <c r="B897" s="97"/>
      <c r="C897" s="97"/>
      <c r="D897" s="97"/>
      <c r="E897" s="97"/>
      <c r="F897" s="302"/>
      <c r="G897" s="302"/>
      <c r="H897" s="302"/>
      <c r="I897" s="302"/>
      <c r="J897" s="302"/>
      <c r="K897" s="302"/>
      <c r="L897" s="302"/>
      <c r="M897" s="302"/>
      <c r="N897" s="302"/>
      <c r="O897" s="302"/>
      <c r="P897" s="302"/>
    </row>
    <row r="898" spans="1:16" ht="17">
      <c r="A898" s="97"/>
      <c r="B898" s="97"/>
      <c r="C898" s="97"/>
      <c r="D898" s="97"/>
      <c r="E898" s="97"/>
      <c r="F898" s="302"/>
      <c r="G898" s="302"/>
      <c r="H898" s="302"/>
      <c r="I898" s="302"/>
      <c r="J898" s="302"/>
      <c r="K898" s="302"/>
      <c r="L898" s="302"/>
      <c r="M898" s="302"/>
      <c r="N898" s="302"/>
      <c r="O898" s="302"/>
      <c r="P898" s="302"/>
    </row>
    <row r="899" spans="1:16" ht="17">
      <c r="A899" s="97"/>
      <c r="B899" s="97"/>
      <c r="C899" s="97"/>
      <c r="D899" s="97"/>
      <c r="E899" s="97"/>
      <c r="F899" s="302"/>
      <c r="G899" s="302"/>
      <c r="H899" s="302"/>
      <c r="I899" s="302"/>
      <c r="J899" s="302"/>
      <c r="K899" s="302"/>
      <c r="L899" s="302"/>
      <c r="M899" s="302"/>
      <c r="N899" s="302"/>
      <c r="O899" s="302"/>
      <c r="P899" s="302"/>
    </row>
    <row r="900" spans="1:16" ht="17">
      <c r="A900" s="97"/>
      <c r="B900" s="97"/>
      <c r="C900" s="97"/>
      <c r="D900" s="97"/>
      <c r="E900" s="97"/>
      <c r="F900" s="302"/>
      <c r="G900" s="302"/>
      <c r="H900" s="302"/>
      <c r="I900" s="302"/>
      <c r="J900" s="302"/>
      <c r="K900" s="302"/>
      <c r="L900" s="302"/>
      <c r="M900" s="302"/>
      <c r="N900" s="302"/>
      <c r="O900" s="302"/>
      <c r="P900" s="302"/>
    </row>
    <row r="901" spans="1:16" ht="17">
      <c r="A901" s="97"/>
      <c r="B901" s="97"/>
      <c r="C901" s="97"/>
      <c r="D901" s="97"/>
      <c r="E901" s="97"/>
      <c r="F901" s="302"/>
      <c r="G901" s="302"/>
      <c r="H901" s="302"/>
      <c r="I901" s="302"/>
      <c r="J901" s="302"/>
      <c r="K901" s="302"/>
      <c r="L901" s="302"/>
      <c r="M901" s="302"/>
      <c r="N901" s="302"/>
      <c r="O901" s="302"/>
      <c r="P901" s="302"/>
    </row>
    <row r="902" spans="1:16" ht="17">
      <c r="A902" s="97"/>
      <c r="B902" s="97"/>
      <c r="C902" s="97"/>
      <c r="D902" s="97"/>
      <c r="E902" s="97"/>
      <c r="F902" s="302"/>
      <c r="G902" s="302"/>
      <c r="H902" s="302"/>
      <c r="I902" s="302"/>
      <c r="J902" s="302"/>
      <c r="K902" s="302"/>
      <c r="L902" s="302"/>
      <c r="M902" s="302"/>
      <c r="N902" s="302"/>
      <c r="O902" s="302"/>
      <c r="P902" s="302"/>
    </row>
    <row r="903" spans="1:16" ht="17">
      <c r="A903" s="97"/>
      <c r="B903" s="97"/>
      <c r="C903" s="97"/>
      <c r="D903" s="97"/>
      <c r="E903" s="97"/>
      <c r="F903" s="302"/>
      <c r="G903" s="302"/>
      <c r="H903" s="302"/>
      <c r="I903" s="302"/>
      <c r="J903" s="302"/>
      <c r="K903" s="302"/>
      <c r="L903" s="302"/>
      <c r="M903" s="302"/>
      <c r="N903" s="302"/>
      <c r="O903" s="302"/>
      <c r="P903" s="302"/>
    </row>
    <row r="904" spans="1:16" ht="17">
      <c r="A904" s="97"/>
      <c r="B904" s="97"/>
      <c r="C904" s="97"/>
      <c r="D904" s="97"/>
      <c r="E904" s="97"/>
      <c r="F904" s="302"/>
      <c r="G904" s="302"/>
      <c r="H904" s="302"/>
      <c r="I904" s="302"/>
      <c r="J904" s="302"/>
      <c r="K904" s="302"/>
      <c r="L904" s="302"/>
      <c r="M904" s="302"/>
      <c r="N904" s="302"/>
      <c r="O904" s="302"/>
      <c r="P904" s="302"/>
    </row>
    <row r="905" spans="1:16" ht="17">
      <c r="A905" s="97"/>
      <c r="B905" s="97"/>
      <c r="C905" s="97"/>
      <c r="D905" s="97"/>
      <c r="E905" s="97"/>
      <c r="F905" s="302"/>
      <c r="G905" s="302"/>
      <c r="H905" s="302"/>
      <c r="I905" s="302"/>
      <c r="J905" s="302"/>
      <c r="K905" s="302"/>
      <c r="L905" s="302"/>
      <c r="M905" s="302"/>
      <c r="N905" s="302"/>
      <c r="O905" s="302"/>
      <c r="P905" s="302"/>
    </row>
    <row r="906" spans="1:16" ht="17">
      <c r="A906" s="97"/>
      <c r="B906" s="97"/>
      <c r="C906" s="97"/>
      <c r="D906" s="97"/>
      <c r="E906" s="97"/>
      <c r="F906" s="302"/>
      <c r="G906" s="302"/>
      <c r="H906" s="302"/>
      <c r="I906" s="302"/>
      <c r="J906" s="302"/>
      <c r="K906" s="302"/>
      <c r="L906" s="302"/>
      <c r="M906" s="302"/>
      <c r="N906" s="302"/>
      <c r="O906" s="302"/>
      <c r="P906" s="302"/>
    </row>
    <row r="907" spans="1:16" ht="17">
      <c r="A907" s="97"/>
      <c r="B907" s="97"/>
      <c r="C907" s="97"/>
      <c r="D907" s="97"/>
      <c r="E907" s="97"/>
      <c r="F907" s="302"/>
      <c r="G907" s="302"/>
      <c r="H907" s="302"/>
      <c r="I907" s="302"/>
      <c r="J907" s="302"/>
      <c r="K907" s="302"/>
      <c r="L907" s="302"/>
      <c r="M907" s="302"/>
      <c r="N907" s="302"/>
      <c r="O907" s="302"/>
      <c r="P907" s="302"/>
    </row>
    <row r="908" spans="1:16" ht="17">
      <c r="A908" s="97"/>
      <c r="B908" s="97"/>
      <c r="C908" s="97"/>
      <c r="D908" s="97"/>
      <c r="E908" s="97"/>
      <c r="F908" s="302"/>
      <c r="G908" s="302"/>
      <c r="H908" s="302"/>
      <c r="I908" s="302"/>
      <c r="J908" s="302"/>
      <c r="K908" s="302"/>
      <c r="L908" s="302"/>
      <c r="M908" s="302"/>
      <c r="N908" s="302"/>
      <c r="O908" s="302"/>
      <c r="P908" s="302"/>
    </row>
    <row r="909" spans="1:16" ht="17">
      <c r="A909" s="97"/>
      <c r="B909" s="97"/>
      <c r="C909" s="97"/>
      <c r="D909" s="97"/>
      <c r="E909" s="97"/>
      <c r="F909" s="302"/>
      <c r="G909" s="302"/>
      <c r="H909" s="302"/>
      <c r="I909" s="302"/>
      <c r="J909" s="302"/>
      <c r="K909" s="302"/>
      <c r="L909" s="302"/>
      <c r="M909" s="302"/>
      <c r="N909" s="302"/>
      <c r="O909" s="302"/>
      <c r="P909" s="302"/>
    </row>
    <row r="910" spans="1:16" ht="17">
      <c r="A910" s="97"/>
      <c r="B910" s="97"/>
      <c r="C910" s="97"/>
      <c r="D910" s="97"/>
      <c r="E910" s="97"/>
      <c r="F910" s="302"/>
      <c r="G910" s="302"/>
      <c r="H910" s="302"/>
      <c r="I910" s="302"/>
      <c r="J910" s="302"/>
      <c r="K910" s="302"/>
      <c r="L910" s="302"/>
      <c r="M910" s="302"/>
      <c r="N910" s="302"/>
      <c r="O910" s="302"/>
      <c r="P910" s="302"/>
    </row>
    <row r="911" spans="1:16" ht="17">
      <c r="A911" s="97"/>
      <c r="B911" s="97"/>
      <c r="C911" s="97"/>
      <c r="D911" s="97"/>
      <c r="E911" s="97"/>
      <c r="F911" s="302"/>
      <c r="G911" s="302"/>
      <c r="H911" s="302"/>
      <c r="I911" s="302"/>
      <c r="J911" s="302"/>
      <c r="K911" s="302"/>
      <c r="L911" s="302"/>
      <c r="M911" s="302"/>
      <c r="N911" s="302"/>
      <c r="O911" s="302"/>
      <c r="P911" s="302"/>
    </row>
    <row r="912" spans="1:16" ht="17">
      <c r="A912" s="97"/>
      <c r="B912" s="97"/>
      <c r="C912" s="97"/>
      <c r="D912" s="97"/>
      <c r="E912" s="97"/>
      <c r="F912" s="302"/>
      <c r="G912" s="302"/>
      <c r="H912" s="302"/>
      <c r="I912" s="302"/>
      <c r="J912" s="302"/>
      <c r="K912" s="302"/>
      <c r="L912" s="302"/>
      <c r="M912" s="302"/>
      <c r="N912" s="302"/>
      <c r="O912" s="302"/>
      <c r="P912" s="302"/>
    </row>
    <row r="913" spans="1:16" ht="17">
      <c r="A913" s="97"/>
      <c r="B913" s="97"/>
      <c r="C913" s="97"/>
      <c r="D913" s="97"/>
      <c r="E913" s="97"/>
      <c r="F913" s="302"/>
      <c r="G913" s="302"/>
      <c r="H913" s="302"/>
      <c r="I913" s="302"/>
      <c r="J913" s="302"/>
      <c r="K913" s="302"/>
      <c r="L913" s="302"/>
      <c r="M913" s="302"/>
      <c r="N913" s="302"/>
      <c r="O913" s="302"/>
      <c r="P913" s="302"/>
    </row>
    <row r="914" spans="1:16" ht="17">
      <c r="A914" s="97"/>
      <c r="B914" s="97"/>
      <c r="C914" s="97"/>
      <c r="D914" s="97"/>
      <c r="E914" s="97"/>
      <c r="F914" s="302"/>
      <c r="G914" s="302"/>
      <c r="H914" s="302"/>
      <c r="I914" s="302"/>
      <c r="J914" s="302"/>
      <c r="K914" s="302"/>
      <c r="L914" s="302"/>
      <c r="M914" s="302"/>
      <c r="N914" s="302"/>
      <c r="O914" s="302"/>
      <c r="P914" s="302"/>
    </row>
    <row r="915" spans="1:16" ht="17">
      <c r="A915" s="97"/>
      <c r="B915" s="97"/>
      <c r="C915" s="97"/>
      <c r="D915" s="97"/>
      <c r="E915" s="97"/>
      <c r="F915" s="302"/>
      <c r="G915" s="302"/>
      <c r="H915" s="302"/>
      <c r="I915" s="302"/>
      <c r="J915" s="302"/>
      <c r="K915" s="302"/>
      <c r="L915" s="302"/>
      <c r="M915" s="302"/>
      <c r="N915" s="302"/>
      <c r="O915" s="302"/>
      <c r="P915" s="302"/>
    </row>
    <row r="916" spans="1:16" ht="17">
      <c r="A916" s="97"/>
      <c r="B916" s="97"/>
      <c r="C916" s="97"/>
      <c r="D916" s="97"/>
      <c r="E916" s="97"/>
      <c r="F916" s="302"/>
      <c r="G916" s="302"/>
      <c r="H916" s="302"/>
      <c r="I916" s="302"/>
      <c r="J916" s="302"/>
      <c r="K916" s="302"/>
      <c r="L916" s="302"/>
      <c r="M916" s="302"/>
      <c r="N916" s="302"/>
      <c r="O916" s="302"/>
      <c r="P916" s="302"/>
    </row>
    <row r="917" spans="1:16" ht="17">
      <c r="A917" s="97"/>
      <c r="B917" s="97"/>
      <c r="C917" s="97"/>
      <c r="D917" s="97"/>
      <c r="E917" s="97"/>
      <c r="F917" s="302"/>
      <c r="G917" s="302"/>
      <c r="H917" s="302"/>
      <c r="I917" s="302"/>
      <c r="J917" s="302"/>
      <c r="K917" s="302"/>
      <c r="L917" s="302"/>
      <c r="M917" s="302"/>
      <c r="N917" s="302"/>
      <c r="O917" s="302"/>
      <c r="P917" s="302"/>
    </row>
    <row r="918" spans="1:16" ht="17">
      <c r="A918" s="97"/>
      <c r="B918" s="97"/>
      <c r="C918" s="97"/>
      <c r="D918" s="97"/>
      <c r="E918" s="97"/>
      <c r="F918" s="302"/>
      <c r="G918" s="302"/>
      <c r="H918" s="302"/>
      <c r="I918" s="302"/>
      <c r="J918" s="302"/>
      <c r="K918" s="302"/>
      <c r="L918" s="302"/>
      <c r="M918" s="302"/>
      <c r="N918" s="302"/>
      <c r="O918" s="302"/>
      <c r="P918" s="302"/>
    </row>
    <row r="919" spans="1:16" ht="17">
      <c r="A919" s="97"/>
      <c r="B919" s="97"/>
      <c r="C919" s="97"/>
      <c r="D919" s="97"/>
      <c r="E919" s="97"/>
      <c r="F919" s="302"/>
      <c r="G919" s="302"/>
      <c r="H919" s="302"/>
      <c r="I919" s="302"/>
      <c r="J919" s="302"/>
      <c r="K919" s="302"/>
      <c r="L919" s="302"/>
      <c r="M919" s="302"/>
      <c r="N919" s="302"/>
      <c r="O919" s="302"/>
      <c r="P919" s="302"/>
    </row>
    <row r="920" spans="1:16" ht="17">
      <c r="A920" s="97"/>
      <c r="B920" s="97"/>
      <c r="C920" s="97"/>
      <c r="D920" s="97"/>
      <c r="E920" s="97"/>
      <c r="F920" s="302"/>
      <c r="G920" s="302"/>
      <c r="H920" s="302"/>
      <c r="I920" s="302"/>
      <c r="J920" s="302"/>
      <c r="K920" s="302"/>
      <c r="L920" s="302"/>
      <c r="M920" s="302"/>
      <c r="N920" s="302"/>
      <c r="O920" s="302"/>
      <c r="P920" s="302"/>
    </row>
    <row r="921" spans="1:16" ht="17">
      <c r="A921" s="97"/>
      <c r="B921" s="97"/>
      <c r="C921" s="97"/>
      <c r="D921" s="97"/>
      <c r="E921" s="97"/>
      <c r="F921" s="302"/>
      <c r="G921" s="302"/>
      <c r="H921" s="302"/>
      <c r="I921" s="302"/>
      <c r="J921" s="302"/>
      <c r="K921" s="302"/>
      <c r="L921" s="302"/>
      <c r="M921" s="302"/>
      <c r="N921" s="302"/>
      <c r="O921" s="302"/>
      <c r="P921" s="302"/>
    </row>
    <row r="922" spans="1:16" ht="17">
      <c r="A922" s="97"/>
      <c r="B922" s="97"/>
      <c r="C922" s="97"/>
      <c r="D922" s="97"/>
      <c r="E922" s="97"/>
      <c r="F922" s="302"/>
      <c r="G922" s="302"/>
      <c r="H922" s="302"/>
      <c r="I922" s="302"/>
      <c r="J922" s="302"/>
      <c r="K922" s="302"/>
      <c r="L922" s="302"/>
      <c r="M922" s="302"/>
      <c r="N922" s="302"/>
      <c r="O922" s="302"/>
      <c r="P922" s="302"/>
    </row>
    <row r="923" spans="1:16" ht="17">
      <c r="A923" s="97"/>
      <c r="B923" s="97"/>
      <c r="C923" s="97"/>
      <c r="D923" s="97"/>
      <c r="E923" s="97"/>
      <c r="F923" s="302"/>
      <c r="G923" s="302"/>
      <c r="H923" s="302"/>
      <c r="I923" s="302"/>
      <c r="J923" s="302"/>
      <c r="K923" s="302"/>
      <c r="L923" s="302"/>
      <c r="M923" s="302"/>
      <c r="N923" s="302"/>
      <c r="O923" s="302"/>
      <c r="P923" s="302"/>
    </row>
    <row r="924" spans="1:16" ht="17">
      <c r="A924" s="97"/>
      <c r="B924" s="97"/>
      <c r="C924" s="97"/>
      <c r="D924" s="97"/>
      <c r="E924" s="97"/>
      <c r="F924" s="302"/>
      <c r="G924" s="302"/>
      <c r="H924" s="302"/>
      <c r="I924" s="302"/>
      <c r="J924" s="302"/>
      <c r="K924" s="302"/>
      <c r="L924" s="302"/>
      <c r="M924" s="302"/>
      <c r="N924" s="302"/>
      <c r="O924" s="302"/>
      <c r="P924" s="302"/>
    </row>
    <row r="925" spans="1:16" ht="17">
      <c r="A925" s="97"/>
      <c r="B925" s="97"/>
      <c r="C925" s="97"/>
      <c r="D925" s="97"/>
      <c r="E925" s="97"/>
      <c r="F925" s="302"/>
      <c r="G925" s="302"/>
      <c r="H925" s="302"/>
      <c r="I925" s="302"/>
      <c r="J925" s="302"/>
      <c r="K925" s="302"/>
      <c r="L925" s="302"/>
      <c r="M925" s="302"/>
      <c r="N925" s="302"/>
      <c r="O925" s="302"/>
      <c r="P925" s="302"/>
    </row>
    <row r="926" spans="1:16" ht="17">
      <c r="A926" s="97"/>
      <c r="B926" s="97"/>
      <c r="C926" s="97"/>
      <c r="D926" s="97"/>
      <c r="E926" s="97"/>
      <c r="F926" s="302"/>
      <c r="G926" s="302"/>
      <c r="H926" s="302"/>
      <c r="I926" s="302"/>
      <c r="J926" s="302"/>
      <c r="K926" s="302"/>
      <c r="L926" s="302"/>
      <c r="M926" s="302"/>
      <c r="N926" s="302"/>
      <c r="O926" s="302"/>
      <c r="P926" s="302"/>
    </row>
    <row r="927" spans="1:16" ht="17">
      <c r="A927" s="97"/>
      <c r="B927" s="97"/>
      <c r="C927" s="97"/>
      <c r="D927" s="97"/>
      <c r="E927" s="97"/>
      <c r="F927" s="302"/>
      <c r="G927" s="302"/>
      <c r="H927" s="302"/>
      <c r="I927" s="302"/>
      <c r="J927" s="302"/>
      <c r="K927" s="302"/>
      <c r="L927" s="302"/>
      <c r="M927" s="302"/>
      <c r="N927" s="302"/>
      <c r="O927" s="302"/>
      <c r="P927" s="302"/>
    </row>
    <row r="928" spans="1:16" ht="17">
      <c r="A928" s="97"/>
      <c r="B928" s="97"/>
      <c r="C928" s="97"/>
      <c r="D928" s="97"/>
      <c r="E928" s="97"/>
      <c r="F928" s="302"/>
      <c r="G928" s="302"/>
      <c r="H928" s="302"/>
      <c r="I928" s="302"/>
      <c r="J928" s="302"/>
      <c r="K928" s="302"/>
      <c r="L928" s="302"/>
      <c r="M928" s="302"/>
      <c r="N928" s="302"/>
      <c r="O928" s="302"/>
      <c r="P928" s="302"/>
    </row>
    <row r="929" spans="1:16" ht="17">
      <c r="A929" s="97"/>
      <c r="B929" s="97"/>
      <c r="C929" s="97"/>
      <c r="D929" s="97"/>
      <c r="E929" s="97"/>
      <c r="F929" s="302"/>
      <c r="G929" s="302"/>
      <c r="H929" s="302"/>
      <c r="I929" s="302"/>
      <c r="J929" s="302"/>
      <c r="K929" s="302"/>
      <c r="L929" s="302"/>
      <c r="M929" s="302"/>
      <c r="N929" s="302"/>
      <c r="O929" s="302"/>
      <c r="P929" s="302"/>
    </row>
    <row r="930" spans="1:16" ht="17">
      <c r="A930" s="97"/>
      <c r="B930" s="97"/>
      <c r="C930" s="97"/>
      <c r="D930" s="97"/>
      <c r="E930" s="97"/>
      <c r="F930" s="302"/>
      <c r="G930" s="302"/>
      <c r="H930" s="302"/>
      <c r="I930" s="302"/>
      <c r="J930" s="302"/>
      <c r="K930" s="302"/>
      <c r="L930" s="302"/>
      <c r="M930" s="302"/>
      <c r="N930" s="302"/>
      <c r="O930" s="302"/>
      <c r="P930" s="302"/>
    </row>
    <row r="931" spans="1:16" ht="17">
      <c r="A931" s="97"/>
      <c r="B931" s="97"/>
      <c r="C931" s="97"/>
      <c r="D931" s="97"/>
      <c r="E931" s="97"/>
      <c r="F931" s="302"/>
      <c r="G931" s="302"/>
      <c r="H931" s="302"/>
      <c r="I931" s="302"/>
      <c r="J931" s="302"/>
      <c r="K931" s="302"/>
      <c r="L931" s="302"/>
      <c r="M931" s="302"/>
      <c r="N931" s="302"/>
      <c r="O931" s="302"/>
      <c r="P931" s="302"/>
    </row>
    <row r="932" spans="1:16" ht="17">
      <c r="A932" s="97"/>
      <c r="B932" s="97"/>
      <c r="C932" s="97"/>
      <c r="D932" s="97"/>
      <c r="E932" s="97"/>
      <c r="F932" s="302"/>
      <c r="G932" s="302"/>
      <c r="H932" s="302"/>
      <c r="I932" s="302"/>
      <c r="J932" s="302"/>
      <c r="K932" s="302"/>
      <c r="L932" s="302"/>
      <c r="M932" s="302"/>
      <c r="N932" s="302"/>
      <c r="O932" s="302"/>
      <c r="P932" s="302"/>
    </row>
    <row r="933" spans="1:16" ht="17">
      <c r="A933" s="97"/>
      <c r="B933" s="97"/>
      <c r="C933" s="97"/>
      <c r="D933" s="97"/>
      <c r="E933" s="97"/>
      <c r="F933" s="302"/>
      <c r="G933" s="302"/>
      <c r="H933" s="302"/>
      <c r="I933" s="302"/>
      <c r="J933" s="302"/>
      <c r="K933" s="302"/>
      <c r="L933" s="302"/>
      <c r="M933" s="302"/>
      <c r="N933" s="302"/>
      <c r="O933" s="302"/>
      <c r="P933" s="302"/>
    </row>
    <row r="934" spans="1:16" ht="17">
      <c r="A934" s="97"/>
      <c r="B934" s="97"/>
      <c r="C934" s="97"/>
      <c r="D934" s="97"/>
      <c r="E934" s="97"/>
      <c r="F934" s="302"/>
      <c r="G934" s="302"/>
      <c r="H934" s="302"/>
      <c r="I934" s="302"/>
      <c r="J934" s="302"/>
      <c r="K934" s="302"/>
      <c r="L934" s="302"/>
      <c r="M934" s="302"/>
      <c r="N934" s="302"/>
      <c r="O934" s="302"/>
      <c r="P934" s="302"/>
    </row>
    <row r="935" spans="1:16" ht="17">
      <c r="A935" s="97"/>
      <c r="B935" s="97"/>
      <c r="C935" s="97"/>
      <c r="D935" s="97"/>
      <c r="E935" s="97"/>
      <c r="F935" s="302"/>
      <c r="G935" s="302"/>
      <c r="H935" s="302"/>
      <c r="I935" s="302"/>
      <c r="J935" s="302"/>
      <c r="K935" s="302"/>
      <c r="L935" s="302"/>
      <c r="M935" s="302"/>
      <c r="N935" s="302"/>
      <c r="O935" s="302"/>
      <c r="P935" s="302"/>
    </row>
    <row r="936" spans="1:16" ht="17">
      <c r="A936" s="97"/>
      <c r="B936" s="97"/>
      <c r="C936" s="97"/>
      <c r="D936" s="97"/>
      <c r="E936" s="97"/>
      <c r="F936" s="302"/>
      <c r="G936" s="302"/>
      <c r="H936" s="302"/>
      <c r="I936" s="302"/>
      <c r="J936" s="302"/>
      <c r="K936" s="302"/>
      <c r="L936" s="302"/>
      <c r="M936" s="302"/>
      <c r="N936" s="302"/>
      <c r="O936" s="302"/>
      <c r="P936" s="302"/>
    </row>
    <row r="937" spans="1:16" ht="17">
      <c r="A937" s="97"/>
      <c r="B937" s="97"/>
      <c r="C937" s="97"/>
      <c r="D937" s="97"/>
      <c r="E937" s="97"/>
      <c r="F937" s="302"/>
      <c r="G937" s="302"/>
      <c r="H937" s="302"/>
      <c r="I937" s="302"/>
      <c r="J937" s="302"/>
      <c r="K937" s="302"/>
      <c r="L937" s="302"/>
      <c r="M937" s="302"/>
      <c r="N937" s="302"/>
      <c r="O937" s="302"/>
      <c r="P937" s="302"/>
    </row>
    <row r="938" spans="1:16" ht="17">
      <c r="A938" s="97"/>
      <c r="B938" s="97"/>
      <c r="C938" s="97"/>
      <c r="D938" s="97"/>
      <c r="E938" s="97"/>
      <c r="F938" s="302"/>
      <c r="G938" s="302"/>
      <c r="H938" s="302"/>
      <c r="I938" s="302"/>
      <c r="J938" s="302"/>
      <c r="K938" s="302"/>
      <c r="L938" s="302"/>
      <c r="M938" s="302"/>
      <c r="N938" s="302"/>
      <c r="O938" s="302"/>
      <c r="P938" s="302"/>
    </row>
    <row r="939" spans="1:16" ht="17">
      <c r="A939" s="97"/>
      <c r="B939" s="97"/>
      <c r="C939" s="97"/>
      <c r="D939" s="97"/>
      <c r="E939" s="97"/>
      <c r="F939" s="302"/>
      <c r="G939" s="302"/>
      <c r="H939" s="302"/>
      <c r="I939" s="302"/>
      <c r="J939" s="302"/>
      <c r="K939" s="302"/>
      <c r="L939" s="302"/>
      <c r="M939" s="302"/>
      <c r="N939" s="302"/>
      <c r="O939" s="302"/>
      <c r="P939" s="302"/>
    </row>
    <row r="940" spans="1:16" ht="17">
      <c r="A940" s="97"/>
      <c r="B940" s="97"/>
      <c r="C940" s="97"/>
      <c r="D940" s="97"/>
      <c r="E940" s="97"/>
      <c r="F940" s="302"/>
      <c r="G940" s="302"/>
      <c r="H940" s="302"/>
      <c r="I940" s="302"/>
      <c r="J940" s="302"/>
      <c r="K940" s="302"/>
      <c r="L940" s="302"/>
      <c r="M940" s="302"/>
      <c r="N940" s="302"/>
      <c r="O940" s="302"/>
      <c r="P940" s="302"/>
    </row>
    <row r="941" spans="1:16" ht="17">
      <c r="A941" s="97"/>
      <c r="B941" s="97"/>
      <c r="C941" s="97"/>
      <c r="D941" s="97"/>
      <c r="E941" s="97"/>
      <c r="F941" s="302"/>
      <c r="G941" s="302"/>
      <c r="H941" s="302"/>
      <c r="I941" s="302"/>
      <c r="J941" s="302"/>
      <c r="K941" s="302"/>
      <c r="L941" s="302"/>
      <c r="M941" s="302"/>
      <c r="N941" s="302"/>
      <c r="O941" s="302"/>
      <c r="P941" s="302"/>
    </row>
    <row r="942" spans="1:16" ht="17">
      <c r="A942" s="97"/>
      <c r="B942" s="97"/>
      <c r="C942" s="97"/>
      <c r="D942" s="97"/>
      <c r="E942" s="97"/>
      <c r="F942" s="302"/>
      <c r="G942" s="302"/>
      <c r="H942" s="302"/>
      <c r="I942" s="302"/>
      <c r="J942" s="302"/>
      <c r="K942" s="302"/>
      <c r="L942" s="302"/>
      <c r="M942" s="302"/>
      <c r="N942" s="302"/>
      <c r="O942" s="302"/>
      <c r="P942" s="302"/>
    </row>
    <row r="943" spans="1:16" ht="17">
      <c r="A943" s="97"/>
      <c r="B943" s="97"/>
      <c r="C943" s="97"/>
      <c r="D943" s="97"/>
      <c r="E943" s="97"/>
      <c r="F943" s="302"/>
      <c r="G943" s="302"/>
      <c r="H943" s="302"/>
      <c r="I943" s="302"/>
      <c r="J943" s="302"/>
      <c r="K943" s="302"/>
      <c r="L943" s="302"/>
      <c r="M943" s="302"/>
      <c r="N943" s="302"/>
      <c r="O943" s="302"/>
      <c r="P943" s="302"/>
    </row>
    <row r="944" spans="1:16" ht="17">
      <c r="A944" s="97"/>
      <c r="B944" s="97"/>
      <c r="C944" s="97"/>
      <c r="D944" s="97"/>
      <c r="E944" s="97"/>
      <c r="F944" s="302"/>
      <c r="G944" s="302"/>
      <c r="H944" s="302"/>
      <c r="I944" s="302"/>
      <c r="J944" s="302"/>
      <c r="K944" s="302"/>
      <c r="L944" s="302"/>
      <c r="M944" s="302"/>
      <c r="N944" s="302"/>
      <c r="O944" s="302"/>
      <c r="P944" s="302"/>
    </row>
    <row r="945" spans="1:16" ht="17">
      <c r="A945" s="97"/>
      <c r="B945" s="97"/>
      <c r="C945" s="97"/>
      <c r="D945" s="97"/>
      <c r="E945" s="97"/>
      <c r="F945" s="302"/>
      <c r="G945" s="302"/>
      <c r="H945" s="302"/>
      <c r="I945" s="302"/>
      <c r="J945" s="302"/>
      <c r="K945" s="302"/>
      <c r="L945" s="302"/>
      <c r="M945" s="302"/>
      <c r="N945" s="302"/>
      <c r="O945" s="302"/>
      <c r="P945" s="302"/>
    </row>
    <row r="946" spans="1:16" ht="17">
      <c r="A946" s="97"/>
      <c r="B946" s="97"/>
      <c r="C946" s="97"/>
      <c r="D946" s="97"/>
      <c r="E946" s="97"/>
      <c r="F946" s="302"/>
      <c r="G946" s="302"/>
      <c r="H946" s="302"/>
      <c r="I946" s="302"/>
      <c r="J946" s="302"/>
      <c r="K946" s="302"/>
      <c r="L946" s="302"/>
      <c r="M946" s="302"/>
      <c r="N946" s="302"/>
      <c r="O946" s="302"/>
      <c r="P946" s="302"/>
    </row>
    <row r="947" spans="1:16" ht="17">
      <c r="A947" s="97"/>
      <c r="B947" s="97"/>
      <c r="C947" s="97"/>
      <c r="D947" s="97"/>
      <c r="E947" s="97"/>
      <c r="F947" s="302"/>
      <c r="G947" s="302"/>
      <c r="H947" s="302"/>
      <c r="I947" s="302"/>
      <c r="J947" s="302"/>
      <c r="K947" s="302"/>
      <c r="L947" s="302"/>
      <c r="M947" s="302"/>
      <c r="N947" s="302"/>
      <c r="O947" s="302"/>
      <c r="P947" s="302"/>
    </row>
    <row r="948" spans="1:16" ht="17">
      <c r="A948" s="97"/>
      <c r="B948" s="97"/>
      <c r="C948" s="97"/>
      <c r="D948" s="97"/>
      <c r="E948" s="97"/>
      <c r="F948" s="302"/>
      <c r="G948" s="302"/>
      <c r="H948" s="302"/>
      <c r="I948" s="302"/>
      <c r="J948" s="302"/>
      <c r="K948" s="302"/>
      <c r="L948" s="302"/>
      <c r="M948" s="302"/>
      <c r="N948" s="302"/>
      <c r="O948" s="302"/>
      <c r="P948" s="302"/>
    </row>
    <row r="949" spans="1:16" ht="17">
      <c r="A949" s="97"/>
      <c r="B949" s="97"/>
      <c r="C949" s="97"/>
      <c r="D949" s="97"/>
      <c r="E949" s="97"/>
      <c r="F949" s="302"/>
      <c r="G949" s="302"/>
      <c r="H949" s="302"/>
      <c r="I949" s="302"/>
      <c r="J949" s="302"/>
      <c r="K949" s="302"/>
      <c r="L949" s="302"/>
      <c r="M949" s="302"/>
      <c r="N949" s="302"/>
      <c r="O949" s="302"/>
      <c r="P949" s="302"/>
    </row>
    <row r="950" spans="1:16" ht="17">
      <c r="A950" s="97"/>
      <c r="B950" s="97"/>
      <c r="C950" s="97"/>
      <c r="D950" s="97"/>
      <c r="E950" s="97"/>
      <c r="F950" s="302"/>
      <c r="G950" s="302"/>
      <c r="H950" s="302"/>
      <c r="I950" s="302"/>
      <c r="J950" s="302"/>
      <c r="K950" s="302"/>
      <c r="L950" s="302"/>
      <c r="M950" s="302"/>
      <c r="N950" s="302"/>
      <c r="O950" s="302"/>
      <c r="P950" s="302"/>
    </row>
    <row r="951" spans="1:16" ht="17">
      <c r="A951" s="97"/>
      <c r="B951" s="97"/>
      <c r="C951" s="97"/>
      <c r="D951" s="97"/>
      <c r="E951" s="97"/>
      <c r="F951" s="302"/>
      <c r="G951" s="302"/>
      <c r="H951" s="302"/>
      <c r="I951" s="302"/>
      <c r="J951" s="302"/>
      <c r="K951" s="302"/>
      <c r="L951" s="302"/>
      <c r="M951" s="302"/>
      <c r="N951" s="302"/>
      <c r="O951" s="302"/>
      <c r="P951" s="302"/>
    </row>
    <row r="952" spans="1:16" ht="17">
      <c r="A952" s="97"/>
      <c r="B952" s="97"/>
      <c r="C952" s="97"/>
      <c r="D952" s="97"/>
      <c r="E952" s="97"/>
      <c r="F952" s="302"/>
      <c r="G952" s="302"/>
      <c r="H952" s="302"/>
      <c r="I952" s="302"/>
      <c r="J952" s="302"/>
      <c r="K952" s="302"/>
      <c r="L952" s="302"/>
      <c r="M952" s="302"/>
      <c r="N952" s="302"/>
      <c r="O952" s="302"/>
      <c r="P952" s="302"/>
    </row>
    <row r="953" spans="1:16" ht="17">
      <c r="A953" s="97"/>
      <c r="B953" s="97"/>
      <c r="C953" s="97"/>
      <c r="D953" s="97"/>
      <c r="E953" s="97"/>
      <c r="F953" s="302"/>
      <c r="G953" s="302"/>
      <c r="H953" s="302"/>
      <c r="I953" s="302"/>
      <c r="J953" s="302"/>
      <c r="K953" s="302"/>
      <c r="L953" s="302"/>
      <c r="M953" s="302"/>
      <c r="N953" s="302"/>
      <c r="O953" s="302"/>
      <c r="P953" s="302"/>
    </row>
    <row r="954" spans="1:16" ht="17">
      <c r="A954" s="97"/>
      <c r="B954" s="97"/>
      <c r="C954" s="97"/>
      <c r="D954" s="97"/>
      <c r="E954" s="97"/>
      <c r="F954" s="302"/>
      <c r="G954" s="302"/>
      <c r="H954" s="302"/>
      <c r="I954" s="302"/>
      <c r="J954" s="302"/>
      <c r="K954" s="302"/>
      <c r="L954" s="302"/>
      <c r="M954" s="302"/>
      <c r="N954" s="302"/>
      <c r="O954" s="302"/>
      <c r="P954" s="302"/>
    </row>
    <row r="955" spans="1:16" ht="17">
      <c r="A955" s="97"/>
      <c r="B955" s="97"/>
      <c r="C955" s="97"/>
      <c r="D955" s="97"/>
      <c r="E955" s="97"/>
      <c r="F955" s="302"/>
      <c r="G955" s="302"/>
      <c r="H955" s="302"/>
      <c r="I955" s="302"/>
      <c r="J955" s="302"/>
      <c r="K955" s="302"/>
      <c r="L955" s="302"/>
      <c r="M955" s="302"/>
      <c r="N955" s="302"/>
      <c r="O955" s="302"/>
      <c r="P955" s="302"/>
    </row>
    <row r="956" spans="1:16" ht="17">
      <c r="A956" s="97"/>
      <c r="B956" s="97"/>
      <c r="C956" s="97"/>
      <c r="D956" s="97"/>
      <c r="E956" s="97"/>
      <c r="F956" s="302"/>
      <c r="G956" s="302"/>
      <c r="H956" s="302"/>
      <c r="I956" s="302"/>
      <c r="J956" s="302"/>
      <c r="K956" s="302"/>
      <c r="L956" s="302"/>
      <c r="M956" s="302"/>
      <c r="N956" s="302"/>
      <c r="O956" s="302"/>
      <c r="P956" s="302"/>
    </row>
    <row r="957" spans="1:16" ht="17">
      <c r="A957" s="97"/>
      <c r="B957" s="97"/>
      <c r="C957" s="97"/>
      <c r="D957" s="97"/>
      <c r="E957" s="97"/>
      <c r="F957" s="302"/>
      <c r="G957" s="302"/>
      <c r="H957" s="302"/>
      <c r="I957" s="302"/>
      <c r="J957" s="302"/>
      <c r="K957" s="302"/>
      <c r="L957" s="302"/>
      <c r="M957" s="302"/>
      <c r="N957" s="302"/>
      <c r="O957" s="302"/>
      <c r="P957" s="302"/>
    </row>
    <row r="958" spans="1:16" ht="17">
      <c r="A958" s="97"/>
      <c r="B958" s="97"/>
      <c r="C958" s="97"/>
      <c r="D958" s="97"/>
      <c r="E958" s="97"/>
      <c r="F958" s="302"/>
      <c r="G958" s="302"/>
      <c r="H958" s="302"/>
      <c r="I958" s="302"/>
      <c r="J958" s="302"/>
      <c r="K958" s="302"/>
      <c r="L958" s="302"/>
      <c r="M958" s="302"/>
      <c r="N958" s="302"/>
      <c r="O958" s="302"/>
      <c r="P958" s="302"/>
    </row>
    <row r="959" spans="1:16" ht="17">
      <c r="A959" s="97"/>
      <c r="B959" s="97"/>
      <c r="C959" s="97"/>
      <c r="D959" s="97"/>
      <c r="E959" s="97"/>
      <c r="F959" s="302"/>
      <c r="G959" s="302"/>
      <c r="H959" s="302"/>
      <c r="I959" s="302"/>
      <c r="J959" s="302"/>
      <c r="K959" s="302"/>
      <c r="L959" s="302"/>
      <c r="M959" s="302"/>
      <c r="N959" s="302"/>
      <c r="O959" s="302"/>
      <c r="P959" s="302"/>
    </row>
    <row r="960" spans="1:16" ht="17">
      <c r="A960" s="97"/>
      <c r="B960" s="97"/>
      <c r="C960" s="97"/>
      <c r="D960" s="97"/>
      <c r="E960" s="97"/>
      <c r="F960" s="302"/>
      <c r="G960" s="302"/>
      <c r="H960" s="302"/>
      <c r="I960" s="302"/>
      <c r="J960" s="302"/>
      <c r="K960" s="302"/>
      <c r="L960" s="302"/>
      <c r="M960" s="302"/>
      <c r="N960" s="302"/>
      <c r="O960" s="302"/>
      <c r="P960" s="302"/>
    </row>
    <row r="961" spans="1:16" ht="17">
      <c r="A961" s="97"/>
      <c r="B961" s="97"/>
      <c r="C961" s="97"/>
      <c r="D961" s="97"/>
      <c r="E961" s="97"/>
      <c r="F961" s="302"/>
      <c r="G961" s="302"/>
      <c r="H961" s="302"/>
      <c r="I961" s="302"/>
      <c r="J961" s="302"/>
      <c r="K961" s="302"/>
      <c r="L961" s="302"/>
      <c r="M961" s="302"/>
      <c r="N961" s="302"/>
      <c r="O961" s="302"/>
      <c r="P961" s="302"/>
    </row>
    <row r="962" spans="1:16" ht="17">
      <c r="A962" s="97"/>
      <c r="B962" s="97"/>
      <c r="C962" s="97"/>
      <c r="D962" s="97"/>
      <c r="E962" s="97"/>
      <c r="F962" s="302"/>
      <c r="G962" s="302"/>
      <c r="H962" s="302"/>
      <c r="I962" s="302"/>
      <c r="J962" s="302"/>
      <c r="K962" s="302"/>
      <c r="L962" s="302"/>
      <c r="M962" s="302"/>
      <c r="N962" s="302"/>
      <c r="O962" s="302"/>
      <c r="P962" s="302"/>
    </row>
    <row r="963" spans="1:16" ht="17">
      <c r="A963" s="97"/>
      <c r="B963" s="97"/>
      <c r="C963" s="97"/>
      <c r="D963" s="97"/>
      <c r="E963" s="97"/>
      <c r="F963" s="302"/>
      <c r="G963" s="302"/>
      <c r="H963" s="302"/>
      <c r="I963" s="302"/>
      <c r="J963" s="302"/>
      <c r="K963" s="302"/>
      <c r="L963" s="302"/>
      <c r="M963" s="302"/>
      <c r="N963" s="302"/>
      <c r="O963" s="302"/>
      <c r="P963" s="302"/>
    </row>
    <row r="964" spans="1:16" ht="17">
      <c r="A964" s="97"/>
      <c r="B964" s="97"/>
      <c r="C964" s="97"/>
      <c r="D964" s="97"/>
      <c r="E964" s="97"/>
      <c r="F964" s="302"/>
      <c r="G964" s="302"/>
      <c r="H964" s="302"/>
      <c r="I964" s="302"/>
      <c r="J964" s="302"/>
      <c r="K964" s="302"/>
      <c r="L964" s="302"/>
      <c r="M964" s="302"/>
      <c r="N964" s="302"/>
      <c r="O964" s="302"/>
      <c r="P964" s="302"/>
    </row>
    <row r="965" spans="1:16" ht="17">
      <c r="A965" s="97"/>
      <c r="B965" s="97"/>
      <c r="C965" s="97"/>
      <c r="D965" s="97"/>
      <c r="E965" s="97"/>
      <c r="F965" s="302"/>
      <c r="G965" s="302"/>
      <c r="H965" s="302"/>
      <c r="I965" s="302"/>
      <c r="J965" s="302"/>
      <c r="K965" s="302"/>
      <c r="L965" s="302"/>
      <c r="M965" s="302"/>
      <c r="N965" s="302"/>
      <c r="O965" s="302"/>
      <c r="P965" s="302"/>
    </row>
    <row r="966" spans="1:16" ht="17">
      <c r="A966" s="97"/>
      <c r="B966" s="97"/>
      <c r="C966" s="97"/>
      <c r="D966" s="97"/>
      <c r="E966" s="97"/>
      <c r="F966" s="302"/>
      <c r="G966" s="302"/>
      <c r="H966" s="302"/>
      <c r="I966" s="302"/>
      <c r="J966" s="302"/>
      <c r="K966" s="302"/>
      <c r="L966" s="302"/>
      <c r="M966" s="302"/>
      <c r="N966" s="302"/>
      <c r="O966" s="302"/>
      <c r="P966" s="302"/>
    </row>
    <row r="967" spans="1:16" ht="17">
      <c r="A967" s="97"/>
      <c r="B967" s="97"/>
      <c r="C967" s="97"/>
      <c r="D967" s="97"/>
      <c r="E967" s="97"/>
      <c r="F967" s="302"/>
      <c r="G967" s="302"/>
      <c r="H967" s="302"/>
      <c r="I967" s="302"/>
      <c r="J967" s="302"/>
      <c r="K967" s="302"/>
      <c r="L967" s="302"/>
      <c r="M967" s="302"/>
      <c r="N967" s="302"/>
      <c r="O967" s="302"/>
      <c r="P967" s="302"/>
    </row>
    <row r="968" spans="1:16" ht="17">
      <c r="A968" s="97"/>
      <c r="B968" s="97"/>
      <c r="C968" s="97"/>
      <c r="D968" s="97"/>
      <c r="E968" s="97"/>
      <c r="F968" s="302"/>
      <c r="G968" s="302"/>
      <c r="H968" s="302"/>
      <c r="I968" s="302"/>
      <c r="J968" s="302"/>
      <c r="K968" s="302"/>
      <c r="L968" s="302"/>
      <c r="M968" s="302"/>
      <c r="N968" s="302"/>
      <c r="O968" s="302"/>
      <c r="P968" s="302"/>
    </row>
    <row r="969" spans="1:16" ht="17">
      <c r="A969" s="97"/>
      <c r="B969" s="97"/>
      <c r="C969" s="97"/>
      <c r="D969" s="97"/>
      <c r="E969" s="97"/>
      <c r="F969" s="302"/>
      <c r="G969" s="302"/>
      <c r="H969" s="302"/>
      <c r="I969" s="302"/>
      <c r="J969" s="302"/>
      <c r="K969" s="302"/>
      <c r="L969" s="302"/>
      <c r="M969" s="302"/>
      <c r="N969" s="302"/>
      <c r="O969" s="302"/>
      <c r="P969" s="302"/>
    </row>
    <row r="970" spans="1:16" ht="17">
      <c r="A970" s="97"/>
      <c r="B970" s="97"/>
      <c r="C970" s="97"/>
      <c r="D970" s="97"/>
      <c r="E970" s="97"/>
      <c r="F970" s="302"/>
      <c r="G970" s="302"/>
      <c r="H970" s="302"/>
      <c r="I970" s="302"/>
      <c r="J970" s="302"/>
      <c r="K970" s="302"/>
      <c r="L970" s="302"/>
      <c r="M970" s="302"/>
      <c r="N970" s="302"/>
      <c r="O970" s="302"/>
      <c r="P970" s="302"/>
    </row>
    <row r="971" spans="1:16" ht="17">
      <c r="A971" s="97"/>
      <c r="B971" s="97"/>
      <c r="C971" s="97"/>
      <c r="D971" s="97"/>
      <c r="E971" s="97"/>
      <c r="F971" s="302"/>
      <c r="G971" s="302"/>
      <c r="H971" s="302"/>
      <c r="I971" s="302"/>
      <c r="J971" s="302"/>
      <c r="K971" s="302"/>
      <c r="L971" s="302"/>
      <c r="M971" s="302"/>
      <c r="N971" s="302"/>
      <c r="O971" s="302"/>
      <c r="P971" s="302"/>
    </row>
    <row r="972" spans="1:16" ht="17">
      <c r="A972" s="97"/>
      <c r="B972" s="97"/>
      <c r="C972" s="97"/>
      <c r="D972" s="97"/>
      <c r="E972" s="97"/>
      <c r="F972" s="302"/>
      <c r="G972" s="302"/>
      <c r="H972" s="302"/>
      <c r="I972" s="302"/>
      <c r="J972" s="302"/>
      <c r="K972" s="302"/>
      <c r="L972" s="302"/>
      <c r="M972" s="302"/>
      <c r="N972" s="302"/>
      <c r="O972" s="302"/>
      <c r="P972" s="302"/>
    </row>
    <row r="973" spans="1:16" ht="17">
      <c r="A973" s="97"/>
      <c r="B973" s="97"/>
      <c r="C973" s="97"/>
      <c r="D973" s="97"/>
      <c r="E973" s="97"/>
      <c r="F973" s="302"/>
      <c r="G973" s="302"/>
      <c r="H973" s="302"/>
      <c r="I973" s="302"/>
      <c r="J973" s="302"/>
      <c r="K973" s="302"/>
      <c r="L973" s="302"/>
      <c r="M973" s="302"/>
      <c r="N973" s="302"/>
      <c r="O973" s="302"/>
      <c r="P973" s="302"/>
    </row>
    <row r="974" spans="1:16" ht="17">
      <c r="A974" s="97"/>
      <c r="B974" s="97"/>
      <c r="C974" s="97"/>
      <c r="D974" s="97"/>
      <c r="E974" s="97"/>
      <c r="F974" s="302"/>
      <c r="G974" s="302"/>
      <c r="H974" s="302"/>
      <c r="I974" s="302"/>
      <c r="J974" s="302"/>
      <c r="K974" s="302"/>
      <c r="L974" s="302"/>
      <c r="M974" s="302"/>
      <c r="N974" s="302"/>
      <c r="O974" s="302"/>
      <c r="P974" s="302"/>
    </row>
    <row r="975" spans="1:16" ht="17">
      <c r="A975" s="97"/>
      <c r="B975" s="97"/>
      <c r="C975" s="97"/>
      <c r="D975" s="97"/>
      <c r="E975" s="97"/>
      <c r="F975" s="302"/>
      <c r="G975" s="302"/>
      <c r="H975" s="302"/>
      <c r="I975" s="302"/>
      <c r="J975" s="302"/>
      <c r="K975" s="302"/>
      <c r="L975" s="302"/>
      <c r="M975" s="302"/>
      <c r="N975" s="302"/>
      <c r="O975" s="302"/>
      <c r="P975" s="302"/>
    </row>
    <row r="976" spans="1:16" ht="17">
      <c r="A976" s="97"/>
      <c r="B976" s="97"/>
      <c r="C976" s="97"/>
      <c r="D976" s="97"/>
      <c r="E976" s="97"/>
      <c r="F976" s="302"/>
      <c r="G976" s="302"/>
      <c r="H976" s="302"/>
      <c r="I976" s="302"/>
      <c r="J976" s="302"/>
      <c r="K976" s="302"/>
      <c r="L976" s="302"/>
      <c r="M976" s="302"/>
      <c r="N976" s="302"/>
      <c r="O976" s="302"/>
      <c r="P976" s="302"/>
    </row>
    <row r="977" spans="1:16" ht="17">
      <c r="A977" s="97"/>
      <c r="B977" s="97"/>
      <c r="C977" s="97"/>
      <c r="D977" s="97"/>
      <c r="E977" s="97"/>
      <c r="F977" s="302"/>
      <c r="G977" s="302"/>
      <c r="H977" s="302"/>
      <c r="I977" s="302"/>
      <c r="J977" s="302"/>
      <c r="K977" s="302"/>
      <c r="L977" s="302"/>
      <c r="M977" s="302"/>
      <c r="N977" s="302"/>
      <c r="O977" s="302"/>
      <c r="P977" s="302"/>
    </row>
    <row r="978" spans="1:16" ht="17">
      <c r="A978" s="97"/>
      <c r="B978" s="97"/>
      <c r="C978" s="97"/>
      <c r="D978" s="97"/>
      <c r="E978" s="97"/>
      <c r="F978" s="302"/>
      <c r="G978" s="302"/>
      <c r="H978" s="302"/>
      <c r="I978" s="302"/>
      <c r="J978" s="302"/>
      <c r="K978" s="302"/>
      <c r="L978" s="302"/>
      <c r="M978" s="302"/>
      <c r="N978" s="302"/>
      <c r="O978" s="302"/>
      <c r="P978" s="302"/>
    </row>
    <row r="979" spans="1:16" ht="17">
      <c r="A979" s="97"/>
      <c r="B979" s="97"/>
      <c r="C979" s="97"/>
      <c r="D979" s="97"/>
      <c r="E979" s="97"/>
      <c r="F979" s="302"/>
      <c r="G979" s="302"/>
      <c r="H979" s="302"/>
      <c r="I979" s="302"/>
      <c r="J979" s="302"/>
      <c r="K979" s="302"/>
      <c r="L979" s="302"/>
      <c r="M979" s="302"/>
      <c r="N979" s="302"/>
      <c r="O979" s="302"/>
      <c r="P979" s="302"/>
    </row>
    <row r="980" spans="1:16" ht="17">
      <c r="A980" s="97"/>
      <c r="B980" s="97"/>
      <c r="C980" s="97"/>
      <c r="D980" s="97"/>
      <c r="E980" s="97"/>
      <c r="F980" s="302"/>
      <c r="G980" s="302"/>
      <c r="H980" s="302"/>
      <c r="I980" s="302"/>
      <c r="J980" s="302"/>
      <c r="K980" s="302"/>
      <c r="L980" s="302"/>
      <c r="M980" s="302"/>
      <c r="N980" s="302"/>
      <c r="O980" s="302"/>
      <c r="P980" s="302"/>
    </row>
    <row r="981" spans="1:16" ht="17">
      <c r="A981" s="97"/>
      <c r="B981" s="97"/>
      <c r="C981" s="97"/>
      <c r="D981" s="97"/>
      <c r="E981" s="97"/>
      <c r="F981" s="302"/>
      <c r="G981" s="302"/>
      <c r="H981" s="302"/>
      <c r="I981" s="302"/>
      <c r="J981" s="302"/>
      <c r="K981" s="302"/>
      <c r="L981" s="302"/>
      <c r="M981" s="302"/>
      <c r="N981" s="302"/>
      <c r="O981" s="302"/>
      <c r="P981" s="302"/>
    </row>
    <row r="982" spans="1:16" ht="17">
      <c r="A982" s="97"/>
      <c r="B982" s="97"/>
      <c r="C982" s="97"/>
      <c r="D982" s="97"/>
      <c r="E982" s="97"/>
      <c r="F982" s="302"/>
      <c r="G982" s="302"/>
      <c r="H982" s="302"/>
      <c r="I982" s="302"/>
      <c r="J982" s="302"/>
      <c r="K982" s="302"/>
      <c r="L982" s="302"/>
      <c r="M982" s="302"/>
      <c r="N982" s="302"/>
      <c r="O982" s="302"/>
      <c r="P982" s="302"/>
    </row>
    <row r="983" spans="1:16" ht="17">
      <c r="A983" s="97"/>
      <c r="B983" s="97"/>
      <c r="C983" s="97"/>
      <c r="D983" s="97"/>
      <c r="E983" s="97"/>
      <c r="F983" s="302"/>
      <c r="G983" s="302"/>
      <c r="H983" s="302"/>
      <c r="I983" s="302"/>
      <c r="J983" s="302"/>
      <c r="K983" s="302"/>
      <c r="L983" s="302"/>
      <c r="M983" s="302"/>
      <c r="N983" s="302"/>
      <c r="O983" s="302"/>
      <c r="P983" s="302"/>
    </row>
    <row r="984" spans="1:16" ht="17">
      <c r="A984" s="97"/>
      <c r="B984" s="97"/>
      <c r="C984" s="97"/>
      <c r="D984" s="97"/>
      <c r="E984" s="97"/>
      <c r="F984" s="302"/>
      <c r="G984" s="302"/>
      <c r="H984" s="302"/>
      <c r="I984" s="302"/>
      <c r="J984" s="302"/>
      <c r="K984" s="302"/>
      <c r="L984" s="302"/>
      <c r="M984" s="302"/>
      <c r="N984" s="302"/>
      <c r="O984" s="302"/>
      <c r="P984" s="302"/>
    </row>
    <row r="985" spans="1:16" ht="17">
      <c r="A985" s="97"/>
      <c r="B985" s="97"/>
      <c r="C985" s="97"/>
      <c r="D985" s="97"/>
      <c r="E985" s="97"/>
      <c r="F985" s="302"/>
      <c r="G985" s="302"/>
      <c r="H985" s="302"/>
      <c r="I985" s="302"/>
      <c r="J985" s="302"/>
      <c r="K985" s="302"/>
      <c r="L985" s="302"/>
      <c r="M985" s="302"/>
      <c r="N985" s="302"/>
      <c r="O985" s="302"/>
      <c r="P985" s="302"/>
    </row>
    <row r="986" spans="1:16" ht="17">
      <c r="A986" s="97"/>
      <c r="B986" s="97"/>
      <c r="C986" s="97"/>
      <c r="D986" s="97"/>
      <c r="E986" s="97"/>
      <c r="F986" s="302"/>
      <c r="G986" s="302"/>
      <c r="H986" s="302"/>
      <c r="I986" s="302"/>
      <c r="J986" s="302"/>
      <c r="K986" s="302"/>
      <c r="L986" s="302"/>
      <c r="M986" s="302"/>
      <c r="N986" s="302"/>
      <c r="O986" s="302"/>
      <c r="P986" s="302"/>
    </row>
    <row r="987" spans="1:16" ht="17">
      <c r="A987" s="97"/>
      <c r="B987" s="97"/>
      <c r="C987" s="97"/>
      <c r="D987" s="97"/>
      <c r="E987" s="97"/>
      <c r="F987" s="302"/>
      <c r="G987" s="302"/>
      <c r="H987" s="302"/>
      <c r="I987" s="302"/>
      <c r="J987" s="302"/>
      <c r="K987" s="302"/>
      <c r="L987" s="302"/>
      <c r="M987" s="302"/>
      <c r="N987" s="302"/>
      <c r="O987" s="302"/>
      <c r="P987" s="302"/>
    </row>
    <row r="988" spans="1:16" ht="17">
      <c r="A988" s="97"/>
      <c r="B988" s="97"/>
      <c r="C988" s="97"/>
      <c r="D988" s="97"/>
      <c r="E988" s="97"/>
      <c r="F988" s="302"/>
      <c r="G988" s="302"/>
      <c r="H988" s="302"/>
      <c r="I988" s="302"/>
      <c r="J988" s="302"/>
      <c r="K988" s="302"/>
      <c r="L988" s="302"/>
      <c r="M988" s="302"/>
      <c r="N988" s="302"/>
      <c r="O988" s="302"/>
      <c r="P988" s="302"/>
    </row>
    <row r="989" spans="1:16" ht="17">
      <c r="A989" s="97"/>
      <c r="B989" s="97"/>
      <c r="C989" s="97"/>
      <c r="D989" s="97"/>
      <c r="E989" s="97"/>
      <c r="F989" s="302"/>
      <c r="G989" s="302"/>
      <c r="H989" s="302"/>
      <c r="I989" s="302"/>
      <c r="J989" s="302"/>
      <c r="K989" s="302"/>
      <c r="L989" s="302"/>
      <c r="M989" s="302"/>
      <c r="N989" s="302"/>
      <c r="O989" s="302"/>
      <c r="P989" s="302"/>
    </row>
    <row r="990" spans="1:16" ht="17">
      <c r="A990" s="97"/>
      <c r="B990" s="97"/>
      <c r="C990" s="97"/>
      <c r="D990" s="97"/>
      <c r="E990" s="97"/>
      <c r="F990" s="302"/>
      <c r="G990" s="302"/>
      <c r="H990" s="302"/>
      <c r="I990" s="302"/>
      <c r="J990" s="302"/>
      <c r="K990" s="302"/>
      <c r="L990" s="302"/>
      <c r="M990" s="302"/>
      <c r="N990" s="302"/>
      <c r="O990" s="302"/>
      <c r="P990" s="302"/>
    </row>
    <row r="991" spans="1:16" ht="17">
      <c r="A991" s="97"/>
      <c r="B991" s="97"/>
      <c r="C991" s="97"/>
      <c r="D991" s="97"/>
      <c r="E991" s="97"/>
      <c r="F991" s="302"/>
      <c r="G991" s="302"/>
      <c r="H991" s="302"/>
      <c r="I991" s="302"/>
      <c r="J991" s="302"/>
      <c r="K991" s="302"/>
      <c r="L991" s="302"/>
      <c r="M991" s="302"/>
      <c r="N991" s="302"/>
      <c r="O991" s="302"/>
      <c r="P991" s="302"/>
    </row>
    <row r="992" spans="1:16" ht="17">
      <c r="A992" s="97"/>
      <c r="B992" s="97"/>
      <c r="C992" s="97"/>
      <c r="D992" s="97"/>
      <c r="E992" s="97"/>
      <c r="F992" s="302"/>
      <c r="G992" s="302"/>
      <c r="H992" s="302"/>
      <c r="I992" s="302"/>
      <c r="J992" s="302"/>
      <c r="K992" s="302"/>
      <c r="L992" s="302"/>
      <c r="M992" s="302"/>
      <c r="N992" s="302"/>
      <c r="O992" s="302"/>
      <c r="P992" s="302"/>
    </row>
    <row r="993" spans="1:16" ht="17">
      <c r="A993" s="97"/>
      <c r="B993" s="97"/>
      <c r="C993" s="97"/>
      <c r="D993" s="97"/>
      <c r="E993" s="97"/>
      <c r="F993" s="302"/>
      <c r="G993" s="302"/>
      <c r="H993" s="302"/>
      <c r="I993" s="302"/>
      <c r="J993" s="302"/>
      <c r="K993" s="302"/>
      <c r="L993" s="302"/>
      <c r="M993" s="302"/>
      <c r="N993" s="302"/>
      <c r="O993" s="302"/>
      <c r="P993" s="302"/>
    </row>
    <row r="994" spans="1:16" ht="17">
      <c r="A994" s="97"/>
      <c r="B994" s="97"/>
      <c r="C994" s="97"/>
      <c r="D994" s="97"/>
      <c r="E994" s="97"/>
      <c r="F994" s="302"/>
      <c r="G994" s="302"/>
      <c r="H994" s="302"/>
      <c r="I994" s="302"/>
      <c r="J994" s="302"/>
      <c r="K994" s="302"/>
      <c r="L994" s="302"/>
      <c r="M994" s="302"/>
      <c r="N994" s="302"/>
      <c r="O994" s="302"/>
      <c r="P994" s="302"/>
    </row>
    <row r="995" spans="1:16" ht="17">
      <c r="A995" s="97"/>
      <c r="B995" s="97"/>
      <c r="C995" s="97"/>
      <c r="D995" s="97"/>
      <c r="E995" s="97"/>
      <c r="F995" s="302"/>
      <c r="G995" s="302"/>
      <c r="H995" s="302"/>
      <c r="I995" s="302"/>
      <c r="J995" s="302"/>
      <c r="K995" s="302"/>
      <c r="L995" s="302"/>
      <c r="M995" s="302"/>
      <c r="N995" s="302"/>
      <c r="O995" s="302"/>
      <c r="P995" s="302"/>
    </row>
    <row r="996" spans="1:16" ht="17">
      <c r="A996" s="97"/>
      <c r="B996" s="97"/>
      <c r="C996" s="97"/>
      <c r="D996" s="97"/>
      <c r="E996" s="97"/>
      <c r="F996" s="302"/>
      <c r="G996" s="302"/>
      <c r="H996" s="302"/>
      <c r="I996" s="302"/>
      <c r="J996" s="302"/>
      <c r="K996" s="302"/>
      <c r="L996" s="302"/>
      <c r="M996" s="302"/>
      <c r="N996" s="302"/>
      <c r="O996" s="302"/>
      <c r="P996" s="302"/>
    </row>
    <row r="997" spans="1:16" ht="17">
      <c r="A997" s="97"/>
      <c r="B997" s="97"/>
      <c r="C997" s="97"/>
      <c r="D997" s="97"/>
      <c r="E997" s="97"/>
      <c r="F997" s="302"/>
      <c r="G997" s="302"/>
      <c r="H997" s="302"/>
      <c r="I997" s="302"/>
      <c r="J997" s="302"/>
      <c r="K997" s="302"/>
      <c r="L997" s="302"/>
      <c r="M997" s="302"/>
      <c r="N997" s="302"/>
      <c r="O997" s="302"/>
      <c r="P997" s="302"/>
    </row>
    <row r="998" spans="1:16" ht="17">
      <c r="A998" s="97"/>
      <c r="B998" s="97"/>
      <c r="C998" s="97"/>
      <c r="D998" s="97"/>
      <c r="E998" s="97"/>
      <c r="F998" s="302"/>
      <c r="G998" s="302"/>
      <c r="H998" s="302"/>
      <c r="I998" s="302"/>
      <c r="J998" s="302"/>
      <c r="K998" s="302"/>
      <c r="L998" s="302"/>
      <c r="M998" s="302"/>
      <c r="N998" s="302"/>
      <c r="O998" s="302"/>
      <c r="P998" s="302"/>
    </row>
    <row r="999" spans="1:16" ht="17">
      <c r="A999" s="97"/>
      <c r="B999" s="97"/>
      <c r="C999" s="97"/>
      <c r="D999" s="97"/>
      <c r="E999" s="97"/>
      <c r="F999" s="302"/>
      <c r="G999" s="302"/>
      <c r="H999" s="302"/>
      <c r="I999" s="302"/>
      <c r="J999" s="302"/>
      <c r="K999" s="302"/>
      <c r="L999" s="302"/>
      <c r="M999" s="302"/>
      <c r="N999" s="302"/>
      <c r="O999" s="302"/>
      <c r="P999" s="302"/>
    </row>
    <row r="1000" spans="1:16" ht="17">
      <c r="A1000" s="97"/>
      <c r="B1000" s="97"/>
      <c r="C1000" s="97"/>
      <c r="D1000" s="97"/>
      <c r="E1000" s="97"/>
      <c r="F1000" s="302"/>
      <c r="G1000" s="302"/>
      <c r="H1000" s="302"/>
      <c r="I1000" s="302"/>
      <c r="J1000" s="302"/>
      <c r="K1000" s="302"/>
      <c r="L1000" s="302"/>
      <c r="M1000" s="302"/>
      <c r="N1000" s="302"/>
      <c r="O1000" s="302"/>
      <c r="P1000" s="30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A1000"/>
  <sheetViews>
    <sheetView showGridLines="0" workbookViewId="0">
      <selection activeCell="F14" sqref="F14"/>
    </sheetView>
  </sheetViews>
  <sheetFormatPr baseColWidth="10" defaultColWidth="12.6640625" defaultRowHeight="15.75" customHeight="1"/>
  <cols>
    <col min="1" max="2" width="12.6640625" style="63"/>
    <col min="3" max="3" width="26.83203125" style="63" customWidth="1"/>
    <col min="4" max="4" width="24" style="63" customWidth="1"/>
    <col min="5" max="5" width="28.5" style="63" customWidth="1"/>
    <col min="6" max="6" width="17.83203125" style="63" customWidth="1"/>
    <col min="7" max="16384" width="12.6640625" style="63"/>
  </cols>
  <sheetData>
    <row r="1" spans="1:27" ht="15.75" customHeight="1">
      <c r="A1" s="97"/>
      <c r="B1" s="97"/>
      <c r="C1" s="302"/>
      <c r="D1" s="302"/>
      <c r="E1" s="302"/>
      <c r="F1" s="302"/>
      <c r="G1" s="97"/>
      <c r="H1" s="97"/>
      <c r="I1" s="97"/>
      <c r="J1" s="97"/>
      <c r="K1" s="97"/>
      <c r="L1" s="97"/>
      <c r="M1" s="97"/>
      <c r="N1" s="97"/>
      <c r="O1" s="97"/>
      <c r="P1" s="97"/>
      <c r="Q1" s="97"/>
      <c r="R1" s="97"/>
      <c r="S1" s="97"/>
      <c r="T1" s="97"/>
      <c r="U1" s="97"/>
      <c r="V1" s="97"/>
      <c r="W1" s="97"/>
      <c r="X1" s="97"/>
      <c r="Y1" s="97"/>
      <c r="Z1" s="97"/>
      <c r="AA1" s="97"/>
    </row>
    <row r="2" spans="1:27" ht="15.75" customHeight="1">
      <c r="A2" s="399"/>
      <c r="B2" s="400" t="s">
        <v>513</v>
      </c>
      <c r="C2" s="401" t="s">
        <v>525</v>
      </c>
      <c r="D2" s="401" t="s">
        <v>526</v>
      </c>
      <c r="E2" s="401" t="s">
        <v>527</v>
      </c>
      <c r="F2" s="401" t="s">
        <v>528</v>
      </c>
      <c r="G2" s="97"/>
      <c r="H2" s="97"/>
      <c r="I2" s="97"/>
      <c r="J2" s="97"/>
      <c r="K2" s="97"/>
      <c r="L2" s="97"/>
      <c r="M2" s="97"/>
      <c r="N2" s="97"/>
      <c r="O2" s="97"/>
      <c r="P2" s="97"/>
      <c r="Q2" s="97"/>
      <c r="R2" s="97"/>
      <c r="S2" s="97"/>
      <c r="T2" s="97"/>
      <c r="U2" s="97"/>
      <c r="V2" s="97"/>
      <c r="W2" s="97"/>
      <c r="X2" s="97"/>
      <c r="Y2" s="97"/>
      <c r="Z2" s="97"/>
      <c r="AA2" s="97"/>
    </row>
    <row r="3" spans="1:27" ht="15.75" customHeight="1">
      <c r="A3" s="97"/>
      <c r="B3" s="183">
        <v>22</v>
      </c>
      <c r="C3" s="320">
        <f>'19. Funds '!F3</f>
        <v>20000000</v>
      </c>
      <c r="D3" s="320">
        <f>'4. Balance sheet '!L8</f>
        <v>70000000</v>
      </c>
      <c r="E3" s="320">
        <v>0</v>
      </c>
      <c r="F3" s="320">
        <f t="shared" ref="F3:F66" si="0">SUM(C3:E3)</f>
        <v>90000000</v>
      </c>
      <c r="G3" s="97"/>
      <c r="H3" s="97"/>
      <c r="I3" s="97"/>
      <c r="J3" s="97"/>
      <c r="K3" s="97"/>
      <c r="L3" s="97"/>
      <c r="M3" s="97"/>
      <c r="N3" s="97"/>
      <c r="O3" s="97"/>
      <c r="P3" s="97"/>
      <c r="Q3" s="97"/>
      <c r="R3" s="97"/>
      <c r="S3" s="97"/>
      <c r="T3" s="97"/>
      <c r="U3" s="97"/>
      <c r="V3" s="97"/>
      <c r="W3" s="97"/>
      <c r="X3" s="97"/>
      <c r="Y3" s="97"/>
      <c r="Z3" s="97"/>
      <c r="AA3" s="97"/>
    </row>
    <row r="4" spans="1:27" ht="15.75" customHeight="1">
      <c r="A4" s="97"/>
      <c r="B4" s="183">
        <f t="shared" ref="B4:B66" si="1">B3+1</f>
        <v>23</v>
      </c>
      <c r="C4" s="320">
        <f ca="1">'19. Funds '!F4</f>
        <v>187194000</v>
      </c>
      <c r="D4" s="320">
        <f ca="1">D3+'19. Funds '!K3+'19. Funds '!L3</f>
        <v>0</v>
      </c>
      <c r="E4" s="320">
        <f ca="1">SUM('19. Funds '!$N$3:N3)</f>
        <v>0</v>
      </c>
      <c r="F4" s="320">
        <f t="shared" ca="1" si="0"/>
        <v>187194000</v>
      </c>
      <c r="G4" s="97"/>
      <c r="H4" s="97"/>
      <c r="I4" s="97"/>
      <c r="J4" s="97"/>
      <c r="K4" s="97"/>
      <c r="L4" s="97"/>
      <c r="M4" s="97"/>
      <c r="N4" s="97"/>
      <c r="O4" s="97"/>
      <c r="P4" s="97"/>
      <c r="Q4" s="97"/>
      <c r="R4" s="97"/>
      <c r="S4" s="97"/>
      <c r="T4" s="97"/>
      <c r="U4" s="97"/>
      <c r="V4" s="97"/>
      <c r="W4" s="97"/>
      <c r="X4" s="97"/>
      <c r="Y4" s="97"/>
      <c r="Z4" s="97"/>
      <c r="AA4" s="97"/>
    </row>
    <row r="5" spans="1:27" ht="15.75" customHeight="1">
      <c r="A5" s="97"/>
      <c r="B5" s="183">
        <f t="shared" si="1"/>
        <v>24</v>
      </c>
      <c r="C5" s="320">
        <f ca="1">'19. Funds '!F5</f>
        <v>183922785.60000002</v>
      </c>
      <c r="D5" s="320">
        <f ca="1">D4+'19. Funds '!K4+'19. Funds '!L4</f>
        <v>0</v>
      </c>
      <c r="E5" s="320">
        <f ca="1">SUM('19. Funds '!$N$3:N4)</f>
        <v>0</v>
      </c>
      <c r="F5" s="320">
        <f t="shared" ca="1" si="0"/>
        <v>183922785.60000002</v>
      </c>
      <c r="G5" s="97"/>
      <c r="H5" s="97"/>
      <c r="I5" s="97"/>
      <c r="J5" s="97"/>
      <c r="K5" s="97"/>
      <c r="L5" s="97"/>
      <c r="M5" s="97"/>
      <c r="N5" s="97"/>
      <c r="O5" s="97"/>
      <c r="P5" s="97"/>
      <c r="Q5" s="97"/>
      <c r="R5" s="97"/>
      <c r="S5" s="97"/>
      <c r="T5" s="97"/>
      <c r="U5" s="97"/>
      <c r="V5" s="97"/>
      <c r="W5" s="97"/>
      <c r="X5" s="97"/>
      <c r="Y5" s="97"/>
      <c r="Z5" s="97"/>
      <c r="AA5" s="97"/>
    </row>
    <row r="6" spans="1:27" ht="15.75" customHeight="1">
      <c r="A6" s="97"/>
      <c r="B6" s="183">
        <f t="shared" si="1"/>
        <v>25</v>
      </c>
      <c r="C6" s="320">
        <f ca="1">'19. Funds '!F6</f>
        <v>180138887.59679997</v>
      </c>
      <c r="D6" s="320">
        <f ca="1">D5+'19. Funds '!K5+'19. Funds '!L5</f>
        <v>0</v>
      </c>
      <c r="E6" s="320">
        <f ca="1">SUM('19. Funds '!$N$3:N5)</f>
        <v>0</v>
      </c>
      <c r="F6" s="320">
        <f t="shared" ca="1" si="0"/>
        <v>180138887.59679997</v>
      </c>
      <c r="G6" s="97"/>
      <c r="H6" s="97"/>
      <c r="I6" s="97"/>
      <c r="J6" s="97"/>
      <c r="K6" s="97"/>
      <c r="L6" s="97"/>
      <c r="M6" s="97"/>
      <c r="N6" s="97"/>
      <c r="O6" s="97"/>
      <c r="P6" s="97"/>
      <c r="Q6" s="97"/>
      <c r="R6" s="97"/>
      <c r="S6" s="97"/>
      <c r="T6" s="97"/>
      <c r="U6" s="97"/>
      <c r="V6" s="97"/>
      <c r="W6" s="97"/>
      <c r="X6" s="97"/>
      <c r="Y6" s="97"/>
      <c r="Z6" s="97"/>
      <c r="AA6" s="97"/>
    </row>
    <row r="7" spans="1:27" ht="15.75" customHeight="1">
      <c r="A7" s="97"/>
      <c r="B7" s="183">
        <f t="shared" si="1"/>
        <v>26</v>
      </c>
      <c r="C7" s="320">
        <f ca="1">'19. Funds '!F7</f>
        <v>187194000</v>
      </c>
      <c r="D7" s="320">
        <f ca="1">D6+'19. Funds '!K6+'19. Funds '!L6</f>
        <v>24207793.720848013</v>
      </c>
      <c r="E7" s="320">
        <f ca="1">SUM('19. Funds '!$N$3:N6)</f>
        <v>16138529.147232007</v>
      </c>
      <c r="F7" s="320">
        <f t="shared" ca="1" si="0"/>
        <v>227540322.86808002</v>
      </c>
      <c r="G7" s="97"/>
      <c r="H7" s="97"/>
      <c r="I7" s="97"/>
      <c r="J7" s="97"/>
      <c r="K7" s="97"/>
      <c r="L7" s="97"/>
      <c r="M7" s="97"/>
      <c r="N7" s="97"/>
      <c r="O7" s="97"/>
      <c r="P7" s="97"/>
      <c r="Q7" s="97"/>
      <c r="R7" s="97"/>
      <c r="S7" s="97"/>
      <c r="T7" s="97"/>
      <c r="U7" s="97"/>
      <c r="V7" s="97"/>
      <c r="W7" s="97"/>
      <c r="X7" s="97"/>
      <c r="Y7" s="97"/>
      <c r="Z7" s="97"/>
      <c r="AA7" s="97"/>
    </row>
    <row r="8" spans="1:27" ht="15.75" customHeight="1">
      <c r="A8" s="97"/>
      <c r="B8" s="183">
        <f t="shared" si="1"/>
        <v>27</v>
      </c>
      <c r="C8" s="320">
        <f ca="1">'19. Funds '!F8</f>
        <v>187194000</v>
      </c>
      <c r="D8" s="320">
        <f ca="1">D7+'19. Funds '!K7+'19. Funds '!L7</f>
        <v>54953884.091968879</v>
      </c>
      <c r="E8" s="320">
        <f ca="1">SUM('19. Funds '!$N$3:N7)</f>
        <v>36635922.727979258</v>
      </c>
      <c r="F8" s="320">
        <f t="shared" ca="1" si="0"/>
        <v>278783806.81994814</v>
      </c>
      <c r="G8" s="97"/>
      <c r="H8" s="97"/>
      <c r="I8" s="97"/>
      <c r="J8" s="97"/>
      <c r="K8" s="97"/>
      <c r="L8" s="97"/>
      <c r="M8" s="97"/>
      <c r="N8" s="97"/>
      <c r="O8" s="97"/>
      <c r="P8" s="97"/>
      <c r="Q8" s="97"/>
      <c r="R8" s="97"/>
      <c r="S8" s="97"/>
      <c r="T8" s="97"/>
      <c r="U8" s="97"/>
      <c r="V8" s="97"/>
      <c r="W8" s="97"/>
      <c r="X8" s="97"/>
      <c r="Y8" s="97"/>
      <c r="Z8" s="97"/>
      <c r="AA8" s="97"/>
    </row>
    <row r="9" spans="1:27" ht="15.75" customHeight="1">
      <c r="A9" s="97"/>
      <c r="B9" s="183">
        <f t="shared" si="1"/>
        <v>28</v>
      </c>
      <c r="C9" s="320">
        <f ca="1">'19. Funds '!F9</f>
        <v>74107826.228809059</v>
      </c>
      <c r="D9" s="320">
        <f ca="1">D8+'19. Funds '!K8+'19. Funds '!L8</f>
        <v>54953884.091968879</v>
      </c>
      <c r="E9" s="320">
        <f ca="1">SUM('19. Funds '!$N$3:N8)</f>
        <v>36635922.727979258</v>
      </c>
      <c r="F9" s="320">
        <f t="shared" ca="1" si="0"/>
        <v>165697633.0487572</v>
      </c>
      <c r="G9" s="97"/>
      <c r="H9" s="97"/>
      <c r="I9" s="97"/>
      <c r="J9" s="97"/>
      <c r="K9" s="97"/>
      <c r="L9" s="97"/>
      <c r="M9" s="97"/>
      <c r="N9" s="97"/>
      <c r="O9" s="97"/>
      <c r="P9" s="97"/>
      <c r="Q9" s="97"/>
      <c r="R9" s="97"/>
      <c r="S9" s="97"/>
      <c r="T9" s="97"/>
      <c r="U9" s="97"/>
      <c r="V9" s="97"/>
      <c r="W9" s="97"/>
      <c r="X9" s="97"/>
      <c r="Y9" s="97"/>
      <c r="Z9" s="97"/>
      <c r="AA9" s="97"/>
    </row>
    <row r="10" spans="1:27" ht="15.75" customHeight="1">
      <c r="A10" s="97"/>
      <c r="B10" s="183">
        <f t="shared" si="1"/>
        <v>29</v>
      </c>
      <c r="C10" s="320">
        <f ca="1">'19. Funds '!F10</f>
        <v>286805008.02794236</v>
      </c>
      <c r="D10" s="320">
        <f ca="1">D9+'19. Funds '!K9+'19. Funds '!L9</f>
        <v>0</v>
      </c>
      <c r="E10" s="320">
        <f ca="1">SUM('19. Funds '!$N$3:N9)</f>
        <v>36635922.727979258</v>
      </c>
      <c r="F10" s="320">
        <f t="shared" ca="1" si="0"/>
        <v>323440930.7559216</v>
      </c>
      <c r="G10" s="97"/>
      <c r="H10" s="97"/>
      <c r="I10" s="97"/>
      <c r="J10" s="97"/>
      <c r="K10" s="97"/>
      <c r="L10" s="97"/>
      <c r="M10" s="97"/>
      <c r="N10" s="97"/>
      <c r="O10" s="97"/>
      <c r="P10" s="97"/>
      <c r="Q10" s="97"/>
      <c r="R10" s="97"/>
      <c r="S10" s="97"/>
      <c r="T10" s="97"/>
      <c r="U10" s="97"/>
      <c r="V10" s="97"/>
      <c r="W10" s="97"/>
      <c r="X10" s="97"/>
      <c r="Y10" s="97"/>
      <c r="Z10" s="97"/>
      <c r="AA10" s="97"/>
    </row>
    <row r="11" spans="1:27" ht="15.75" customHeight="1">
      <c r="A11" s="97"/>
      <c r="B11" s="183">
        <f t="shared" si="1"/>
        <v>30</v>
      </c>
      <c r="C11" s="320">
        <f ca="1">'19. Funds '!F11</f>
        <v>286805008.02794236</v>
      </c>
      <c r="D11" s="320">
        <f ca="1">D10+'19. Funds '!K10+'19. Funds '!L10</f>
        <v>14177830.270329522</v>
      </c>
      <c r="E11" s="320">
        <f ca="1">SUM('19. Funds '!$N$3:N10)</f>
        <v>46087809.574865609</v>
      </c>
      <c r="F11" s="320">
        <f t="shared" ca="1" si="0"/>
        <v>347070647.87313747</v>
      </c>
      <c r="G11" s="97"/>
      <c r="H11" s="97"/>
      <c r="I11" s="97"/>
      <c r="J11" s="97"/>
      <c r="K11" s="97"/>
      <c r="L11" s="97"/>
      <c r="M11" s="97"/>
      <c r="N11" s="97"/>
      <c r="O11" s="97"/>
      <c r="P11" s="97"/>
      <c r="Q11" s="97"/>
      <c r="R11" s="97"/>
      <c r="S11" s="97"/>
      <c r="T11" s="97"/>
      <c r="U11" s="97"/>
      <c r="V11" s="97"/>
      <c r="W11" s="97"/>
      <c r="X11" s="97"/>
      <c r="Y11" s="97"/>
      <c r="Z11" s="97"/>
      <c r="AA11" s="97"/>
    </row>
    <row r="12" spans="1:27" ht="15.75" customHeight="1">
      <c r="A12" s="97"/>
      <c r="B12" s="183">
        <f t="shared" si="1"/>
        <v>31</v>
      </c>
      <c r="C12" s="320">
        <f ca="1">'19. Funds '!F12</f>
        <v>286805008.02794236</v>
      </c>
      <c r="D12" s="320">
        <f ca="1">D11+'19. Funds '!K11+'19. Funds '!L11</f>
        <v>91407038.222710773</v>
      </c>
      <c r="E12" s="320">
        <f ca="1">SUM('19. Funds '!$N$3:N11)</f>
        <v>97573948.209786445</v>
      </c>
      <c r="F12" s="320">
        <f t="shared" ca="1" si="0"/>
        <v>475785994.46043956</v>
      </c>
      <c r="G12" s="97"/>
      <c r="H12" s="97"/>
      <c r="I12" s="97"/>
      <c r="J12" s="97"/>
      <c r="K12" s="97"/>
      <c r="L12" s="97"/>
      <c r="M12" s="97"/>
      <c r="N12" s="97"/>
      <c r="O12" s="97"/>
      <c r="P12" s="97"/>
      <c r="Q12" s="97"/>
      <c r="R12" s="97"/>
      <c r="S12" s="97"/>
      <c r="T12" s="97"/>
      <c r="U12" s="97"/>
      <c r="V12" s="97"/>
      <c r="W12" s="97"/>
      <c r="X12" s="97"/>
      <c r="Y12" s="97"/>
      <c r="Z12" s="97"/>
      <c r="AA12" s="97"/>
    </row>
    <row r="13" spans="1:27" ht="15.75" customHeight="1">
      <c r="A13" s="97"/>
      <c r="B13" s="183">
        <f t="shared" si="1"/>
        <v>32</v>
      </c>
      <c r="C13" s="320">
        <f ca="1">'19. Funds '!F13</f>
        <v>286805008.02794236</v>
      </c>
      <c r="D13" s="320">
        <f ca="1">D12+'19. Funds '!K12+'19. Funds '!L12</f>
        <v>189282922.1109488</v>
      </c>
      <c r="E13" s="320">
        <f ca="1">SUM('19. Funds '!$N$3:N12)</f>
        <v>162824537.46861178</v>
      </c>
      <c r="F13" s="320">
        <f t="shared" ca="1" si="0"/>
        <v>638912467.60750294</v>
      </c>
      <c r="G13" s="97"/>
      <c r="H13" s="97"/>
      <c r="I13" s="97"/>
      <c r="J13" s="97"/>
      <c r="K13" s="97"/>
      <c r="L13" s="97"/>
      <c r="M13" s="97"/>
      <c r="N13" s="97"/>
      <c r="O13" s="97"/>
      <c r="P13" s="97"/>
      <c r="Q13" s="97"/>
      <c r="R13" s="97"/>
      <c r="S13" s="97"/>
      <c r="T13" s="97"/>
      <c r="U13" s="97"/>
      <c r="V13" s="97"/>
      <c r="W13" s="97"/>
      <c r="X13" s="97"/>
      <c r="Y13" s="97"/>
      <c r="Z13" s="97"/>
      <c r="AA13" s="97"/>
    </row>
    <row r="14" spans="1:27" ht="15.75" customHeight="1">
      <c r="A14" s="97"/>
      <c r="B14" s="183">
        <f t="shared" si="1"/>
        <v>33</v>
      </c>
      <c r="C14" s="320">
        <f ca="1">'19. Funds '!F14</f>
        <v>159776535.1346671</v>
      </c>
      <c r="D14" s="320">
        <f ca="1">D13+'19. Funds '!K13+'19. Funds '!L13</f>
        <v>189282922.1109488</v>
      </c>
      <c r="E14" s="320">
        <f ca="1">SUM('19. Funds '!$N$3:N13)</f>
        <v>162824537.46861178</v>
      </c>
      <c r="F14" s="320">
        <f t="shared" ca="1" si="0"/>
        <v>511883994.71422768</v>
      </c>
      <c r="G14" s="97"/>
      <c r="H14" s="97"/>
      <c r="I14" s="97"/>
      <c r="J14" s="97"/>
      <c r="K14" s="97"/>
      <c r="L14" s="97"/>
      <c r="M14" s="97"/>
      <c r="N14" s="97"/>
      <c r="O14" s="97"/>
      <c r="P14" s="97"/>
      <c r="Q14" s="97"/>
      <c r="R14" s="97"/>
      <c r="S14" s="97"/>
      <c r="T14" s="97"/>
      <c r="U14" s="97"/>
      <c r="V14" s="97"/>
      <c r="W14" s="97"/>
      <c r="X14" s="97"/>
      <c r="Y14" s="97"/>
      <c r="Z14" s="97"/>
      <c r="AA14" s="97"/>
    </row>
    <row r="15" spans="1:27" ht="15.75" customHeight="1">
      <c r="A15" s="97"/>
      <c r="B15" s="183">
        <f t="shared" si="1"/>
        <v>34</v>
      </c>
      <c r="C15" s="320">
        <f ca="1">'19. Funds '!F15</f>
        <v>190066230.67811364</v>
      </c>
      <c r="D15" s="320">
        <f ca="1">D14+'19. Funds '!K14+'19. Funds '!L14</f>
        <v>189282922.1109488</v>
      </c>
      <c r="E15" s="320">
        <f ca="1">SUM('19. Funds '!$N$3:N14)</f>
        <v>162824537.46861178</v>
      </c>
      <c r="F15" s="320">
        <f t="shared" ca="1" si="0"/>
        <v>542173690.25767422</v>
      </c>
      <c r="G15" s="97"/>
      <c r="H15" s="97"/>
      <c r="I15" s="97"/>
      <c r="J15" s="97"/>
      <c r="K15" s="97"/>
      <c r="L15" s="97"/>
      <c r="M15" s="97"/>
      <c r="N15" s="97"/>
      <c r="O15" s="97"/>
      <c r="P15" s="97"/>
      <c r="Q15" s="97"/>
      <c r="R15" s="97"/>
      <c r="S15" s="97"/>
      <c r="T15" s="97"/>
      <c r="U15" s="97"/>
      <c r="V15" s="97"/>
      <c r="W15" s="97"/>
      <c r="X15" s="97"/>
      <c r="Y15" s="97"/>
      <c r="Z15" s="97"/>
      <c r="AA15" s="97"/>
    </row>
    <row r="16" spans="1:27" ht="15.75" customHeight="1">
      <c r="A16" s="97"/>
      <c r="B16" s="183">
        <f t="shared" si="1"/>
        <v>35</v>
      </c>
      <c r="C16" s="320">
        <f ca="1">'19. Funds '!F16</f>
        <v>286805008.02794236</v>
      </c>
      <c r="D16" s="320">
        <f ca="1">D15+'19. Funds '!K15+'19. Funds '!L15</f>
        <v>122242005.94370103</v>
      </c>
      <c r="E16" s="320">
        <f ca="1">SUM('19. Funds '!$N$3:N15)</f>
        <v>162824537.46861178</v>
      </c>
      <c r="F16" s="320">
        <f t="shared" ca="1" si="0"/>
        <v>571871551.44025517</v>
      </c>
      <c r="G16" s="97"/>
      <c r="H16" s="97"/>
      <c r="I16" s="97"/>
      <c r="J16" s="97"/>
      <c r="K16" s="97"/>
      <c r="L16" s="97"/>
      <c r="M16" s="97"/>
      <c r="N16" s="97"/>
      <c r="O16" s="97"/>
      <c r="P16" s="97"/>
      <c r="Q16" s="97"/>
      <c r="R16" s="97"/>
      <c r="S16" s="97"/>
      <c r="T16" s="97"/>
      <c r="U16" s="97"/>
      <c r="V16" s="97"/>
      <c r="W16" s="97"/>
      <c r="X16" s="97"/>
      <c r="Y16" s="97"/>
      <c r="Z16" s="97"/>
      <c r="AA16" s="97"/>
    </row>
    <row r="17" spans="1:27" ht="15.75" customHeight="1">
      <c r="A17" s="97"/>
      <c r="B17" s="183">
        <f t="shared" si="1"/>
        <v>36</v>
      </c>
      <c r="C17" s="320">
        <f ca="1">'19. Funds '!F17</f>
        <v>286805008.02794236</v>
      </c>
      <c r="D17" s="320">
        <f ca="1">D16+'19. Funds '!K16+'19. Funds '!L16</f>
        <v>173336082.6613481</v>
      </c>
      <c r="E17" s="320">
        <f ca="1">SUM('19. Funds '!$N$3:N16)</f>
        <v>196887255.28037649</v>
      </c>
      <c r="F17" s="320">
        <f t="shared" ca="1" si="0"/>
        <v>657028345.96966696</v>
      </c>
      <c r="G17" s="97"/>
      <c r="H17" s="97"/>
      <c r="I17" s="97"/>
      <c r="J17" s="97"/>
      <c r="K17" s="97"/>
      <c r="L17" s="97"/>
      <c r="M17" s="97"/>
      <c r="N17" s="97"/>
      <c r="O17" s="97"/>
      <c r="P17" s="97"/>
      <c r="Q17" s="97"/>
      <c r="R17" s="97"/>
      <c r="S17" s="97"/>
      <c r="T17" s="97"/>
      <c r="U17" s="97"/>
      <c r="V17" s="97"/>
      <c r="W17" s="97"/>
      <c r="X17" s="97"/>
      <c r="Y17" s="97"/>
      <c r="Z17" s="97"/>
      <c r="AA17" s="97"/>
    </row>
    <row r="18" spans="1:27" ht="15.75" customHeight="1">
      <c r="A18" s="97"/>
      <c r="B18" s="183">
        <f t="shared" si="1"/>
        <v>37</v>
      </c>
      <c r="C18" s="320">
        <f ca="1">'19. Funds '!F18</f>
        <v>286805008.02794236</v>
      </c>
      <c r="D18" s="320">
        <f ca="1">D17+'19. Funds '!K17+'19. Funds '!L17</f>
        <v>232293743.4524529</v>
      </c>
      <c r="E18" s="320">
        <f ca="1">SUM('19. Funds '!$N$3:N17)</f>
        <v>236192362.47444636</v>
      </c>
      <c r="F18" s="320">
        <f t="shared" ca="1" si="0"/>
        <v>755291113.95484161</v>
      </c>
      <c r="G18" s="97"/>
      <c r="H18" s="97"/>
      <c r="I18" s="97"/>
      <c r="J18" s="97"/>
      <c r="K18" s="97"/>
      <c r="L18" s="97"/>
      <c r="M18" s="97"/>
      <c r="N18" s="97"/>
      <c r="O18" s="97"/>
      <c r="P18" s="97"/>
      <c r="Q18" s="97"/>
      <c r="R18" s="97"/>
      <c r="S18" s="97"/>
      <c r="T18" s="97"/>
      <c r="U18" s="97"/>
      <c r="V18" s="97"/>
      <c r="W18" s="97"/>
      <c r="X18" s="97"/>
      <c r="Y18" s="97"/>
      <c r="Z18" s="97"/>
      <c r="AA18" s="97"/>
    </row>
    <row r="19" spans="1:27" ht="15.75" customHeight="1">
      <c r="A19" s="97"/>
      <c r="B19" s="183">
        <f t="shared" si="1"/>
        <v>38</v>
      </c>
      <c r="C19" s="320">
        <f ca="1">'19. Funds '!F19</f>
        <v>286805008.02794236</v>
      </c>
      <c r="D19" s="320">
        <f ca="1">D18+'19. Funds '!K18+'19. Funds '!L18</f>
        <v>443368196.38903272</v>
      </c>
      <c r="E19" s="320">
        <f ca="1">SUM('19. Funds '!$N$3:N18)</f>
        <v>376908664.43216622</v>
      </c>
      <c r="F19" s="320">
        <f t="shared" ca="1" si="0"/>
        <v>1107081868.8491411</v>
      </c>
      <c r="G19" s="97"/>
      <c r="H19" s="97"/>
      <c r="I19" s="97"/>
      <c r="J19" s="97"/>
      <c r="K19" s="97"/>
      <c r="L19" s="97"/>
      <c r="M19" s="97"/>
      <c r="N19" s="97"/>
      <c r="O19" s="97"/>
      <c r="P19" s="97"/>
      <c r="Q19" s="97"/>
      <c r="R19" s="97"/>
      <c r="S19" s="97"/>
      <c r="T19" s="97"/>
      <c r="U19" s="97"/>
      <c r="V19" s="97"/>
      <c r="W19" s="97"/>
      <c r="X19" s="97"/>
      <c r="Y19" s="97"/>
      <c r="Z19" s="97"/>
      <c r="AA19" s="97"/>
    </row>
    <row r="20" spans="1:27" ht="15.75" customHeight="1">
      <c r="A20" s="97"/>
      <c r="B20" s="183">
        <f t="shared" si="1"/>
        <v>39</v>
      </c>
      <c r="C20" s="320">
        <f ca="1">'19. Funds '!F20</f>
        <v>286805008.02794236</v>
      </c>
      <c r="D20" s="320">
        <f ca="1">D19+'19. Funds '!K19+'19. Funds '!L19</f>
        <v>652869117.43994248</v>
      </c>
      <c r="E20" s="320">
        <f ca="1">SUM('19. Funds '!$N$3:N19)</f>
        <v>516575945.1327728</v>
      </c>
      <c r="F20" s="320">
        <f t="shared" ca="1" si="0"/>
        <v>1456250070.6006575</v>
      </c>
      <c r="G20" s="97"/>
      <c r="H20" s="97"/>
      <c r="I20" s="97"/>
      <c r="J20" s="97"/>
      <c r="K20" s="97"/>
      <c r="L20" s="97"/>
      <c r="M20" s="97"/>
      <c r="N20" s="97"/>
      <c r="O20" s="97"/>
      <c r="P20" s="97"/>
      <c r="Q20" s="97"/>
      <c r="R20" s="97"/>
      <c r="S20" s="97"/>
      <c r="T20" s="97"/>
      <c r="U20" s="97"/>
      <c r="V20" s="97"/>
      <c r="W20" s="97"/>
      <c r="X20" s="97"/>
      <c r="Y20" s="97"/>
      <c r="Z20" s="97"/>
      <c r="AA20" s="97"/>
    </row>
    <row r="21" spans="1:27" ht="15.75" customHeight="1">
      <c r="A21" s="97"/>
      <c r="B21" s="183">
        <f t="shared" si="1"/>
        <v>40</v>
      </c>
      <c r="C21" s="320">
        <f ca="1">'19. Funds '!F21</f>
        <v>286805008.02794236</v>
      </c>
      <c r="D21" s="320">
        <f ca="1">D20+'19. Funds '!K20+'19. Funds '!L20</f>
        <v>1005683307.5974836</v>
      </c>
      <c r="E21" s="320">
        <f ca="1">SUM('19. Funds '!$N$3:N20)</f>
        <v>751785405.23780012</v>
      </c>
      <c r="F21" s="320">
        <f t="shared" ca="1" si="0"/>
        <v>2044273720.8632262</v>
      </c>
      <c r="G21" s="97"/>
      <c r="H21" s="97"/>
      <c r="I21" s="97"/>
      <c r="J21" s="97"/>
      <c r="K21" s="97"/>
      <c r="L21" s="97"/>
      <c r="M21" s="97"/>
      <c r="N21" s="97"/>
      <c r="O21" s="97"/>
      <c r="P21" s="97"/>
      <c r="Q21" s="97"/>
      <c r="R21" s="97"/>
      <c r="S21" s="97"/>
      <c r="T21" s="97"/>
      <c r="U21" s="97"/>
      <c r="V21" s="97"/>
      <c r="W21" s="97"/>
      <c r="X21" s="97"/>
      <c r="Y21" s="97"/>
      <c r="Z21" s="97"/>
      <c r="AA21" s="97"/>
    </row>
    <row r="22" spans="1:27" ht="15.75" customHeight="1">
      <c r="A22" s="97"/>
      <c r="B22" s="183">
        <f t="shared" si="1"/>
        <v>41</v>
      </c>
      <c r="C22" s="320">
        <f ca="1">'19. Funds '!F22</f>
        <v>286805008.02794236</v>
      </c>
      <c r="D22" s="320">
        <f ca="1">D21+'19. Funds '!K21+'19. Funds '!L21</f>
        <v>1436683388.9107349</v>
      </c>
      <c r="E22" s="320">
        <f ca="1">SUM('19. Funds '!$N$3:N21)</f>
        <v>1039118792.7799678</v>
      </c>
      <c r="F22" s="320">
        <f t="shared" ca="1" si="0"/>
        <v>2762607189.7186451</v>
      </c>
      <c r="G22" s="97"/>
      <c r="H22" s="97"/>
      <c r="I22" s="97"/>
      <c r="J22" s="97"/>
      <c r="K22" s="97"/>
      <c r="L22" s="97"/>
      <c r="M22" s="97"/>
      <c r="N22" s="97"/>
      <c r="O22" s="97"/>
      <c r="P22" s="97"/>
      <c r="Q22" s="97"/>
      <c r="R22" s="97"/>
      <c r="S22" s="97"/>
      <c r="T22" s="97"/>
      <c r="U22" s="97"/>
      <c r="V22" s="97"/>
      <c r="W22" s="97"/>
      <c r="X22" s="97"/>
      <c r="Y22" s="97"/>
      <c r="Z22" s="97"/>
      <c r="AA22" s="97"/>
    </row>
    <row r="23" spans="1:27" ht="15.75" customHeight="1">
      <c r="A23" s="97"/>
      <c r="B23" s="183">
        <f t="shared" si="1"/>
        <v>42</v>
      </c>
      <c r="C23" s="320">
        <f ca="1">'19. Funds '!F23</f>
        <v>286805008.02794236</v>
      </c>
      <c r="D23" s="320">
        <f ca="1">D22+'19. Funds '!K22+'19. Funds '!L22</f>
        <v>1928534515.0096078</v>
      </c>
      <c r="E23" s="320">
        <f ca="1">SUM('19. Funds '!$N$3:N22)</f>
        <v>1367019543.5125499</v>
      </c>
      <c r="F23" s="320">
        <f t="shared" ca="1" si="0"/>
        <v>3582359066.5500998</v>
      </c>
      <c r="G23" s="97"/>
      <c r="H23" s="97"/>
      <c r="I23" s="97"/>
      <c r="J23" s="97"/>
      <c r="K23" s="97"/>
      <c r="L23" s="97"/>
      <c r="M23" s="97"/>
      <c r="N23" s="97"/>
      <c r="O23" s="97"/>
      <c r="P23" s="97"/>
      <c r="Q23" s="97"/>
      <c r="R23" s="97"/>
      <c r="S23" s="97"/>
      <c r="T23" s="97"/>
      <c r="U23" s="97"/>
      <c r="V23" s="97"/>
      <c r="W23" s="97"/>
      <c r="X23" s="97"/>
      <c r="Y23" s="97"/>
      <c r="Z23" s="97"/>
      <c r="AA23" s="97"/>
    </row>
    <row r="24" spans="1:27" ht="15.75" customHeight="1">
      <c r="A24" s="97"/>
      <c r="B24" s="183">
        <f t="shared" si="1"/>
        <v>43</v>
      </c>
      <c r="C24" s="320">
        <f ca="1">'19. Funds '!F24</f>
        <v>286805008.02794236</v>
      </c>
      <c r="D24" s="320">
        <f ca="1">D23+'19. Funds '!K23+'19. Funds '!L23</f>
        <v>2718091909.1985502</v>
      </c>
      <c r="E24" s="320">
        <f ca="1">SUM('19. Funds '!$N$3:N23)</f>
        <v>1893391139.6385117</v>
      </c>
      <c r="F24" s="320">
        <f t="shared" ca="1" si="0"/>
        <v>4898288056.8650036</v>
      </c>
      <c r="G24" s="97"/>
      <c r="H24" s="97"/>
      <c r="I24" s="97"/>
      <c r="J24" s="97"/>
      <c r="K24" s="97"/>
      <c r="L24" s="97"/>
      <c r="M24" s="97"/>
      <c r="N24" s="97"/>
      <c r="O24" s="97"/>
      <c r="P24" s="97"/>
      <c r="Q24" s="97"/>
      <c r="R24" s="97"/>
      <c r="S24" s="97"/>
      <c r="T24" s="97"/>
      <c r="U24" s="97"/>
      <c r="V24" s="97"/>
      <c r="W24" s="97"/>
      <c r="X24" s="97"/>
      <c r="Y24" s="97"/>
      <c r="Z24" s="97"/>
      <c r="AA24" s="97"/>
    </row>
    <row r="25" spans="1:27" ht="15.75" customHeight="1">
      <c r="A25" s="97"/>
      <c r="B25" s="183">
        <f t="shared" si="1"/>
        <v>44</v>
      </c>
      <c r="C25" s="320">
        <f ca="1">'19. Funds '!F25</f>
        <v>286805008.02794236</v>
      </c>
      <c r="D25" s="320">
        <f ca="1">D24+'19. Funds '!K24+'19. Funds '!L24</f>
        <v>3580391697.8983135</v>
      </c>
      <c r="E25" s="320">
        <f ca="1">SUM('19. Funds '!$N$3:N24)</f>
        <v>2468257665.438354</v>
      </c>
      <c r="F25" s="320">
        <f t="shared" ca="1" si="0"/>
        <v>6335454371.3646097</v>
      </c>
      <c r="G25" s="97"/>
      <c r="H25" s="97"/>
      <c r="I25" s="97"/>
      <c r="J25" s="97"/>
      <c r="K25" s="97"/>
      <c r="L25" s="97"/>
      <c r="M25" s="97"/>
      <c r="N25" s="97"/>
      <c r="O25" s="97"/>
      <c r="P25" s="97"/>
      <c r="Q25" s="97"/>
      <c r="R25" s="97"/>
      <c r="S25" s="97"/>
      <c r="T25" s="97"/>
      <c r="U25" s="97"/>
      <c r="V25" s="97"/>
      <c r="W25" s="97"/>
      <c r="X25" s="97"/>
      <c r="Y25" s="97"/>
      <c r="Z25" s="97"/>
      <c r="AA25" s="97"/>
    </row>
    <row r="26" spans="1:27" ht="15.75" customHeight="1">
      <c r="A26" s="97"/>
      <c r="B26" s="183">
        <f t="shared" si="1"/>
        <v>45</v>
      </c>
      <c r="C26" s="320">
        <f ca="1">'19. Funds '!F26</f>
        <v>286805008.02794236</v>
      </c>
      <c r="D26" s="320">
        <f ca="1">D25+'19. Funds '!K25+'19. Funds '!L25</f>
        <v>4541907999.2248526</v>
      </c>
      <c r="E26" s="320">
        <f ca="1">SUM('19. Funds '!$N$3:N25)</f>
        <v>3109268532.9893799</v>
      </c>
      <c r="F26" s="320">
        <f t="shared" ca="1" si="0"/>
        <v>7937981540.2421751</v>
      </c>
      <c r="G26" s="97"/>
      <c r="H26" s="97"/>
      <c r="I26" s="97"/>
      <c r="J26" s="97"/>
      <c r="K26" s="97"/>
      <c r="L26" s="97"/>
      <c r="M26" s="97"/>
      <c r="N26" s="97"/>
      <c r="O26" s="97"/>
      <c r="P26" s="97"/>
      <c r="Q26" s="97"/>
      <c r="R26" s="97"/>
      <c r="S26" s="97"/>
      <c r="T26" s="97"/>
      <c r="U26" s="97"/>
      <c r="V26" s="97"/>
      <c r="W26" s="97"/>
      <c r="X26" s="97"/>
      <c r="Y26" s="97"/>
      <c r="Z26" s="97"/>
      <c r="AA26" s="97"/>
    </row>
    <row r="27" spans="1:27" ht="15.75" customHeight="1">
      <c r="A27" s="97"/>
      <c r="B27" s="183">
        <f t="shared" si="1"/>
        <v>46</v>
      </c>
      <c r="C27" s="320">
        <f ca="1">'19. Funds '!F27</f>
        <v>286805008.02794236</v>
      </c>
      <c r="D27" s="320">
        <f ca="1">D26+'19. Funds '!K26+'19. Funds '!L26</f>
        <v>4989622937.472537</v>
      </c>
      <c r="E27" s="320">
        <f ca="1">SUM('19. Funds '!$N$3:N26)</f>
        <v>3407745158.4878359</v>
      </c>
      <c r="F27" s="320">
        <f t="shared" ca="1" si="0"/>
        <v>8684173103.9883156</v>
      </c>
      <c r="G27" s="97"/>
      <c r="H27" s="97"/>
      <c r="I27" s="97"/>
      <c r="J27" s="97"/>
      <c r="K27" s="97"/>
      <c r="L27" s="97"/>
      <c r="M27" s="97"/>
      <c r="N27" s="97"/>
      <c r="O27" s="97"/>
      <c r="P27" s="97"/>
      <c r="Q27" s="97"/>
      <c r="R27" s="97"/>
      <c r="S27" s="97"/>
      <c r="T27" s="97"/>
      <c r="U27" s="97"/>
      <c r="V27" s="97"/>
      <c r="W27" s="97"/>
      <c r="X27" s="97"/>
      <c r="Y27" s="97"/>
      <c r="Z27" s="97"/>
      <c r="AA27" s="97"/>
    </row>
    <row r="28" spans="1:27" ht="15.75" customHeight="1">
      <c r="A28" s="97"/>
      <c r="B28" s="183">
        <f t="shared" si="1"/>
        <v>47</v>
      </c>
      <c r="C28" s="320">
        <f ca="1">'19. Funds '!F28</f>
        <v>286805008.02794236</v>
      </c>
      <c r="D28" s="320">
        <f ca="1">D27+'19. Funds '!K27+'19. Funds '!L27</f>
        <v>5726560000.8459148</v>
      </c>
      <c r="E28" s="320">
        <f ca="1">SUM('19. Funds '!$N$3:N27)</f>
        <v>3899036534.0700879</v>
      </c>
      <c r="F28" s="320">
        <f t="shared" ca="1" si="0"/>
        <v>9912401542.9439449</v>
      </c>
      <c r="G28" s="97"/>
      <c r="H28" s="97"/>
      <c r="I28" s="97"/>
      <c r="J28" s="97"/>
      <c r="K28" s="97"/>
      <c r="L28" s="97"/>
      <c r="M28" s="97"/>
      <c r="N28" s="97"/>
      <c r="O28" s="97"/>
      <c r="P28" s="97"/>
      <c r="Q28" s="97"/>
      <c r="R28" s="97"/>
      <c r="S28" s="97"/>
      <c r="T28" s="97"/>
      <c r="U28" s="97"/>
      <c r="V28" s="97"/>
      <c r="W28" s="97"/>
      <c r="X28" s="97"/>
      <c r="Y28" s="97"/>
      <c r="Z28" s="97"/>
      <c r="AA28" s="97"/>
    </row>
    <row r="29" spans="1:27" ht="15.75" customHeight="1">
      <c r="A29" s="97"/>
      <c r="B29" s="183">
        <f t="shared" si="1"/>
        <v>48</v>
      </c>
      <c r="C29" s="320">
        <f ca="1">'19. Funds '!F29</f>
        <v>286805008.02794236</v>
      </c>
      <c r="D29" s="320">
        <f ca="1">D28+'19. Funds '!K28+'19. Funds '!L28</f>
        <v>6536938052.7293415</v>
      </c>
      <c r="E29" s="320">
        <f ca="1">SUM('19. Funds '!$N$3:N28)</f>
        <v>4439288568.6590395</v>
      </c>
      <c r="F29" s="320">
        <f t="shared" ca="1" si="0"/>
        <v>11263031629.416325</v>
      </c>
      <c r="G29" s="97"/>
      <c r="H29" s="97"/>
      <c r="I29" s="97"/>
      <c r="J29" s="97"/>
      <c r="K29" s="97"/>
      <c r="L29" s="97"/>
      <c r="M29" s="97"/>
      <c r="N29" s="97"/>
      <c r="O29" s="97"/>
      <c r="P29" s="97"/>
      <c r="Q29" s="97"/>
      <c r="R29" s="97"/>
      <c r="S29" s="97"/>
      <c r="T29" s="97"/>
      <c r="U29" s="97"/>
      <c r="V29" s="97"/>
      <c r="W29" s="97"/>
      <c r="X29" s="97"/>
      <c r="Y29" s="97"/>
      <c r="Z29" s="97"/>
      <c r="AA29" s="97"/>
    </row>
    <row r="30" spans="1:27" ht="15.75" customHeight="1">
      <c r="A30" s="97"/>
      <c r="B30" s="183">
        <f t="shared" si="1"/>
        <v>49</v>
      </c>
      <c r="C30" s="320">
        <f ca="1">'19. Funds '!F30</f>
        <v>286805008.02794236</v>
      </c>
      <c r="D30" s="320">
        <f ca="1">D29+'19. Funds '!K29+'19. Funds '!L29</f>
        <v>7613256731.2076511</v>
      </c>
      <c r="E30" s="320">
        <f ca="1">SUM('19. Funds '!$N$3:N29)</f>
        <v>5156834354.3112459</v>
      </c>
      <c r="F30" s="320">
        <f t="shared" ca="1" si="0"/>
        <v>13056896093.546841</v>
      </c>
      <c r="G30" s="97"/>
      <c r="H30" s="97"/>
      <c r="I30" s="97"/>
      <c r="J30" s="97"/>
      <c r="K30" s="97"/>
      <c r="L30" s="97"/>
      <c r="M30" s="97"/>
      <c r="N30" s="97"/>
      <c r="O30" s="97"/>
      <c r="P30" s="97"/>
      <c r="Q30" s="97"/>
      <c r="R30" s="97"/>
      <c r="S30" s="97"/>
      <c r="T30" s="97"/>
      <c r="U30" s="97"/>
      <c r="V30" s="97"/>
      <c r="W30" s="97"/>
      <c r="X30" s="97"/>
      <c r="Y30" s="97"/>
      <c r="Z30" s="97"/>
      <c r="AA30" s="97"/>
    </row>
    <row r="31" spans="1:27" ht="15.75" customHeight="1">
      <c r="A31" s="97"/>
      <c r="B31" s="183">
        <f t="shared" si="1"/>
        <v>50</v>
      </c>
      <c r="C31" s="320">
        <f ca="1">'19. Funds '!F31</f>
        <v>286805008.02794236</v>
      </c>
      <c r="D31" s="320">
        <f ca="1">D30+'19. Funds '!K30+'19. Funds '!L30</f>
        <v>8728775844.4589119</v>
      </c>
      <c r="E31" s="320">
        <f ca="1">SUM('19. Funds '!$N$3:N30)</f>
        <v>5900513763.1454201</v>
      </c>
      <c r="F31" s="320">
        <f t="shared" ca="1" si="0"/>
        <v>14916094615.632275</v>
      </c>
      <c r="G31" s="97"/>
      <c r="H31" s="97"/>
      <c r="I31" s="97"/>
      <c r="J31" s="97"/>
      <c r="K31" s="97"/>
      <c r="L31" s="97"/>
      <c r="M31" s="97"/>
      <c r="N31" s="97"/>
      <c r="O31" s="97"/>
      <c r="P31" s="97"/>
      <c r="Q31" s="97"/>
      <c r="R31" s="97"/>
      <c r="S31" s="97"/>
      <c r="T31" s="97"/>
      <c r="U31" s="97"/>
      <c r="V31" s="97"/>
      <c r="W31" s="97"/>
      <c r="X31" s="97"/>
      <c r="Y31" s="97"/>
      <c r="Z31" s="97"/>
      <c r="AA31" s="97"/>
    </row>
    <row r="32" spans="1:27" ht="15.75" customHeight="1">
      <c r="A32" s="97"/>
      <c r="B32" s="183">
        <f t="shared" si="1"/>
        <v>51</v>
      </c>
      <c r="C32" s="320">
        <f ca="1">'19. Funds '!F32</f>
        <v>286805008.02794236</v>
      </c>
      <c r="D32" s="320">
        <f ca="1">D31+'19. Funds '!K31+'19. Funds '!L31</f>
        <v>9952030063.4918251</v>
      </c>
      <c r="E32" s="320">
        <f ca="1">SUM('19. Funds '!$N$3:N31)</f>
        <v>6716016575.8340292</v>
      </c>
      <c r="F32" s="320">
        <f t="shared" ca="1" si="0"/>
        <v>16954851647.353798</v>
      </c>
      <c r="G32" s="97"/>
      <c r="H32" s="97"/>
      <c r="I32" s="97"/>
      <c r="J32" s="97"/>
      <c r="K32" s="97"/>
      <c r="L32" s="97"/>
      <c r="M32" s="97"/>
      <c r="N32" s="97"/>
      <c r="O32" s="97"/>
      <c r="P32" s="97"/>
      <c r="Q32" s="97"/>
      <c r="R32" s="97"/>
      <c r="S32" s="97"/>
      <c r="T32" s="97"/>
      <c r="U32" s="97"/>
      <c r="V32" s="97"/>
      <c r="W32" s="97"/>
      <c r="X32" s="97"/>
      <c r="Y32" s="97"/>
      <c r="Z32" s="97"/>
      <c r="AA32" s="97"/>
    </row>
    <row r="33" spans="1:27" ht="15.75" customHeight="1">
      <c r="A33" s="97"/>
      <c r="B33" s="183">
        <f t="shared" si="1"/>
        <v>52</v>
      </c>
      <c r="C33" s="320">
        <f ca="1">'19. Funds '!F33</f>
        <v>286805008.02794236</v>
      </c>
      <c r="D33" s="320">
        <f ca="1">D32+'19. Funds '!K32+'19. Funds '!L32</f>
        <v>11210475387.281521</v>
      </c>
      <c r="E33" s="320">
        <f ca="1">SUM('19. Funds '!$N$3:N32)</f>
        <v>7554980125.0271606</v>
      </c>
      <c r="F33" s="320">
        <f t="shared" ca="1" si="0"/>
        <v>19052260520.336624</v>
      </c>
      <c r="G33" s="97"/>
      <c r="H33" s="97"/>
      <c r="I33" s="97"/>
      <c r="J33" s="97"/>
      <c r="K33" s="97"/>
      <c r="L33" s="97"/>
      <c r="M33" s="97"/>
      <c r="N33" s="97"/>
      <c r="O33" s="97"/>
      <c r="P33" s="97"/>
      <c r="Q33" s="97"/>
      <c r="R33" s="97"/>
      <c r="S33" s="97"/>
      <c r="T33" s="97"/>
      <c r="U33" s="97"/>
      <c r="V33" s="97"/>
      <c r="W33" s="97"/>
      <c r="X33" s="97"/>
      <c r="Y33" s="97"/>
      <c r="Z33" s="97"/>
      <c r="AA33" s="97"/>
    </row>
    <row r="34" spans="1:27" ht="15.75" customHeight="1">
      <c r="A34" s="97"/>
      <c r="B34" s="183">
        <f t="shared" si="1"/>
        <v>53</v>
      </c>
      <c r="C34" s="320">
        <f ca="1">'19. Funds '!F34</f>
        <v>286805008.02794236</v>
      </c>
      <c r="D34" s="320">
        <f ca="1">D33+'19. Funds '!K33+'19. Funds '!L33</f>
        <v>12721048465.789568</v>
      </c>
      <c r="E34" s="320">
        <f ca="1">SUM('19. Funds '!$N$3:N33)</f>
        <v>8562028844.0325251</v>
      </c>
      <c r="F34" s="320">
        <f t="shared" ca="1" si="0"/>
        <v>21569882317.850037</v>
      </c>
      <c r="G34" s="97"/>
      <c r="H34" s="97"/>
      <c r="I34" s="97"/>
      <c r="J34" s="97"/>
      <c r="K34" s="97"/>
      <c r="L34" s="97"/>
      <c r="M34" s="97"/>
      <c r="N34" s="97"/>
      <c r="O34" s="97"/>
      <c r="P34" s="97"/>
      <c r="Q34" s="97"/>
      <c r="R34" s="97"/>
      <c r="S34" s="97"/>
      <c r="T34" s="97"/>
      <c r="U34" s="97"/>
      <c r="V34" s="97"/>
      <c r="W34" s="97"/>
      <c r="X34" s="97"/>
      <c r="Y34" s="97"/>
      <c r="Z34" s="97"/>
      <c r="AA34" s="97"/>
    </row>
    <row r="35" spans="1:27" ht="15.75" customHeight="1">
      <c r="A35" s="97"/>
      <c r="B35" s="183">
        <f t="shared" si="1"/>
        <v>54</v>
      </c>
      <c r="C35" s="320">
        <f ca="1">'19. Funds '!F35</f>
        <v>286805008.02794236</v>
      </c>
      <c r="D35" s="320">
        <f ca="1">D34+'19. Funds '!K34+'19. Funds '!L34</f>
        <v>14186703163.133253</v>
      </c>
      <c r="E35" s="320">
        <f ca="1">SUM('19. Funds '!$N$3:N34)</f>
        <v>9539131975.5949821</v>
      </c>
      <c r="F35" s="320">
        <f t="shared" ca="1" si="0"/>
        <v>24012640146.75618</v>
      </c>
      <c r="G35" s="97"/>
      <c r="H35" s="97"/>
      <c r="I35" s="97"/>
      <c r="J35" s="97"/>
      <c r="K35" s="97"/>
      <c r="L35" s="97"/>
      <c r="M35" s="97"/>
      <c r="N35" s="97"/>
      <c r="O35" s="97"/>
      <c r="P35" s="97"/>
      <c r="Q35" s="97"/>
      <c r="R35" s="97"/>
      <c r="S35" s="97"/>
      <c r="T35" s="97"/>
      <c r="U35" s="97"/>
      <c r="V35" s="97"/>
      <c r="W35" s="97"/>
      <c r="X35" s="97"/>
      <c r="Y35" s="97"/>
      <c r="Z35" s="97"/>
      <c r="AA35" s="97"/>
    </row>
    <row r="36" spans="1:27" ht="15.75" customHeight="1">
      <c r="A36" s="97"/>
      <c r="B36" s="183">
        <f t="shared" si="1"/>
        <v>55</v>
      </c>
      <c r="C36" s="320">
        <f ca="1">'19. Funds '!F36</f>
        <v>286805008.02794236</v>
      </c>
      <c r="D36" s="320">
        <f ca="1">D35+'19. Funds '!K35+'19. Funds '!L35</f>
        <v>15773580586.933088</v>
      </c>
      <c r="E36" s="320">
        <f ca="1">SUM('19. Funds '!$N$3:N35)</f>
        <v>10597050258.128204</v>
      </c>
      <c r="F36" s="320">
        <f t="shared" ca="1" si="0"/>
        <v>26657435853.089233</v>
      </c>
      <c r="G36" s="97"/>
      <c r="H36" s="97"/>
      <c r="I36" s="97"/>
      <c r="J36" s="97"/>
      <c r="K36" s="97"/>
      <c r="L36" s="97"/>
      <c r="M36" s="97"/>
      <c r="N36" s="97"/>
      <c r="O36" s="97"/>
      <c r="P36" s="97"/>
      <c r="Q36" s="97"/>
      <c r="R36" s="97"/>
      <c r="S36" s="97"/>
      <c r="T36" s="97"/>
      <c r="U36" s="97"/>
      <c r="V36" s="97"/>
      <c r="W36" s="97"/>
      <c r="X36" s="97"/>
      <c r="Y36" s="97"/>
      <c r="Z36" s="97"/>
      <c r="AA36" s="97"/>
    </row>
    <row r="37" spans="1:27" ht="15.75" customHeight="1">
      <c r="A37" s="97"/>
      <c r="B37" s="183">
        <f t="shared" si="1"/>
        <v>56</v>
      </c>
      <c r="C37" s="320">
        <f ca="1">'19. Funds '!F37</f>
        <v>286805008.02794236</v>
      </c>
      <c r="D37" s="320">
        <f ca="1">D36+'19. Funds '!K36+'19. Funds '!L36</f>
        <v>17600869910.76318</v>
      </c>
      <c r="E37" s="320">
        <f ca="1">SUM('19. Funds '!$N$3:N36)</f>
        <v>11815243140.681597</v>
      </c>
      <c r="F37" s="320">
        <f t="shared" ca="1" si="0"/>
        <v>29702918059.472717</v>
      </c>
      <c r="G37" s="97"/>
      <c r="H37" s="97"/>
      <c r="I37" s="97"/>
      <c r="J37" s="97"/>
      <c r="K37" s="97"/>
      <c r="L37" s="97"/>
      <c r="M37" s="97"/>
      <c r="N37" s="97"/>
      <c r="O37" s="97"/>
      <c r="P37" s="97"/>
      <c r="Q37" s="97"/>
      <c r="R37" s="97"/>
      <c r="S37" s="97"/>
      <c r="T37" s="97"/>
      <c r="U37" s="97"/>
      <c r="V37" s="97"/>
      <c r="W37" s="97"/>
      <c r="X37" s="97"/>
      <c r="Y37" s="97"/>
      <c r="Z37" s="97"/>
      <c r="AA37" s="97"/>
    </row>
    <row r="38" spans="1:27" ht="15.75" customHeight="1">
      <c r="A38" s="97"/>
      <c r="B38" s="183">
        <f t="shared" si="1"/>
        <v>57</v>
      </c>
      <c r="C38" s="320">
        <f ca="1">'19. Funds '!F38</f>
        <v>286805008.02794236</v>
      </c>
      <c r="D38" s="320">
        <f ca="1">D37+'19. Funds '!K37+'19. Funds '!L37</f>
        <v>19496216481.449623</v>
      </c>
      <c r="E38" s="320">
        <f ca="1">SUM('19. Funds '!$N$3:N37)</f>
        <v>13078807521.139227</v>
      </c>
      <c r="F38" s="320">
        <f t="shared" ca="1" si="0"/>
        <v>32861829010.616791</v>
      </c>
      <c r="G38" s="97"/>
      <c r="H38" s="97"/>
      <c r="I38" s="97"/>
      <c r="J38" s="97"/>
      <c r="K38" s="97"/>
      <c r="L38" s="97"/>
      <c r="M38" s="97"/>
      <c r="N38" s="97"/>
      <c r="O38" s="97"/>
      <c r="P38" s="97"/>
      <c r="Q38" s="97"/>
      <c r="R38" s="97"/>
      <c r="S38" s="97"/>
      <c r="T38" s="97"/>
      <c r="U38" s="97"/>
      <c r="V38" s="97"/>
      <c r="W38" s="97"/>
      <c r="X38" s="97"/>
      <c r="Y38" s="97"/>
      <c r="Z38" s="97"/>
      <c r="AA38" s="97"/>
    </row>
    <row r="39" spans="1:27" ht="15.75" customHeight="1">
      <c r="A39" s="97"/>
      <c r="B39" s="183">
        <f t="shared" si="1"/>
        <v>58</v>
      </c>
      <c r="C39" s="320">
        <f ca="1">'19. Funds '!F39</f>
        <v>286805008.02794236</v>
      </c>
      <c r="D39" s="320">
        <f ca="1">D38+'19. Funds '!K38+'19. Funds '!L38</f>
        <v>21397996423.269398</v>
      </c>
      <c r="E39" s="320">
        <f ca="1">SUM('19. Funds '!$N$3:N38)</f>
        <v>14346660815.685745</v>
      </c>
      <c r="F39" s="320">
        <f t="shared" ca="1" si="0"/>
        <v>36031462246.983086</v>
      </c>
      <c r="G39" s="97"/>
      <c r="H39" s="97"/>
      <c r="I39" s="97"/>
      <c r="J39" s="97"/>
      <c r="K39" s="97"/>
      <c r="L39" s="97"/>
      <c r="M39" s="97"/>
      <c r="N39" s="97"/>
      <c r="O39" s="97"/>
      <c r="P39" s="97"/>
      <c r="Q39" s="97"/>
      <c r="R39" s="97"/>
      <c r="S39" s="97"/>
      <c r="T39" s="97"/>
      <c r="U39" s="97"/>
      <c r="V39" s="97"/>
      <c r="W39" s="97"/>
      <c r="X39" s="97"/>
      <c r="Y39" s="97"/>
      <c r="Z39" s="97"/>
      <c r="AA39" s="97"/>
    </row>
    <row r="40" spans="1:27" ht="15.75" customHeight="1">
      <c r="A40" s="97"/>
      <c r="B40" s="183">
        <f t="shared" si="1"/>
        <v>59</v>
      </c>
      <c r="C40" s="320">
        <f ca="1">'19. Funds '!F40</f>
        <v>286805008.02794236</v>
      </c>
      <c r="D40" s="320">
        <f ca="1">D39+'19. Funds '!K39+'19. Funds '!L39</f>
        <v>23297888543.147038</v>
      </c>
      <c r="E40" s="320">
        <f ca="1">SUM('19. Funds '!$N$3:N39)</f>
        <v>15613255562.27084</v>
      </c>
      <c r="F40" s="320">
        <f t="shared" ca="1" si="0"/>
        <v>39197949113.445816</v>
      </c>
      <c r="G40" s="97"/>
      <c r="H40" s="97"/>
      <c r="I40" s="97"/>
      <c r="J40" s="97"/>
      <c r="K40" s="97"/>
      <c r="L40" s="97"/>
      <c r="M40" s="97"/>
      <c r="N40" s="97"/>
      <c r="O40" s="97"/>
      <c r="P40" s="97"/>
      <c r="Q40" s="97"/>
      <c r="R40" s="97"/>
      <c r="S40" s="97"/>
      <c r="T40" s="97"/>
      <c r="U40" s="97"/>
      <c r="V40" s="97"/>
      <c r="W40" s="97"/>
      <c r="X40" s="97"/>
      <c r="Y40" s="97"/>
      <c r="Z40" s="97"/>
      <c r="AA40" s="97"/>
    </row>
    <row r="41" spans="1:27" ht="15.75" customHeight="1">
      <c r="A41" s="97"/>
      <c r="B41" s="183">
        <f t="shared" si="1"/>
        <v>60</v>
      </c>
      <c r="C41" s="320">
        <f ca="1">'19. Funds '!F41</f>
        <v>286805008.02794236</v>
      </c>
      <c r="D41" s="320">
        <f ca="1">D40+'19. Funds '!K40+'19. Funds '!L40</f>
        <v>25874259377.710232</v>
      </c>
      <c r="E41" s="320">
        <f ca="1">SUM('19. Funds '!$N$3:N40)</f>
        <v>17330836118.646305</v>
      </c>
      <c r="F41" s="320">
        <f t="shared" ca="1" si="0"/>
        <v>43491900504.384476</v>
      </c>
      <c r="G41" s="97"/>
      <c r="H41" s="97"/>
      <c r="I41" s="97"/>
      <c r="J41" s="97"/>
      <c r="K41" s="97"/>
      <c r="L41" s="97"/>
      <c r="M41" s="97"/>
      <c r="N41" s="97"/>
      <c r="O41" s="97"/>
      <c r="P41" s="97"/>
      <c r="Q41" s="97"/>
      <c r="R41" s="97"/>
      <c r="S41" s="97"/>
      <c r="T41" s="97"/>
      <c r="U41" s="97"/>
      <c r="V41" s="97"/>
      <c r="W41" s="97"/>
      <c r="X41" s="97"/>
      <c r="Y41" s="97"/>
      <c r="Z41" s="97"/>
      <c r="AA41" s="97"/>
    </row>
    <row r="42" spans="1:27" ht="15.75" customHeight="1">
      <c r="A42" s="97"/>
      <c r="B42" s="183">
        <f t="shared" si="1"/>
        <v>61</v>
      </c>
      <c r="C42" s="320">
        <f ca="1">'19. Funds '!F42</f>
        <v>286805008.02794236</v>
      </c>
      <c r="D42" s="320">
        <f ca="1">D41+'19. Funds '!K41+'19. Funds '!L41</f>
        <v>28531360176.49823</v>
      </c>
      <c r="E42" s="320">
        <f ca="1">SUM('19. Funds '!$N$3:N41)</f>
        <v>19102236651.171638</v>
      </c>
      <c r="F42" s="320">
        <f t="shared" ca="1" si="0"/>
        <v>47920401835.697815</v>
      </c>
      <c r="G42" s="97"/>
      <c r="H42" s="97"/>
      <c r="I42" s="97"/>
      <c r="J42" s="97"/>
      <c r="K42" s="97"/>
      <c r="L42" s="97"/>
      <c r="M42" s="97"/>
      <c r="N42" s="97"/>
      <c r="O42" s="97"/>
      <c r="P42" s="97"/>
      <c r="Q42" s="97"/>
      <c r="R42" s="97"/>
      <c r="S42" s="97"/>
      <c r="T42" s="97"/>
      <c r="U42" s="97"/>
      <c r="V42" s="97"/>
      <c r="W42" s="97"/>
      <c r="X42" s="97"/>
      <c r="Y42" s="97"/>
      <c r="Z42" s="97"/>
      <c r="AA42" s="97"/>
    </row>
    <row r="43" spans="1:27" ht="15.75" customHeight="1">
      <c r="A43" s="97"/>
      <c r="B43" s="183">
        <f t="shared" si="1"/>
        <v>62</v>
      </c>
      <c r="C43" s="320">
        <f ca="1">'19. Funds '!F43</f>
        <v>286805008.02794236</v>
      </c>
      <c r="D43" s="320">
        <f ca="1">D42+'19. Funds '!K42+'19. Funds '!L42</f>
        <v>30477362402.246967</v>
      </c>
      <c r="E43" s="320">
        <f ca="1">SUM('19. Funds '!$N$3:N42)</f>
        <v>20399571468.337463</v>
      </c>
      <c r="F43" s="320">
        <f t="shared" ca="1" si="0"/>
        <v>51163738878.612373</v>
      </c>
      <c r="G43" s="97"/>
      <c r="H43" s="97"/>
      <c r="I43" s="97"/>
      <c r="J43" s="97"/>
      <c r="K43" s="97"/>
      <c r="L43" s="97"/>
      <c r="M43" s="97"/>
      <c r="N43" s="97"/>
      <c r="O43" s="97"/>
      <c r="P43" s="97"/>
      <c r="Q43" s="97"/>
      <c r="R43" s="97"/>
      <c r="S43" s="97"/>
      <c r="T43" s="97"/>
      <c r="U43" s="97"/>
      <c r="V43" s="97"/>
      <c r="W43" s="97"/>
      <c r="X43" s="97"/>
      <c r="Y43" s="97"/>
      <c r="Z43" s="97"/>
      <c r="AA43" s="97"/>
    </row>
    <row r="44" spans="1:27" ht="15.75" customHeight="1">
      <c r="A44" s="97"/>
      <c r="B44" s="183">
        <f t="shared" si="1"/>
        <v>63</v>
      </c>
      <c r="C44" s="320">
        <f ca="1">'19. Funds '!F44</f>
        <v>286805008.02794236</v>
      </c>
      <c r="D44" s="320">
        <f ca="1">D43+'19. Funds '!K43+'19. Funds '!L43</f>
        <v>32465637809.143314</v>
      </c>
      <c r="E44" s="320">
        <f ca="1">SUM('19. Funds '!$N$3:N43)</f>
        <v>21725088406.26836</v>
      </c>
      <c r="F44" s="320">
        <f t="shared" ca="1" si="0"/>
        <v>54477531223.439621</v>
      </c>
      <c r="G44" s="97"/>
      <c r="H44" s="97"/>
      <c r="I44" s="97"/>
      <c r="J44" s="97"/>
      <c r="K44" s="97"/>
      <c r="L44" s="97"/>
      <c r="M44" s="97"/>
      <c r="N44" s="97"/>
      <c r="O44" s="97"/>
      <c r="P44" s="97"/>
      <c r="Q44" s="97"/>
      <c r="R44" s="97"/>
      <c r="S44" s="97"/>
      <c r="T44" s="97"/>
      <c r="U44" s="97"/>
      <c r="V44" s="97"/>
      <c r="W44" s="97"/>
      <c r="X44" s="97"/>
      <c r="Y44" s="97"/>
      <c r="Z44" s="97"/>
      <c r="AA44" s="97"/>
    </row>
    <row r="45" spans="1:27" ht="15.75" customHeight="1">
      <c r="A45" s="97"/>
      <c r="B45" s="183">
        <f t="shared" si="1"/>
        <v>64</v>
      </c>
      <c r="C45" s="320">
        <f ca="1">'19. Funds '!F45</f>
        <v>286805008.02794236</v>
      </c>
      <c r="D45" s="320">
        <f ca="1">D44+'19. Funds '!K44+'19. Funds '!L44</f>
        <v>34145906807.187756</v>
      </c>
      <c r="E45" s="320">
        <f ca="1">SUM('19. Funds '!$N$3:N44)</f>
        <v>22845267738.297989</v>
      </c>
      <c r="F45" s="320">
        <f t="shared" ca="1" si="0"/>
        <v>57277979553.513687</v>
      </c>
      <c r="G45" s="97"/>
      <c r="H45" s="97"/>
      <c r="I45" s="97"/>
      <c r="J45" s="97"/>
      <c r="K45" s="97"/>
      <c r="L45" s="97"/>
      <c r="M45" s="97"/>
      <c r="N45" s="97"/>
      <c r="O45" s="97"/>
      <c r="P45" s="97"/>
      <c r="Q45" s="97"/>
      <c r="R45" s="97"/>
      <c r="S45" s="97"/>
      <c r="T45" s="97"/>
      <c r="U45" s="97"/>
      <c r="V45" s="97"/>
      <c r="W45" s="97"/>
      <c r="X45" s="97"/>
      <c r="Y45" s="97"/>
      <c r="Z45" s="97"/>
      <c r="AA45" s="97"/>
    </row>
    <row r="46" spans="1:27" ht="15.75" customHeight="1">
      <c r="A46" s="97"/>
      <c r="B46" s="183">
        <f t="shared" si="1"/>
        <v>65</v>
      </c>
      <c r="C46" s="320">
        <f ca="1">'19. Funds '!F46</f>
        <v>286805008.02794236</v>
      </c>
      <c r="D46" s="320">
        <f ca="1">D45+'19. Funds '!K45+'19. Funds '!L45</f>
        <v>36142784164.890915</v>
      </c>
      <c r="E46" s="320">
        <f ca="1">SUM('19. Funds '!$N$3:N45)</f>
        <v>24176519310.100098</v>
      </c>
      <c r="F46" s="320">
        <f t="shared" ca="1" si="0"/>
        <v>60606108483.018951</v>
      </c>
      <c r="G46" s="97"/>
      <c r="H46" s="97"/>
      <c r="I46" s="97"/>
      <c r="J46" s="97"/>
      <c r="K46" s="97"/>
      <c r="L46" s="97"/>
      <c r="M46" s="97"/>
      <c r="N46" s="97"/>
      <c r="O46" s="97"/>
      <c r="P46" s="97"/>
      <c r="Q46" s="97"/>
      <c r="R46" s="97"/>
      <c r="S46" s="97"/>
      <c r="T46" s="97"/>
      <c r="U46" s="97"/>
      <c r="V46" s="97"/>
      <c r="W46" s="97"/>
      <c r="X46" s="97"/>
      <c r="Y46" s="97"/>
      <c r="Z46" s="97"/>
      <c r="AA46" s="97"/>
    </row>
    <row r="47" spans="1:27" ht="15.75" customHeight="1">
      <c r="A47" s="97"/>
      <c r="B47" s="183">
        <f t="shared" si="1"/>
        <v>66</v>
      </c>
      <c r="C47" s="320">
        <f ca="1">'19. Funds '!F47</f>
        <v>286805008.02794236</v>
      </c>
      <c r="D47" s="320">
        <f ca="1">D46+'19. Funds '!K46+'19. Funds '!L46</f>
        <v>38009351658.611183</v>
      </c>
      <c r="E47" s="320">
        <f ca="1">SUM('19. Funds '!$N$3:N46)</f>
        <v>25420897639.246941</v>
      </c>
      <c r="F47" s="320">
        <f t="shared" ca="1" si="0"/>
        <v>63717054305.886063</v>
      </c>
      <c r="G47" s="97"/>
      <c r="H47" s="97"/>
      <c r="I47" s="97"/>
      <c r="J47" s="97"/>
      <c r="K47" s="97"/>
      <c r="L47" s="97"/>
      <c r="M47" s="97"/>
      <c r="N47" s="97"/>
      <c r="O47" s="97"/>
      <c r="P47" s="97"/>
      <c r="Q47" s="97"/>
      <c r="R47" s="97"/>
      <c r="S47" s="97"/>
      <c r="T47" s="97"/>
      <c r="U47" s="97"/>
      <c r="V47" s="97"/>
      <c r="W47" s="97"/>
      <c r="X47" s="97"/>
      <c r="Y47" s="97"/>
      <c r="Z47" s="97"/>
      <c r="AA47" s="97"/>
    </row>
    <row r="48" spans="1:27" ht="15.75" customHeight="1">
      <c r="A48" s="97"/>
      <c r="B48" s="183">
        <f t="shared" si="1"/>
        <v>67</v>
      </c>
      <c r="C48" s="320">
        <f ca="1">'19. Funds '!F48</f>
        <v>286805008.02794236</v>
      </c>
      <c r="D48" s="320">
        <f ca="1">D47+'19. Funds '!K47+'19. Funds '!L47</f>
        <v>40153132615.451469</v>
      </c>
      <c r="E48" s="320">
        <f ca="1">SUM('19. Funds '!$N$3:N47)</f>
        <v>26850084943.807129</v>
      </c>
      <c r="F48" s="320">
        <f t="shared" ca="1" si="0"/>
        <v>67290022567.286537</v>
      </c>
      <c r="G48" s="97"/>
      <c r="H48" s="97"/>
      <c r="I48" s="97"/>
      <c r="J48" s="97"/>
      <c r="K48" s="97"/>
      <c r="L48" s="97"/>
      <c r="M48" s="97"/>
      <c r="N48" s="97"/>
      <c r="O48" s="97"/>
      <c r="P48" s="97"/>
      <c r="Q48" s="97"/>
      <c r="R48" s="97"/>
      <c r="S48" s="97"/>
      <c r="T48" s="97"/>
      <c r="U48" s="97"/>
      <c r="V48" s="97"/>
      <c r="W48" s="97"/>
      <c r="X48" s="97"/>
      <c r="Y48" s="97"/>
      <c r="Z48" s="97"/>
      <c r="AA48" s="97"/>
    </row>
    <row r="49" spans="1:27" ht="15.75" customHeight="1">
      <c r="A49" s="97"/>
      <c r="B49" s="183">
        <f t="shared" si="1"/>
        <v>68</v>
      </c>
      <c r="C49" s="320">
        <f ca="1">'19. Funds '!F49</f>
        <v>286805008.02794236</v>
      </c>
      <c r="D49" s="320">
        <f ca="1">D48+'19. Funds '!K48+'19. Funds '!L48</f>
        <v>42014715606.039116</v>
      </c>
      <c r="E49" s="320">
        <f ca="1">SUM('19. Funds '!$N$3:N48)</f>
        <v>28091140270.865559</v>
      </c>
      <c r="F49" s="320">
        <f t="shared" ca="1" si="0"/>
        <v>70392660884.932617</v>
      </c>
      <c r="G49" s="97"/>
      <c r="H49" s="97"/>
      <c r="I49" s="97"/>
      <c r="J49" s="97"/>
      <c r="K49" s="97"/>
      <c r="L49" s="97"/>
      <c r="M49" s="97"/>
      <c r="N49" s="97"/>
      <c r="O49" s="97"/>
      <c r="P49" s="97"/>
      <c r="Q49" s="97"/>
      <c r="R49" s="97"/>
      <c r="S49" s="97"/>
      <c r="T49" s="97"/>
      <c r="U49" s="97"/>
      <c r="V49" s="97"/>
      <c r="W49" s="97"/>
      <c r="X49" s="97"/>
      <c r="Y49" s="97"/>
      <c r="Z49" s="97"/>
      <c r="AA49" s="97"/>
    </row>
    <row r="50" spans="1:27" ht="15.75" customHeight="1">
      <c r="A50" s="97"/>
      <c r="B50" s="183">
        <f t="shared" si="1"/>
        <v>69</v>
      </c>
      <c r="C50" s="320">
        <f ca="1">'19. Funds '!F50</f>
        <v>286805008.02794236</v>
      </c>
      <c r="D50" s="320">
        <f ca="1">D49+'19. Funds '!K49+'19. Funds '!L49</f>
        <v>43921343723.645882</v>
      </c>
      <c r="E50" s="320">
        <f ca="1">SUM('19. Funds '!$N$3:N49)</f>
        <v>29362225682.603401</v>
      </c>
      <c r="F50" s="320">
        <f t="shared" ca="1" si="0"/>
        <v>73570374414.277222</v>
      </c>
      <c r="G50" s="97"/>
      <c r="H50" s="97"/>
      <c r="I50" s="97"/>
      <c r="J50" s="97"/>
      <c r="K50" s="97"/>
      <c r="L50" s="97"/>
      <c r="M50" s="97"/>
      <c r="N50" s="97"/>
      <c r="O50" s="97"/>
      <c r="P50" s="97"/>
      <c r="Q50" s="97"/>
      <c r="R50" s="97"/>
      <c r="S50" s="97"/>
      <c r="T50" s="97"/>
      <c r="U50" s="97"/>
      <c r="V50" s="97"/>
      <c r="W50" s="97"/>
      <c r="X50" s="97"/>
      <c r="Y50" s="97"/>
      <c r="Z50" s="97"/>
      <c r="AA50" s="97"/>
    </row>
    <row r="51" spans="1:27" ht="17">
      <c r="A51" s="97"/>
      <c r="B51" s="183">
        <f t="shared" si="1"/>
        <v>70</v>
      </c>
      <c r="C51" s="320">
        <f ca="1">'19. Funds '!F51</f>
        <v>286805008.02794236</v>
      </c>
      <c r="D51" s="320">
        <f ca="1">D50+'19. Funds '!K50+'19. Funds '!L50</f>
        <v>45692859219.300369</v>
      </c>
      <c r="E51" s="320">
        <f ca="1">SUM('19. Funds '!$N$3:N50)</f>
        <v>30543236013.03973</v>
      </c>
      <c r="F51" s="320">
        <f t="shared" ca="1" si="0"/>
        <v>76522900240.368042</v>
      </c>
      <c r="G51" s="97"/>
      <c r="H51" s="97"/>
      <c r="I51" s="97"/>
      <c r="J51" s="97"/>
      <c r="K51" s="97"/>
      <c r="L51" s="97"/>
      <c r="M51" s="97"/>
      <c r="N51" s="97"/>
      <c r="O51" s="97"/>
      <c r="P51" s="97"/>
      <c r="Q51" s="97"/>
      <c r="R51" s="97"/>
      <c r="S51" s="97"/>
      <c r="T51" s="97"/>
      <c r="U51" s="97"/>
      <c r="V51" s="97"/>
      <c r="W51" s="97"/>
      <c r="X51" s="97"/>
      <c r="Y51" s="97"/>
      <c r="Z51" s="97"/>
      <c r="AA51" s="97"/>
    </row>
    <row r="52" spans="1:27" ht="17">
      <c r="A52" s="97"/>
      <c r="B52" s="183">
        <f t="shared" si="1"/>
        <v>71</v>
      </c>
      <c r="C52" s="320">
        <f ca="1">'19. Funds '!F52</f>
        <v>286805008.02794236</v>
      </c>
      <c r="D52" s="320">
        <f ca="1">D51+'19. Funds '!K51+'19. Funds '!L51</f>
        <v>47557491774.466591</v>
      </c>
      <c r="E52" s="320">
        <f ca="1">SUM('19. Funds '!$N$3:N51)</f>
        <v>31786324383.150543</v>
      </c>
      <c r="F52" s="320">
        <f t="shared" ca="1" si="0"/>
        <v>79630621165.645081</v>
      </c>
      <c r="G52" s="97"/>
      <c r="H52" s="97"/>
      <c r="I52" s="97"/>
      <c r="J52" s="97"/>
      <c r="K52" s="97"/>
      <c r="L52" s="97"/>
      <c r="M52" s="97"/>
      <c r="N52" s="97"/>
      <c r="O52" s="97"/>
      <c r="P52" s="97"/>
      <c r="Q52" s="97"/>
      <c r="R52" s="97"/>
      <c r="S52" s="97"/>
      <c r="T52" s="97"/>
      <c r="U52" s="97"/>
      <c r="V52" s="97"/>
      <c r="W52" s="97"/>
      <c r="X52" s="97"/>
      <c r="Y52" s="97"/>
      <c r="Z52" s="97"/>
      <c r="AA52" s="97"/>
    </row>
    <row r="53" spans="1:27" ht="17">
      <c r="A53" s="97"/>
      <c r="B53" s="183">
        <f t="shared" si="1"/>
        <v>72</v>
      </c>
      <c r="C53" s="320">
        <f ca="1">'19. Funds '!F53</f>
        <v>286805008.02794236</v>
      </c>
      <c r="D53" s="320">
        <f ca="1">D52+'19. Funds '!K52+'19. Funds '!L52</f>
        <v>49579651309.846741</v>
      </c>
      <c r="E53" s="320">
        <f ca="1">SUM('19. Funds '!$N$3:N52)</f>
        <v>33134430740.070644</v>
      </c>
      <c r="F53" s="320">
        <f t="shared" ca="1" si="0"/>
        <v>83000887057.945328</v>
      </c>
      <c r="G53" s="97"/>
      <c r="H53" s="97"/>
      <c r="I53" s="97"/>
      <c r="J53" s="97"/>
      <c r="K53" s="97"/>
      <c r="L53" s="97"/>
      <c r="M53" s="97"/>
      <c r="N53" s="97"/>
      <c r="O53" s="97"/>
      <c r="P53" s="97"/>
      <c r="Q53" s="97"/>
      <c r="R53" s="97"/>
      <c r="S53" s="97"/>
      <c r="T53" s="97"/>
      <c r="U53" s="97"/>
      <c r="V53" s="97"/>
      <c r="W53" s="97"/>
      <c r="X53" s="97"/>
      <c r="Y53" s="97"/>
      <c r="Z53" s="97"/>
      <c r="AA53" s="97"/>
    </row>
    <row r="54" spans="1:27" ht="17">
      <c r="A54" s="97"/>
      <c r="B54" s="183">
        <f t="shared" si="1"/>
        <v>73</v>
      </c>
      <c r="C54" s="320">
        <f ca="1">'19. Funds '!F54</f>
        <v>286805008.02794236</v>
      </c>
      <c r="D54" s="320">
        <f ca="1">D53+'19. Funds '!K53+'19. Funds '!L53</f>
        <v>51782410784.219231</v>
      </c>
      <c r="E54" s="320">
        <f ca="1">SUM('19. Funds '!$N$3:N53)</f>
        <v>34602937056.31897</v>
      </c>
      <c r="F54" s="320">
        <f t="shared" ca="1" si="0"/>
        <v>86672152848.566132</v>
      </c>
      <c r="G54" s="97"/>
      <c r="H54" s="97"/>
      <c r="I54" s="97"/>
      <c r="J54" s="97"/>
      <c r="K54" s="97"/>
      <c r="L54" s="97"/>
      <c r="M54" s="97"/>
      <c r="N54" s="97"/>
      <c r="O54" s="97"/>
      <c r="P54" s="97"/>
      <c r="Q54" s="97"/>
      <c r="R54" s="97"/>
      <c r="S54" s="97"/>
      <c r="T54" s="97"/>
      <c r="U54" s="97"/>
      <c r="V54" s="97"/>
      <c r="W54" s="97"/>
      <c r="X54" s="97"/>
      <c r="Y54" s="97"/>
      <c r="Z54" s="97"/>
      <c r="AA54" s="97"/>
    </row>
    <row r="55" spans="1:27" ht="17">
      <c r="A55" s="97"/>
      <c r="B55" s="183">
        <f t="shared" si="1"/>
        <v>74</v>
      </c>
      <c r="C55" s="320">
        <f ca="1">'19. Funds '!F55</f>
        <v>286805008.02794236</v>
      </c>
      <c r="D55" s="320">
        <f ca="1">D54+'19. Funds '!K54+'19. Funds '!L54</f>
        <v>54505175688.451187</v>
      </c>
      <c r="E55" s="320">
        <f ca="1">SUM('19. Funds '!$N$3:N54)</f>
        <v>36418113659.140274</v>
      </c>
      <c r="F55" s="320">
        <f t="shared" ca="1" si="0"/>
        <v>91210094355.6194</v>
      </c>
      <c r="G55" s="97"/>
      <c r="H55" s="97"/>
      <c r="I55" s="97"/>
      <c r="J55" s="97"/>
      <c r="K55" s="97"/>
      <c r="L55" s="97"/>
      <c r="M55" s="97"/>
      <c r="N55" s="97"/>
      <c r="O55" s="97"/>
      <c r="P55" s="97"/>
      <c r="Q55" s="97"/>
      <c r="R55" s="97"/>
      <c r="S55" s="97"/>
      <c r="T55" s="97"/>
      <c r="U55" s="97"/>
      <c r="V55" s="97"/>
      <c r="W55" s="97"/>
      <c r="X55" s="97"/>
      <c r="Y55" s="97"/>
      <c r="Z55" s="97"/>
      <c r="AA55" s="97"/>
    </row>
    <row r="56" spans="1:27" ht="17">
      <c r="A56" s="97"/>
      <c r="B56" s="183">
        <f t="shared" si="1"/>
        <v>75</v>
      </c>
      <c r="C56" s="320">
        <f ca="1">'19. Funds '!F56</f>
        <v>286805008.02794236</v>
      </c>
      <c r="D56" s="320">
        <f ca="1">D55+'19. Funds '!K55+'19. Funds '!L55</f>
        <v>57005965257.240135</v>
      </c>
      <c r="E56" s="320">
        <f ca="1">SUM('19. Funds '!$N$3:N55)</f>
        <v>38085306704.999573</v>
      </c>
      <c r="F56" s="320">
        <f t="shared" ca="1" si="0"/>
        <v>95378076970.267639</v>
      </c>
      <c r="G56" s="97"/>
      <c r="H56" s="97"/>
      <c r="I56" s="97"/>
      <c r="J56" s="97"/>
      <c r="K56" s="97"/>
      <c r="L56" s="97"/>
      <c r="M56" s="97"/>
      <c r="N56" s="97"/>
      <c r="O56" s="97"/>
      <c r="P56" s="97"/>
      <c r="Q56" s="97"/>
      <c r="R56" s="97"/>
      <c r="S56" s="97"/>
      <c r="T56" s="97"/>
      <c r="U56" s="97"/>
      <c r="V56" s="97"/>
      <c r="W56" s="97"/>
      <c r="X56" s="97"/>
      <c r="Y56" s="97"/>
      <c r="Z56" s="97"/>
      <c r="AA56" s="97"/>
    </row>
    <row r="57" spans="1:27" ht="17">
      <c r="A57" s="97"/>
      <c r="B57" s="183">
        <f t="shared" si="1"/>
        <v>76</v>
      </c>
      <c r="C57" s="320">
        <f ca="1">'19. Funds '!F57</f>
        <v>286805008.02794236</v>
      </c>
      <c r="D57" s="320">
        <f ca="1">D56+'19. Funds '!K56+'19. Funds '!L56</f>
        <v>59750086302.478973</v>
      </c>
      <c r="E57" s="320">
        <f ca="1">SUM('19. Funds '!$N$3:N56)</f>
        <v>39914720735.158798</v>
      </c>
      <c r="F57" s="320">
        <f t="shared" ca="1" si="0"/>
        <v>99951612045.66571</v>
      </c>
      <c r="G57" s="97"/>
      <c r="H57" s="97"/>
      <c r="I57" s="97"/>
      <c r="J57" s="97"/>
      <c r="K57" s="97"/>
      <c r="L57" s="97"/>
      <c r="M57" s="97"/>
      <c r="N57" s="97"/>
      <c r="O57" s="97"/>
      <c r="P57" s="97"/>
      <c r="Q57" s="97"/>
      <c r="R57" s="97"/>
      <c r="S57" s="97"/>
      <c r="T57" s="97"/>
      <c r="U57" s="97"/>
      <c r="V57" s="97"/>
      <c r="W57" s="97"/>
      <c r="X57" s="97"/>
      <c r="Y57" s="97"/>
      <c r="Z57" s="97"/>
      <c r="AA57" s="97"/>
    </row>
    <row r="58" spans="1:27" ht="17">
      <c r="A58" s="97"/>
      <c r="B58" s="183">
        <f t="shared" si="1"/>
        <v>77</v>
      </c>
      <c r="C58" s="320">
        <f ca="1">'19. Funds '!F58</f>
        <v>286805008.02794236</v>
      </c>
      <c r="D58" s="320">
        <f ca="1">D57+'19. Funds '!K57+'19. Funds '!L57</f>
        <v>62328424158.740616</v>
      </c>
      <c r="E58" s="320">
        <f ca="1">SUM('19. Funds '!$N$3:N57)</f>
        <v>41633612639.333221</v>
      </c>
      <c r="F58" s="320">
        <f t="shared" ca="1" si="0"/>
        <v>104248841806.10178</v>
      </c>
      <c r="G58" s="97"/>
      <c r="H58" s="97"/>
      <c r="I58" s="97"/>
      <c r="J58" s="97"/>
      <c r="K58" s="97"/>
      <c r="L58" s="97"/>
      <c r="M58" s="97"/>
      <c r="N58" s="97"/>
      <c r="O58" s="97"/>
      <c r="P58" s="97"/>
      <c r="Q58" s="97"/>
      <c r="R58" s="97"/>
      <c r="S58" s="97"/>
      <c r="T58" s="97"/>
      <c r="U58" s="97"/>
      <c r="V58" s="97"/>
      <c r="W58" s="97"/>
      <c r="X58" s="97"/>
      <c r="Y58" s="97"/>
      <c r="Z58" s="97"/>
      <c r="AA58" s="97"/>
    </row>
    <row r="59" spans="1:27" ht="17">
      <c r="A59" s="97"/>
      <c r="B59" s="183">
        <f t="shared" si="1"/>
        <v>78</v>
      </c>
      <c r="C59" s="320">
        <f ca="1">'19. Funds '!F59</f>
        <v>286805008.02794236</v>
      </c>
      <c r="D59" s="320">
        <f ca="1">D58+'19. Funds '!K58+'19. Funds '!L58</f>
        <v>64691106165.550125</v>
      </c>
      <c r="E59" s="320">
        <f ca="1">SUM('19. Funds '!$N$3:N58)</f>
        <v>43208733977.206223</v>
      </c>
      <c r="F59" s="320">
        <f t="shared" ca="1" si="0"/>
        <v>108186645150.78429</v>
      </c>
      <c r="G59" s="97"/>
      <c r="H59" s="97"/>
      <c r="I59" s="97"/>
      <c r="J59" s="97"/>
      <c r="K59" s="97"/>
      <c r="L59" s="97"/>
      <c r="M59" s="97"/>
      <c r="N59" s="97"/>
      <c r="O59" s="97"/>
      <c r="P59" s="97"/>
      <c r="Q59" s="97"/>
      <c r="R59" s="97"/>
      <c r="S59" s="97"/>
      <c r="T59" s="97"/>
      <c r="U59" s="97"/>
      <c r="V59" s="97"/>
      <c r="W59" s="97"/>
      <c r="X59" s="97"/>
      <c r="Y59" s="97"/>
      <c r="Z59" s="97"/>
      <c r="AA59" s="97"/>
    </row>
    <row r="60" spans="1:27" ht="17">
      <c r="A60" s="97"/>
      <c r="B60" s="183">
        <f t="shared" si="1"/>
        <v>79</v>
      </c>
      <c r="C60" s="320">
        <f ca="1">'19. Funds '!F60</f>
        <v>286805008.02794236</v>
      </c>
      <c r="D60" s="320">
        <f ca="1">D59+'19. Funds '!K59+'19. Funds '!L59</f>
        <v>67671958864.908905</v>
      </c>
      <c r="E60" s="320">
        <f ca="1">SUM('19. Funds '!$N$3:N59)</f>
        <v>45195969110.112076</v>
      </c>
      <c r="F60" s="320">
        <f t="shared" ca="1" si="0"/>
        <v>113154732983.04892</v>
      </c>
      <c r="G60" s="97"/>
      <c r="H60" s="97"/>
      <c r="I60" s="97"/>
      <c r="J60" s="97"/>
      <c r="K60" s="97"/>
      <c r="L60" s="97"/>
      <c r="M60" s="97"/>
      <c r="N60" s="97"/>
      <c r="O60" s="97"/>
      <c r="P60" s="97"/>
      <c r="Q60" s="97"/>
      <c r="R60" s="97"/>
      <c r="S60" s="97"/>
      <c r="T60" s="97"/>
      <c r="U60" s="97"/>
      <c r="V60" s="97"/>
      <c r="W60" s="97"/>
      <c r="X60" s="97"/>
      <c r="Y60" s="97"/>
      <c r="Z60" s="97"/>
      <c r="AA60" s="97"/>
    </row>
    <row r="61" spans="1:27" ht="17">
      <c r="A61" s="97"/>
      <c r="B61" s="183">
        <f t="shared" si="1"/>
        <v>80</v>
      </c>
      <c r="C61" s="320">
        <f ca="1">'19. Funds '!F61</f>
        <v>286805008.02794236</v>
      </c>
      <c r="D61" s="320">
        <f ca="1">D60+'19. Funds '!K60+'19. Funds '!L60</f>
        <v>70500194981.651505</v>
      </c>
      <c r="E61" s="320">
        <f ca="1">SUM('19. Funds '!$N$3:N60)</f>
        <v>47081459854.607147</v>
      </c>
      <c r="F61" s="320">
        <f t="shared" ca="1" si="0"/>
        <v>117868459844.28659</v>
      </c>
      <c r="G61" s="97"/>
      <c r="H61" s="97"/>
      <c r="I61" s="97"/>
      <c r="J61" s="97"/>
      <c r="K61" s="97"/>
      <c r="L61" s="97"/>
      <c r="M61" s="97"/>
      <c r="N61" s="97"/>
      <c r="O61" s="97"/>
      <c r="P61" s="97"/>
      <c r="Q61" s="97"/>
      <c r="R61" s="97"/>
      <c r="S61" s="97"/>
      <c r="T61" s="97"/>
      <c r="U61" s="97"/>
      <c r="V61" s="97"/>
      <c r="W61" s="97"/>
      <c r="X61" s="97"/>
      <c r="Y61" s="97"/>
      <c r="Z61" s="97"/>
      <c r="AA61" s="97"/>
    </row>
    <row r="62" spans="1:27" ht="17">
      <c r="A62" s="97"/>
      <c r="B62" s="183">
        <f t="shared" si="1"/>
        <v>81</v>
      </c>
      <c r="C62" s="320">
        <f ca="1">'19. Funds '!F62</f>
        <v>286805008.02794236</v>
      </c>
      <c r="D62" s="320">
        <f ca="1">D61+'19. Funds '!K61+'19. Funds '!L61</f>
        <v>73610517133.090576</v>
      </c>
      <c r="E62" s="320">
        <f ca="1">SUM('19. Funds '!$N$3:N61)</f>
        <v>49155007955.566521</v>
      </c>
      <c r="F62" s="320">
        <f t="shared" ca="1" si="0"/>
        <v>123052330096.68503</v>
      </c>
      <c r="G62" s="97"/>
      <c r="H62" s="97"/>
      <c r="I62" s="97"/>
      <c r="J62" s="97"/>
      <c r="K62" s="97"/>
      <c r="L62" s="97"/>
      <c r="M62" s="97"/>
      <c r="N62" s="97"/>
      <c r="O62" s="97"/>
      <c r="P62" s="97"/>
      <c r="Q62" s="97"/>
      <c r="R62" s="97"/>
      <c r="S62" s="97"/>
      <c r="T62" s="97"/>
      <c r="U62" s="97"/>
      <c r="V62" s="97"/>
      <c r="W62" s="97"/>
      <c r="X62" s="97"/>
      <c r="Y62" s="97"/>
      <c r="Z62" s="97"/>
      <c r="AA62" s="97"/>
    </row>
    <row r="63" spans="1:27" ht="17">
      <c r="A63" s="97"/>
      <c r="B63" s="183">
        <f t="shared" si="1"/>
        <v>82</v>
      </c>
      <c r="C63" s="320">
        <f ca="1">'19. Funds '!F63</f>
        <v>286805008.02794236</v>
      </c>
      <c r="D63" s="320">
        <f ca="1">D62+'19. Funds '!K62+'19. Funds '!L62</f>
        <v>76973944810.612717</v>
      </c>
      <c r="E63" s="320">
        <f ca="1">SUM('19. Funds '!$N$3:N62)</f>
        <v>51397293073.914612</v>
      </c>
      <c r="F63" s="320">
        <f t="shared" ca="1" si="0"/>
        <v>128658042892.55527</v>
      </c>
      <c r="G63" s="97"/>
      <c r="H63" s="97"/>
      <c r="I63" s="97"/>
      <c r="J63" s="97"/>
      <c r="K63" s="97"/>
      <c r="L63" s="97"/>
      <c r="M63" s="97"/>
      <c r="N63" s="97"/>
      <c r="O63" s="97"/>
      <c r="P63" s="97"/>
      <c r="Q63" s="97"/>
      <c r="R63" s="97"/>
      <c r="S63" s="97"/>
      <c r="T63" s="97"/>
      <c r="U63" s="97"/>
      <c r="V63" s="97"/>
      <c r="W63" s="97"/>
      <c r="X63" s="97"/>
      <c r="Y63" s="97"/>
      <c r="Z63" s="97"/>
      <c r="AA63" s="97"/>
    </row>
    <row r="64" spans="1:27" ht="17">
      <c r="A64" s="97"/>
      <c r="B64" s="183">
        <f t="shared" si="1"/>
        <v>83</v>
      </c>
      <c r="C64" s="320">
        <f ca="1">'19. Funds '!F64</f>
        <v>286805008.02794236</v>
      </c>
      <c r="D64" s="320">
        <f ca="1">D63+'19. Funds '!K63+'19. Funds '!L63</f>
        <v>80181890596.272232</v>
      </c>
      <c r="E64" s="320">
        <f ca="1">SUM('19. Funds '!$N$3:N63)</f>
        <v>53535923597.687622</v>
      </c>
      <c r="F64" s="320">
        <f t="shared" ca="1" si="0"/>
        <v>134004619201.98779</v>
      </c>
      <c r="G64" s="97"/>
      <c r="H64" s="97"/>
      <c r="I64" s="97"/>
      <c r="J64" s="97"/>
      <c r="K64" s="97"/>
      <c r="L64" s="97"/>
      <c r="M64" s="97"/>
      <c r="N64" s="97"/>
      <c r="O64" s="97"/>
      <c r="P64" s="97"/>
      <c r="Q64" s="97"/>
      <c r="R64" s="97"/>
      <c r="S64" s="97"/>
      <c r="T64" s="97"/>
      <c r="U64" s="97"/>
      <c r="V64" s="97"/>
      <c r="W64" s="97"/>
      <c r="X64" s="97"/>
      <c r="Y64" s="97"/>
      <c r="Z64" s="97"/>
      <c r="AA64" s="97"/>
    </row>
    <row r="65" spans="1:27" ht="17">
      <c r="A65" s="97"/>
      <c r="B65" s="183">
        <f t="shared" si="1"/>
        <v>84</v>
      </c>
      <c r="C65" s="320">
        <f ca="1">'19. Funds '!F65</f>
        <v>286805008.02794236</v>
      </c>
      <c r="D65" s="320">
        <f ca="1">D64+'19. Funds '!K64+'19. Funds '!L64</f>
        <v>83655718348.331451</v>
      </c>
      <c r="E65" s="320">
        <f ca="1">SUM('19. Funds '!$N$3:N64)</f>
        <v>55851808765.727097</v>
      </c>
      <c r="F65" s="320">
        <f t="shared" ca="1" si="0"/>
        <v>139794332122.08649</v>
      </c>
      <c r="G65" s="97"/>
      <c r="H65" s="97"/>
      <c r="I65" s="97"/>
      <c r="J65" s="97"/>
      <c r="K65" s="97"/>
      <c r="L65" s="97"/>
      <c r="M65" s="97"/>
      <c r="N65" s="97"/>
      <c r="O65" s="97"/>
      <c r="P65" s="97"/>
      <c r="Q65" s="97"/>
      <c r="R65" s="97"/>
      <c r="S65" s="97"/>
      <c r="T65" s="97"/>
      <c r="U65" s="97"/>
      <c r="V65" s="97"/>
      <c r="W65" s="97"/>
      <c r="X65" s="97"/>
      <c r="Y65" s="97"/>
      <c r="Z65" s="97"/>
      <c r="AA65" s="97"/>
    </row>
    <row r="66" spans="1:27" ht="17">
      <c r="A66" s="97"/>
      <c r="B66" s="183">
        <f t="shared" si="1"/>
        <v>85</v>
      </c>
      <c r="C66" s="320">
        <f ca="1">'19. Funds '!F66</f>
        <v>286805008.02794236</v>
      </c>
      <c r="D66" s="320">
        <f ca="1">D65+'19. Funds '!K65+'19. Funds '!L65</f>
        <v>86850975191.754227</v>
      </c>
      <c r="E66" s="320">
        <f ca="1">SUM('19. Funds '!$N$3:N65)</f>
        <v>57981979994.675613</v>
      </c>
      <c r="F66" s="320">
        <f t="shared" ca="1" si="0"/>
        <v>145119760194.45776</v>
      </c>
      <c r="G66" s="97"/>
      <c r="H66" s="97"/>
      <c r="I66" s="97"/>
      <c r="J66" s="97"/>
      <c r="K66" s="97"/>
      <c r="L66" s="97"/>
      <c r="M66" s="97"/>
      <c r="N66" s="97"/>
      <c r="O66" s="97"/>
      <c r="P66" s="97"/>
      <c r="Q66" s="97"/>
      <c r="R66" s="97"/>
      <c r="S66" s="97"/>
      <c r="T66" s="97"/>
      <c r="U66" s="97"/>
      <c r="V66" s="97"/>
      <c r="W66" s="97"/>
      <c r="X66" s="97"/>
      <c r="Y66" s="97"/>
      <c r="Z66" s="97"/>
      <c r="AA66" s="97"/>
    </row>
    <row r="67" spans="1:27" ht="17">
      <c r="A67" s="97"/>
      <c r="B67" s="97"/>
      <c r="C67" s="302"/>
      <c r="D67" s="302"/>
      <c r="E67" s="302"/>
      <c r="F67" s="302"/>
      <c r="G67" s="97"/>
      <c r="H67" s="97"/>
      <c r="I67" s="97"/>
      <c r="J67" s="97"/>
      <c r="K67" s="97"/>
      <c r="L67" s="97"/>
      <c r="M67" s="97"/>
      <c r="N67" s="97"/>
      <c r="O67" s="97"/>
      <c r="P67" s="97"/>
      <c r="Q67" s="97"/>
      <c r="R67" s="97"/>
      <c r="S67" s="97"/>
      <c r="T67" s="97"/>
      <c r="U67" s="97"/>
      <c r="V67" s="97"/>
      <c r="W67" s="97"/>
      <c r="X67" s="97"/>
      <c r="Y67" s="97"/>
      <c r="Z67" s="97"/>
      <c r="AA67" s="97"/>
    </row>
    <row r="68" spans="1:27" ht="17">
      <c r="A68" s="97"/>
      <c r="B68" s="97"/>
      <c r="C68" s="302"/>
      <c r="D68" s="302"/>
      <c r="E68" s="302"/>
      <c r="F68" s="302"/>
      <c r="G68" s="97"/>
      <c r="H68" s="97"/>
      <c r="I68" s="97"/>
      <c r="J68" s="97"/>
      <c r="K68" s="97"/>
      <c r="L68" s="97"/>
      <c r="M68" s="97"/>
      <c r="N68" s="97"/>
      <c r="O68" s="97"/>
      <c r="P68" s="97"/>
      <c r="Q68" s="97"/>
      <c r="R68" s="97"/>
      <c r="S68" s="97"/>
      <c r="T68" s="97"/>
      <c r="U68" s="97"/>
      <c r="V68" s="97"/>
      <c r="W68" s="97"/>
      <c r="X68" s="97"/>
      <c r="Y68" s="97"/>
      <c r="Z68" s="97"/>
      <c r="AA68" s="97"/>
    </row>
    <row r="69" spans="1:27" ht="17">
      <c r="A69" s="97"/>
      <c r="B69" s="97"/>
      <c r="C69" s="302"/>
      <c r="D69" s="302"/>
      <c r="E69" s="302"/>
      <c r="F69" s="302"/>
      <c r="G69" s="97"/>
      <c r="H69" s="97"/>
      <c r="I69" s="97"/>
      <c r="J69" s="97"/>
      <c r="K69" s="97"/>
      <c r="L69" s="97"/>
      <c r="M69" s="97"/>
      <c r="N69" s="97"/>
      <c r="O69" s="97"/>
      <c r="P69" s="97"/>
      <c r="Q69" s="97"/>
      <c r="R69" s="97"/>
      <c r="S69" s="97"/>
      <c r="T69" s="97"/>
      <c r="U69" s="97"/>
      <c r="V69" s="97"/>
      <c r="W69" s="97"/>
      <c r="X69" s="97"/>
      <c r="Y69" s="97"/>
      <c r="Z69" s="97"/>
      <c r="AA69" s="97"/>
    </row>
    <row r="70" spans="1:27" ht="17">
      <c r="A70" s="97"/>
      <c r="B70" s="97"/>
      <c r="C70" s="302"/>
      <c r="D70" s="302"/>
      <c r="E70" s="302"/>
      <c r="F70" s="302"/>
      <c r="G70" s="97"/>
      <c r="H70" s="97"/>
      <c r="I70" s="97"/>
      <c r="J70" s="97"/>
      <c r="K70" s="97"/>
      <c r="L70" s="97"/>
      <c r="M70" s="97"/>
      <c r="N70" s="97"/>
      <c r="O70" s="97"/>
      <c r="P70" s="97"/>
      <c r="Q70" s="97"/>
      <c r="R70" s="97"/>
      <c r="S70" s="97"/>
      <c r="T70" s="97"/>
      <c r="U70" s="97"/>
      <c r="V70" s="97"/>
      <c r="W70" s="97"/>
      <c r="X70" s="97"/>
      <c r="Y70" s="97"/>
      <c r="Z70" s="97"/>
      <c r="AA70" s="97"/>
    </row>
    <row r="71" spans="1:27" ht="17">
      <c r="A71" s="97"/>
      <c r="B71" s="97"/>
      <c r="C71" s="302"/>
      <c r="D71" s="302"/>
      <c r="E71" s="302"/>
      <c r="F71" s="302"/>
      <c r="G71" s="97"/>
      <c r="H71" s="97"/>
      <c r="I71" s="97"/>
      <c r="J71" s="97"/>
      <c r="K71" s="97"/>
      <c r="L71" s="97"/>
      <c r="M71" s="97"/>
      <c r="N71" s="97"/>
      <c r="O71" s="97"/>
      <c r="P71" s="97"/>
      <c r="Q71" s="97"/>
      <c r="R71" s="97"/>
      <c r="S71" s="97"/>
      <c r="T71" s="97"/>
      <c r="U71" s="97"/>
      <c r="V71" s="97"/>
      <c r="W71" s="97"/>
      <c r="X71" s="97"/>
      <c r="Y71" s="97"/>
      <c r="Z71" s="97"/>
      <c r="AA71" s="97"/>
    </row>
    <row r="72" spans="1:27" ht="17">
      <c r="A72" s="97"/>
      <c r="B72" s="97"/>
      <c r="C72" s="302"/>
      <c r="D72" s="302"/>
      <c r="E72" s="302"/>
      <c r="F72" s="302"/>
      <c r="G72" s="97"/>
      <c r="H72" s="97"/>
      <c r="I72" s="97"/>
      <c r="J72" s="97"/>
      <c r="K72" s="97"/>
      <c r="L72" s="97"/>
      <c r="M72" s="97"/>
      <c r="N72" s="97"/>
      <c r="O72" s="97"/>
      <c r="P72" s="97"/>
      <c r="Q72" s="97"/>
      <c r="R72" s="97"/>
      <c r="S72" s="97"/>
      <c r="T72" s="97"/>
      <c r="U72" s="97"/>
      <c r="V72" s="97"/>
      <c r="W72" s="97"/>
      <c r="X72" s="97"/>
      <c r="Y72" s="97"/>
      <c r="Z72" s="97"/>
      <c r="AA72" s="97"/>
    </row>
    <row r="73" spans="1:27" ht="17">
      <c r="A73" s="97"/>
      <c r="B73" s="97"/>
      <c r="C73" s="302"/>
      <c r="D73" s="302"/>
      <c r="E73" s="302"/>
      <c r="F73" s="302"/>
      <c r="G73" s="97"/>
      <c r="H73" s="97"/>
      <c r="I73" s="97"/>
      <c r="J73" s="97"/>
      <c r="K73" s="97"/>
      <c r="L73" s="97"/>
      <c r="M73" s="97"/>
      <c r="N73" s="97"/>
      <c r="O73" s="97"/>
      <c r="P73" s="97"/>
      <c r="Q73" s="97"/>
      <c r="R73" s="97"/>
      <c r="S73" s="97"/>
      <c r="T73" s="97"/>
      <c r="U73" s="97"/>
      <c r="V73" s="97"/>
      <c r="W73" s="97"/>
      <c r="X73" s="97"/>
      <c r="Y73" s="97"/>
      <c r="Z73" s="97"/>
      <c r="AA73" s="97"/>
    </row>
    <row r="74" spans="1:27" ht="17">
      <c r="A74" s="97"/>
      <c r="B74" s="97"/>
      <c r="C74" s="302"/>
      <c r="D74" s="302"/>
      <c r="E74" s="302"/>
      <c r="F74" s="302"/>
      <c r="G74" s="97"/>
      <c r="H74" s="97"/>
      <c r="I74" s="97"/>
      <c r="J74" s="97"/>
      <c r="K74" s="97"/>
      <c r="L74" s="97"/>
      <c r="M74" s="97"/>
      <c r="N74" s="97"/>
      <c r="O74" s="97"/>
      <c r="P74" s="97"/>
      <c r="Q74" s="97"/>
      <c r="R74" s="97"/>
      <c r="S74" s="97"/>
      <c r="T74" s="97"/>
      <c r="U74" s="97"/>
      <c r="V74" s="97"/>
      <c r="W74" s="97"/>
      <c r="X74" s="97"/>
      <c r="Y74" s="97"/>
      <c r="Z74" s="97"/>
      <c r="AA74" s="97"/>
    </row>
    <row r="75" spans="1:27" ht="17">
      <c r="A75" s="97"/>
      <c r="B75" s="97"/>
      <c r="C75" s="302"/>
      <c r="D75" s="302"/>
      <c r="E75" s="302"/>
      <c r="F75" s="302"/>
      <c r="G75" s="97"/>
      <c r="H75" s="97"/>
      <c r="I75" s="97"/>
      <c r="J75" s="97"/>
      <c r="K75" s="97"/>
      <c r="L75" s="97"/>
      <c r="M75" s="97"/>
      <c r="N75" s="97"/>
      <c r="O75" s="97"/>
      <c r="P75" s="97"/>
      <c r="Q75" s="97"/>
      <c r="R75" s="97"/>
      <c r="S75" s="97"/>
      <c r="T75" s="97"/>
      <c r="U75" s="97"/>
      <c r="V75" s="97"/>
      <c r="W75" s="97"/>
      <c r="X75" s="97"/>
      <c r="Y75" s="97"/>
      <c r="Z75" s="97"/>
      <c r="AA75" s="97"/>
    </row>
    <row r="76" spans="1:27" ht="17">
      <c r="A76" s="97"/>
      <c r="B76" s="97"/>
      <c r="C76" s="302"/>
      <c r="D76" s="302"/>
      <c r="E76" s="302"/>
      <c r="F76" s="302"/>
      <c r="G76" s="97"/>
      <c r="H76" s="97"/>
      <c r="I76" s="97"/>
      <c r="J76" s="97"/>
      <c r="K76" s="97"/>
      <c r="L76" s="97"/>
      <c r="M76" s="97"/>
      <c r="N76" s="97"/>
      <c r="O76" s="97"/>
      <c r="P76" s="97"/>
      <c r="Q76" s="97"/>
      <c r="R76" s="97"/>
      <c r="S76" s="97"/>
      <c r="T76" s="97"/>
      <c r="U76" s="97"/>
      <c r="V76" s="97"/>
      <c r="W76" s="97"/>
      <c r="X76" s="97"/>
      <c r="Y76" s="97"/>
      <c r="Z76" s="97"/>
      <c r="AA76" s="97"/>
    </row>
    <row r="77" spans="1:27" ht="17">
      <c r="A77" s="97"/>
      <c r="B77" s="97"/>
      <c r="C77" s="302"/>
      <c r="D77" s="302"/>
      <c r="E77" s="302"/>
      <c r="F77" s="302"/>
      <c r="G77" s="97"/>
      <c r="H77" s="97"/>
      <c r="I77" s="97"/>
      <c r="J77" s="97"/>
      <c r="K77" s="97"/>
      <c r="L77" s="97"/>
      <c r="M77" s="97"/>
      <c r="N77" s="97"/>
      <c r="O77" s="97"/>
      <c r="P77" s="97"/>
      <c r="Q77" s="97"/>
      <c r="R77" s="97"/>
      <c r="S77" s="97"/>
      <c r="T77" s="97"/>
      <c r="U77" s="97"/>
      <c r="V77" s="97"/>
      <c r="W77" s="97"/>
      <c r="X77" s="97"/>
      <c r="Y77" s="97"/>
      <c r="Z77" s="97"/>
      <c r="AA77" s="97"/>
    </row>
    <row r="78" spans="1:27" ht="17">
      <c r="A78" s="97"/>
      <c r="B78" s="97"/>
      <c r="C78" s="302"/>
      <c r="D78" s="302"/>
      <c r="E78" s="302"/>
      <c r="F78" s="302"/>
      <c r="G78" s="97"/>
      <c r="H78" s="97"/>
      <c r="I78" s="97"/>
      <c r="J78" s="97"/>
      <c r="K78" s="97"/>
      <c r="L78" s="97"/>
      <c r="M78" s="97"/>
      <c r="N78" s="97"/>
      <c r="O78" s="97"/>
      <c r="P78" s="97"/>
      <c r="Q78" s="97"/>
      <c r="R78" s="97"/>
      <c r="S78" s="97"/>
      <c r="T78" s="97"/>
      <c r="U78" s="97"/>
      <c r="V78" s="97"/>
      <c r="W78" s="97"/>
      <c r="X78" s="97"/>
      <c r="Y78" s="97"/>
      <c r="Z78" s="97"/>
      <c r="AA78" s="97"/>
    </row>
    <row r="79" spans="1:27" ht="17">
      <c r="A79" s="97"/>
      <c r="B79" s="97"/>
      <c r="C79" s="302"/>
      <c r="D79" s="302"/>
      <c r="E79" s="302"/>
      <c r="F79" s="302"/>
      <c r="G79" s="97"/>
      <c r="H79" s="97"/>
      <c r="I79" s="97"/>
      <c r="J79" s="97"/>
      <c r="K79" s="97"/>
      <c r="L79" s="97"/>
      <c r="M79" s="97"/>
      <c r="N79" s="97"/>
      <c r="O79" s="97"/>
      <c r="P79" s="97"/>
      <c r="Q79" s="97"/>
      <c r="R79" s="97"/>
      <c r="S79" s="97"/>
      <c r="T79" s="97"/>
      <c r="U79" s="97"/>
      <c r="V79" s="97"/>
      <c r="W79" s="97"/>
      <c r="X79" s="97"/>
      <c r="Y79" s="97"/>
      <c r="Z79" s="97"/>
      <c r="AA79" s="97"/>
    </row>
    <row r="80" spans="1:27" ht="17">
      <c r="A80" s="97"/>
      <c r="B80" s="97"/>
      <c r="C80" s="302"/>
      <c r="D80" s="302"/>
      <c r="E80" s="302"/>
      <c r="F80" s="302"/>
      <c r="G80" s="97"/>
      <c r="H80" s="97"/>
      <c r="I80" s="97"/>
      <c r="J80" s="97"/>
      <c r="K80" s="97"/>
      <c r="L80" s="97"/>
      <c r="M80" s="97"/>
      <c r="N80" s="97"/>
      <c r="O80" s="97"/>
      <c r="P80" s="97"/>
      <c r="Q80" s="97"/>
      <c r="R80" s="97"/>
      <c r="S80" s="97"/>
      <c r="T80" s="97"/>
      <c r="U80" s="97"/>
      <c r="V80" s="97"/>
      <c r="W80" s="97"/>
      <c r="X80" s="97"/>
      <c r="Y80" s="97"/>
      <c r="Z80" s="97"/>
      <c r="AA80" s="97"/>
    </row>
    <row r="81" spans="1:27" ht="17">
      <c r="A81" s="97"/>
      <c r="B81" s="97"/>
      <c r="C81" s="302"/>
      <c r="D81" s="302"/>
      <c r="E81" s="302"/>
      <c r="F81" s="302"/>
      <c r="G81" s="97"/>
      <c r="H81" s="97"/>
      <c r="I81" s="97"/>
      <c r="J81" s="97"/>
      <c r="K81" s="97"/>
      <c r="L81" s="97"/>
      <c r="M81" s="97"/>
      <c r="N81" s="97"/>
      <c r="O81" s="97"/>
      <c r="P81" s="97"/>
      <c r="Q81" s="97"/>
      <c r="R81" s="97"/>
      <c r="S81" s="97"/>
      <c r="T81" s="97"/>
      <c r="U81" s="97"/>
      <c r="V81" s="97"/>
      <c r="W81" s="97"/>
      <c r="X81" s="97"/>
      <c r="Y81" s="97"/>
      <c r="Z81" s="97"/>
      <c r="AA81" s="97"/>
    </row>
    <row r="82" spans="1:27" ht="17">
      <c r="A82" s="97"/>
      <c r="B82" s="97"/>
      <c r="C82" s="302"/>
      <c r="D82" s="302"/>
      <c r="E82" s="302"/>
      <c r="F82" s="302"/>
      <c r="G82" s="97"/>
      <c r="H82" s="97"/>
      <c r="I82" s="97"/>
      <c r="J82" s="97"/>
      <c r="K82" s="97"/>
      <c r="L82" s="97"/>
      <c r="M82" s="97"/>
      <c r="N82" s="97"/>
      <c r="O82" s="97"/>
      <c r="P82" s="97"/>
      <c r="Q82" s="97"/>
      <c r="R82" s="97"/>
      <c r="S82" s="97"/>
      <c r="T82" s="97"/>
      <c r="U82" s="97"/>
      <c r="V82" s="97"/>
      <c r="W82" s="97"/>
      <c r="X82" s="97"/>
      <c r="Y82" s="97"/>
      <c r="Z82" s="97"/>
      <c r="AA82" s="97"/>
    </row>
    <row r="83" spans="1:27" ht="17">
      <c r="A83" s="97"/>
      <c r="B83" s="97"/>
      <c r="C83" s="302"/>
      <c r="D83" s="302"/>
      <c r="E83" s="302"/>
      <c r="F83" s="302"/>
      <c r="G83" s="97"/>
      <c r="H83" s="97"/>
      <c r="I83" s="97"/>
      <c r="J83" s="97"/>
      <c r="K83" s="97"/>
      <c r="L83" s="97"/>
      <c r="M83" s="97"/>
      <c r="N83" s="97"/>
      <c r="O83" s="97"/>
      <c r="P83" s="97"/>
      <c r="Q83" s="97"/>
      <c r="R83" s="97"/>
      <c r="S83" s="97"/>
      <c r="T83" s="97"/>
      <c r="U83" s="97"/>
      <c r="V83" s="97"/>
      <c r="W83" s="97"/>
      <c r="X83" s="97"/>
      <c r="Y83" s="97"/>
      <c r="Z83" s="97"/>
      <c r="AA83" s="97"/>
    </row>
    <row r="84" spans="1:27" ht="17">
      <c r="A84" s="97"/>
      <c r="B84" s="97"/>
      <c r="C84" s="302"/>
      <c r="D84" s="302"/>
      <c r="E84" s="302"/>
      <c r="F84" s="302"/>
      <c r="G84" s="97"/>
      <c r="H84" s="97"/>
      <c r="I84" s="97"/>
      <c r="J84" s="97"/>
      <c r="K84" s="97"/>
      <c r="L84" s="97"/>
      <c r="M84" s="97"/>
      <c r="N84" s="97"/>
      <c r="O84" s="97"/>
      <c r="P84" s="97"/>
      <c r="Q84" s="97"/>
      <c r="R84" s="97"/>
      <c r="S84" s="97"/>
      <c r="T84" s="97"/>
      <c r="U84" s="97"/>
      <c r="V84" s="97"/>
      <c r="W84" s="97"/>
      <c r="X84" s="97"/>
      <c r="Y84" s="97"/>
      <c r="Z84" s="97"/>
      <c r="AA84" s="97"/>
    </row>
    <row r="85" spans="1:27" ht="17">
      <c r="A85" s="97"/>
      <c r="B85" s="97"/>
      <c r="C85" s="302"/>
      <c r="D85" s="302"/>
      <c r="E85" s="302"/>
      <c r="F85" s="302"/>
      <c r="G85" s="97"/>
      <c r="H85" s="97"/>
      <c r="I85" s="97"/>
      <c r="J85" s="97"/>
      <c r="K85" s="97"/>
      <c r="L85" s="97"/>
      <c r="M85" s="97"/>
      <c r="N85" s="97"/>
      <c r="O85" s="97"/>
      <c r="P85" s="97"/>
      <c r="Q85" s="97"/>
      <c r="R85" s="97"/>
      <c r="S85" s="97"/>
      <c r="T85" s="97"/>
      <c r="U85" s="97"/>
      <c r="V85" s="97"/>
      <c r="W85" s="97"/>
      <c r="X85" s="97"/>
      <c r="Y85" s="97"/>
      <c r="Z85" s="97"/>
      <c r="AA85" s="97"/>
    </row>
    <row r="86" spans="1:27" ht="17">
      <c r="A86" s="97"/>
      <c r="B86" s="97"/>
      <c r="C86" s="302"/>
      <c r="D86" s="302"/>
      <c r="E86" s="302"/>
      <c r="F86" s="302"/>
      <c r="G86" s="97"/>
      <c r="H86" s="97"/>
      <c r="I86" s="97"/>
      <c r="J86" s="97"/>
      <c r="K86" s="97"/>
      <c r="L86" s="97"/>
      <c r="M86" s="97"/>
      <c r="N86" s="97"/>
      <c r="O86" s="97"/>
      <c r="P86" s="97"/>
      <c r="Q86" s="97"/>
      <c r="R86" s="97"/>
      <c r="S86" s="97"/>
      <c r="T86" s="97"/>
      <c r="U86" s="97"/>
      <c r="V86" s="97"/>
      <c r="W86" s="97"/>
      <c r="X86" s="97"/>
      <c r="Y86" s="97"/>
      <c r="Z86" s="97"/>
      <c r="AA86" s="97"/>
    </row>
    <row r="87" spans="1:27" ht="17">
      <c r="A87" s="97"/>
      <c r="B87" s="97"/>
      <c r="C87" s="302"/>
      <c r="D87" s="302"/>
      <c r="E87" s="302"/>
      <c r="F87" s="302"/>
      <c r="G87" s="97"/>
      <c r="H87" s="97"/>
      <c r="I87" s="97"/>
      <c r="J87" s="97"/>
      <c r="K87" s="97"/>
      <c r="L87" s="97"/>
      <c r="M87" s="97"/>
      <c r="N87" s="97"/>
      <c r="O87" s="97"/>
      <c r="P87" s="97"/>
      <c r="Q87" s="97"/>
      <c r="R87" s="97"/>
      <c r="S87" s="97"/>
      <c r="T87" s="97"/>
      <c r="U87" s="97"/>
      <c r="V87" s="97"/>
      <c r="W87" s="97"/>
      <c r="X87" s="97"/>
      <c r="Y87" s="97"/>
      <c r="Z87" s="97"/>
      <c r="AA87" s="97"/>
    </row>
    <row r="88" spans="1:27" ht="17">
      <c r="A88" s="97"/>
      <c r="B88" s="97"/>
      <c r="C88" s="302"/>
      <c r="D88" s="302"/>
      <c r="E88" s="302"/>
      <c r="F88" s="302"/>
      <c r="G88" s="97"/>
      <c r="H88" s="97"/>
      <c r="I88" s="97"/>
      <c r="J88" s="97"/>
      <c r="K88" s="97"/>
      <c r="L88" s="97"/>
      <c r="M88" s="97"/>
      <c r="N88" s="97"/>
      <c r="O88" s="97"/>
      <c r="P88" s="97"/>
      <c r="Q88" s="97"/>
      <c r="R88" s="97"/>
      <c r="S88" s="97"/>
      <c r="T88" s="97"/>
      <c r="U88" s="97"/>
      <c r="V88" s="97"/>
      <c r="W88" s="97"/>
      <c r="X88" s="97"/>
      <c r="Y88" s="97"/>
      <c r="Z88" s="97"/>
      <c r="AA88" s="97"/>
    </row>
    <row r="89" spans="1:27" ht="17">
      <c r="A89" s="97"/>
      <c r="B89" s="97"/>
      <c r="C89" s="302"/>
      <c r="D89" s="302"/>
      <c r="E89" s="302"/>
      <c r="F89" s="302"/>
      <c r="G89" s="97"/>
      <c r="H89" s="97"/>
      <c r="I89" s="97"/>
      <c r="J89" s="97"/>
      <c r="K89" s="97"/>
      <c r="L89" s="97"/>
      <c r="M89" s="97"/>
      <c r="N89" s="97"/>
      <c r="O89" s="97"/>
      <c r="P89" s="97"/>
      <c r="Q89" s="97"/>
      <c r="R89" s="97"/>
      <c r="S89" s="97"/>
      <c r="T89" s="97"/>
      <c r="U89" s="97"/>
      <c r="V89" s="97"/>
      <c r="W89" s="97"/>
      <c r="X89" s="97"/>
      <c r="Y89" s="97"/>
      <c r="Z89" s="97"/>
      <c r="AA89" s="97"/>
    </row>
    <row r="90" spans="1:27" ht="17">
      <c r="A90" s="97"/>
      <c r="B90" s="97"/>
      <c r="C90" s="302"/>
      <c r="D90" s="302"/>
      <c r="E90" s="302"/>
      <c r="F90" s="302"/>
      <c r="G90" s="97"/>
      <c r="H90" s="97"/>
      <c r="I90" s="97"/>
      <c r="J90" s="97"/>
      <c r="K90" s="97"/>
      <c r="L90" s="97"/>
      <c r="M90" s="97"/>
      <c r="N90" s="97"/>
      <c r="O90" s="97"/>
      <c r="P90" s="97"/>
      <c r="Q90" s="97"/>
      <c r="R90" s="97"/>
      <c r="S90" s="97"/>
      <c r="T90" s="97"/>
      <c r="U90" s="97"/>
      <c r="V90" s="97"/>
      <c r="W90" s="97"/>
      <c r="X90" s="97"/>
      <c r="Y90" s="97"/>
      <c r="Z90" s="97"/>
      <c r="AA90" s="97"/>
    </row>
    <row r="91" spans="1:27" ht="17">
      <c r="A91" s="97"/>
      <c r="B91" s="97"/>
      <c r="C91" s="302"/>
      <c r="D91" s="302"/>
      <c r="E91" s="302"/>
      <c r="F91" s="302"/>
      <c r="G91" s="97"/>
      <c r="H91" s="97"/>
      <c r="I91" s="97"/>
      <c r="J91" s="97"/>
      <c r="K91" s="97"/>
      <c r="L91" s="97"/>
      <c r="M91" s="97"/>
      <c r="N91" s="97"/>
      <c r="O91" s="97"/>
      <c r="P91" s="97"/>
      <c r="Q91" s="97"/>
      <c r="R91" s="97"/>
      <c r="S91" s="97"/>
      <c r="T91" s="97"/>
      <c r="U91" s="97"/>
      <c r="V91" s="97"/>
      <c r="W91" s="97"/>
      <c r="X91" s="97"/>
      <c r="Y91" s="97"/>
      <c r="Z91" s="97"/>
      <c r="AA91" s="97"/>
    </row>
    <row r="92" spans="1:27" ht="17">
      <c r="A92" s="97"/>
      <c r="B92" s="97"/>
      <c r="C92" s="302"/>
      <c r="D92" s="302"/>
      <c r="E92" s="302"/>
      <c r="F92" s="302"/>
      <c r="G92" s="97"/>
      <c r="H92" s="97"/>
      <c r="I92" s="97"/>
      <c r="J92" s="97"/>
      <c r="K92" s="97"/>
      <c r="L92" s="97"/>
      <c r="M92" s="97"/>
      <c r="N92" s="97"/>
      <c r="O92" s="97"/>
      <c r="P92" s="97"/>
      <c r="Q92" s="97"/>
      <c r="R92" s="97"/>
      <c r="S92" s="97"/>
      <c r="T92" s="97"/>
      <c r="U92" s="97"/>
      <c r="V92" s="97"/>
      <c r="W92" s="97"/>
      <c r="X92" s="97"/>
      <c r="Y92" s="97"/>
      <c r="Z92" s="97"/>
      <c r="AA92" s="97"/>
    </row>
    <row r="93" spans="1:27" ht="17">
      <c r="A93" s="97"/>
      <c r="B93" s="97"/>
      <c r="C93" s="302"/>
      <c r="D93" s="302"/>
      <c r="E93" s="302"/>
      <c r="F93" s="302"/>
      <c r="G93" s="97"/>
      <c r="H93" s="97"/>
      <c r="I93" s="97"/>
      <c r="J93" s="97"/>
      <c r="K93" s="97"/>
      <c r="L93" s="97"/>
      <c r="M93" s="97"/>
      <c r="N93" s="97"/>
      <c r="O93" s="97"/>
      <c r="P93" s="97"/>
      <c r="Q93" s="97"/>
      <c r="R93" s="97"/>
      <c r="S93" s="97"/>
      <c r="T93" s="97"/>
      <c r="U93" s="97"/>
      <c r="V93" s="97"/>
      <c r="W93" s="97"/>
      <c r="X93" s="97"/>
      <c r="Y93" s="97"/>
      <c r="Z93" s="97"/>
      <c r="AA93" s="97"/>
    </row>
    <row r="94" spans="1:27" ht="17">
      <c r="A94" s="97"/>
      <c r="B94" s="97"/>
      <c r="C94" s="302"/>
      <c r="D94" s="302"/>
      <c r="E94" s="302"/>
      <c r="F94" s="302"/>
      <c r="G94" s="97"/>
      <c r="H94" s="97"/>
      <c r="I94" s="97"/>
      <c r="J94" s="97"/>
      <c r="K94" s="97"/>
      <c r="L94" s="97"/>
      <c r="M94" s="97"/>
      <c r="N94" s="97"/>
      <c r="O94" s="97"/>
      <c r="P94" s="97"/>
      <c r="Q94" s="97"/>
      <c r="R94" s="97"/>
      <c r="S94" s="97"/>
      <c r="T94" s="97"/>
      <c r="U94" s="97"/>
      <c r="V94" s="97"/>
      <c r="W94" s="97"/>
      <c r="X94" s="97"/>
      <c r="Y94" s="97"/>
      <c r="Z94" s="97"/>
      <c r="AA94" s="97"/>
    </row>
    <row r="95" spans="1:27" ht="17">
      <c r="A95" s="97"/>
      <c r="B95" s="97"/>
      <c r="C95" s="302"/>
      <c r="D95" s="302"/>
      <c r="E95" s="302"/>
      <c r="F95" s="302"/>
      <c r="G95" s="97"/>
      <c r="H95" s="97"/>
      <c r="I95" s="97"/>
      <c r="J95" s="97"/>
      <c r="K95" s="97"/>
      <c r="L95" s="97"/>
      <c r="M95" s="97"/>
      <c r="N95" s="97"/>
      <c r="O95" s="97"/>
      <c r="P95" s="97"/>
      <c r="Q95" s="97"/>
      <c r="R95" s="97"/>
      <c r="S95" s="97"/>
      <c r="T95" s="97"/>
      <c r="U95" s="97"/>
      <c r="V95" s="97"/>
      <c r="W95" s="97"/>
      <c r="X95" s="97"/>
      <c r="Y95" s="97"/>
      <c r="Z95" s="97"/>
      <c r="AA95" s="97"/>
    </row>
    <row r="96" spans="1:27" ht="17">
      <c r="A96" s="97"/>
      <c r="B96" s="97"/>
      <c r="C96" s="302"/>
      <c r="D96" s="302"/>
      <c r="E96" s="302"/>
      <c r="F96" s="302"/>
      <c r="G96" s="97"/>
      <c r="H96" s="97"/>
      <c r="I96" s="97"/>
      <c r="J96" s="97"/>
      <c r="K96" s="97"/>
      <c r="L96" s="97"/>
      <c r="M96" s="97"/>
      <c r="N96" s="97"/>
      <c r="O96" s="97"/>
      <c r="P96" s="97"/>
      <c r="Q96" s="97"/>
      <c r="R96" s="97"/>
      <c r="S96" s="97"/>
      <c r="T96" s="97"/>
      <c r="U96" s="97"/>
      <c r="V96" s="97"/>
      <c r="W96" s="97"/>
      <c r="X96" s="97"/>
      <c r="Y96" s="97"/>
      <c r="Z96" s="97"/>
      <c r="AA96" s="97"/>
    </row>
    <row r="97" spans="1:27" ht="17">
      <c r="A97" s="97"/>
      <c r="B97" s="97"/>
      <c r="C97" s="302"/>
      <c r="D97" s="302"/>
      <c r="E97" s="302"/>
      <c r="F97" s="302"/>
      <c r="G97" s="97"/>
      <c r="H97" s="97"/>
      <c r="I97" s="97"/>
      <c r="J97" s="97"/>
      <c r="K97" s="97"/>
      <c r="L97" s="97"/>
      <c r="M97" s="97"/>
      <c r="N97" s="97"/>
      <c r="O97" s="97"/>
      <c r="P97" s="97"/>
      <c r="Q97" s="97"/>
      <c r="R97" s="97"/>
      <c r="S97" s="97"/>
      <c r="T97" s="97"/>
      <c r="U97" s="97"/>
      <c r="V97" s="97"/>
      <c r="W97" s="97"/>
      <c r="X97" s="97"/>
      <c r="Y97" s="97"/>
      <c r="Z97" s="97"/>
      <c r="AA97" s="97"/>
    </row>
    <row r="98" spans="1:27" ht="17">
      <c r="A98" s="97"/>
      <c r="B98" s="97"/>
      <c r="C98" s="302"/>
      <c r="D98" s="302"/>
      <c r="E98" s="302"/>
      <c r="F98" s="302"/>
      <c r="G98" s="97"/>
      <c r="H98" s="97"/>
      <c r="I98" s="97"/>
      <c r="J98" s="97"/>
      <c r="K98" s="97"/>
      <c r="L98" s="97"/>
      <c r="M98" s="97"/>
      <c r="N98" s="97"/>
      <c r="O98" s="97"/>
      <c r="P98" s="97"/>
      <c r="Q98" s="97"/>
      <c r="R98" s="97"/>
      <c r="S98" s="97"/>
      <c r="T98" s="97"/>
      <c r="U98" s="97"/>
      <c r="V98" s="97"/>
      <c r="W98" s="97"/>
      <c r="X98" s="97"/>
      <c r="Y98" s="97"/>
      <c r="Z98" s="97"/>
      <c r="AA98" s="97"/>
    </row>
    <row r="99" spans="1:27" ht="17">
      <c r="A99" s="97"/>
      <c r="B99" s="97"/>
      <c r="C99" s="302"/>
      <c r="D99" s="302"/>
      <c r="E99" s="302"/>
      <c r="F99" s="302"/>
      <c r="G99" s="97"/>
      <c r="H99" s="97"/>
      <c r="I99" s="97"/>
      <c r="J99" s="97"/>
      <c r="K99" s="97"/>
      <c r="L99" s="97"/>
      <c r="M99" s="97"/>
      <c r="N99" s="97"/>
      <c r="O99" s="97"/>
      <c r="P99" s="97"/>
      <c r="Q99" s="97"/>
      <c r="R99" s="97"/>
      <c r="S99" s="97"/>
      <c r="T99" s="97"/>
      <c r="U99" s="97"/>
      <c r="V99" s="97"/>
      <c r="W99" s="97"/>
      <c r="X99" s="97"/>
      <c r="Y99" s="97"/>
      <c r="Z99" s="97"/>
      <c r="AA99" s="97"/>
    </row>
    <row r="100" spans="1:27" ht="17">
      <c r="A100" s="97"/>
      <c r="B100" s="97"/>
      <c r="C100" s="302"/>
      <c r="D100" s="302"/>
      <c r="E100" s="302"/>
      <c r="F100" s="302"/>
      <c r="G100" s="97"/>
      <c r="H100" s="97"/>
      <c r="I100" s="97"/>
      <c r="J100" s="97"/>
      <c r="K100" s="97"/>
      <c r="L100" s="97"/>
      <c r="M100" s="97"/>
      <c r="N100" s="97"/>
      <c r="O100" s="97"/>
      <c r="P100" s="97"/>
      <c r="Q100" s="97"/>
      <c r="R100" s="97"/>
      <c r="S100" s="97"/>
      <c r="T100" s="97"/>
      <c r="U100" s="97"/>
      <c r="V100" s="97"/>
      <c r="W100" s="97"/>
      <c r="X100" s="97"/>
      <c r="Y100" s="97"/>
      <c r="Z100" s="97"/>
      <c r="AA100" s="97"/>
    </row>
    <row r="101" spans="1:27" ht="17">
      <c r="A101" s="97"/>
      <c r="B101" s="97"/>
      <c r="C101" s="302"/>
      <c r="D101" s="302"/>
      <c r="E101" s="302"/>
      <c r="F101" s="302"/>
      <c r="G101" s="97"/>
      <c r="H101" s="97"/>
      <c r="I101" s="97"/>
      <c r="J101" s="97"/>
      <c r="K101" s="97"/>
      <c r="L101" s="97"/>
      <c r="M101" s="97"/>
      <c r="N101" s="97"/>
      <c r="O101" s="97"/>
      <c r="P101" s="97"/>
      <c r="Q101" s="97"/>
      <c r="R101" s="97"/>
      <c r="S101" s="97"/>
      <c r="T101" s="97"/>
      <c r="U101" s="97"/>
      <c r="V101" s="97"/>
      <c r="W101" s="97"/>
      <c r="X101" s="97"/>
      <c r="Y101" s="97"/>
      <c r="Z101" s="97"/>
      <c r="AA101" s="97"/>
    </row>
    <row r="102" spans="1:27" ht="17">
      <c r="A102" s="97"/>
      <c r="B102" s="97"/>
      <c r="C102" s="302"/>
      <c r="D102" s="302"/>
      <c r="E102" s="302"/>
      <c r="F102" s="302"/>
      <c r="G102" s="97"/>
      <c r="H102" s="97"/>
      <c r="I102" s="97"/>
      <c r="J102" s="97"/>
      <c r="K102" s="97"/>
      <c r="L102" s="97"/>
      <c r="M102" s="97"/>
      <c r="N102" s="97"/>
      <c r="O102" s="97"/>
      <c r="P102" s="97"/>
      <c r="Q102" s="97"/>
      <c r="R102" s="97"/>
      <c r="S102" s="97"/>
      <c r="T102" s="97"/>
      <c r="U102" s="97"/>
      <c r="V102" s="97"/>
      <c r="W102" s="97"/>
      <c r="X102" s="97"/>
      <c r="Y102" s="97"/>
      <c r="Z102" s="97"/>
      <c r="AA102" s="97"/>
    </row>
    <row r="103" spans="1:27" ht="17">
      <c r="A103" s="97"/>
      <c r="B103" s="97"/>
      <c r="C103" s="302"/>
      <c r="D103" s="302"/>
      <c r="E103" s="302"/>
      <c r="F103" s="302"/>
      <c r="G103" s="97"/>
      <c r="H103" s="97"/>
      <c r="I103" s="97"/>
      <c r="J103" s="97"/>
      <c r="K103" s="97"/>
      <c r="L103" s="97"/>
      <c r="M103" s="97"/>
      <c r="N103" s="97"/>
      <c r="O103" s="97"/>
      <c r="P103" s="97"/>
      <c r="Q103" s="97"/>
      <c r="R103" s="97"/>
      <c r="S103" s="97"/>
      <c r="T103" s="97"/>
      <c r="U103" s="97"/>
      <c r="V103" s="97"/>
      <c r="W103" s="97"/>
      <c r="X103" s="97"/>
      <c r="Y103" s="97"/>
      <c r="Z103" s="97"/>
      <c r="AA103" s="97"/>
    </row>
    <row r="104" spans="1:27" ht="17">
      <c r="A104" s="97"/>
      <c r="B104" s="97"/>
      <c r="C104" s="302"/>
      <c r="D104" s="302"/>
      <c r="E104" s="302"/>
      <c r="F104" s="302"/>
      <c r="G104" s="97"/>
      <c r="H104" s="97"/>
      <c r="I104" s="97"/>
      <c r="J104" s="97"/>
      <c r="K104" s="97"/>
      <c r="L104" s="97"/>
      <c r="M104" s="97"/>
      <c r="N104" s="97"/>
      <c r="O104" s="97"/>
      <c r="P104" s="97"/>
      <c r="Q104" s="97"/>
      <c r="R104" s="97"/>
      <c r="S104" s="97"/>
      <c r="T104" s="97"/>
      <c r="U104" s="97"/>
      <c r="V104" s="97"/>
      <c r="W104" s="97"/>
      <c r="X104" s="97"/>
      <c r="Y104" s="97"/>
      <c r="Z104" s="97"/>
      <c r="AA104" s="97"/>
    </row>
    <row r="105" spans="1:27" ht="17">
      <c r="A105" s="97"/>
      <c r="B105" s="97"/>
      <c r="C105" s="302"/>
      <c r="D105" s="302"/>
      <c r="E105" s="302"/>
      <c r="F105" s="302"/>
      <c r="G105" s="97"/>
      <c r="H105" s="97"/>
      <c r="I105" s="97"/>
      <c r="J105" s="97"/>
      <c r="K105" s="97"/>
      <c r="L105" s="97"/>
      <c r="M105" s="97"/>
      <c r="N105" s="97"/>
      <c r="O105" s="97"/>
      <c r="P105" s="97"/>
      <c r="Q105" s="97"/>
      <c r="R105" s="97"/>
      <c r="S105" s="97"/>
      <c r="T105" s="97"/>
      <c r="U105" s="97"/>
      <c r="V105" s="97"/>
      <c r="W105" s="97"/>
      <c r="X105" s="97"/>
      <c r="Y105" s="97"/>
      <c r="Z105" s="97"/>
      <c r="AA105" s="97"/>
    </row>
    <row r="106" spans="1:27" ht="17">
      <c r="A106" s="97"/>
      <c r="B106" s="97"/>
      <c r="C106" s="302"/>
      <c r="D106" s="302"/>
      <c r="E106" s="302"/>
      <c r="F106" s="302"/>
      <c r="G106" s="97"/>
      <c r="H106" s="97"/>
      <c r="I106" s="97"/>
      <c r="J106" s="97"/>
      <c r="K106" s="97"/>
      <c r="L106" s="97"/>
      <c r="M106" s="97"/>
      <c r="N106" s="97"/>
      <c r="O106" s="97"/>
      <c r="P106" s="97"/>
      <c r="Q106" s="97"/>
      <c r="R106" s="97"/>
      <c r="S106" s="97"/>
      <c r="T106" s="97"/>
      <c r="U106" s="97"/>
      <c r="V106" s="97"/>
      <c r="W106" s="97"/>
      <c r="X106" s="97"/>
      <c r="Y106" s="97"/>
      <c r="Z106" s="97"/>
      <c r="AA106" s="97"/>
    </row>
    <row r="107" spans="1:27" ht="17">
      <c r="A107" s="97"/>
      <c r="B107" s="97"/>
      <c r="C107" s="302"/>
      <c r="D107" s="302"/>
      <c r="E107" s="302"/>
      <c r="F107" s="302"/>
      <c r="G107" s="97"/>
      <c r="H107" s="97"/>
      <c r="I107" s="97"/>
      <c r="J107" s="97"/>
      <c r="K107" s="97"/>
      <c r="L107" s="97"/>
      <c r="M107" s="97"/>
      <c r="N107" s="97"/>
      <c r="O107" s="97"/>
      <c r="P107" s="97"/>
      <c r="Q107" s="97"/>
      <c r="R107" s="97"/>
      <c r="S107" s="97"/>
      <c r="T107" s="97"/>
      <c r="U107" s="97"/>
      <c r="V107" s="97"/>
      <c r="W107" s="97"/>
      <c r="X107" s="97"/>
      <c r="Y107" s="97"/>
      <c r="Z107" s="97"/>
      <c r="AA107" s="97"/>
    </row>
    <row r="108" spans="1:27" ht="17">
      <c r="A108" s="97"/>
      <c r="B108" s="97"/>
      <c r="C108" s="302"/>
      <c r="D108" s="302"/>
      <c r="E108" s="302"/>
      <c r="F108" s="302"/>
      <c r="G108" s="97"/>
      <c r="H108" s="97"/>
      <c r="I108" s="97"/>
      <c r="J108" s="97"/>
      <c r="K108" s="97"/>
      <c r="L108" s="97"/>
      <c r="M108" s="97"/>
      <c r="N108" s="97"/>
      <c r="O108" s="97"/>
      <c r="P108" s="97"/>
      <c r="Q108" s="97"/>
      <c r="R108" s="97"/>
      <c r="S108" s="97"/>
      <c r="T108" s="97"/>
      <c r="U108" s="97"/>
      <c r="V108" s="97"/>
      <c r="W108" s="97"/>
      <c r="X108" s="97"/>
      <c r="Y108" s="97"/>
      <c r="Z108" s="97"/>
      <c r="AA108" s="97"/>
    </row>
    <row r="109" spans="1:27" ht="17">
      <c r="A109" s="97"/>
      <c r="B109" s="97"/>
      <c r="C109" s="302"/>
      <c r="D109" s="302"/>
      <c r="E109" s="302"/>
      <c r="F109" s="302"/>
      <c r="G109" s="97"/>
      <c r="H109" s="97"/>
      <c r="I109" s="97"/>
      <c r="J109" s="97"/>
      <c r="K109" s="97"/>
      <c r="L109" s="97"/>
      <c r="M109" s="97"/>
      <c r="N109" s="97"/>
      <c r="O109" s="97"/>
      <c r="P109" s="97"/>
      <c r="Q109" s="97"/>
      <c r="R109" s="97"/>
      <c r="S109" s="97"/>
      <c r="T109" s="97"/>
      <c r="U109" s="97"/>
      <c r="V109" s="97"/>
      <c r="W109" s="97"/>
      <c r="X109" s="97"/>
      <c r="Y109" s="97"/>
      <c r="Z109" s="97"/>
      <c r="AA109" s="97"/>
    </row>
    <row r="110" spans="1:27" ht="17">
      <c r="A110" s="97"/>
      <c r="B110" s="97"/>
      <c r="C110" s="302"/>
      <c r="D110" s="302"/>
      <c r="E110" s="302"/>
      <c r="F110" s="302"/>
      <c r="G110" s="97"/>
      <c r="H110" s="97"/>
      <c r="I110" s="97"/>
      <c r="J110" s="97"/>
      <c r="K110" s="97"/>
      <c r="L110" s="97"/>
      <c r="M110" s="97"/>
      <c r="N110" s="97"/>
      <c r="O110" s="97"/>
      <c r="P110" s="97"/>
      <c r="Q110" s="97"/>
      <c r="R110" s="97"/>
      <c r="S110" s="97"/>
      <c r="T110" s="97"/>
      <c r="U110" s="97"/>
      <c r="V110" s="97"/>
      <c r="W110" s="97"/>
      <c r="X110" s="97"/>
      <c r="Y110" s="97"/>
      <c r="Z110" s="97"/>
      <c r="AA110" s="97"/>
    </row>
    <row r="111" spans="1:27" ht="17">
      <c r="A111" s="97"/>
      <c r="B111" s="97"/>
      <c r="C111" s="302"/>
      <c r="D111" s="302"/>
      <c r="E111" s="302"/>
      <c r="F111" s="302"/>
      <c r="G111" s="97"/>
      <c r="H111" s="97"/>
      <c r="I111" s="97"/>
      <c r="J111" s="97"/>
      <c r="K111" s="97"/>
      <c r="L111" s="97"/>
      <c r="M111" s="97"/>
      <c r="N111" s="97"/>
      <c r="O111" s="97"/>
      <c r="P111" s="97"/>
      <c r="Q111" s="97"/>
      <c r="R111" s="97"/>
      <c r="S111" s="97"/>
      <c r="T111" s="97"/>
      <c r="U111" s="97"/>
      <c r="V111" s="97"/>
      <c r="W111" s="97"/>
      <c r="X111" s="97"/>
      <c r="Y111" s="97"/>
      <c r="Z111" s="97"/>
      <c r="AA111" s="97"/>
    </row>
    <row r="112" spans="1:27" ht="17">
      <c r="A112" s="97"/>
      <c r="B112" s="97"/>
      <c r="C112" s="302"/>
      <c r="D112" s="302"/>
      <c r="E112" s="302"/>
      <c r="F112" s="302"/>
      <c r="G112" s="97"/>
      <c r="H112" s="97"/>
      <c r="I112" s="97"/>
      <c r="J112" s="97"/>
      <c r="K112" s="97"/>
      <c r="L112" s="97"/>
      <c r="M112" s="97"/>
      <c r="N112" s="97"/>
      <c r="O112" s="97"/>
      <c r="P112" s="97"/>
      <c r="Q112" s="97"/>
      <c r="R112" s="97"/>
      <c r="S112" s="97"/>
      <c r="T112" s="97"/>
      <c r="U112" s="97"/>
      <c r="V112" s="97"/>
      <c r="W112" s="97"/>
      <c r="X112" s="97"/>
      <c r="Y112" s="97"/>
      <c r="Z112" s="97"/>
      <c r="AA112" s="97"/>
    </row>
    <row r="113" spans="1:27" ht="17">
      <c r="A113" s="97"/>
      <c r="B113" s="97"/>
      <c r="C113" s="302"/>
      <c r="D113" s="302"/>
      <c r="E113" s="302"/>
      <c r="F113" s="302"/>
      <c r="G113" s="97"/>
      <c r="H113" s="97"/>
      <c r="I113" s="97"/>
      <c r="J113" s="97"/>
      <c r="K113" s="97"/>
      <c r="L113" s="97"/>
      <c r="M113" s="97"/>
      <c r="N113" s="97"/>
      <c r="O113" s="97"/>
      <c r="P113" s="97"/>
      <c r="Q113" s="97"/>
      <c r="R113" s="97"/>
      <c r="S113" s="97"/>
      <c r="T113" s="97"/>
      <c r="U113" s="97"/>
      <c r="V113" s="97"/>
      <c r="W113" s="97"/>
      <c r="X113" s="97"/>
      <c r="Y113" s="97"/>
      <c r="Z113" s="97"/>
      <c r="AA113" s="97"/>
    </row>
    <row r="114" spans="1:27" ht="17">
      <c r="A114" s="97"/>
      <c r="B114" s="97"/>
      <c r="C114" s="302"/>
      <c r="D114" s="302"/>
      <c r="E114" s="302"/>
      <c r="F114" s="302"/>
      <c r="G114" s="97"/>
      <c r="H114" s="97"/>
      <c r="I114" s="97"/>
      <c r="J114" s="97"/>
      <c r="K114" s="97"/>
      <c r="L114" s="97"/>
      <c r="M114" s="97"/>
      <c r="N114" s="97"/>
      <c r="O114" s="97"/>
      <c r="P114" s="97"/>
      <c r="Q114" s="97"/>
      <c r="R114" s="97"/>
      <c r="S114" s="97"/>
      <c r="T114" s="97"/>
      <c r="U114" s="97"/>
      <c r="V114" s="97"/>
      <c r="W114" s="97"/>
      <c r="X114" s="97"/>
      <c r="Y114" s="97"/>
      <c r="Z114" s="97"/>
      <c r="AA114" s="97"/>
    </row>
    <row r="115" spans="1:27" ht="17">
      <c r="A115" s="97"/>
      <c r="B115" s="97"/>
      <c r="C115" s="302"/>
      <c r="D115" s="302"/>
      <c r="E115" s="302"/>
      <c r="F115" s="302"/>
      <c r="G115" s="97"/>
      <c r="H115" s="97"/>
      <c r="I115" s="97"/>
      <c r="J115" s="97"/>
      <c r="K115" s="97"/>
      <c r="L115" s="97"/>
      <c r="M115" s="97"/>
      <c r="N115" s="97"/>
      <c r="O115" s="97"/>
      <c r="P115" s="97"/>
      <c r="Q115" s="97"/>
      <c r="R115" s="97"/>
      <c r="S115" s="97"/>
      <c r="T115" s="97"/>
      <c r="U115" s="97"/>
      <c r="V115" s="97"/>
      <c r="W115" s="97"/>
      <c r="X115" s="97"/>
      <c r="Y115" s="97"/>
      <c r="Z115" s="97"/>
      <c r="AA115" s="97"/>
    </row>
    <row r="116" spans="1:27" ht="17">
      <c r="A116" s="97"/>
      <c r="B116" s="97"/>
      <c r="C116" s="302"/>
      <c r="D116" s="302"/>
      <c r="E116" s="302"/>
      <c r="F116" s="302"/>
      <c r="G116" s="97"/>
      <c r="H116" s="97"/>
      <c r="I116" s="97"/>
      <c r="J116" s="97"/>
      <c r="K116" s="97"/>
      <c r="L116" s="97"/>
      <c r="M116" s="97"/>
      <c r="N116" s="97"/>
      <c r="O116" s="97"/>
      <c r="P116" s="97"/>
      <c r="Q116" s="97"/>
      <c r="R116" s="97"/>
      <c r="S116" s="97"/>
      <c r="T116" s="97"/>
      <c r="U116" s="97"/>
      <c r="V116" s="97"/>
      <c r="W116" s="97"/>
      <c r="X116" s="97"/>
      <c r="Y116" s="97"/>
      <c r="Z116" s="97"/>
      <c r="AA116" s="97"/>
    </row>
    <row r="117" spans="1:27" ht="17">
      <c r="A117" s="97"/>
      <c r="B117" s="97"/>
      <c r="C117" s="302"/>
      <c r="D117" s="302"/>
      <c r="E117" s="302"/>
      <c r="F117" s="302"/>
      <c r="G117" s="97"/>
      <c r="H117" s="97"/>
      <c r="I117" s="97"/>
      <c r="J117" s="97"/>
      <c r="K117" s="97"/>
      <c r="L117" s="97"/>
      <c r="M117" s="97"/>
      <c r="N117" s="97"/>
      <c r="O117" s="97"/>
      <c r="P117" s="97"/>
      <c r="Q117" s="97"/>
      <c r="R117" s="97"/>
      <c r="S117" s="97"/>
      <c r="T117" s="97"/>
      <c r="U117" s="97"/>
      <c r="V117" s="97"/>
      <c r="W117" s="97"/>
      <c r="X117" s="97"/>
      <c r="Y117" s="97"/>
      <c r="Z117" s="97"/>
      <c r="AA117" s="97"/>
    </row>
    <row r="118" spans="1:27" ht="17">
      <c r="A118" s="97"/>
      <c r="B118" s="97"/>
      <c r="C118" s="302"/>
      <c r="D118" s="302"/>
      <c r="E118" s="302"/>
      <c r="F118" s="302"/>
      <c r="G118" s="97"/>
      <c r="H118" s="97"/>
      <c r="I118" s="97"/>
      <c r="J118" s="97"/>
      <c r="K118" s="97"/>
      <c r="L118" s="97"/>
      <c r="M118" s="97"/>
      <c r="N118" s="97"/>
      <c r="O118" s="97"/>
      <c r="P118" s="97"/>
      <c r="Q118" s="97"/>
      <c r="R118" s="97"/>
      <c r="S118" s="97"/>
      <c r="T118" s="97"/>
      <c r="U118" s="97"/>
      <c r="V118" s="97"/>
      <c r="W118" s="97"/>
      <c r="X118" s="97"/>
      <c r="Y118" s="97"/>
      <c r="Z118" s="97"/>
      <c r="AA118" s="97"/>
    </row>
    <row r="119" spans="1:27" ht="17">
      <c r="A119" s="97"/>
      <c r="B119" s="97"/>
      <c r="C119" s="302"/>
      <c r="D119" s="302"/>
      <c r="E119" s="302"/>
      <c r="F119" s="302"/>
      <c r="G119" s="97"/>
      <c r="H119" s="97"/>
      <c r="I119" s="97"/>
      <c r="J119" s="97"/>
      <c r="K119" s="97"/>
      <c r="L119" s="97"/>
      <c r="M119" s="97"/>
      <c r="N119" s="97"/>
      <c r="O119" s="97"/>
      <c r="P119" s="97"/>
      <c r="Q119" s="97"/>
      <c r="R119" s="97"/>
      <c r="S119" s="97"/>
      <c r="T119" s="97"/>
      <c r="U119" s="97"/>
      <c r="V119" s="97"/>
      <c r="W119" s="97"/>
      <c r="X119" s="97"/>
      <c r="Y119" s="97"/>
      <c r="Z119" s="97"/>
      <c r="AA119" s="97"/>
    </row>
    <row r="120" spans="1:27" ht="17">
      <c r="A120" s="97"/>
      <c r="B120" s="97"/>
      <c r="C120" s="302"/>
      <c r="D120" s="302"/>
      <c r="E120" s="302"/>
      <c r="F120" s="302"/>
      <c r="G120" s="97"/>
      <c r="H120" s="97"/>
      <c r="I120" s="97"/>
      <c r="J120" s="97"/>
      <c r="K120" s="97"/>
      <c r="L120" s="97"/>
      <c r="M120" s="97"/>
      <c r="N120" s="97"/>
      <c r="O120" s="97"/>
      <c r="P120" s="97"/>
      <c r="Q120" s="97"/>
      <c r="R120" s="97"/>
      <c r="S120" s="97"/>
      <c r="T120" s="97"/>
      <c r="U120" s="97"/>
      <c r="V120" s="97"/>
      <c r="W120" s="97"/>
      <c r="X120" s="97"/>
      <c r="Y120" s="97"/>
      <c r="Z120" s="97"/>
      <c r="AA120" s="97"/>
    </row>
    <row r="121" spans="1:27" ht="17">
      <c r="A121" s="97"/>
      <c r="B121" s="97"/>
      <c r="C121" s="302"/>
      <c r="D121" s="302"/>
      <c r="E121" s="302"/>
      <c r="F121" s="302"/>
      <c r="G121" s="97"/>
      <c r="H121" s="97"/>
      <c r="I121" s="97"/>
      <c r="J121" s="97"/>
      <c r="K121" s="97"/>
      <c r="L121" s="97"/>
      <c r="M121" s="97"/>
      <c r="N121" s="97"/>
      <c r="O121" s="97"/>
      <c r="P121" s="97"/>
      <c r="Q121" s="97"/>
      <c r="R121" s="97"/>
      <c r="S121" s="97"/>
      <c r="T121" s="97"/>
      <c r="U121" s="97"/>
      <c r="V121" s="97"/>
      <c r="W121" s="97"/>
      <c r="X121" s="97"/>
      <c r="Y121" s="97"/>
      <c r="Z121" s="97"/>
      <c r="AA121" s="97"/>
    </row>
    <row r="122" spans="1:27" ht="17">
      <c r="A122" s="97"/>
      <c r="B122" s="97"/>
      <c r="C122" s="302"/>
      <c r="D122" s="302"/>
      <c r="E122" s="302"/>
      <c r="F122" s="302"/>
      <c r="G122" s="97"/>
      <c r="H122" s="97"/>
      <c r="I122" s="97"/>
      <c r="J122" s="97"/>
      <c r="K122" s="97"/>
      <c r="L122" s="97"/>
      <c r="M122" s="97"/>
      <c r="N122" s="97"/>
      <c r="O122" s="97"/>
      <c r="P122" s="97"/>
      <c r="Q122" s="97"/>
      <c r="R122" s="97"/>
      <c r="S122" s="97"/>
      <c r="T122" s="97"/>
      <c r="U122" s="97"/>
      <c r="V122" s="97"/>
      <c r="W122" s="97"/>
      <c r="X122" s="97"/>
      <c r="Y122" s="97"/>
      <c r="Z122" s="97"/>
      <c r="AA122" s="97"/>
    </row>
    <row r="123" spans="1:27" ht="17">
      <c r="A123" s="97"/>
      <c r="B123" s="97"/>
      <c r="C123" s="302"/>
      <c r="D123" s="302"/>
      <c r="E123" s="302"/>
      <c r="F123" s="302"/>
      <c r="G123" s="97"/>
      <c r="H123" s="97"/>
      <c r="I123" s="97"/>
      <c r="J123" s="97"/>
      <c r="K123" s="97"/>
      <c r="L123" s="97"/>
      <c r="M123" s="97"/>
      <c r="N123" s="97"/>
      <c r="O123" s="97"/>
      <c r="P123" s="97"/>
      <c r="Q123" s="97"/>
      <c r="R123" s="97"/>
      <c r="S123" s="97"/>
      <c r="T123" s="97"/>
      <c r="U123" s="97"/>
      <c r="V123" s="97"/>
      <c r="W123" s="97"/>
      <c r="X123" s="97"/>
      <c r="Y123" s="97"/>
      <c r="Z123" s="97"/>
      <c r="AA123" s="97"/>
    </row>
    <row r="124" spans="1:27" ht="17">
      <c r="A124" s="97"/>
      <c r="B124" s="97"/>
      <c r="C124" s="302"/>
      <c r="D124" s="302"/>
      <c r="E124" s="302"/>
      <c r="F124" s="302"/>
      <c r="G124" s="97"/>
      <c r="H124" s="97"/>
      <c r="I124" s="97"/>
      <c r="J124" s="97"/>
      <c r="K124" s="97"/>
      <c r="L124" s="97"/>
      <c r="M124" s="97"/>
      <c r="N124" s="97"/>
      <c r="O124" s="97"/>
      <c r="P124" s="97"/>
      <c r="Q124" s="97"/>
      <c r="R124" s="97"/>
      <c r="S124" s="97"/>
      <c r="T124" s="97"/>
      <c r="U124" s="97"/>
      <c r="V124" s="97"/>
      <c r="W124" s="97"/>
      <c r="X124" s="97"/>
      <c r="Y124" s="97"/>
      <c r="Z124" s="97"/>
      <c r="AA124" s="97"/>
    </row>
    <row r="125" spans="1:27" ht="17">
      <c r="A125" s="97"/>
      <c r="B125" s="97"/>
      <c r="C125" s="302"/>
      <c r="D125" s="302"/>
      <c r="E125" s="302"/>
      <c r="F125" s="302"/>
      <c r="G125" s="97"/>
      <c r="H125" s="97"/>
      <c r="I125" s="97"/>
      <c r="J125" s="97"/>
      <c r="K125" s="97"/>
      <c r="L125" s="97"/>
      <c r="M125" s="97"/>
      <c r="N125" s="97"/>
      <c r="O125" s="97"/>
      <c r="P125" s="97"/>
      <c r="Q125" s="97"/>
      <c r="R125" s="97"/>
      <c r="S125" s="97"/>
      <c r="T125" s="97"/>
      <c r="U125" s="97"/>
      <c r="V125" s="97"/>
      <c r="W125" s="97"/>
      <c r="X125" s="97"/>
      <c r="Y125" s="97"/>
      <c r="Z125" s="97"/>
      <c r="AA125" s="97"/>
    </row>
    <row r="126" spans="1:27" ht="17">
      <c r="A126" s="97"/>
      <c r="B126" s="97"/>
      <c r="C126" s="302"/>
      <c r="D126" s="302"/>
      <c r="E126" s="302"/>
      <c r="F126" s="302"/>
      <c r="G126" s="97"/>
      <c r="H126" s="97"/>
      <c r="I126" s="97"/>
      <c r="J126" s="97"/>
      <c r="K126" s="97"/>
      <c r="L126" s="97"/>
      <c r="M126" s="97"/>
      <c r="N126" s="97"/>
      <c r="O126" s="97"/>
      <c r="P126" s="97"/>
      <c r="Q126" s="97"/>
      <c r="R126" s="97"/>
      <c r="S126" s="97"/>
      <c r="T126" s="97"/>
      <c r="U126" s="97"/>
      <c r="V126" s="97"/>
      <c r="W126" s="97"/>
      <c r="X126" s="97"/>
      <c r="Y126" s="97"/>
      <c r="Z126" s="97"/>
      <c r="AA126" s="97"/>
    </row>
    <row r="127" spans="1:27" ht="17">
      <c r="A127" s="97"/>
      <c r="B127" s="97"/>
      <c r="C127" s="302"/>
      <c r="D127" s="302"/>
      <c r="E127" s="302"/>
      <c r="F127" s="302"/>
      <c r="G127" s="97"/>
      <c r="H127" s="97"/>
      <c r="I127" s="97"/>
      <c r="J127" s="97"/>
      <c r="K127" s="97"/>
      <c r="L127" s="97"/>
      <c r="M127" s="97"/>
      <c r="N127" s="97"/>
      <c r="O127" s="97"/>
      <c r="P127" s="97"/>
      <c r="Q127" s="97"/>
      <c r="R127" s="97"/>
      <c r="S127" s="97"/>
      <c r="T127" s="97"/>
      <c r="U127" s="97"/>
      <c r="V127" s="97"/>
      <c r="W127" s="97"/>
      <c r="X127" s="97"/>
      <c r="Y127" s="97"/>
      <c r="Z127" s="97"/>
      <c r="AA127" s="97"/>
    </row>
    <row r="128" spans="1:27" ht="17">
      <c r="A128" s="97"/>
      <c r="B128" s="97"/>
      <c r="C128" s="302"/>
      <c r="D128" s="302"/>
      <c r="E128" s="302"/>
      <c r="F128" s="302"/>
      <c r="G128" s="97"/>
      <c r="H128" s="97"/>
      <c r="I128" s="97"/>
      <c r="J128" s="97"/>
      <c r="K128" s="97"/>
      <c r="L128" s="97"/>
      <c r="M128" s="97"/>
      <c r="N128" s="97"/>
      <c r="O128" s="97"/>
      <c r="P128" s="97"/>
      <c r="Q128" s="97"/>
      <c r="R128" s="97"/>
      <c r="S128" s="97"/>
      <c r="T128" s="97"/>
      <c r="U128" s="97"/>
      <c r="V128" s="97"/>
      <c r="W128" s="97"/>
      <c r="X128" s="97"/>
      <c r="Y128" s="97"/>
      <c r="Z128" s="97"/>
      <c r="AA128" s="97"/>
    </row>
    <row r="129" spans="1:27" ht="17">
      <c r="A129" s="97"/>
      <c r="B129" s="97"/>
      <c r="C129" s="302"/>
      <c r="D129" s="302"/>
      <c r="E129" s="302"/>
      <c r="F129" s="302"/>
      <c r="G129" s="97"/>
      <c r="H129" s="97"/>
      <c r="I129" s="97"/>
      <c r="J129" s="97"/>
      <c r="K129" s="97"/>
      <c r="L129" s="97"/>
      <c r="M129" s="97"/>
      <c r="N129" s="97"/>
      <c r="O129" s="97"/>
      <c r="P129" s="97"/>
      <c r="Q129" s="97"/>
      <c r="R129" s="97"/>
      <c r="S129" s="97"/>
      <c r="T129" s="97"/>
      <c r="U129" s="97"/>
      <c r="V129" s="97"/>
      <c r="W129" s="97"/>
      <c r="X129" s="97"/>
      <c r="Y129" s="97"/>
      <c r="Z129" s="97"/>
      <c r="AA129" s="97"/>
    </row>
    <row r="130" spans="1:27" ht="17">
      <c r="A130" s="97"/>
      <c r="B130" s="97"/>
      <c r="C130" s="302"/>
      <c r="D130" s="302"/>
      <c r="E130" s="302"/>
      <c r="F130" s="302"/>
      <c r="G130" s="97"/>
      <c r="H130" s="97"/>
      <c r="I130" s="97"/>
      <c r="J130" s="97"/>
      <c r="K130" s="97"/>
      <c r="L130" s="97"/>
      <c r="M130" s="97"/>
      <c r="N130" s="97"/>
      <c r="O130" s="97"/>
      <c r="P130" s="97"/>
      <c r="Q130" s="97"/>
      <c r="R130" s="97"/>
      <c r="S130" s="97"/>
      <c r="T130" s="97"/>
      <c r="U130" s="97"/>
      <c r="V130" s="97"/>
      <c r="W130" s="97"/>
      <c r="X130" s="97"/>
      <c r="Y130" s="97"/>
      <c r="Z130" s="97"/>
      <c r="AA130" s="97"/>
    </row>
    <row r="131" spans="1:27" ht="17">
      <c r="A131" s="97"/>
      <c r="B131" s="97"/>
      <c r="C131" s="302"/>
      <c r="D131" s="302"/>
      <c r="E131" s="302"/>
      <c r="F131" s="302"/>
      <c r="G131" s="97"/>
      <c r="H131" s="97"/>
      <c r="I131" s="97"/>
      <c r="J131" s="97"/>
      <c r="K131" s="97"/>
      <c r="L131" s="97"/>
      <c r="M131" s="97"/>
      <c r="N131" s="97"/>
      <c r="O131" s="97"/>
      <c r="P131" s="97"/>
      <c r="Q131" s="97"/>
      <c r="R131" s="97"/>
      <c r="S131" s="97"/>
      <c r="T131" s="97"/>
      <c r="U131" s="97"/>
      <c r="V131" s="97"/>
      <c r="W131" s="97"/>
      <c r="X131" s="97"/>
      <c r="Y131" s="97"/>
      <c r="Z131" s="97"/>
      <c r="AA131" s="97"/>
    </row>
    <row r="132" spans="1:27" ht="17">
      <c r="A132" s="97"/>
      <c r="B132" s="97"/>
      <c r="C132" s="302"/>
      <c r="D132" s="302"/>
      <c r="E132" s="302"/>
      <c r="F132" s="302"/>
      <c r="G132" s="97"/>
      <c r="H132" s="97"/>
      <c r="I132" s="97"/>
      <c r="J132" s="97"/>
      <c r="K132" s="97"/>
      <c r="L132" s="97"/>
      <c r="M132" s="97"/>
      <c r="N132" s="97"/>
      <c r="O132" s="97"/>
      <c r="P132" s="97"/>
      <c r="Q132" s="97"/>
      <c r="R132" s="97"/>
      <c r="S132" s="97"/>
      <c r="T132" s="97"/>
      <c r="U132" s="97"/>
      <c r="V132" s="97"/>
      <c r="W132" s="97"/>
      <c r="X132" s="97"/>
      <c r="Y132" s="97"/>
      <c r="Z132" s="97"/>
      <c r="AA132" s="97"/>
    </row>
    <row r="133" spans="1:27" ht="17">
      <c r="A133" s="97"/>
      <c r="B133" s="97"/>
      <c r="C133" s="302"/>
      <c r="D133" s="302"/>
      <c r="E133" s="302"/>
      <c r="F133" s="302"/>
      <c r="G133" s="97"/>
      <c r="H133" s="97"/>
      <c r="I133" s="97"/>
      <c r="J133" s="97"/>
      <c r="K133" s="97"/>
      <c r="L133" s="97"/>
      <c r="M133" s="97"/>
      <c r="N133" s="97"/>
      <c r="O133" s="97"/>
      <c r="P133" s="97"/>
      <c r="Q133" s="97"/>
      <c r="R133" s="97"/>
      <c r="S133" s="97"/>
      <c r="T133" s="97"/>
      <c r="U133" s="97"/>
      <c r="V133" s="97"/>
      <c r="W133" s="97"/>
      <c r="X133" s="97"/>
      <c r="Y133" s="97"/>
      <c r="Z133" s="97"/>
      <c r="AA133" s="97"/>
    </row>
    <row r="134" spans="1:27" ht="17">
      <c r="A134" s="97"/>
      <c r="B134" s="97"/>
      <c r="C134" s="302"/>
      <c r="D134" s="302"/>
      <c r="E134" s="302"/>
      <c r="F134" s="302"/>
      <c r="G134" s="97"/>
      <c r="H134" s="97"/>
      <c r="I134" s="97"/>
      <c r="J134" s="97"/>
      <c r="K134" s="97"/>
      <c r="L134" s="97"/>
      <c r="M134" s="97"/>
      <c r="N134" s="97"/>
      <c r="O134" s="97"/>
      <c r="P134" s="97"/>
      <c r="Q134" s="97"/>
      <c r="R134" s="97"/>
      <c r="S134" s="97"/>
      <c r="T134" s="97"/>
      <c r="U134" s="97"/>
      <c r="V134" s="97"/>
      <c r="W134" s="97"/>
      <c r="X134" s="97"/>
      <c r="Y134" s="97"/>
      <c r="Z134" s="97"/>
      <c r="AA134" s="97"/>
    </row>
    <row r="135" spans="1:27" ht="17">
      <c r="A135" s="97"/>
      <c r="B135" s="97"/>
      <c r="C135" s="302"/>
      <c r="D135" s="302"/>
      <c r="E135" s="302"/>
      <c r="F135" s="302"/>
      <c r="G135" s="97"/>
      <c r="H135" s="97"/>
      <c r="I135" s="97"/>
      <c r="J135" s="97"/>
      <c r="K135" s="97"/>
      <c r="L135" s="97"/>
      <c r="M135" s="97"/>
      <c r="N135" s="97"/>
      <c r="O135" s="97"/>
      <c r="P135" s="97"/>
      <c r="Q135" s="97"/>
      <c r="R135" s="97"/>
      <c r="S135" s="97"/>
      <c r="T135" s="97"/>
      <c r="U135" s="97"/>
      <c r="V135" s="97"/>
      <c r="W135" s="97"/>
      <c r="X135" s="97"/>
      <c r="Y135" s="97"/>
      <c r="Z135" s="97"/>
      <c r="AA135" s="97"/>
    </row>
    <row r="136" spans="1:27" ht="17">
      <c r="A136" s="97"/>
      <c r="B136" s="97"/>
      <c r="C136" s="302"/>
      <c r="D136" s="302"/>
      <c r="E136" s="302"/>
      <c r="F136" s="302"/>
      <c r="G136" s="97"/>
      <c r="H136" s="97"/>
      <c r="I136" s="97"/>
      <c r="J136" s="97"/>
      <c r="K136" s="97"/>
      <c r="L136" s="97"/>
      <c r="M136" s="97"/>
      <c r="N136" s="97"/>
      <c r="O136" s="97"/>
      <c r="P136" s="97"/>
      <c r="Q136" s="97"/>
      <c r="R136" s="97"/>
      <c r="S136" s="97"/>
      <c r="T136" s="97"/>
      <c r="U136" s="97"/>
      <c r="V136" s="97"/>
      <c r="W136" s="97"/>
      <c r="X136" s="97"/>
      <c r="Y136" s="97"/>
      <c r="Z136" s="97"/>
      <c r="AA136" s="97"/>
    </row>
    <row r="137" spans="1:27" ht="17">
      <c r="A137" s="97"/>
      <c r="B137" s="97"/>
      <c r="C137" s="302"/>
      <c r="D137" s="302"/>
      <c r="E137" s="302"/>
      <c r="F137" s="302"/>
      <c r="G137" s="97"/>
      <c r="H137" s="97"/>
      <c r="I137" s="97"/>
      <c r="J137" s="97"/>
      <c r="K137" s="97"/>
      <c r="L137" s="97"/>
      <c r="M137" s="97"/>
      <c r="N137" s="97"/>
      <c r="O137" s="97"/>
      <c r="P137" s="97"/>
      <c r="Q137" s="97"/>
      <c r="R137" s="97"/>
      <c r="S137" s="97"/>
      <c r="T137" s="97"/>
      <c r="U137" s="97"/>
      <c r="V137" s="97"/>
      <c r="W137" s="97"/>
      <c r="X137" s="97"/>
      <c r="Y137" s="97"/>
      <c r="Z137" s="97"/>
      <c r="AA137" s="97"/>
    </row>
    <row r="138" spans="1:27" ht="17">
      <c r="A138" s="97"/>
      <c r="B138" s="97"/>
      <c r="C138" s="302"/>
      <c r="D138" s="302"/>
      <c r="E138" s="302"/>
      <c r="F138" s="302"/>
      <c r="G138" s="97"/>
      <c r="H138" s="97"/>
      <c r="I138" s="97"/>
      <c r="J138" s="97"/>
      <c r="K138" s="97"/>
      <c r="L138" s="97"/>
      <c r="M138" s="97"/>
      <c r="N138" s="97"/>
      <c r="O138" s="97"/>
      <c r="P138" s="97"/>
      <c r="Q138" s="97"/>
      <c r="R138" s="97"/>
      <c r="S138" s="97"/>
      <c r="T138" s="97"/>
      <c r="U138" s="97"/>
      <c r="V138" s="97"/>
      <c r="W138" s="97"/>
      <c r="X138" s="97"/>
      <c r="Y138" s="97"/>
      <c r="Z138" s="97"/>
      <c r="AA138" s="97"/>
    </row>
    <row r="139" spans="1:27" ht="17">
      <c r="A139" s="97"/>
      <c r="B139" s="97"/>
      <c r="C139" s="302"/>
      <c r="D139" s="302"/>
      <c r="E139" s="302"/>
      <c r="F139" s="302"/>
      <c r="G139" s="97"/>
      <c r="H139" s="97"/>
      <c r="I139" s="97"/>
      <c r="J139" s="97"/>
      <c r="K139" s="97"/>
      <c r="L139" s="97"/>
      <c r="M139" s="97"/>
      <c r="N139" s="97"/>
      <c r="O139" s="97"/>
      <c r="P139" s="97"/>
      <c r="Q139" s="97"/>
      <c r="R139" s="97"/>
      <c r="S139" s="97"/>
      <c r="T139" s="97"/>
      <c r="U139" s="97"/>
      <c r="V139" s="97"/>
      <c r="W139" s="97"/>
      <c r="X139" s="97"/>
      <c r="Y139" s="97"/>
      <c r="Z139" s="97"/>
      <c r="AA139" s="97"/>
    </row>
    <row r="140" spans="1:27" ht="17">
      <c r="A140" s="97"/>
      <c r="B140" s="97"/>
      <c r="C140" s="302"/>
      <c r="D140" s="302"/>
      <c r="E140" s="302"/>
      <c r="F140" s="302"/>
      <c r="G140" s="97"/>
      <c r="H140" s="97"/>
      <c r="I140" s="97"/>
      <c r="J140" s="97"/>
      <c r="K140" s="97"/>
      <c r="L140" s="97"/>
      <c r="M140" s="97"/>
      <c r="N140" s="97"/>
      <c r="O140" s="97"/>
      <c r="P140" s="97"/>
      <c r="Q140" s="97"/>
      <c r="R140" s="97"/>
      <c r="S140" s="97"/>
      <c r="T140" s="97"/>
      <c r="U140" s="97"/>
      <c r="V140" s="97"/>
      <c r="W140" s="97"/>
      <c r="X140" s="97"/>
      <c r="Y140" s="97"/>
      <c r="Z140" s="97"/>
      <c r="AA140" s="97"/>
    </row>
    <row r="141" spans="1:27" ht="17">
      <c r="A141" s="97"/>
      <c r="B141" s="97"/>
      <c r="C141" s="302"/>
      <c r="D141" s="302"/>
      <c r="E141" s="302"/>
      <c r="F141" s="302"/>
      <c r="G141" s="97"/>
      <c r="H141" s="97"/>
      <c r="I141" s="97"/>
      <c r="J141" s="97"/>
      <c r="K141" s="97"/>
      <c r="L141" s="97"/>
      <c r="M141" s="97"/>
      <c r="N141" s="97"/>
      <c r="O141" s="97"/>
      <c r="P141" s="97"/>
      <c r="Q141" s="97"/>
      <c r="R141" s="97"/>
      <c r="S141" s="97"/>
      <c r="T141" s="97"/>
      <c r="U141" s="97"/>
      <c r="V141" s="97"/>
      <c r="W141" s="97"/>
      <c r="X141" s="97"/>
      <c r="Y141" s="97"/>
      <c r="Z141" s="97"/>
      <c r="AA141" s="97"/>
    </row>
    <row r="142" spans="1:27" ht="17">
      <c r="A142" s="97"/>
      <c r="B142" s="97"/>
      <c r="C142" s="302"/>
      <c r="D142" s="302"/>
      <c r="E142" s="302"/>
      <c r="F142" s="302"/>
      <c r="G142" s="97"/>
      <c r="H142" s="97"/>
      <c r="I142" s="97"/>
      <c r="J142" s="97"/>
      <c r="K142" s="97"/>
      <c r="L142" s="97"/>
      <c r="M142" s="97"/>
      <c r="N142" s="97"/>
      <c r="O142" s="97"/>
      <c r="P142" s="97"/>
      <c r="Q142" s="97"/>
      <c r="R142" s="97"/>
      <c r="S142" s="97"/>
      <c r="T142" s="97"/>
      <c r="U142" s="97"/>
      <c r="V142" s="97"/>
      <c r="W142" s="97"/>
      <c r="X142" s="97"/>
      <c r="Y142" s="97"/>
      <c r="Z142" s="97"/>
      <c r="AA142" s="97"/>
    </row>
    <row r="143" spans="1:27" ht="17">
      <c r="A143" s="97"/>
      <c r="B143" s="97"/>
      <c r="C143" s="302"/>
      <c r="D143" s="302"/>
      <c r="E143" s="302"/>
      <c r="F143" s="302"/>
      <c r="G143" s="97"/>
      <c r="H143" s="97"/>
      <c r="I143" s="97"/>
      <c r="J143" s="97"/>
      <c r="K143" s="97"/>
      <c r="L143" s="97"/>
      <c r="M143" s="97"/>
      <c r="N143" s="97"/>
      <c r="O143" s="97"/>
      <c r="P143" s="97"/>
      <c r="Q143" s="97"/>
      <c r="R143" s="97"/>
      <c r="S143" s="97"/>
      <c r="T143" s="97"/>
      <c r="U143" s="97"/>
      <c r="V143" s="97"/>
      <c r="W143" s="97"/>
      <c r="X143" s="97"/>
      <c r="Y143" s="97"/>
      <c r="Z143" s="97"/>
      <c r="AA143" s="97"/>
    </row>
    <row r="144" spans="1:27" ht="17">
      <c r="A144" s="97"/>
      <c r="B144" s="97"/>
      <c r="C144" s="302"/>
      <c r="D144" s="302"/>
      <c r="E144" s="302"/>
      <c r="F144" s="302"/>
      <c r="G144" s="97"/>
      <c r="H144" s="97"/>
      <c r="I144" s="97"/>
      <c r="J144" s="97"/>
      <c r="K144" s="97"/>
      <c r="L144" s="97"/>
      <c r="M144" s="97"/>
      <c r="N144" s="97"/>
      <c r="O144" s="97"/>
      <c r="P144" s="97"/>
      <c r="Q144" s="97"/>
      <c r="R144" s="97"/>
      <c r="S144" s="97"/>
      <c r="T144" s="97"/>
      <c r="U144" s="97"/>
      <c r="V144" s="97"/>
      <c r="W144" s="97"/>
      <c r="X144" s="97"/>
      <c r="Y144" s="97"/>
      <c r="Z144" s="97"/>
      <c r="AA144" s="97"/>
    </row>
    <row r="145" spans="1:27" ht="17">
      <c r="A145" s="97"/>
      <c r="B145" s="97"/>
      <c r="C145" s="302"/>
      <c r="D145" s="302"/>
      <c r="E145" s="302"/>
      <c r="F145" s="302"/>
      <c r="G145" s="97"/>
      <c r="H145" s="97"/>
      <c r="I145" s="97"/>
      <c r="J145" s="97"/>
      <c r="K145" s="97"/>
      <c r="L145" s="97"/>
      <c r="M145" s="97"/>
      <c r="N145" s="97"/>
      <c r="O145" s="97"/>
      <c r="P145" s="97"/>
      <c r="Q145" s="97"/>
      <c r="R145" s="97"/>
      <c r="S145" s="97"/>
      <c r="T145" s="97"/>
      <c r="U145" s="97"/>
      <c r="V145" s="97"/>
      <c r="W145" s="97"/>
      <c r="X145" s="97"/>
      <c r="Y145" s="97"/>
      <c r="Z145" s="97"/>
      <c r="AA145" s="97"/>
    </row>
    <row r="146" spans="1:27" ht="17">
      <c r="A146" s="97"/>
      <c r="B146" s="97"/>
      <c r="C146" s="302"/>
      <c r="D146" s="302"/>
      <c r="E146" s="302"/>
      <c r="F146" s="302"/>
      <c r="G146" s="97"/>
      <c r="H146" s="97"/>
      <c r="I146" s="97"/>
      <c r="J146" s="97"/>
      <c r="K146" s="97"/>
      <c r="L146" s="97"/>
      <c r="M146" s="97"/>
      <c r="N146" s="97"/>
      <c r="O146" s="97"/>
      <c r="P146" s="97"/>
      <c r="Q146" s="97"/>
      <c r="R146" s="97"/>
      <c r="S146" s="97"/>
      <c r="T146" s="97"/>
      <c r="U146" s="97"/>
      <c r="V146" s="97"/>
      <c r="W146" s="97"/>
      <c r="X146" s="97"/>
      <c r="Y146" s="97"/>
      <c r="Z146" s="97"/>
      <c r="AA146" s="97"/>
    </row>
    <row r="147" spans="1:27" ht="17">
      <c r="A147" s="97"/>
      <c r="B147" s="97"/>
      <c r="C147" s="302"/>
      <c r="D147" s="302"/>
      <c r="E147" s="302"/>
      <c r="F147" s="302"/>
      <c r="G147" s="97"/>
      <c r="H147" s="97"/>
      <c r="I147" s="97"/>
      <c r="J147" s="97"/>
      <c r="K147" s="97"/>
      <c r="L147" s="97"/>
      <c r="M147" s="97"/>
      <c r="N147" s="97"/>
      <c r="O147" s="97"/>
      <c r="P147" s="97"/>
      <c r="Q147" s="97"/>
      <c r="R147" s="97"/>
      <c r="S147" s="97"/>
      <c r="T147" s="97"/>
      <c r="U147" s="97"/>
      <c r="V147" s="97"/>
      <c r="W147" s="97"/>
      <c r="X147" s="97"/>
      <c r="Y147" s="97"/>
      <c r="Z147" s="97"/>
      <c r="AA147" s="97"/>
    </row>
    <row r="148" spans="1:27" ht="17">
      <c r="A148" s="97"/>
      <c r="B148" s="97"/>
      <c r="C148" s="302"/>
      <c r="D148" s="302"/>
      <c r="E148" s="302"/>
      <c r="F148" s="302"/>
      <c r="G148" s="97"/>
      <c r="H148" s="97"/>
      <c r="I148" s="97"/>
      <c r="J148" s="97"/>
      <c r="K148" s="97"/>
      <c r="L148" s="97"/>
      <c r="M148" s="97"/>
      <c r="N148" s="97"/>
      <c r="O148" s="97"/>
      <c r="P148" s="97"/>
      <c r="Q148" s="97"/>
      <c r="R148" s="97"/>
      <c r="S148" s="97"/>
      <c r="T148" s="97"/>
      <c r="U148" s="97"/>
      <c r="V148" s="97"/>
      <c r="W148" s="97"/>
      <c r="X148" s="97"/>
      <c r="Y148" s="97"/>
      <c r="Z148" s="97"/>
      <c r="AA148" s="97"/>
    </row>
    <row r="149" spans="1:27" ht="17">
      <c r="A149" s="97"/>
      <c r="B149" s="97"/>
      <c r="C149" s="302"/>
      <c r="D149" s="302"/>
      <c r="E149" s="302"/>
      <c r="F149" s="302"/>
      <c r="G149" s="97"/>
      <c r="H149" s="97"/>
      <c r="I149" s="97"/>
      <c r="J149" s="97"/>
      <c r="K149" s="97"/>
      <c r="L149" s="97"/>
      <c r="M149" s="97"/>
      <c r="N149" s="97"/>
      <c r="O149" s="97"/>
      <c r="P149" s="97"/>
      <c r="Q149" s="97"/>
      <c r="R149" s="97"/>
      <c r="S149" s="97"/>
      <c r="T149" s="97"/>
      <c r="U149" s="97"/>
      <c r="V149" s="97"/>
      <c r="W149" s="97"/>
      <c r="X149" s="97"/>
      <c r="Y149" s="97"/>
      <c r="Z149" s="97"/>
      <c r="AA149" s="97"/>
    </row>
    <row r="150" spans="1:27" ht="17">
      <c r="A150" s="97"/>
      <c r="B150" s="97"/>
      <c r="C150" s="302"/>
      <c r="D150" s="302"/>
      <c r="E150" s="302"/>
      <c r="F150" s="302"/>
      <c r="G150" s="97"/>
      <c r="H150" s="97"/>
      <c r="I150" s="97"/>
      <c r="J150" s="97"/>
      <c r="K150" s="97"/>
      <c r="L150" s="97"/>
      <c r="M150" s="97"/>
      <c r="N150" s="97"/>
      <c r="O150" s="97"/>
      <c r="P150" s="97"/>
      <c r="Q150" s="97"/>
      <c r="R150" s="97"/>
      <c r="S150" s="97"/>
      <c r="T150" s="97"/>
      <c r="U150" s="97"/>
      <c r="V150" s="97"/>
      <c r="W150" s="97"/>
      <c r="X150" s="97"/>
      <c r="Y150" s="97"/>
      <c r="Z150" s="97"/>
      <c r="AA150" s="97"/>
    </row>
    <row r="151" spans="1:27" ht="17">
      <c r="A151" s="97"/>
      <c r="B151" s="97"/>
      <c r="C151" s="302"/>
      <c r="D151" s="302"/>
      <c r="E151" s="302"/>
      <c r="F151" s="302"/>
      <c r="G151" s="97"/>
      <c r="H151" s="97"/>
      <c r="I151" s="97"/>
      <c r="J151" s="97"/>
      <c r="K151" s="97"/>
      <c r="L151" s="97"/>
      <c r="M151" s="97"/>
      <c r="N151" s="97"/>
      <c r="O151" s="97"/>
      <c r="P151" s="97"/>
      <c r="Q151" s="97"/>
      <c r="R151" s="97"/>
      <c r="S151" s="97"/>
      <c r="T151" s="97"/>
      <c r="U151" s="97"/>
      <c r="V151" s="97"/>
      <c r="W151" s="97"/>
      <c r="X151" s="97"/>
      <c r="Y151" s="97"/>
      <c r="Z151" s="97"/>
      <c r="AA151" s="97"/>
    </row>
    <row r="152" spans="1:27" ht="17">
      <c r="A152" s="97"/>
      <c r="B152" s="97"/>
      <c r="C152" s="302"/>
      <c r="D152" s="302"/>
      <c r="E152" s="302"/>
      <c r="F152" s="302"/>
      <c r="G152" s="97"/>
      <c r="H152" s="97"/>
      <c r="I152" s="97"/>
      <c r="J152" s="97"/>
      <c r="K152" s="97"/>
      <c r="L152" s="97"/>
      <c r="M152" s="97"/>
      <c r="N152" s="97"/>
      <c r="O152" s="97"/>
      <c r="P152" s="97"/>
      <c r="Q152" s="97"/>
      <c r="R152" s="97"/>
      <c r="S152" s="97"/>
      <c r="T152" s="97"/>
      <c r="U152" s="97"/>
      <c r="V152" s="97"/>
      <c r="W152" s="97"/>
      <c r="X152" s="97"/>
      <c r="Y152" s="97"/>
      <c r="Z152" s="97"/>
      <c r="AA152" s="97"/>
    </row>
    <row r="153" spans="1:27" ht="17">
      <c r="A153" s="97"/>
      <c r="B153" s="97"/>
      <c r="C153" s="302"/>
      <c r="D153" s="302"/>
      <c r="E153" s="302"/>
      <c r="F153" s="302"/>
      <c r="G153" s="97"/>
      <c r="H153" s="97"/>
      <c r="I153" s="97"/>
      <c r="J153" s="97"/>
      <c r="K153" s="97"/>
      <c r="L153" s="97"/>
      <c r="M153" s="97"/>
      <c r="N153" s="97"/>
      <c r="O153" s="97"/>
      <c r="P153" s="97"/>
      <c r="Q153" s="97"/>
      <c r="R153" s="97"/>
      <c r="S153" s="97"/>
      <c r="T153" s="97"/>
      <c r="U153" s="97"/>
      <c r="V153" s="97"/>
      <c r="W153" s="97"/>
      <c r="X153" s="97"/>
      <c r="Y153" s="97"/>
      <c r="Z153" s="97"/>
      <c r="AA153" s="97"/>
    </row>
    <row r="154" spans="1:27" ht="17">
      <c r="A154" s="97"/>
      <c r="B154" s="97"/>
      <c r="C154" s="302"/>
      <c r="D154" s="302"/>
      <c r="E154" s="302"/>
      <c r="F154" s="302"/>
      <c r="G154" s="97"/>
      <c r="H154" s="97"/>
      <c r="I154" s="97"/>
      <c r="J154" s="97"/>
      <c r="K154" s="97"/>
      <c r="L154" s="97"/>
      <c r="M154" s="97"/>
      <c r="N154" s="97"/>
      <c r="O154" s="97"/>
      <c r="P154" s="97"/>
      <c r="Q154" s="97"/>
      <c r="R154" s="97"/>
      <c r="S154" s="97"/>
      <c r="T154" s="97"/>
      <c r="U154" s="97"/>
      <c r="V154" s="97"/>
      <c r="W154" s="97"/>
      <c r="X154" s="97"/>
      <c r="Y154" s="97"/>
      <c r="Z154" s="97"/>
      <c r="AA154" s="97"/>
    </row>
    <row r="155" spans="1:27" ht="17">
      <c r="A155" s="97"/>
      <c r="B155" s="97"/>
      <c r="C155" s="302"/>
      <c r="D155" s="302"/>
      <c r="E155" s="302"/>
      <c r="F155" s="302"/>
      <c r="G155" s="97"/>
      <c r="H155" s="97"/>
      <c r="I155" s="97"/>
      <c r="J155" s="97"/>
      <c r="K155" s="97"/>
      <c r="L155" s="97"/>
      <c r="M155" s="97"/>
      <c r="N155" s="97"/>
      <c r="O155" s="97"/>
      <c r="P155" s="97"/>
      <c r="Q155" s="97"/>
      <c r="R155" s="97"/>
      <c r="S155" s="97"/>
      <c r="T155" s="97"/>
      <c r="U155" s="97"/>
      <c r="V155" s="97"/>
      <c r="W155" s="97"/>
      <c r="X155" s="97"/>
      <c r="Y155" s="97"/>
      <c r="Z155" s="97"/>
      <c r="AA155" s="97"/>
    </row>
    <row r="156" spans="1:27" ht="17">
      <c r="A156" s="97"/>
      <c r="B156" s="97"/>
      <c r="C156" s="302"/>
      <c r="D156" s="302"/>
      <c r="E156" s="302"/>
      <c r="F156" s="302"/>
      <c r="G156" s="97"/>
      <c r="H156" s="97"/>
      <c r="I156" s="97"/>
      <c r="J156" s="97"/>
      <c r="K156" s="97"/>
      <c r="L156" s="97"/>
      <c r="M156" s="97"/>
      <c r="N156" s="97"/>
      <c r="O156" s="97"/>
      <c r="P156" s="97"/>
      <c r="Q156" s="97"/>
      <c r="R156" s="97"/>
      <c r="S156" s="97"/>
      <c r="T156" s="97"/>
      <c r="U156" s="97"/>
      <c r="V156" s="97"/>
      <c r="W156" s="97"/>
      <c r="X156" s="97"/>
      <c r="Y156" s="97"/>
      <c r="Z156" s="97"/>
      <c r="AA156" s="97"/>
    </row>
    <row r="157" spans="1:27" ht="17">
      <c r="A157" s="97"/>
      <c r="B157" s="97"/>
      <c r="C157" s="302"/>
      <c r="D157" s="302"/>
      <c r="E157" s="302"/>
      <c r="F157" s="302"/>
      <c r="G157" s="97"/>
      <c r="H157" s="97"/>
      <c r="I157" s="97"/>
      <c r="J157" s="97"/>
      <c r="K157" s="97"/>
      <c r="L157" s="97"/>
      <c r="M157" s="97"/>
      <c r="N157" s="97"/>
      <c r="O157" s="97"/>
      <c r="P157" s="97"/>
      <c r="Q157" s="97"/>
      <c r="R157" s="97"/>
      <c r="S157" s="97"/>
      <c r="T157" s="97"/>
      <c r="U157" s="97"/>
      <c r="V157" s="97"/>
      <c r="W157" s="97"/>
      <c r="X157" s="97"/>
      <c r="Y157" s="97"/>
      <c r="Z157" s="97"/>
      <c r="AA157" s="97"/>
    </row>
    <row r="158" spans="1:27" ht="17">
      <c r="A158" s="97"/>
      <c r="B158" s="97"/>
      <c r="C158" s="302"/>
      <c r="D158" s="302"/>
      <c r="E158" s="302"/>
      <c r="F158" s="302"/>
      <c r="G158" s="97"/>
      <c r="H158" s="97"/>
      <c r="I158" s="97"/>
      <c r="J158" s="97"/>
      <c r="K158" s="97"/>
      <c r="L158" s="97"/>
      <c r="M158" s="97"/>
      <c r="N158" s="97"/>
      <c r="O158" s="97"/>
      <c r="P158" s="97"/>
      <c r="Q158" s="97"/>
      <c r="R158" s="97"/>
      <c r="S158" s="97"/>
      <c r="T158" s="97"/>
      <c r="U158" s="97"/>
      <c r="V158" s="97"/>
      <c r="W158" s="97"/>
      <c r="X158" s="97"/>
      <c r="Y158" s="97"/>
      <c r="Z158" s="97"/>
      <c r="AA158" s="97"/>
    </row>
    <row r="159" spans="1:27" ht="17">
      <c r="A159" s="97"/>
      <c r="B159" s="97"/>
      <c r="C159" s="302"/>
      <c r="D159" s="302"/>
      <c r="E159" s="302"/>
      <c r="F159" s="302"/>
      <c r="G159" s="97"/>
      <c r="H159" s="97"/>
      <c r="I159" s="97"/>
      <c r="J159" s="97"/>
      <c r="K159" s="97"/>
      <c r="L159" s="97"/>
      <c r="M159" s="97"/>
      <c r="N159" s="97"/>
      <c r="O159" s="97"/>
      <c r="P159" s="97"/>
      <c r="Q159" s="97"/>
      <c r="R159" s="97"/>
      <c r="S159" s="97"/>
      <c r="T159" s="97"/>
      <c r="U159" s="97"/>
      <c r="V159" s="97"/>
      <c r="W159" s="97"/>
      <c r="X159" s="97"/>
      <c r="Y159" s="97"/>
      <c r="Z159" s="97"/>
      <c r="AA159" s="97"/>
    </row>
    <row r="160" spans="1:27" ht="17">
      <c r="A160" s="97"/>
      <c r="B160" s="97"/>
      <c r="C160" s="302"/>
      <c r="D160" s="302"/>
      <c r="E160" s="302"/>
      <c r="F160" s="302"/>
      <c r="G160" s="97"/>
      <c r="H160" s="97"/>
      <c r="I160" s="97"/>
      <c r="J160" s="97"/>
      <c r="K160" s="97"/>
      <c r="L160" s="97"/>
      <c r="M160" s="97"/>
      <c r="N160" s="97"/>
      <c r="O160" s="97"/>
      <c r="P160" s="97"/>
      <c r="Q160" s="97"/>
      <c r="R160" s="97"/>
      <c r="S160" s="97"/>
      <c r="T160" s="97"/>
      <c r="U160" s="97"/>
      <c r="V160" s="97"/>
      <c r="W160" s="97"/>
      <c r="X160" s="97"/>
      <c r="Y160" s="97"/>
      <c r="Z160" s="97"/>
      <c r="AA160" s="97"/>
    </row>
    <row r="161" spans="1:27" ht="17">
      <c r="A161" s="97"/>
      <c r="B161" s="97"/>
      <c r="C161" s="302"/>
      <c r="D161" s="302"/>
      <c r="E161" s="302"/>
      <c r="F161" s="302"/>
      <c r="G161" s="97"/>
      <c r="H161" s="97"/>
      <c r="I161" s="97"/>
      <c r="J161" s="97"/>
      <c r="K161" s="97"/>
      <c r="L161" s="97"/>
      <c r="M161" s="97"/>
      <c r="N161" s="97"/>
      <c r="O161" s="97"/>
      <c r="P161" s="97"/>
      <c r="Q161" s="97"/>
      <c r="R161" s="97"/>
      <c r="S161" s="97"/>
      <c r="T161" s="97"/>
      <c r="U161" s="97"/>
      <c r="V161" s="97"/>
      <c r="W161" s="97"/>
      <c r="X161" s="97"/>
      <c r="Y161" s="97"/>
      <c r="Z161" s="97"/>
      <c r="AA161" s="97"/>
    </row>
    <row r="162" spans="1:27" ht="17">
      <c r="A162" s="97"/>
      <c r="B162" s="97"/>
      <c r="C162" s="302"/>
      <c r="D162" s="302"/>
      <c r="E162" s="302"/>
      <c r="F162" s="302"/>
      <c r="G162" s="97"/>
      <c r="H162" s="97"/>
      <c r="I162" s="97"/>
      <c r="J162" s="97"/>
      <c r="K162" s="97"/>
      <c r="L162" s="97"/>
      <c r="M162" s="97"/>
      <c r="N162" s="97"/>
      <c r="O162" s="97"/>
      <c r="P162" s="97"/>
      <c r="Q162" s="97"/>
      <c r="R162" s="97"/>
      <c r="S162" s="97"/>
      <c r="T162" s="97"/>
      <c r="U162" s="97"/>
      <c r="V162" s="97"/>
      <c r="W162" s="97"/>
      <c r="X162" s="97"/>
      <c r="Y162" s="97"/>
      <c r="Z162" s="97"/>
      <c r="AA162" s="97"/>
    </row>
    <row r="163" spans="1:27" ht="17">
      <c r="A163" s="97"/>
      <c r="B163" s="97"/>
      <c r="C163" s="302"/>
      <c r="D163" s="302"/>
      <c r="E163" s="302"/>
      <c r="F163" s="302"/>
      <c r="G163" s="97"/>
      <c r="H163" s="97"/>
      <c r="I163" s="97"/>
      <c r="J163" s="97"/>
      <c r="K163" s="97"/>
      <c r="L163" s="97"/>
      <c r="M163" s="97"/>
      <c r="N163" s="97"/>
      <c r="O163" s="97"/>
      <c r="P163" s="97"/>
      <c r="Q163" s="97"/>
      <c r="R163" s="97"/>
      <c r="S163" s="97"/>
      <c r="T163" s="97"/>
      <c r="U163" s="97"/>
      <c r="V163" s="97"/>
      <c r="W163" s="97"/>
      <c r="X163" s="97"/>
      <c r="Y163" s="97"/>
      <c r="Z163" s="97"/>
      <c r="AA163" s="97"/>
    </row>
    <row r="164" spans="1:27" ht="17">
      <c r="A164" s="97"/>
      <c r="B164" s="97"/>
      <c r="C164" s="302"/>
      <c r="D164" s="302"/>
      <c r="E164" s="302"/>
      <c r="F164" s="302"/>
      <c r="G164" s="97"/>
      <c r="H164" s="97"/>
      <c r="I164" s="97"/>
      <c r="J164" s="97"/>
      <c r="K164" s="97"/>
      <c r="L164" s="97"/>
      <c r="M164" s="97"/>
      <c r="N164" s="97"/>
      <c r="O164" s="97"/>
      <c r="P164" s="97"/>
      <c r="Q164" s="97"/>
      <c r="R164" s="97"/>
      <c r="S164" s="97"/>
      <c r="T164" s="97"/>
      <c r="U164" s="97"/>
      <c r="V164" s="97"/>
      <c r="W164" s="97"/>
      <c r="X164" s="97"/>
      <c r="Y164" s="97"/>
      <c r="Z164" s="97"/>
      <c r="AA164" s="97"/>
    </row>
    <row r="165" spans="1:27" ht="17">
      <c r="A165" s="97"/>
      <c r="B165" s="97"/>
      <c r="C165" s="302"/>
      <c r="D165" s="302"/>
      <c r="E165" s="302"/>
      <c r="F165" s="302"/>
      <c r="G165" s="97"/>
      <c r="H165" s="97"/>
      <c r="I165" s="97"/>
      <c r="J165" s="97"/>
      <c r="K165" s="97"/>
      <c r="L165" s="97"/>
      <c r="M165" s="97"/>
      <c r="N165" s="97"/>
      <c r="O165" s="97"/>
      <c r="P165" s="97"/>
      <c r="Q165" s="97"/>
      <c r="R165" s="97"/>
      <c r="S165" s="97"/>
      <c r="T165" s="97"/>
      <c r="U165" s="97"/>
      <c r="V165" s="97"/>
      <c r="W165" s="97"/>
      <c r="X165" s="97"/>
      <c r="Y165" s="97"/>
      <c r="Z165" s="97"/>
      <c r="AA165" s="97"/>
    </row>
    <row r="166" spans="1:27" ht="17">
      <c r="A166" s="97"/>
      <c r="B166" s="97"/>
      <c r="C166" s="302"/>
      <c r="D166" s="302"/>
      <c r="E166" s="302"/>
      <c r="F166" s="302"/>
      <c r="G166" s="97"/>
      <c r="H166" s="97"/>
      <c r="I166" s="97"/>
      <c r="J166" s="97"/>
      <c r="K166" s="97"/>
      <c r="L166" s="97"/>
      <c r="M166" s="97"/>
      <c r="N166" s="97"/>
      <c r="O166" s="97"/>
      <c r="P166" s="97"/>
      <c r="Q166" s="97"/>
      <c r="R166" s="97"/>
      <c r="S166" s="97"/>
      <c r="T166" s="97"/>
      <c r="U166" s="97"/>
      <c r="V166" s="97"/>
      <c r="W166" s="97"/>
      <c r="X166" s="97"/>
      <c r="Y166" s="97"/>
      <c r="Z166" s="97"/>
      <c r="AA166" s="97"/>
    </row>
    <row r="167" spans="1:27" ht="17">
      <c r="A167" s="97"/>
      <c r="B167" s="97"/>
      <c r="C167" s="302"/>
      <c r="D167" s="302"/>
      <c r="E167" s="302"/>
      <c r="F167" s="302"/>
      <c r="G167" s="97"/>
      <c r="H167" s="97"/>
      <c r="I167" s="97"/>
      <c r="J167" s="97"/>
      <c r="K167" s="97"/>
      <c r="L167" s="97"/>
      <c r="M167" s="97"/>
      <c r="N167" s="97"/>
      <c r="O167" s="97"/>
      <c r="P167" s="97"/>
      <c r="Q167" s="97"/>
      <c r="R167" s="97"/>
      <c r="S167" s="97"/>
      <c r="T167" s="97"/>
      <c r="U167" s="97"/>
      <c r="V167" s="97"/>
      <c r="W167" s="97"/>
      <c r="X167" s="97"/>
      <c r="Y167" s="97"/>
      <c r="Z167" s="97"/>
      <c r="AA167" s="97"/>
    </row>
    <row r="168" spans="1:27" ht="17">
      <c r="A168" s="97"/>
      <c r="B168" s="97"/>
      <c r="C168" s="302"/>
      <c r="D168" s="302"/>
      <c r="E168" s="302"/>
      <c r="F168" s="302"/>
      <c r="G168" s="97"/>
      <c r="H168" s="97"/>
      <c r="I168" s="97"/>
      <c r="J168" s="97"/>
      <c r="K168" s="97"/>
      <c r="L168" s="97"/>
      <c r="M168" s="97"/>
      <c r="N168" s="97"/>
      <c r="O168" s="97"/>
      <c r="P168" s="97"/>
      <c r="Q168" s="97"/>
      <c r="R168" s="97"/>
      <c r="S168" s="97"/>
      <c r="T168" s="97"/>
      <c r="U168" s="97"/>
      <c r="V168" s="97"/>
      <c r="W168" s="97"/>
      <c r="X168" s="97"/>
      <c r="Y168" s="97"/>
      <c r="Z168" s="97"/>
      <c r="AA168" s="97"/>
    </row>
    <row r="169" spans="1:27" ht="17">
      <c r="A169" s="97"/>
      <c r="B169" s="97"/>
      <c r="C169" s="302"/>
      <c r="D169" s="302"/>
      <c r="E169" s="302"/>
      <c r="F169" s="302"/>
      <c r="G169" s="97"/>
      <c r="H169" s="97"/>
      <c r="I169" s="97"/>
      <c r="J169" s="97"/>
      <c r="K169" s="97"/>
      <c r="L169" s="97"/>
      <c r="M169" s="97"/>
      <c r="N169" s="97"/>
      <c r="O169" s="97"/>
      <c r="P169" s="97"/>
      <c r="Q169" s="97"/>
      <c r="R169" s="97"/>
      <c r="S169" s="97"/>
      <c r="T169" s="97"/>
      <c r="U169" s="97"/>
      <c r="V169" s="97"/>
      <c r="W169" s="97"/>
      <c r="X169" s="97"/>
      <c r="Y169" s="97"/>
      <c r="Z169" s="97"/>
      <c r="AA169" s="97"/>
    </row>
    <row r="170" spans="1:27" ht="17">
      <c r="A170" s="97"/>
      <c r="B170" s="97"/>
      <c r="C170" s="302"/>
      <c r="D170" s="302"/>
      <c r="E170" s="302"/>
      <c r="F170" s="302"/>
      <c r="G170" s="97"/>
      <c r="H170" s="97"/>
      <c r="I170" s="97"/>
      <c r="J170" s="97"/>
      <c r="K170" s="97"/>
      <c r="L170" s="97"/>
      <c r="M170" s="97"/>
      <c r="N170" s="97"/>
      <c r="O170" s="97"/>
      <c r="P170" s="97"/>
      <c r="Q170" s="97"/>
      <c r="R170" s="97"/>
      <c r="S170" s="97"/>
      <c r="T170" s="97"/>
      <c r="U170" s="97"/>
      <c r="V170" s="97"/>
      <c r="W170" s="97"/>
      <c r="X170" s="97"/>
      <c r="Y170" s="97"/>
      <c r="Z170" s="97"/>
      <c r="AA170" s="97"/>
    </row>
    <row r="171" spans="1:27" ht="17">
      <c r="A171" s="97"/>
      <c r="B171" s="97"/>
      <c r="C171" s="302"/>
      <c r="D171" s="302"/>
      <c r="E171" s="302"/>
      <c r="F171" s="302"/>
      <c r="G171" s="97"/>
      <c r="H171" s="97"/>
      <c r="I171" s="97"/>
      <c r="J171" s="97"/>
      <c r="K171" s="97"/>
      <c r="L171" s="97"/>
      <c r="M171" s="97"/>
      <c r="N171" s="97"/>
      <c r="O171" s="97"/>
      <c r="P171" s="97"/>
      <c r="Q171" s="97"/>
      <c r="R171" s="97"/>
      <c r="S171" s="97"/>
      <c r="T171" s="97"/>
      <c r="U171" s="97"/>
      <c r="V171" s="97"/>
      <c r="W171" s="97"/>
      <c r="X171" s="97"/>
      <c r="Y171" s="97"/>
      <c r="Z171" s="97"/>
      <c r="AA171" s="97"/>
    </row>
    <row r="172" spans="1:27" ht="17">
      <c r="A172" s="97"/>
      <c r="B172" s="97"/>
      <c r="C172" s="302"/>
      <c r="D172" s="302"/>
      <c r="E172" s="302"/>
      <c r="F172" s="302"/>
      <c r="G172" s="97"/>
      <c r="H172" s="97"/>
      <c r="I172" s="97"/>
      <c r="J172" s="97"/>
      <c r="K172" s="97"/>
      <c r="L172" s="97"/>
      <c r="M172" s="97"/>
      <c r="N172" s="97"/>
      <c r="O172" s="97"/>
      <c r="P172" s="97"/>
      <c r="Q172" s="97"/>
      <c r="R172" s="97"/>
      <c r="S172" s="97"/>
      <c r="T172" s="97"/>
      <c r="U172" s="97"/>
      <c r="V172" s="97"/>
      <c r="W172" s="97"/>
      <c r="X172" s="97"/>
      <c r="Y172" s="97"/>
      <c r="Z172" s="97"/>
      <c r="AA172" s="97"/>
    </row>
    <row r="173" spans="1:27" ht="17">
      <c r="A173" s="97"/>
      <c r="B173" s="97"/>
      <c r="C173" s="302"/>
      <c r="D173" s="302"/>
      <c r="E173" s="302"/>
      <c r="F173" s="302"/>
      <c r="G173" s="97"/>
      <c r="H173" s="97"/>
      <c r="I173" s="97"/>
      <c r="J173" s="97"/>
      <c r="K173" s="97"/>
      <c r="L173" s="97"/>
      <c r="M173" s="97"/>
      <c r="N173" s="97"/>
      <c r="O173" s="97"/>
      <c r="P173" s="97"/>
      <c r="Q173" s="97"/>
      <c r="R173" s="97"/>
      <c r="S173" s="97"/>
      <c r="T173" s="97"/>
      <c r="U173" s="97"/>
      <c r="V173" s="97"/>
      <c r="W173" s="97"/>
      <c r="X173" s="97"/>
      <c r="Y173" s="97"/>
      <c r="Z173" s="97"/>
      <c r="AA173" s="97"/>
    </row>
    <row r="174" spans="1:27" ht="17">
      <c r="A174" s="97"/>
      <c r="B174" s="97"/>
      <c r="C174" s="302"/>
      <c r="D174" s="302"/>
      <c r="E174" s="302"/>
      <c r="F174" s="302"/>
      <c r="G174" s="97"/>
      <c r="H174" s="97"/>
      <c r="I174" s="97"/>
      <c r="J174" s="97"/>
      <c r="K174" s="97"/>
      <c r="L174" s="97"/>
      <c r="M174" s="97"/>
      <c r="N174" s="97"/>
      <c r="O174" s="97"/>
      <c r="P174" s="97"/>
      <c r="Q174" s="97"/>
      <c r="R174" s="97"/>
      <c r="S174" s="97"/>
      <c r="T174" s="97"/>
      <c r="U174" s="97"/>
      <c r="V174" s="97"/>
      <c r="W174" s="97"/>
      <c r="X174" s="97"/>
      <c r="Y174" s="97"/>
      <c r="Z174" s="97"/>
      <c r="AA174" s="97"/>
    </row>
    <row r="175" spans="1:27" ht="17">
      <c r="A175" s="97"/>
      <c r="B175" s="97"/>
      <c r="C175" s="302"/>
      <c r="D175" s="302"/>
      <c r="E175" s="302"/>
      <c r="F175" s="302"/>
      <c r="G175" s="97"/>
      <c r="H175" s="97"/>
      <c r="I175" s="97"/>
      <c r="J175" s="97"/>
      <c r="K175" s="97"/>
      <c r="L175" s="97"/>
      <c r="M175" s="97"/>
      <c r="N175" s="97"/>
      <c r="O175" s="97"/>
      <c r="P175" s="97"/>
      <c r="Q175" s="97"/>
      <c r="R175" s="97"/>
      <c r="S175" s="97"/>
      <c r="T175" s="97"/>
      <c r="U175" s="97"/>
      <c r="V175" s="97"/>
      <c r="W175" s="97"/>
      <c r="X175" s="97"/>
      <c r="Y175" s="97"/>
      <c r="Z175" s="97"/>
      <c r="AA175" s="97"/>
    </row>
    <row r="176" spans="1:27" ht="17">
      <c r="A176" s="97"/>
      <c r="B176" s="97"/>
      <c r="C176" s="302"/>
      <c r="D176" s="302"/>
      <c r="E176" s="302"/>
      <c r="F176" s="302"/>
      <c r="G176" s="97"/>
      <c r="H176" s="97"/>
      <c r="I176" s="97"/>
      <c r="J176" s="97"/>
      <c r="K176" s="97"/>
      <c r="L176" s="97"/>
      <c r="M176" s="97"/>
      <c r="N176" s="97"/>
      <c r="O176" s="97"/>
      <c r="P176" s="97"/>
      <c r="Q176" s="97"/>
      <c r="R176" s="97"/>
      <c r="S176" s="97"/>
      <c r="T176" s="97"/>
      <c r="U176" s="97"/>
      <c r="V176" s="97"/>
      <c r="W176" s="97"/>
      <c r="X176" s="97"/>
      <c r="Y176" s="97"/>
      <c r="Z176" s="97"/>
      <c r="AA176" s="97"/>
    </row>
    <row r="177" spans="1:27" ht="17">
      <c r="A177" s="97"/>
      <c r="B177" s="97"/>
      <c r="C177" s="302"/>
      <c r="D177" s="302"/>
      <c r="E177" s="302"/>
      <c r="F177" s="302"/>
      <c r="G177" s="97"/>
      <c r="H177" s="97"/>
      <c r="I177" s="97"/>
      <c r="J177" s="97"/>
      <c r="K177" s="97"/>
      <c r="L177" s="97"/>
      <c r="M177" s="97"/>
      <c r="N177" s="97"/>
      <c r="O177" s="97"/>
      <c r="P177" s="97"/>
      <c r="Q177" s="97"/>
      <c r="R177" s="97"/>
      <c r="S177" s="97"/>
      <c r="T177" s="97"/>
      <c r="U177" s="97"/>
      <c r="V177" s="97"/>
      <c r="W177" s="97"/>
      <c r="X177" s="97"/>
      <c r="Y177" s="97"/>
      <c r="Z177" s="97"/>
      <c r="AA177" s="97"/>
    </row>
    <row r="178" spans="1:27" ht="17">
      <c r="A178" s="97"/>
      <c r="B178" s="97"/>
      <c r="C178" s="302"/>
      <c r="D178" s="302"/>
      <c r="E178" s="302"/>
      <c r="F178" s="302"/>
      <c r="G178" s="97"/>
      <c r="H178" s="97"/>
      <c r="I178" s="97"/>
      <c r="J178" s="97"/>
      <c r="K178" s="97"/>
      <c r="L178" s="97"/>
      <c r="M178" s="97"/>
      <c r="N178" s="97"/>
      <c r="O178" s="97"/>
      <c r="P178" s="97"/>
      <c r="Q178" s="97"/>
      <c r="R178" s="97"/>
      <c r="S178" s="97"/>
      <c r="T178" s="97"/>
      <c r="U178" s="97"/>
      <c r="V178" s="97"/>
      <c r="W178" s="97"/>
      <c r="X178" s="97"/>
      <c r="Y178" s="97"/>
      <c r="Z178" s="97"/>
      <c r="AA178" s="97"/>
    </row>
    <row r="179" spans="1:27" ht="17">
      <c r="A179" s="97"/>
      <c r="B179" s="97"/>
      <c r="C179" s="302"/>
      <c r="D179" s="302"/>
      <c r="E179" s="302"/>
      <c r="F179" s="302"/>
      <c r="G179" s="97"/>
      <c r="H179" s="97"/>
      <c r="I179" s="97"/>
      <c r="J179" s="97"/>
      <c r="K179" s="97"/>
      <c r="L179" s="97"/>
      <c r="M179" s="97"/>
      <c r="N179" s="97"/>
      <c r="O179" s="97"/>
      <c r="P179" s="97"/>
      <c r="Q179" s="97"/>
      <c r="R179" s="97"/>
      <c r="S179" s="97"/>
      <c r="T179" s="97"/>
      <c r="U179" s="97"/>
      <c r="V179" s="97"/>
      <c r="W179" s="97"/>
      <c r="X179" s="97"/>
      <c r="Y179" s="97"/>
      <c r="Z179" s="97"/>
      <c r="AA179" s="97"/>
    </row>
    <row r="180" spans="1:27" ht="17">
      <c r="A180" s="97"/>
      <c r="B180" s="97"/>
      <c r="C180" s="302"/>
      <c r="D180" s="302"/>
      <c r="E180" s="302"/>
      <c r="F180" s="302"/>
      <c r="G180" s="97"/>
      <c r="H180" s="97"/>
      <c r="I180" s="97"/>
      <c r="J180" s="97"/>
      <c r="K180" s="97"/>
      <c r="L180" s="97"/>
      <c r="M180" s="97"/>
      <c r="N180" s="97"/>
      <c r="O180" s="97"/>
      <c r="P180" s="97"/>
      <c r="Q180" s="97"/>
      <c r="R180" s="97"/>
      <c r="S180" s="97"/>
      <c r="T180" s="97"/>
      <c r="U180" s="97"/>
      <c r="V180" s="97"/>
      <c r="W180" s="97"/>
      <c r="X180" s="97"/>
      <c r="Y180" s="97"/>
      <c r="Z180" s="97"/>
      <c r="AA180" s="97"/>
    </row>
    <row r="181" spans="1:27" ht="17">
      <c r="A181" s="97"/>
      <c r="B181" s="97"/>
      <c r="C181" s="302"/>
      <c r="D181" s="302"/>
      <c r="E181" s="302"/>
      <c r="F181" s="302"/>
      <c r="G181" s="97"/>
      <c r="H181" s="97"/>
      <c r="I181" s="97"/>
      <c r="J181" s="97"/>
      <c r="K181" s="97"/>
      <c r="L181" s="97"/>
      <c r="M181" s="97"/>
      <c r="N181" s="97"/>
      <c r="O181" s="97"/>
      <c r="P181" s="97"/>
      <c r="Q181" s="97"/>
      <c r="R181" s="97"/>
      <c r="S181" s="97"/>
      <c r="T181" s="97"/>
      <c r="U181" s="97"/>
      <c r="V181" s="97"/>
      <c r="W181" s="97"/>
      <c r="X181" s="97"/>
      <c r="Y181" s="97"/>
      <c r="Z181" s="97"/>
      <c r="AA181" s="97"/>
    </row>
    <row r="182" spans="1:27" ht="17">
      <c r="A182" s="97"/>
      <c r="B182" s="97"/>
      <c r="C182" s="302"/>
      <c r="D182" s="302"/>
      <c r="E182" s="302"/>
      <c r="F182" s="302"/>
      <c r="G182" s="97"/>
      <c r="H182" s="97"/>
      <c r="I182" s="97"/>
      <c r="J182" s="97"/>
      <c r="K182" s="97"/>
      <c r="L182" s="97"/>
      <c r="M182" s="97"/>
      <c r="N182" s="97"/>
      <c r="O182" s="97"/>
      <c r="P182" s="97"/>
      <c r="Q182" s="97"/>
      <c r="R182" s="97"/>
      <c r="S182" s="97"/>
      <c r="T182" s="97"/>
      <c r="U182" s="97"/>
      <c r="V182" s="97"/>
      <c r="W182" s="97"/>
      <c r="X182" s="97"/>
      <c r="Y182" s="97"/>
      <c r="Z182" s="97"/>
      <c r="AA182" s="97"/>
    </row>
    <row r="183" spans="1:27" ht="17">
      <c r="A183" s="97"/>
      <c r="B183" s="97"/>
      <c r="C183" s="302"/>
      <c r="D183" s="302"/>
      <c r="E183" s="302"/>
      <c r="F183" s="302"/>
      <c r="G183" s="97"/>
      <c r="H183" s="97"/>
      <c r="I183" s="97"/>
      <c r="J183" s="97"/>
      <c r="K183" s="97"/>
      <c r="L183" s="97"/>
      <c r="M183" s="97"/>
      <c r="N183" s="97"/>
      <c r="O183" s="97"/>
      <c r="P183" s="97"/>
      <c r="Q183" s="97"/>
      <c r="R183" s="97"/>
      <c r="S183" s="97"/>
      <c r="T183" s="97"/>
      <c r="U183" s="97"/>
      <c r="V183" s="97"/>
      <c r="W183" s="97"/>
      <c r="X183" s="97"/>
      <c r="Y183" s="97"/>
      <c r="Z183" s="97"/>
      <c r="AA183" s="97"/>
    </row>
    <row r="184" spans="1:27" ht="17">
      <c r="A184" s="97"/>
      <c r="B184" s="97"/>
      <c r="C184" s="302"/>
      <c r="D184" s="302"/>
      <c r="E184" s="302"/>
      <c r="F184" s="302"/>
      <c r="G184" s="97"/>
      <c r="H184" s="97"/>
      <c r="I184" s="97"/>
      <c r="J184" s="97"/>
      <c r="K184" s="97"/>
      <c r="L184" s="97"/>
      <c r="M184" s="97"/>
      <c r="N184" s="97"/>
      <c r="O184" s="97"/>
      <c r="P184" s="97"/>
      <c r="Q184" s="97"/>
      <c r="R184" s="97"/>
      <c r="S184" s="97"/>
      <c r="T184" s="97"/>
      <c r="U184" s="97"/>
      <c r="V184" s="97"/>
      <c r="W184" s="97"/>
      <c r="X184" s="97"/>
      <c r="Y184" s="97"/>
      <c r="Z184" s="97"/>
      <c r="AA184" s="97"/>
    </row>
    <row r="185" spans="1:27" ht="17">
      <c r="A185" s="97"/>
      <c r="B185" s="97"/>
      <c r="C185" s="302"/>
      <c r="D185" s="302"/>
      <c r="E185" s="302"/>
      <c r="F185" s="302"/>
      <c r="G185" s="97"/>
      <c r="H185" s="97"/>
      <c r="I185" s="97"/>
      <c r="J185" s="97"/>
      <c r="K185" s="97"/>
      <c r="L185" s="97"/>
      <c r="M185" s="97"/>
      <c r="N185" s="97"/>
      <c r="O185" s="97"/>
      <c r="P185" s="97"/>
      <c r="Q185" s="97"/>
      <c r="R185" s="97"/>
      <c r="S185" s="97"/>
      <c r="T185" s="97"/>
      <c r="U185" s="97"/>
      <c r="V185" s="97"/>
      <c r="W185" s="97"/>
      <c r="X185" s="97"/>
      <c r="Y185" s="97"/>
      <c r="Z185" s="97"/>
      <c r="AA185" s="97"/>
    </row>
    <row r="186" spans="1:27" ht="17">
      <c r="A186" s="97"/>
      <c r="B186" s="97"/>
      <c r="C186" s="302"/>
      <c r="D186" s="302"/>
      <c r="E186" s="302"/>
      <c r="F186" s="302"/>
      <c r="G186" s="97"/>
      <c r="H186" s="97"/>
      <c r="I186" s="97"/>
      <c r="J186" s="97"/>
      <c r="K186" s="97"/>
      <c r="L186" s="97"/>
      <c r="M186" s="97"/>
      <c r="N186" s="97"/>
      <c r="O186" s="97"/>
      <c r="P186" s="97"/>
      <c r="Q186" s="97"/>
      <c r="R186" s="97"/>
      <c r="S186" s="97"/>
      <c r="T186" s="97"/>
      <c r="U186" s="97"/>
      <c r="V186" s="97"/>
      <c r="W186" s="97"/>
      <c r="X186" s="97"/>
      <c r="Y186" s="97"/>
      <c r="Z186" s="97"/>
      <c r="AA186" s="97"/>
    </row>
    <row r="187" spans="1:27" ht="17">
      <c r="A187" s="97"/>
      <c r="B187" s="97"/>
      <c r="C187" s="302"/>
      <c r="D187" s="302"/>
      <c r="E187" s="302"/>
      <c r="F187" s="302"/>
      <c r="G187" s="97"/>
      <c r="H187" s="97"/>
      <c r="I187" s="97"/>
      <c r="J187" s="97"/>
      <c r="K187" s="97"/>
      <c r="L187" s="97"/>
      <c r="M187" s="97"/>
      <c r="N187" s="97"/>
      <c r="O187" s="97"/>
      <c r="P187" s="97"/>
      <c r="Q187" s="97"/>
      <c r="R187" s="97"/>
      <c r="S187" s="97"/>
      <c r="T187" s="97"/>
      <c r="U187" s="97"/>
      <c r="V187" s="97"/>
      <c r="W187" s="97"/>
      <c r="X187" s="97"/>
      <c r="Y187" s="97"/>
      <c r="Z187" s="97"/>
      <c r="AA187" s="97"/>
    </row>
    <row r="188" spans="1:27" ht="17">
      <c r="A188" s="97"/>
      <c r="B188" s="97"/>
      <c r="C188" s="302"/>
      <c r="D188" s="302"/>
      <c r="E188" s="302"/>
      <c r="F188" s="302"/>
      <c r="G188" s="97"/>
      <c r="H188" s="97"/>
      <c r="I188" s="97"/>
      <c r="J188" s="97"/>
      <c r="K188" s="97"/>
      <c r="L188" s="97"/>
      <c r="M188" s="97"/>
      <c r="N188" s="97"/>
      <c r="O188" s="97"/>
      <c r="P188" s="97"/>
      <c r="Q188" s="97"/>
      <c r="R188" s="97"/>
      <c r="S188" s="97"/>
      <c r="T188" s="97"/>
      <c r="U188" s="97"/>
      <c r="V188" s="97"/>
      <c r="W188" s="97"/>
      <c r="X188" s="97"/>
      <c r="Y188" s="97"/>
      <c r="Z188" s="97"/>
      <c r="AA188" s="97"/>
    </row>
    <row r="189" spans="1:27" ht="17">
      <c r="A189" s="97"/>
      <c r="B189" s="97"/>
      <c r="C189" s="302"/>
      <c r="D189" s="302"/>
      <c r="E189" s="302"/>
      <c r="F189" s="302"/>
      <c r="G189" s="97"/>
      <c r="H189" s="97"/>
      <c r="I189" s="97"/>
      <c r="J189" s="97"/>
      <c r="K189" s="97"/>
      <c r="L189" s="97"/>
      <c r="M189" s="97"/>
      <c r="N189" s="97"/>
      <c r="O189" s="97"/>
      <c r="P189" s="97"/>
      <c r="Q189" s="97"/>
      <c r="R189" s="97"/>
      <c r="S189" s="97"/>
      <c r="T189" s="97"/>
      <c r="U189" s="97"/>
      <c r="V189" s="97"/>
      <c r="W189" s="97"/>
      <c r="X189" s="97"/>
      <c r="Y189" s="97"/>
      <c r="Z189" s="97"/>
      <c r="AA189" s="97"/>
    </row>
    <row r="190" spans="1:27" ht="17">
      <c r="A190" s="97"/>
      <c r="B190" s="97"/>
      <c r="C190" s="302"/>
      <c r="D190" s="302"/>
      <c r="E190" s="302"/>
      <c r="F190" s="302"/>
      <c r="G190" s="97"/>
      <c r="H190" s="97"/>
      <c r="I190" s="97"/>
      <c r="J190" s="97"/>
      <c r="K190" s="97"/>
      <c r="L190" s="97"/>
      <c r="M190" s="97"/>
      <c r="N190" s="97"/>
      <c r="O190" s="97"/>
      <c r="P190" s="97"/>
      <c r="Q190" s="97"/>
      <c r="R190" s="97"/>
      <c r="S190" s="97"/>
      <c r="T190" s="97"/>
      <c r="U190" s="97"/>
      <c r="V190" s="97"/>
      <c r="W190" s="97"/>
      <c r="X190" s="97"/>
      <c r="Y190" s="97"/>
      <c r="Z190" s="97"/>
      <c r="AA190" s="97"/>
    </row>
    <row r="191" spans="1:27" ht="17">
      <c r="A191" s="97"/>
      <c r="B191" s="97"/>
      <c r="C191" s="302"/>
      <c r="D191" s="302"/>
      <c r="E191" s="302"/>
      <c r="F191" s="302"/>
      <c r="G191" s="97"/>
      <c r="H191" s="97"/>
      <c r="I191" s="97"/>
      <c r="J191" s="97"/>
      <c r="K191" s="97"/>
      <c r="L191" s="97"/>
      <c r="M191" s="97"/>
      <c r="N191" s="97"/>
      <c r="O191" s="97"/>
      <c r="P191" s="97"/>
      <c r="Q191" s="97"/>
      <c r="R191" s="97"/>
      <c r="S191" s="97"/>
      <c r="T191" s="97"/>
      <c r="U191" s="97"/>
      <c r="V191" s="97"/>
      <c r="W191" s="97"/>
      <c r="X191" s="97"/>
      <c r="Y191" s="97"/>
      <c r="Z191" s="97"/>
      <c r="AA191" s="97"/>
    </row>
    <row r="192" spans="1:27" ht="17">
      <c r="A192" s="97"/>
      <c r="B192" s="97"/>
      <c r="C192" s="302"/>
      <c r="D192" s="302"/>
      <c r="E192" s="302"/>
      <c r="F192" s="302"/>
      <c r="G192" s="97"/>
      <c r="H192" s="97"/>
      <c r="I192" s="97"/>
      <c r="J192" s="97"/>
      <c r="K192" s="97"/>
      <c r="L192" s="97"/>
      <c r="M192" s="97"/>
      <c r="N192" s="97"/>
      <c r="O192" s="97"/>
      <c r="P192" s="97"/>
      <c r="Q192" s="97"/>
      <c r="R192" s="97"/>
      <c r="S192" s="97"/>
      <c r="T192" s="97"/>
      <c r="U192" s="97"/>
      <c r="V192" s="97"/>
      <c r="W192" s="97"/>
      <c r="X192" s="97"/>
      <c r="Y192" s="97"/>
      <c r="Z192" s="97"/>
      <c r="AA192" s="97"/>
    </row>
    <row r="193" spans="1:27" ht="17">
      <c r="A193" s="97"/>
      <c r="B193" s="97"/>
      <c r="C193" s="302"/>
      <c r="D193" s="302"/>
      <c r="E193" s="302"/>
      <c r="F193" s="302"/>
      <c r="G193" s="97"/>
      <c r="H193" s="97"/>
      <c r="I193" s="97"/>
      <c r="J193" s="97"/>
      <c r="K193" s="97"/>
      <c r="L193" s="97"/>
      <c r="M193" s="97"/>
      <c r="N193" s="97"/>
      <c r="O193" s="97"/>
      <c r="P193" s="97"/>
      <c r="Q193" s="97"/>
      <c r="R193" s="97"/>
      <c r="S193" s="97"/>
      <c r="T193" s="97"/>
      <c r="U193" s="97"/>
      <c r="V193" s="97"/>
      <c r="W193" s="97"/>
      <c r="X193" s="97"/>
      <c r="Y193" s="97"/>
      <c r="Z193" s="97"/>
      <c r="AA193" s="97"/>
    </row>
    <row r="194" spans="1:27" ht="17">
      <c r="A194" s="97"/>
      <c r="B194" s="97"/>
      <c r="C194" s="302"/>
      <c r="D194" s="302"/>
      <c r="E194" s="302"/>
      <c r="F194" s="302"/>
      <c r="G194" s="97"/>
      <c r="H194" s="97"/>
      <c r="I194" s="97"/>
      <c r="J194" s="97"/>
      <c r="K194" s="97"/>
      <c r="L194" s="97"/>
      <c r="M194" s="97"/>
      <c r="N194" s="97"/>
      <c r="O194" s="97"/>
      <c r="P194" s="97"/>
      <c r="Q194" s="97"/>
      <c r="R194" s="97"/>
      <c r="S194" s="97"/>
      <c r="T194" s="97"/>
      <c r="U194" s="97"/>
      <c r="V194" s="97"/>
      <c r="W194" s="97"/>
      <c r="X194" s="97"/>
      <c r="Y194" s="97"/>
      <c r="Z194" s="97"/>
      <c r="AA194" s="97"/>
    </row>
    <row r="195" spans="1:27" ht="17">
      <c r="A195" s="97"/>
      <c r="B195" s="97"/>
      <c r="C195" s="302"/>
      <c r="D195" s="302"/>
      <c r="E195" s="302"/>
      <c r="F195" s="302"/>
      <c r="G195" s="97"/>
      <c r="H195" s="97"/>
      <c r="I195" s="97"/>
      <c r="J195" s="97"/>
      <c r="K195" s="97"/>
      <c r="L195" s="97"/>
      <c r="M195" s="97"/>
      <c r="N195" s="97"/>
      <c r="O195" s="97"/>
      <c r="P195" s="97"/>
      <c r="Q195" s="97"/>
      <c r="R195" s="97"/>
      <c r="S195" s="97"/>
      <c r="T195" s="97"/>
      <c r="U195" s="97"/>
      <c r="V195" s="97"/>
      <c r="W195" s="97"/>
      <c r="X195" s="97"/>
      <c r="Y195" s="97"/>
      <c r="Z195" s="97"/>
      <c r="AA195" s="97"/>
    </row>
    <row r="196" spans="1:27" ht="17">
      <c r="A196" s="97"/>
      <c r="B196" s="97"/>
      <c r="C196" s="302"/>
      <c r="D196" s="302"/>
      <c r="E196" s="302"/>
      <c r="F196" s="302"/>
      <c r="G196" s="97"/>
      <c r="H196" s="97"/>
      <c r="I196" s="97"/>
      <c r="J196" s="97"/>
      <c r="K196" s="97"/>
      <c r="L196" s="97"/>
      <c r="M196" s="97"/>
      <c r="N196" s="97"/>
      <c r="O196" s="97"/>
      <c r="P196" s="97"/>
      <c r="Q196" s="97"/>
      <c r="R196" s="97"/>
      <c r="S196" s="97"/>
      <c r="T196" s="97"/>
      <c r="U196" s="97"/>
      <c r="V196" s="97"/>
      <c r="W196" s="97"/>
      <c r="X196" s="97"/>
      <c r="Y196" s="97"/>
      <c r="Z196" s="97"/>
      <c r="AA196" s="97"/>
    </row>
    <row r="197" spans="1:27" ht="17">
      <c r="A197" s="97"/>
      <c r="B197" s="97"/>
      <c r="C197" s="302"/>
      <c r="D197" s="302"/>
      <c r="E197" s="302"/>
      <c r="F197" s="302"/>
      <c r="G197" s="97"/>
      <c r="H197" s="97"/>
      <c r="I197" s="97"/>
      <c r="J197" s="97"/>
      <c r="K197" s="97"/>
      <c r="L197" s="97"/>
      <c r="M197" s="97"/>
      <c r="N197" s="97"/>
      <c r="O197" s="97"/>
      <c r="P197" s="97"/>
      <c r="Q197" s="97"/>
      <c r="R197" s="97"/>
      <c r="S197" s="97"/>
      <c r="T197" s="97"/>
      <c r="U197" s="97"/>
      <c r="V197" s="97"/>
      <c r="W197" s="97"/>
      <c r="X197" s="97"/>
      <c r="Y197" s="97"/>
      <c r="Z197" s="97"/>
      <c r="AA197" s="97"/>
    </row>
    <row r="198" spans="1:27" ht="17">
      <c r="A198" s="97"/>
      <c r="B198" s="97"/>
      <c r="C198" s="302"/>
      <c r="D198" s="302"/>
      <c r="E198" s="302"/>
      <c r="F198" s="302"/>
      <c r="G198" s="97"/>
      <c r="H198" s="97"/>
      <c r="I198" s="97"/>
      <c r="J198" s="97"/>
      <c r="K198" s="97"/>
      <c r="L198" s="97"/>
      <c r="M198" s="97"/>
      <c r="N198" s="97"/>
      <c r="O198" s="97"/>
      <c r="P198" s="97"/>
      <c r="Q198" s="97"/>
      <c r="R198" s="97"/>
      <c r="S198" s="97"/>
      <c r="T198" s="97"/>
      <c r="U198" s="97"/>
      <c r="V198" s="97"/>
      <c r="W198" s="97"/>
      <c r="X198" s="97"/>
      <c r="Y198" s="97"/>
      <c r="Z198" s="97"/>
      <c r="AA198" s="97"/>
    </row>
    <row r="199" spans="1:27" ht="17">
      <c r="A199" s="97"/>
      <c r="B199" s="97"/>
      <c r="C199" s="302"/>
      <c r="D199" s="302"/>
      <c r="E199" s="302"/>
      <c r="F199" s="302"/>
      <c r="G199" s="97"/>
      <c r="H199" s="97"/>
      <c r="I199" s="97"/>
      <c r="J199" s="97"/>
      <c r="K199" s="97"/>
      <c r="L199" s="97"/>
      <c r="M199" s="97"/>
      <c r="N199" s="97"/>
      <c r="O199" s="97"/>
      <c r="P199" s="97"/>
      <c r="Q199" s="97"/>
      <c r="R199" s="97"/>
      <c r="S199" s="97"/>
      <c r="T199" s="97"/>
      <c r="U199" s="97"/>
      <c r="V199" s="97"/>
      <c r="W199" s="97"/>
      <c r="X199" s="97"/>
      <c r="Y199" s="97"/>
      <c r="Z199" s="97"/>
      <c r="AA199" s="97"/>
    </row>
    <row r="200" spans="1:27" ht="17">
      <c r="A200" s="97"/>
      <c r="B200" s="97"/>
      <c r="C200" s="302"/>
      <c r="D200" s="302"/>
      <c r="E200" s="302"/>
      <c r="F200" s="302"/>
      <c r="G200" s="97"/>
      <c r="H200" s="97"/>
      <c r="I200" s="97"/>
      <c r="J200" s="97"/>
      <c r="K200" s="97"/>
      <c r="L200" s="97"/>
      <c r="M200" s="97"/>
      <c r="N200" s="97"/>
      <c r="O200" s="97"/>
      <c r="P200" s="97"/>
      <c r="Q200" s="97"/>
      <c r="R200" s="97"/>
      <c r="S200" s="97"/>
      <c r="T200" s="97"/>
      <c r="U200" s="97"/>
      <c r="V200" s="97"/>
      <c r="W200" s="97"/>
      <c r="X200" s="97"/>
      <c r="Y200" s="97"/>
      <c r="Z200" s="97"/>
      <c r="AA200" s="97"/>
    </row>
    <row r="201" spans="1:27" ht="17">
      <c r="A201" s="97"/>
      <c r="B201" s="97"/>
      <c r="C201" s="302"/>
      <c r="D201" s="302"/>
      <c r="E201" s="302"/>
      <c r="F201" s="302"/>
      <c r="G201" s="97"/>
      <c r="H201" s="97"/>
      <c r="I201" s="97"/>
      <c r="J201" s="97"/>
      <c r="K201" s="97"/>
      <c r="L201" s="97"/>
      <c r="M201" s="97"/>
      <c r="N201" s="97"/>
      <c r="O201" s="97"/>
      <c r="P201" s="97"/>
      <c r="Q201" s="97"/>
      <c r="R201" s="97"/>
      <c r="S201" s="97"/>
      <c r="T201" s="97"/>
      <c r="U201" s="97"/>
      <c r="V201" s="97"/>
      <c r="W201" s="97"/>
      <c r="X201" s="97"/>
      <c r="Y201" s="97"/>
      <c r="Z201" s="97"/>
      <c r="AA201" s="97"/>
    </row>
    <row r="202" spans="1:27" ht="17">
      <c r="A202" s="97"/>
      <c r="B202" s="97"/>
      <c r="C202" s="302"/>
      <c r="D202" s="302"/>
      <c r="E202" s="302"/>
      <c r="F202" s="302"/>
      <c r="G202" s="97"/>
      <c r="H202" s="97"/>
      <c r="I202" s="97"/>
      <c r="J202" s="97"/>
      <c r="K202" s="97"/>
      <c r="L202" s="97"/>
      <c r="M202" s="97"/>
      <c r="N202" s="97"/>
      <c r="O202" s="97"/>
      <c r="P202" s="97"/>
      <c r="Q202" s="97"/>
      <c r="R202" s="97"/>
      <c r="S202" s="97"/>
      <c r="T202" s="97"/>
      <c r="U202" s="97"/>
      <c r="V202" s="97"/>
      <c r="W202" s="97"/>
      <c r="X202" s="97"/>
      <c r="Y202" s="97"/>
      <c r="Z202" s="97"/>
      <c r="AA202" s="97"/>
    </row>
    <row r="203" spans="1:27" ht="17">
      <c r="A203" s="97"/>
      <c r="B203" s="97"/>
      <c r="C203" s="302"/>
      <c r="D203" s="302"/>
      <c r="E203" s="302"/>
      <c r="F203" s="302"/>
      <c r="G203" s="97"/>
      <c r="H203" s="97"/>
      <c r="I203" s="97"/>
      <c r="J203" s="97"/>
      <c r="K203" s="97"/>
      <c r="L203" s="97"/>
      <c r="M203" s="97"/>
      <c r="N203" s="97"/>
      <c r="O203" s="97"/>
      <c r="P203" s="97"/>
      <c r="Q203" s="97"/>
      <c r="R203" s="97"/>
      <c r="S203" s="97"/>
      <c r="T203" s="97"/>
      <c r="U203" s="97"/>
      <c r="V203" s="97"/>
      <c r="W203" s="97"/>
      <c r="X203" s="97"/>
      <c r="Y203" s="97"/>
      <c r="Z203" s="97"/>
      <c r="AA203" s="97"/>
    </row>
    <row r="204" spans="1:27" ht="17">
      <c r="A204" s="97"/>
      <c r="B204" s="97"/>
      <c r="C204" s="302"/>
      <c r="D204" s="302"/>
      <c r="E204" s="302"/>
      <c r="F204" s="302"/>
      <c r="G204" s="97"/>
      <c r="H204" s="97"/>
      <c r="I204" s="97"/>
      <c r="J204" s="97"/>
      <c r="K204" s="97"/>
      <c r="L204" s="97"/>
      <c r="M204" s="97"/>
      <c r="N204" s="97"/>
      <c r="O204" s="97"/>
      <c r="P204" s="97"/>
      <c r="Q204" s="97"/>
      <c r="R204" s="97"/>
      <c r="S204" s="97"/>
      <c r="T204" s="97"/>
      <c r="U204" s="97"/>
      <c r="V204" s="97"/>
      <c r="W204" s="97"/>
      <c r="X204" s="97"/>
      <c r="Y204" s="97"/>
      <c r="Z204" s="97"/>
      <c r="AA204" s="97"/>
    </row>
    <row r="205" spans="1:27" ht="17">
      <c r="A205" s="97"/>
      <c r="B205" s="97"/>
      <c r="C205" s="302"/>
      <c r="D205" s="302"/>
      <c r="E205" s="302"/>
      <c r="F205" s="302"/>
      <c r="G205" s="97"/>
      <c r="H205" s="97"/>
      <c r="I205" s="97"/>
      <c r="J205" s="97"/>
      <c r="K205" s="97"/>
      <c r="L205" s="97"/>
      <c r="M205" s="97"/>
      <c r="N205" s="97"/>
      <c r="O205" s="97"/>
      <c r="P205" s="97"/>
      <c r="Q205" s="97"/>
      <c r="R205" s="97"/>
      <c r="S205" s="97"/>
      <c r="T205" s="97"/>
      <c r="U205" s="97"/>
      <c r="V205" s="97"/>
      <c r="W205" s="97"/>
      <c r="X205" s="97"/>
      <c r="Y205" s="97"/>
      <c r="Z205" s="97"/>
      <c r="AA205" s="97"/>
    </row>
    <row r="206" spans="1:27" ht="17">
      <c r="A206" s="97"/>
      <c r="B206" s="97"/>
      <c r="C206" s="302"/>
      <c r="D206" s="302"/>
      <c r="E206" s="302"/>
      <c r="F206" s="302"/>
      <c r="G206" s="97"/>
      <c r="H206" s="97"/>
      <c r="I206" s="97"/>
      <c r="J206" s="97"/>
      <c r="K206" s="97"/>
      <c r="L206" s="97"/>
      <c r="M206" s="97"/>
      <c r="N206" s="97"/>
      <c r="O206" s="97"/>
      <c r="P206" s="97"/>
      <c r="Q206" s="97"/>
      <c r="R206" s="97"/>
      <c r="S206" s="97"/>
      <c r="T206" s="97"/>
      <c r="U206" s="97"/>
      <c r="V206" s="97"/>
      <c r="W206" s="97"/>
      <c r="X206" s="97"/>
      <c r="Y206" s="97"/>
      <c r="Z206" s="97"/>
      <c r="AA206" s="97"/>
    </row>
    <row r="207" spans="1:27" ht="17">
      <c r="A207" s="97"/>
      <c r="B207" s="97"/>
      <c r="C207" s="302"/>
      <c r="D207" s="302"/>
      <c r="E207" s="302"/>
      <c r="F207" s="302"/>
      <c r="G207" s="97"/>
      <c r="H207" s="97"/>
      <c r="I207" s="97"/>
      <c r="J207" s="97"/>
      <c r="K207" s="97"/>
      <c r="L207" s="97"/>
      <c r="M207" s="97"/>
      <c r="N207" s="97"/>
      <c r="O207" s="97"/>
      <c r="P207" s="97"/>
      <c r="Q207" s="97"/>
      <c r="R207" s="97"/>
      <c r="S207" s="97"/>
      <c r="T207" s="97"/>
      <c r="U207" s="97"/>
      <c r="V207" s="97"/>
      <c r="W207" s="97"/>
      <c r="X207" s="97"/>
      <c r="Y207" s="97"/>
      <c r="Z207" s="97"/>
      <c r="AA207" s="97"/>
    </row>
    <row r="208" spans="1:27" ht="17">
      <c r="A208" s="97"/>
      <c r="B208" s="97"/>
      <c r="C208" s="302"/>
      <c r="D208" s="302"/>
      <c r="E208" s="302"/>
      <c r="F208" s="302"/>
      <c r="G208" s="97"/>
      <c r="H208" s="97"/>
      <c r="I208" s="97"/>
      <c r="J208" s="97"/>
      <c r="K208" s="97"/>
      <c r="L208" s="97"/>
      <c r="M208" s="97"/>
      <c r="N208" s="97"/>
      <c r="O208" s="97"/>
      <c r="P208" s="97"/>
      <c r="Q208" s="97"/>
      <c r="R208" s="97"/>
      <c r="S208" s="97"/>
      <c r="T208" s="97"/>
      <c r="U208" s="97"/>
      <c r="V208" s="97"/>
      <c r="W208" s="97"/>
      <c r="X208" s="97"/>
      <c r="Y208" s="97"/>
      <c r="Z208" s="97"/>
      <c r="AA208" s="97"/>
    </row>
    <row r="209" spans="1:27" ht="17">
      <c r="A209" s="97"/>
      <c r="B209" s="97"/>
      <c r="C209" s="302"/>
      <c r="D209" s="302"/>
      <c r="E209" s="302"/>
      <c r="F209" s="302"/>
      <c r="G209" s="97"/>
      <c r="H209" s="97"/>
      <c r="I209" s="97"/>
      <c r="J209" s="97"/>
      <c r="K209" s="97"/>
      <c r="L209" s="97"/>
      <c r="M209" s="97"/>
      <c r="N209" s="97"/>
      <c r="O209" s="97"/>
      <c r="P209" s="97"/>
      <c r="Q209" s="97"/>
      <c r="R209" s="97"/>
      <c r="S209" s="97"/>
      <c r="T209" s="97"/>
      <c r="U209" s="97"/>
      <c r="V209" s="97"/>
      <c r="W209" s="97"/>
      <c r="X209" s="97"/>
      <c r="Y209" s="97"/>
      <c r="Z209" s="97"/>
      <c r="AA209" s="97"/>
    </row>
    <row r="210" spans="1:27" ht="17">
      <c r="A210" s="97"/>
      <c r="B210" s="97"/>
      <c r="C210" s="302"/>
      <c r="D210" s="302"/>
      <c r="E210" s="302"/>
      <c r="F210" s="302"/>
      <c r="G210" s="97"/>
      <c r="H210" s="97"/>
      <c r="I210" s="97"/>
      <c r="J210" s="97"/>
      <c r="K210" s="97"/>
      <c r="L210" s="97"/>
      <c r="M210" s="97"/>
      <c r="N210" s="97"/>
      <c r="O210" s="97"/>
      <c r="P210" s="97"/>
      <c r="Q210" s="97"/>
      <c r="R210" s="97"/>
      <c r="S210" s="97"/>
      <c r="T210" s="97"/>
      <c r="U210" s="97"/>
      <c r="V210" s="97"/>
      <c r="W210" s="97"/>
      <c r="X210" s="97"/>
      <c r="Y210" s="97"/>
      <c r="Z210" s="97"/>
      <c r="AA210" s="97"/>
    </row>
    <row r="211" spans="1:27" ht="17">
      <c r="A211" s="97"/>
      <c r="B211" s="97"/>
      <c r="C211" s="302"/>
      <c r="D211" s="302"/>
      <c r="E211" s="302"/>
      <c r="F211" s="302"/>
      <c r="G211" s="97"/>
      <c r="H211" s="97"/>
      <c r="I211" s="97"/>
      <c r="J211" s="97"/>
      <c r="K211" s="97"/>
      <c r="L211" s="97"/>
      <c r="M211" s="97"/>
      <c r="N211" s="97"/>
      <c r="O211" s="97"/>
      <c r="P211" s="97"/>
      <c r="Q211" s="97"/>
      <c r="R211" s="97"/>
      <c r="S211" s="97"/>
      <c r="T211" s="97"/>
      <c r="U211" s="97"/>
      <c r="V211" s="97"/>
      <c r="W211" s="97"/>
      <c r="X211" s="97"/>
      <c r="Y211" s="97"/>
      <c r="Z211" s="97"/>
      <c r="AA211" s="97"/>
    </row>
    <row r="212" spans="1:27" ht="17">
      <c r="A212" s="97"/>
      <c r="B212" s="97"/>
      <c r="C212" s="302"/>
      <c r="D212" s="302"/>
      <c r="E212" s="302"/>
      <c r="F212" s="302"/>
      <c r="G212" s="97"/>
      <c r="H212" s="97"/>
      <c r="I212" s="97"/>
      <c r="J212" s="97"/>
      <c r="K212" s="97"/>
      <c r="L212" s="97"/>
      <c r="M212" s="97"/>
      <c r="N212" s="97"/>
      <c r="O212" s="97"/>
      <c r="P212" s="97"/>
      <c r="Q212" s="97"/>
      <c r="R212" s="97"/>
      <c r="S212" s="97"/>
      <c r="T212" s="97"/>
      <c r="U212" s="97"/>
      <c r="V212" s="97"/>
      <c r="W212" s="97"/>
      <c r="X212" s="97"/>
      <c r="Y212" s="97"/>
      <c r="Z212" s="97"/>
      <c r="AA212" s="97"/>
    </row>
    <row r="213" spans="1:27" ht="17">
      <c r="A213" s="97"/>
      <c r="B213" s="97"/>
      <c r="C213" s="302"/>
      <c r="D213" s="302"/>
      <c r="E213" s="302"/>
      <c r="F213" s="302"/>
      <c r="G213" s="97"/>
      <c r="H213" s="97"/>
      <c r="I213" s="97"/>
      <c r="J213" s="97"/>
      <c r="K213" s="97"/>
      <c r="L213" s="97"/>
      <c r="M213" s="97"/>
      <c r="N213" s="97"/>
      <c r="O213" s="97"/>
      <c r="P213" s="97"/>
      <c r="Q213" s="97"/>
      <c r="R213" s="97"/>
      <c r="S213" s="97"/>
      <c r="T213" s="97"/>
      <c r="U213" s="97"/>
      <c r="V213" s="97"/>
      <c r="W213" s="97"/>
      <c r="X213" s="97"/>
      <c r="Y213" s="97"/>
      <c r="Z213" s="97"/>
      <c r="AA213" s="97"/>
    </row>
    <row r="214" spans="1:27" ht="17">
      <c r="A214" s="97"/>
      <c r="B214" s="97"/>
      <c r="C214" s="302"/>
      <c r="D214" s="302"/>
      <c r="E214" s="302"/>
      <c r="F214" s="302"/>
      <c r="G214" s="97"/>
      <c r="H214" s="97"/>
      <c r="I214" s="97"/>
      <c r="J214" s="97"/>
      <c r="K214" s="97"/>
      <c r="L214" s="97"/>
      <c r="M214" s="97"/>
      <c r="N214" s="97"/>
      <c r="O214" s="97"/>
      <c r="P214" s="97"/>
      <c r="Q214" s="97"/>
      <c r="R214" s="97"/>
      <c r="S214" s="97"/>
      <c r="T214" s="97"/>
      <c r="U214" s="97"/>
      <c r="V214" s="97"/>
      <c r="W214" s="97"/>
      <c r="X214" s="97"/>
      <c r="Y214" s="97"/>
      <c r="Z214" s="97"/>
      <c r="AA214" s="97"/>
    </row>
    <row r="215" spans="1:27" ht="17">
      <c r="A215" s="97"/>
      <c r="B215" s="97"/>
      <c r="C215" s="302"/>
      <c r="D215" s="302"/>
      <c r="E215" s="302"/>
      <c r="F215" s="302"/>
      <c r="G215" s="97"/>
      <c r="H215" s="97"/>
      <c r="I215" s="97"/>
      <c r="J215" s="97"/>
      <c r="K215" s="97"/>
      <c r="L215" s="97"/>
      <c r="M215" s="97"/>
      <c r="N215" s="97"/>
      <c r="O215" s="97"/>
      <c r="P215" s="97"/>
      <c r="Q215" s="97"/>
      <c r="R215" s="97"/>
      <c r="S215" s="97"/>
      <c r="T215" s="97"/>
      <c r="U215" s="97"/>
      <c r="V215" s="97"/>
      <c r="W215" s="97"/>
      <c r="X215" s="97"/>
      <c r="Y215" s="97"/>
      <c r="Z215" s="97"/>
      <c r="AA215" s="97"/>
    </row>
    <row r="216" spans="1:27" ht="17">
      <c r="A216" s="97"/>
      <c r="B216" s="97"/>
      <c r="C216" s="302"/>
      <c r="D216" s="302"/>
      <c r="E216" s="302"/>
      <c r="F216" s="302"/>
      <c r="G216" s="97"/>
      <c r="H216" s="97"/>
      <c r="I216" s="97"/>
      <c r="J216" s="97"/>
      <c r="K216" s="97"/>
      <c r="L216" s="97"/>
      <c r="M216" s="97"/>
      <c r="N216" s="97"/>
      <c r="O216" s="97"/>
      <c r="P216" s="97"/>
      <c r="Q216" s="97"/>
      <c r="R216" s="97"/>
      <c r="S216" s="97"/>
      <c r="T216" s="97"/>
      <c r="U216" s="97"/>
      <c r="V216" s="97"/>
      <c r="W216" s="97"/>
      <c r="X216" s="97"/>
      <c r="Y216" s="97"/>
      <c r="Z216" s="97"/>
      <c r="AA216" s="97"/>
    </row>
    <row r="217" spans="1:27" ht="17">
      <c r="A217" s="97"/>
      <c r="B217" s="97"/>
      <c r="C217" s="302"/>
      <c r="D217" s="302"/>
      <c r="E217" s="302"/>
      <c r="F217" s="302"/>
      <c r="G217" s="97"/>
      <c r="H217" s="97"/>
      <c r="I217" s="97"/>
      <c r="J217" s="97"/>
      <c r="K217" s="97"/>
      <c r="L217" s="97"/>
      <c r="M217" s="97"/>
      <c r="N217" s="97"/>
      <c r="O217" s="97"/>
      <c r="P217" s="97"/>
      <c r="Q217" s="97"/>
      <c r="R217" s="97"/>
      <c r="S217" s="97"/>
      <c r="T217" s="97"/>
      <c r="U217" s="97"/>
      <c r="V217" s="97"/>
      <c r="W217" s="97"/>
      <c r="X217" s="97"/>
      <c r="Y217" s="97"/>
      <c r="Z217" s="97"/>
      <c r="AA217" s="97"/>
    </row>
    <row r="218" spans="1:27" ht="17">
      <c r="A218" s="97"/>
      <c r="B218" s="97"/>
      <c r="C218" s="302"/>
      <c r="D218" s="302"/>
      <c r="E218" s="302"/>
      <c r="F218" s="302"/>
      <c r="G218" s="97"/>
      <c r="H218" s="97"/>
      <c r="I218" s="97"/>
      <c r="J218" s="97"/>
      <c r="K218" s="97"/>
      <c r="L218" s="97"/>
      <c r="M218" s="97"/>
      <c r="N218" s="97"/>
      <c r="O218" s="97"/>
      <c r="P218" s="97"/>
      <c r="Q218" s="97"/>
      <c r="R218" s="97"/>
      <c r="S218" s="97"/>
      <c r="T218" s="97"/>
      <c r="U218" s="97"/>
      <c r="V218" s="97"/>
      <c r="W218" s="97"/>
      <c r="X218" s="97"/>
      <c r="Y218" s="97"/>
      <c r="Z218" s="97"/>
      <c r="AA218" s="97"/>
    </row>
    <row r="219" spans="1:27" ht="17">
      <c r="A219" s="97"/>
      <c r="B219" s="97"/>
      <c r="C219" s="302"/>
      <c r="D219" s="302"/>
      <c r="E219" s="302"/>
      <c r="F219" s="302"/>
      <c r="G219" s="97"/>
      <c r="H219" s="97"/>
      <c r="I219" s="97"/>
      <c r="J219" s="97"/>
      <c r="K219" s="97"/>
      <c r="L219" s="97"/>
      <c r="M219" s="97"/>
      <c r="N219" s="97"/>
      <c r="O219" s="97"/>
      <c r="P219" s="97"/>
      <c r="Q219" s="97"/>
      <c r="R219" s="97"/>
      <c r="S219" s="97"/>
      <c r="T219" s="97"/>
      <c r="U219" s="97"/>
      <c r="V219" s="97"/>
      <c r="W219" s="97"/>
      <c r="X219" s="97"/>
      <c r="Y219" s="97"/>
      <c r="Z219" s="97"/>
      <c r="AA219" s="97"/>
    </row>
    <row r="220" spans="1:27" ht="17">
      <c r="A220" s="97"/>
      <c r="B220" s="97"/>
      <c r="C220" s="302"/>
      <c r="D220" s="302"/>
      <c r="E220" s="302"/>
      <c r="F220" s="302"/>
      <c r="G220" s="97"/>
      <c r="H220" s="97"/>
      <c r="I220" s="97"/>
      <c r="J220" s="97"/>
      <c r="K220" s="97"/>
      <c r="L220" s="97"/>
      <c r="M220" s="97"/>
      <c r="N220" s="97"/>
      <c r="O220" s="97"/>
      <c r="P220" s="97"/>
      <c r="Q220" s="97"/>
      <c r="R220" s="97"/>
      <c r="S220" s="97"/>
      <c r="T220" s="97"/>
      <c r="U220" s="97"/>
      <c r="V220" s="97"/>
      <c r="W220" s="97"/>
      <c r="X220" s="97"/>
      <c r="Y220" s="97"/>
      <c r="Z220" s="97"/>
      <c r="AA220" s="97"/>
    </row>
    <row r="221" spans="1:27" ht="17">
      <c r="A221" s="97"/>
      <c r="B221" s="97"/>
      <c r="C221" s="302"/>
      <c r="D221" s="302"/>
      <c r="E221" s="302"/>
      <c r="F221" s="302"/>
      <c r="G221" s="97"/>
      <c r="H221" s="97"/>
      <c r="I221" s="97"/>
      <c r="J221" s="97"/>
      <c r="K221" s="97"/>
      <c r="L221" s="97"/>
      <c r="M221" s="97"/>
      <c r="N221" s="97"/>
      <c r="O221" s="97"/>
      <c r="P221" s="97"/>
      <c r="Q221" s="97"/>
      <c r="R221" s="97"/>
      <c r="S221" s="97"/>
      <c r="T221" s="97"/>
      <c r="U221" s="97"/>
      <c r="V221" s="97"/>
      <c r="W221" s="97"/>
      <c r="X221" s="97"/>
      <c r="Y221" s="97"/>
      <c r="Z221" s="97"/>
      <c r="AA221" s="97"/>
    </row>
    <row r="222" spans="1:27" ht="17">
      <c r="A222" s="97"/>
      <c r="B222" s="97"/>
      <c r="C222" s="302"/>
      <c r="D222" s="302"/>
      <c r="E222" s="302"/>
      <c r="F222" s="302"/>
      <c r="G222" s="97"/>
      <c r="H222" s="97"/>
      <c r="I222" s="97"/>
      <c r="J222" s="97"/>
      <c r="K222" s="97"/>
      <c r="L222" s="97"/>
      <c r="M222" s="97"/>
      <c r="N222" s="97"/>
      <c r="O222" s="97"/>
      <c r="P222" s="97"/>
      <c r="Q222" s="97"/>
      <c r="R222" s="97"/>
      <c r="S222" s="97"/>
      <c r="T222" s="97"/>
      <c r="U222" s="97"/>
      <c r="V222" s="97"/>
      <c r="W222" s="97"/>
      <c r="X222" s="97"/>
      <c r="Y222" s="97"/>
      <c r="Z222" s="97"/>
      <c r="AA222" s="97"/>
    </row>
    <row r="223" spans="1:27" ht="17">
      <c r="A223" s="97"/>
      <c r="B223" s="97"/>
      <c r="C223" s="302"/>
      <c r="D223" s="302"/>
      <c r="E223" s="302"/>
      <c r="F223" s="302"/>
      <c r="G223" s="97"/>
      <c r="H223" s="97"/>
      <c r="I223" s="97"/>
      <c r="J223" s="97"/>
      <c r="K223" s="97"/>
      <c r="L223" s="97"/>
      <c r="M223" s="97"/>
      <c r="N223" s="97"/>
      <c r="O223" s="97"/>
      <c r="P223" s="97"/>
      <c r="Q223" s="97"/>
      <c r="R223" s="97"/>
      <c r="S223" s="97"/>
      <c r="T223" s="97"/>
      <c r="U223" s="97"/>
      <c r="V223" s="97"/>
      <c r="W223" s="97"/>
      <c r="X223" s="97"/>
      <c r="Y223" s="97"/>
      <c r="Z223" s="97"/>
      <c r="AA223" s="97"/>
    </row>
    <row r="224" spans="1:27" ht="17">
      <c r="A224" s="97"/>
      <c r="B224" s="97"/>
      <c r="C224" s="302"/>
      <c r="D224" s="302"/>
      <c r="E224" s="302"/>
      <c r="F224" s="302"/>
      <c r="G224" s="97"/>
      <c r="H224" s="97"/>
      <c r="I224" s="97"/>
      <c r="J224" s="97"/>
      <c r="K224" s="97"/>
      <c r="L224" s="97"/>
      <c r="M224" s="97"/>
      <c r="N224" s="97"/>
      <c r="O224" s="97"/>
      <c r="P224" s="97"/>
      <c r="Q224" s="97"/>
      <c r="R224" s="97"/>
      <c r="S224" s="97"/>
      <c r="T224" s="97"/>
      <c r="U224" s="97"/>
      <c r="V224" s="97"/>
      <c r="W224" s="97"/>
      <c r="X224" s="97"/>
      <c r="Y224" s="97"/>
      <c r="Z224" s="97"/>
      <c r="AA224" s="97"/>
    </row>
    <row r="225" spans="1:27" ht="17">
      <c r="A225" s="97"/>
      <c r="B225" s="97"/>
      <c r="C225" s="302"/>
      <c r="D225" s="302"/>
      <c r="E225" s="302"/>
      <c r="F225" s="302"/>
      <c r="G225" s="97"/>
      <c r="H225" s="97"/>
      <c r="I225" s="97"/>
      <c r="J225" s="97"/>
      <c r="K225" s="97"/>
      <c r="L225" s="97"/>
      <c r="M225" s="97"/>
      <c r="N225" s="97"/>
      <c r="O225" s="97"/>
      <c r="P225" s="97"/>
      <c r="Q225" s="97"/>
      <c r="R225" s="97"/>
      <c r="S225" s="97"/>
      <c r="T225" s="97"/>
      <c r="U225" s="97"/>
      <c r="V225" s="97"/>
      <c r="W225" s="97"/>
      <c r="X225" s="97"/>
      <c r="Y225" s="97"/>
      <c r="Z225" s="97"/>
      <c r="AA225" s="97"/>
    </row>
    <row r="226" spans="1:27" ht="17">
      <c r="A226" s="97"/>
      <c r="B226" s="97"/>
      <c r="C226" s="302"/>
      <c r="D226" s="302"/>
      <c r="E226" s="302"/>
      <c r="F226" s="302"/>
      <c r="G226" s="97"/>
      <c r="H226" s="97"/>
      <c r="I226" s="97"/>
      <c r="J226" s="97"/>
      <c r="K226" s="97"/>
      <c r="L226" s="97"/>
      <c r="M226" s="97"/>
      <c r="N226" s="97"/>
      <c r="O226" s="97"/>
      <c r="P226" s="97"/>
      <c r="Q226" s="97"/>
      <c r="R226" s="97"/>
      <c r="S226" s="97"/>
      <c r="T226" s="97"/>
      <c r="U226" s="97"/>
      <c r="V226" s="97"/>
      <c r="W226" s="97"/>
      <c r="X226" s="97"/>
      <c r="Y226" s="97"/>
      <c r="Z226" s="97"/>
      <c r="AA226" s="97"/>
    </row>
    <row r="227" spans="1:27" ht="17">
      <c r="A227" s="97"/>
      <c r="B227" s="97"/>
      <c r="C227" s="302"/>
      <c r="D227" s="302"/>
      <c r="E227" s="302"/>
      <c r="F227" s="302"/>
      <c r="G227" s="97"/>
      <c r="H227" s="97"/>
      <c r="I227" s="97"/>
      <c r="J227" s="97"/>
      <c r="K227" s="97"/>
      <c r="L227" s="97"/>
      <c r="M227" s="97"/>
      <c r="N227" s="97"/>
      <c r="O227" s="97"/>
      <c r="P227" s="97"/>
      <c r="Q227" s="97"/>
      <c r="R227" s="97"/>
      <c r="S227" s="97"/>
      <c r="T227" s="97"/>
      <c r="U227" s="97"/>
      <c r="V227" s="97"/>
      <c r="W227" s="97"/>
      <c r="X227" s="97"/>
      <c r="Y227" s="97"/>
      <c r="Z227" s="97"/>
      <c r="AA227" s="97"/>
    </row>
    <row r="228" spans="1:27" ht="17">
      <c r="A228" s="97"/>
      <c r="B228" s="97"/>
      <c r="C228" s="302"/>
      <c r="D228" s="302"/>
      <c r="E228" s="302"/>
      <c r="F228" s="302"/>
      <c r="G228" s="97"/>
      <c r="H228" s="97"/>
      <c r="I228" s="97"/>
      <c r="J228" s="97"/>
      <c r="K228" s="97"/>
      <c r="L228" s="97"/>
      <c r="M228" s="97"/>
      <c r="N228" s="97"/>
      <c r="O228" s="97"/>
      <c r="P228" s="97"/>
      <c r="Q228" s="97"/>
      <c r="R228" s="97"/>
      <c r="S228" s="97"/>
      <c r="T228" s="97"/>
      <c r="U228" s="97"/>
      <c r="V228" s="97"/>
      <c r="W228" s="97"/>
      <c r="X228" s="97"/>
      <c r="Y228" s="97"/>
      <c r="Z228" s="97"/>
      <c r="AA228" s="97"/>
    </row>
    <row r="229" spans="1:27" ht="17">
      <c r="A229" s="97"/>
      <c r="B229" s="97"/>
      <c r="C229" s="302"/>
      <c r="D229" s="302"/>
      <c r="E229" s="302"/>
      <c r="F229" s="302"/>
      <c r="G229" s="97"/>
      <c r="H229" s="97"/>
      <c r="I229" s="97"/>
      <c r="J229" s="97"/>
      <c r="K229" s="97"/>
      <c r="L229" s="97"/>
      <c r="M229" s="97"/>
      <c r="N229" s="97"/>
      <c r="O229" s="97"/>
      <c r="P229" s="97"/>
      <c r="Q229" s="97"/>
      <c r="R229" s="97"/>
      <c r="S229" s="97"/>
      <c r="T229" s="97"/>
      <c r="U229" s="97"/>
      <c r="V229" s="97"/>
      <c r="W229" s="97"/>
      <c r="X229" s="97"/>
      <c r="Y229" s="97"/>
      <c r="Z229" s="97"/>
      <c r="AA229" s="97"/>
    </row>
    <row r="230" spans="1:27" ht="17">
      <c r="A230" s="97"/>
      <c r="B230" s="97"/>
      <c r="C230" s="302"/>
      <c r="D230" s="302"/>
      <c r="E230" s="302"/>
      <c r="F230" s="302"/>
      <c r="G230" s="97"/>
      <c r="H230" s="97"/>
      <c r="I230" s="97"/>
      <c r="J230" s="97"/>
      <c r="K230" s="97"/>
      <c r="L230" s="97"/>
      <c r="M230" s="97"/>
      <c r="N230" s="97"/>
      <c r="O230" s="97"/>
      <c r="P230" s="97"/>
      <c r="Q230" s="97"/>
      <c r="R230" s="97"/>
      <c r="S230" s="97"/>
      <c r="T230" s="97"/>
      <c r="U230" s="97"/>
      <c r="V230" s="97"/>
      <c r="W230" s="97"/>
      <c r="X230" s="97"/>
      <c r="Y230" s="97"/>
      <c r="Z230" s="97"/>
      <c r="AA230" s="97"/>
    </row>
    <row r="231" spans="1:27" ht="17">
      <c r="A231" s="97"/>
      <c r="B231" s="97"/>
      <c r="C231" s="302"/>
      <c r="D231" s="302"/>
      <c r="E231" s="302"/>
      <c r="F231" s="302"/>
      <c r="G231" s="97"/>
      <c r="H231" s="97"/>
      <c r="I231" s="97"/>
      <c r="J231" s="97"/>
      <c r="K231" s="97"/>
      <c r="L231" s="97"/>
      <c r="M231" s="97"/>
      <c r="N231" s="97"/>
      <c r="O231" s="97"/>
      <c r="P231" s="97"/>
      <c r="Q231" s="97"/>
      <c r="R231" s="97"/>
      <c r="S231" s="97"/>
      <c r="T231" s="97"/>
      <c r="U231" s="97"/>
      <c r="V231" s="97"/>
      <c r="W231" s="97"/>
      <c r="X231" s="97"/>
      <c r="Y231" s="97"/>
      <c r="Z231" s="97"/>
      <c r="AA231" s="97"/>
    </row>
    <row r="232" spans="1:27" ht="17">
      <c r="A232" s="97"/>
      <c r="B232" s="97"/>
      <c r="C232" s="302"/>
      <c r="D232" s="302"/>
      <c r="E232" s="302"/>
      <c r="F232" s="302"/>
      <c r="G232" s="97"/>
      <c r="H232" s="97"/>
      <c r="I232" s="97"/>
      <c r="J232" s="97"/>
      <c r="K232" s="97"/>
      <c r="L232" s="97"/>
      <c r="M232" s="97"/>
      <c r="N232" s="97"/>
      <c r="O232" s="97"/>
      <c r="P232" s="97"/>
      <c r="Q232" s="97"/>
      <c r="R232" s="97"/>
      <c r="S232" s="97"/>
      <c r="T232" s="97"/>
      <c r="U232" s="97"/>
      <c r="V232" s="97"/>
      <c r="W232" s="97"/>
      <c r="X232" s="97"/>
      <c r="Y232" s="97"/>
      <c r="Z232" s="97"/>
      <c r="AA232" s="97"/>
    </row>
    <row r="233" spans="1:27" ht="17">
      <c r="A233" s="97"/>
      <c r="B233" s="97"/>
      <c r="C233" s="302"/>
      <c r="D233" s="302"/>
      <c r="E233" s="302"/>
      <c r="F233" s="302"/>
      <c r="G233" s="97"/>
      <c r="H233" s="97"/>
      <c r="I233" s="97"/>
      <c r="J233" s="97"/>
      <c r="K233" s="97"/>
      <c r="L233" s="97"/>
      <c r="M233" s="97"/>
      <c r="N233" s="97"/>
      <c r="O233" s="97"/>
      <c r="P233" s="97"/>
      <c r="Q233" s="97"/>
      <c r="R233" s="97"/>
      <c r="S233" s="97"/>
      <c r="T233" s="97"/>
      <c r="U233" s="97"/>
      <c r="V233" s="97"/>
      <c r="W233" s="97"/>
      <c r="X233" s="97"/>
      <c r="Y233" s="97"/>
      <c r="Z233" s="97"/>
      <c r="AA233" s="97"/>
    </row>
    <row r="234" spans="1:27" ht="17">
      <c r="A234" s="97"/>
      <c r="B234" s="97"/>
      <c r="C234" s="302"/>
      <c r="D234" s="302"/>
      <c r="E234" s="302"/>
      <c r="F234" s="302"/>
      <c r="G234" s="97"/>
      <c r="H234" s="97"/>
      <c r="I234" s="97"/>
      <c r="J234" s="97"/>
      <c r="K234" s="97"/>
      <c r="L234" s="97"/>
      <c r="M234" s="97"/>
      <c r="N234" s="97"/>
      <c r="O234" s="97"/>
      <c r="P234" s="97"/>
      <c r="Q234" s="97"/>
      <c r="R234" s="97"/>
      <c r="S234" s="97"/>
      <c r="T234" s="97"/>
      <c r="U234" s="97"/>
      <c r="V234" s="97"/>
      <c r="W234" s="97"/>
      <c r="X234" s="97"/>
      <c r="Y234" s="97"/>
      <c r="Z234" s="97"/>
      <c r="AA234" s="97"/>
    </row>
    <row r="235" spans="1:27" ht="17">
      <c r="A235" s="97"/>
      <c r="B235" s="97"/>
      <c r="C235" s="302"/>
      <c r="D235" s="302"/>
      <c r="E235" s="302"/>
      <c r="F235" s="302"/>
      <c r="G235" s="97"/>
      <c r="H235" s="97"/>
      <c r="I235" s="97"/>
      <c r="J235" s="97"/>
      <c r="K235" s="97"/>
      <c r="L235" s="97"/>
      <c r="M235" s="97"/>
      <c r="N235" s="97"/>
      <c r="O235" s="97"/>
      <c r="P235" s="97"/>
      <c r="Q235" s="97"/>
      <c r="R235" s="97"/>
      <c r="S235" s="97"/>
      <c r="T235" s="97"/>
      <c r="U235" s="97"/>
      <c r="V235" s="97"/>
      <c r="W235" s="97"/>
      <c r="X235" s="97"/>
      <c r="Y235" s="97"/>
      <c r="Z235" s="97"/>
      <c r="AA235" s="97"/>
    </row>
    <row r="236" spans="1:27" ht="17">
      <c r="A236" s="97"/>
      <c r="B236" s="97"/>
      <c r="C236" s="302"/>
      <c r="D236" s="302"/>
      <c r="E236" s="302"/>
      <c r="F236" s="302"/>
      <c r="G236" s="97"/>
      <c r="H236" s="97"/>
      <c r="I236" s="97"/>
      <c r="J236" s="97"/>
      <c r="K236" s="97"/>
      <c r="L236" s="97"/>
      <c r="M236" s="97"/>
      <c r="N236" s="97"/>
      <c r="O236" s="97"/>
      <c r="P236" s="97"/>
      <c r="Q236" s="97"/>
      <c r="R236" s="97"/>
      <c r="S236" s="97"/>
      <c r="T236" s="97"/>
      <c r="U236" s="97"/>
      <c r="V236" s="97"/>
      <c r="W236" s="97"/>
      <c r="X236" s="97"/>
      <c r="Y236" s="97"/>
      <c r="Z236" s="97"/>
      <c r="AA236" s="97"/>
    </row>
    <row r="237" spans="1:27" ht="17">
      <c r="A237" s="97"/>
      <c r="B237" s="97"/>
      <c r="C237" s="302"/>
      <c r="D237" s="302"/>
      <c r="E237" s="302"/>
      <c r="F237" s="302"/>
      <c r="G237" s="97"/>
      <c r="H237" s="97"/>
      <c r="I237" s="97"/>
      <c r="J237" s="97"/>
      <c r="K237" s="97"/>
      <c r="L237" s="97"/>
      <c r="M237" s="97"/>
      <c r="N237" s="97"/>
      <c r="O237" s="97"/>
      <c r="P237" s="97"/>
      <c r="Q237" s="97"/>
      <c r="R237" s="97"/>
      <c r="S237" s="97"/>
      <c r="T237" s="97"/>
      <c r="U237" s="97"/>
      <c r="V237" s="97"/>
      <c r="W237" s="97"/>
      <c r="X237" s="97"/>
      <c r="Y237" s="97"/>
      <c r="Z237" s="97"/>
      <c r="AA237" s="97"/>
    </row>
    <row r="238" spans="1:27" ht="17">
      <c r="A238" s="97"/>
      <c r="B238" s="97"/>
      <c r="C238" s="302"/>
      <c r="D238" s="302"/>
      <c r="E238" s="302"/>
      <c r="F238" s="302"/>
      <c r="G238" s="97"/>
      <c r="H238" s="97"/>
      <c r="I238" s="97"/>
      <c r="J238" s="97"/>
      <c r="K238" s="97"/>
      <c r="L238" s="97"/>
      <c r="M238" s="97"/>
      <c r="N238" s="97"/>
      <c r="O238" s="97"/>
      <c r="P238" s="97"/>
      <c r="Q238" s="97"/>
      <c r="R238" s="97"/>
      <c r="S238" s="97"/>
      <c r="T238" s="97"/>
      <c r="U238" s="97"/>
      <c r="V238" s="97"/>
      <c r="W238" s="97"/>
      <c r="X238" s="97"/>
      <c r="Y238" s="97"/>
      <c r="Z238" s="97"/>
      <c r="AA238" s="97"/>
    </row>
    <row r="239" spans="1:27" ht="17">
      <c r="A239" s="97"/>
      <c r="B239" s="97"/>
      <c r="C239" s="302"/>
      <c r="D239" s="302"/>
      <c r="E239" s="302"/>
      <c r="F239" s="302"/>
      <c r="G239" s="97"/>
      <c r="H239" s="97"/>
      <c r="I239" s="97"/>
      <c r="J239" s="97"/>
      <c r="K239" s="97"/>
      <c r="L239" s="97"/>
      <c r="M239" s="97"/>
      <c r="N239" s="97"/>
      <c r="O239" s="97"/>
      <c r="P239" s="97"/>
      <c r="Q239" s="97"/>
      <c r="R239" s="97"/>
      <c r="S239" s="97"/>
      <c r="T239" s="97"/>
      <c r="U239" s="97"/>
      <c r="V239" s="97"/>
      <c r="W239" s="97"/>
      <c r="X239" s="97"/>
      <c r="Y239" s="97"/>
      <c r="Z239" s="97"/>
      <c r="AA239" s="97"/>
    </row>
    <row r="240" spans="1:27" ht="17">
      <c r="A240" s="97"/>
      <c r="B240" s="97"/>
      <c r="C240" s="302"/>
      <c r="D240" s="302"/>
      <c r="E240" s="302"/>
      <c r="F240" s="302"/>
      <c r="G240" s="97"/>
      <c r="H240" s="97"/>
      <c r="I240" s="97"/>
      <c r="J240" s="97"/>
      <c r="K240" s="97"/>
      <c r="L240" s="97"/>
      <c r="M240" s="97"/>
      <c r="N240" s="97"/>
      <c r="O240" s="97"/>
      <c r="P240" s="97"/>
      <c r="Q240" s="97"/>
      <c r="R240" s="97"/>
      <c r="S240" s="97"/>
      <c r="T240" s="97"/>
      <c r="U240" s="97"/>
      <c r="V240" s="97"/>
      <c r="W240" s="97"/>
      <c r="X240" s="97"/>
      <c r="Y240" s="97"/>
      <c r="Z240" s="97"/>
      <c r="AA240" s="97"/>
    </row>
    <row r="241" spans="1:27" ht="17">
      <c r="A241" s="97"/>
      <c r="B241" s="97"/>
      <c r="C241" s="302"/>
      <c r="D241" s="302"/>
      <c r="E241" s="302"/>
      <c r="F241" s="302"/>
      <c r="G241" s="97"/>
      <c r="H241" s="97"/>
      <c r="I241" s="97"/>
      <c r="J241" s="97"/>
      <c r="K241" s="97"/>
      <c r="L241" s="97"/>
      <c r="M241" s="97"/>
      <c r="N241" s="97"/>
      <c r="O241" s="97"/>
      <c r="P241" s="97"/>
      <c r="Q241" s="97"/>
      <c r="R241" s="97"/>
      <c r="S241" s="97"/>
      <c r="T241" s="97"/>
      <c r="U241" s="97"/>
      <c r="V241" s="97"/>
      <c r="W241" s="97"/>
      <c r="X241" s="97"/>
      <c r="Y241" s="97"/>
      <c r="Z241" s="97"/>
      <c r="AA241" s="97"/>
    </row>
    <row r="242" spans="1:27" ht="17">
      <c r="A242" s="97"/>
      <c r="B242" s="97"/>
      <c r="C242" s="302"/>
      <c r="D242" s="302"/>
      <c r="E242" s="302"/>
      <c r="F242" s="302"/>
      <c r="G242" s="97"/>
      <c r="H242" s="97"/>
      <c r="I242" s="97"/>
      <c r="J242" s="97"/>
      <c r="K242" s="97"/>
      <c r="L242" s="97"/>
      <c r="M242" s="97"/>
      <c r="N242" s="97"/>
      <c r="O242" s="97"/>
      <c r="P242" s="97"/>
      <c r="Q242" s="97"/>
      <c r="R242" s="97"/>
      <c r="S242" s="97"/>
      <c r="T242" s="97"/>
      <c r="U242" s="97"/>
      <c r="V242" s="97"/>
      <c r="W242" s="97"/>
      <c r="X242" s="97"/>
      <c r="Y242" s="97"/>
      <c r="Z242" s="97"/>
      <c r="AA242" s="97"/>
    </row>
    <row r="243" spans="1:27" ht="17">
      <c r="A243" s="97"/>
      <c r="B243" s="97"/>
      <c r="C243" s="302"/>
      <c r="D243" s="302"/>
      <c r="E243" s="302"/>
      <c r="F243" s="302"/>
      <c r="G243" s="97"/>
      <c r="H243" s="97"/>
      <c r="I243" s="97"/>
      <c r="J243" s="97"/>
      <c r="K243" s="97"/>
      <c r="L243" s="97"/>
      <c r="M243" s="97"/>
      <c r="N243" s="97"/>
      <c r="O243" s="97"/>
      <c r="P243" s="97"/>
      <c r="Q243" s="97"/>
      <c r="R243" s="97"/>
      <c r="S243" s="97"/>
      <c r="T243" s="97"/>
      <c r="U243" s="97"/>
      <c r="V243" s="97"/>
      <c r="W243" s="97"/>
      <c r="X243" s="97"/>
      <c r="Y243" s="97"/>
      <c r="Z243" s="97"/>
      <c r="AA243" s="97"/>
    </row>
    <row r="244" spans="1:27" ht="17">
      <c r="A244" s="97"/>
      <c r="B244" s="97"/>
      <c r="C244" s="302"/>
      <c r="D244" s="302"/>
      <c r="E244" s="302"/>
      <c r="F244" s="302"/>
      <c r="G244" s="97"/>
      <c r="H244" s="97"/>
      <c r="I244" s="97"/>
      <c r="J244" s="97"/>
      <c r="K244" s="97"/>
      <c r="L244" s="97"/>
      <c r="M244" s="97"/>
      <c r="N244" s="97"/>
      <c r="O244" s="97"/>
      <c r="P244" s="97"/>
      <c r="Q244" s="97"/>
      <c r="R244" s="97"/>
      <c r="S244" s="97"/>
      <c r="T244" s="97"/>
      <c r="U244" s="97"/>
      <c r="V244" s="97"/>
      <c r="W244" s="97"/>
      <c r="X244" s="97"/>
      <c r="Y244" s="97"/>
      <c r="Z244" s="97"/>
      <c r="AA244" s="97"/>
    </row>
    <row r="245" spans="1:27" ht="17">
      <c r="A245" s="97"/>
      <c r="B245" s="97"/>
      <c r="C245" s="302"/>
      <c r="D245" s="302"/>
      <c r="E245" s="302"/>
      <c r="F245" s="302"/>
      <c r="G245" s="97"/>
      <c r="H245" s="97"/>
      <c r="I245" s="97"/>
      <c r="J245" s="97"/>
      <c r="K245" s="97"/>
      <c r="L245" s="97"/>
      <c r="M245" s="97"/>
      <c r="N245" s="97"/>
      <c r="O245" s="97"/>
      <c r="P245" s="97"/>
      <c r="Q245" s="97"/>
      <c r="R245" s="97"/>
      <c r="S245" s="97"/>
      <c r="T245" s="97"/>
      <c r="U245" s="97"/>
      <c r="V245" s="97"/>
      <c r="W245" s="97"/>
      <c r="X245" s="97"/>
      <c r="Y245" s="97"/>
      <c r="Z245" s="97"/>
      <c r="AA245" s="97"/>
    </row>
    <row r="246" spans="1:27" ht="17">
      <c r="A246" s="97"/>
      <c r="B246" s="97"/>
      <c r="C246" s="302"/>
      <c r="D246" s="302"/>
      <c r="E246" s="302"/>
      <c r="F246" s="302"/>
      <c r="G246" s="97"/>
      <c r="H246" s="97"/>
      <c r="I246" s="97"/>
      <c r="J246" s="97"/>
      <c r="K246" s="97"/>
      <c r="L246" s="97"/>
      <c r="M246" s="97"/>
      <c r="N246" s="97"/>
      <c r="O246" s="97"/>
      <c r="P246" s="97"/>
      <c r="Q246" s="97"/>
      <c r="R246" s="97"/>
      <c r="S246" s="97"/>
      <c r="T246" s="97"/>
      <c r="U246" s="97"/>
      <c r="V246" s="97"/>
      <c r="W246" s="97"/>
      <c r="X246" s="97"/>
      <c r="Y246" s="97"/>
      <c r="Z246" s="97"/>
      <c r="AA246" s="97"/>
    </row>
    <row r="247" spans="1:27" ht="17">
      <c r="A247" s="97"/>
      <c r="B247" s="97"/>
      <c r="C247" s="302"/>
      <c r="D247" s="302"/>
      <c r="E247" s="302"/>
      <c r="F247" s="302"/>
      <c r="G247" s="97"/>
      <c r="H247" s="97"/>
      <c r="I247" s="97"/>
      <c r="J247" s="97"/>
      <c r="K247" s="97"/>
      <c r="L247" s="97"/>
      <c r="M247" s="97"/>
      <c r="N247" s="97"/>
      <c r="O247" s="97"/>
      <c r="P247" s="97"/>
      <c r="Q247" s="97"/>
      <c r="R247" s="97"/>
      <c r="S247" s="97"/>
      <c r="T247" s="97"/>
      <c r="U247" s="97"/>
      <c r="V247" s="97"/>
      <c r="W247" s="97"/>
      <c r="X247" s="97"/>
      <c r="Y247" s="97"/>
      <c r="Z247" s="97"/>
      <c r="AA247" s="97"/>
    </row>
    <row r="248" spans="1:27" ht="17">
      <c r="A248" s="97"/>
      <c r="B248" s="97"/>
      <c r="C248" s="302"/>
      <c r="D248" s="302"/>
      <c r="E248" s="302"/>
      <c r="F248" s="302"/>
      <c r="G248" s="97"/>
      <c r="H248" s="97"/>
      <c r="I248" s="97"/>
      <c r="J248" s="97"/>
      <c r="K248" s="97"/>
      <c r="L248" s="97"/>
      <c r="M248" s="97"/>
      <c r="N248" s="97"/>
      <c r="O248" s="97"/>
      <c r="P248" s="97"/>
      <c r="Q248" s="97"/>
      <c r="R248" s="97"/>
      <c r="S248" s="97"/>
      <c r="T248" s="97"/>
      <c r="U248" s="97"/>
      <c r="V248" s="97"/>
      <c r="W248" s="97"/>
      <c r="X248" s="97"/>
      <c r="Y248" s="97"/>
      <c r="Z248" s="97"/>
      <c r="AA248" s="97"/>
    </row>
    <row r="249" spans="1:27" ht="17">
      <c r="A249" s="97"/>
      <c r="B249" s="97"/>
      <c r="C249" s="302"/>
      <c r="D249" s="302"/>
      <c r="E249" s="302"/>
      <c r="F249" s="302"/>
      <c r="G249" s="97"/>
      <c r="H249" s="97"/>
      <c r="I249" s="97"/>
      <c r="J249" s="97"/>
      <c r="K249" s="97"/>
      <c r="L249" s="97"/>
      <c r="M249" s="97"/>
      <c r="N249" s="97"/>
      <c r="O249" s="97"/>
      <c r="P249" s="97"/>
      <c r="Q249" s="97"/>
      <c r="R249" s="97"/>
      <c r="S249" s="97"/>
      <c r="T249" s="97"/>
      <c r="U249" s="97"/>
      <c r="V249" s="97"/>
      <c r="W249" s="97"/>
      <c r="X249" s="97"/>
      <c r="Y249" s="97"/>
      <c r="Z249" s="97"/>
      <c r="AA249" s="97"/>
    </row>
    <row r="250" spans="1:27" ht="17">
      <c r="A250" s="97"/>
      <c r="B250" s="97"/>
      <c r="C250" s="302"/>
      <c r="D250" s="302"/>
      <c r="E250" s="302"/>
      <c r="F250" s="302"/>
      <c r="G250" s="97"/>
      <c r="H250" s="97"/>
      <c r="I250" s="97"/>
      <c r="J250" s="97"/>
      <c r="K250" s="97"/>
      <c r="L250" s="97"/>
      <c r="M250" s="97"/>
      <c r="N250" s="97"/>
      <c r="O250" s="97"/>
      <c r="P250" s="97"/>
      <c r="Q250" s="97"/>
      <c r="R250" s="97"/>
      <c r="S250" s="97"/>
      <c r="T250" s="97"/>
      <c r="U250" s="97"/>
      <c r="V250" s="97"/>
      <c r="W250" s="97"/>
      <c r="X250" s="97"/>
      <c r="Y250" s="97"/>
      <c r="Z250" s="97"/>
      <c r="AA250" s="97"/>
    </row>
    <row r="251" spans="1:27" ht="17">
      <c r="A251" s="97"/>
      <c r="B251" s="97"/>
      <c r="C251" s="302"/>
      <c r="D251" s="302"/>
      <c r="E251" s="302"/>
      <c r="F251" s="302"/>
      <c r="G251" s="97"/>
      <c r="H251" s="97"/>
      <c r="I251" s="97"/>
      <c r="J251" s="97"/>
      <c r="K251" s="97"/>
      <c r="L251" s="97"/>
      <c r="M251" s="97"/>
      <c r="N251" s="97"/>
      <c r="O251" s="97"/>
      <c r="P251" s="97"/>
      <c r="Q251" s="97"/>
      <c r="R251" s="97"/>
      <c r="S251" s="97"/>
      <c r="T251" s="97"/>
      <c r="U251" s="97"/>
      <c r="V251" s="97"/>
      <c r="W251" s="97"/>
      <c r="X251" s="97"/>
      <c r="Y251" s="97"/>
      <c r="Z251" s="97"/>
      <c r="AA251" s="97"/>
    </row>
    <row r="252" spans="1:27" ht="17">
      <c r="A252" s="97"/>
      <c r="B252" s="97"/>
      <c r="C252" s="302"/>
      <c r="D252" s="302"/>
      <c r="E252" s="302"/>
      <c r="F252" s="302"/>
      <c r="G252" s="97"/>
      <c r="H252" s="97"/>
      <c r="I252" s="97"/>
      <c r="J252" s="97"/>
      <c r="K252" s="97"/>
      <c r="L252" s="97"/>
      <c r="M252" s="97"/>
      <c r="N252" s="97"/>
      <c r="O252" s="97"/>
      <c r="P252" s="97"/>
      <c r="Q252" s="97"/>
      <c r="R252" s="97"/>
      <c r="S252" s="97"/>
      <c r="T252" s="97"/>
      <c r="U252" s="97"/>
      <c r="V252" s="97"/>
      <c r="W252" s="97"/>
      <c r="X252" s="97"/>
      <c r="Y252" s="97"/>
      <c r="Z252" s="97"/>
      <c r="AA252" s="97"/>
    </row>
    <row r="253" spans="1:27" ht="17">
      <c r="A253" s="97"/>
      <c r="B253" s="97"/>
      <c r="C253" s="302"/>
      <c r="D253" s="302"/>
      <c r="E253" s="302"/>
      <c r="F253" s="302"/>
      <c r="G253" s="97"/>
      <c r="H253" s="97"/>
      <c r="I253" s="97"/>
      <c r="J253" s="97"/>
      <c r="K253" s="97"/>
      <c r="L253" s="97"/>
      <c r="M253" s="97"/>
      <c r="N253" s="97"/>
      <c r="O253" s="97"/>
      <c r="P253" s="97"/>
      <c r="Q253" s="97"/>
      <c r="R253" s="97"/>
      <c r="S253" s="97"/>
      <c r="T253" s="97"/>
      <c r="U253" s="97"/>
      <c r="V253" s="97"/>
      <c r="W253" s="97"/>
      <c r="X253" s="97"/>
      <c r="Y253" s="97"/>
      <c r="Z253" s="97"/>
      <c r="AA253" s="97"/>
    </row>
    <row r="254" spans="1:27" ht="17">
      <c r="A254" s="97"/>
      <c r="B254" s="97"/>
      <c r="C254" s="302"/>
      <c r="D254" s="302"/>
      <c r="E254" s="302"/>
      <c r="F254" s="302"/>
      <c r="G254" s="97"/>
      <c r="H254" s="97"/>
      <c r="I254" s="97"/>
      <c r="J254" s="97"/>
      <c r="K254" s="97"/>
      <c r="L254" s="97"/>
      <c r="M254" s="97"/>
      <c r="N254" s="97"/>
      <c r="O254" s="97"/>
      <c r="P254" s="97"/>
      <c r="Q254" s="97"/>
      <c r="R254" s="97"/>
      <c r="S254" s="97"/>
      <c r="T254" s="97"/>
      <c r="U254" s="97"/>
      <c r="V254" s="97"/>
      <c r="W254" s="97"/>
      <c r="X254" s="97"/>
      <c r="Y254" s="97"/>
      <c r="Z254" s="97"/>
      <c r="AA254" s="97"/>
    </row>
    <row r="255" spans="1:27" ht="17">
      <c r="A255" s="97"/>
      <c r="B255" s="97"/>
      <c r="C255" s="302"/>
      <c r="D255" s="302"/>
      <c r="E255" s="302"/>
      <c r="F255" s="302"/>
      <c r="G255" s="97"/>
      <c r="H255" s="97"/>
      <c r="I255" s="97"/>
      <c r="J255" s="97"/>
      <c r="K255" s="97"/>
      <c r="L255" s="97"/>
      <c r="M255" s="97"/>
      <c r="N255" s="97"/>
      <c r="O255" s="97"/>
      <c r="P255" s="97"/>
      <c r="Q255" s="97"/>
      <c r="R255" s="97"/>
      <c r="S255" s="97"/>
      <c r="T255" s="97"/>
      <c r="U255" s="97"/>
      <c r="V255" s="97"/>
      <c r="W255" s="97"/>
      <c r="X255" s="97"/>
      <c r="Y255" s="97"/>
      <c r="Z255" s="97"/>
      <c r="AA255" s="97"/>
    </row>
    <row r="256" spans="1:27" ht="17">
      <c r="A256" s="97"/>
      <c r="B256" s="97"/>
      <c r="C256" s="302"/>
      <c r="D256" s="302"/>
      <c r="E256" s="302"/>
      <c r="F256" s="302"/>
      <c r="G256" s="97"/>
      <c r="H256" s="97"/>
      <c r="I256" s="97"/>
      <c r="J256" s="97"/>
      <c r="K256" s="97"/>
      <c r="L256" s="97"/>
      <c r="M256" s="97"/>
      <c r="N256" s="97"/>
      <c r="O256" s="97"/>
      <c r="P256" s="97"/>
      <c r="Q256" s="97"/>
      <c r="R256" s="97"/>
      <c r="S256" s="97"/>
      <c r="T256" s="97"/>
      <c r="U256" s="97"/>
      <c r="V256" s="97"/>
      <c r="W256" s="97"/>
      <c r="X256" s="97"/>
      <c r="Y256" s="97"/>
      <c r="Z256" s="97"/>
      <c r="AA256" s="97"/>
    </row>
    <row r="257" spans="1:27" ht="17">
      <c r="A257" s="97"/>
      <c r="B257" s="97"/>
      <c r="C257" s="302"/>
      <c r="D257" s="302"/>
      <c r="E257" s="302"/>
      <c r="F257" s="302"/>
      <c r="G257" s="97"/>
      <c r="H257" s="97"/>
      <c r="I257" s="97"/>
      <c r="J257" s="97"/>
      <c r="K257" s="97"/>
      <c r="L257" s="97"/>
      <c r="M257" s="97"/>
      <c r="N257" s="97"/>
      <c r="O257" s="97"/>
      <c r="P257" s="97"/>
      <c r="Q257" s="97"/>
      <c r="R257" s="97"/>
      <c r="S257" s="97"/>
      <c r="T257" s="97"/>
      <c r="U257" s="97"/>
      <c r="V257" s="97"/>
      <c r="W257" s="97"/>
      <c r="X257" s="97"/>
      <c r="Y257" s="97"/>
      <c r="Z257" s="97"/>
      <c r="AA257" s="97"/>
    </row>
    <row r="258" spans="1:27" ht="17">
      <c r="A258" s="97"/>
      <c r="B258" s="97"/>
      <c r="C258" s="302"/>
      <c r="D258" s="302"/>
      <c r="E258" s="302"/>
      <c r="F258" s="302"/>
      <c r="G258" s="97"/>
      <c r="H258" s="97"/>
      <c r="I258" s="97"/>
      <c r="J258" s="97"/>
      <c r="K258" s="97"/>
      <c r="L258" s="97"/>
      <c r="M258" s="97"/>
      <c r="N258" s="97"/>
      <c r="O258" s="97"/>
      <c r="P258" s="97"/>
      <c r="Q258" s="97"/>
      <c r="R258" s="97"/>
      <c r="S258" s="97"/>
      <c r="T258" s="97"/>
      <c r="U258" s="97"/>
      <c r="V258" s="97"/>
      <c r="W258" s="97"/>
      <c r="X258" s="97"/>
      <c r="Y258" s="97"/>
      <c r="Z258" s="97"/>
      <c r="AA258" s="97"/>
    </row>
    <row r="259" spans="1:27" ht="17">
      <c r="A259" s="97"/>
      <c r="B259" s="97"/>
      <c r="C259" s="302"/>
      <c r="D259" s="302"/>
      <c r="E259" s="302"/>
      <c r="F259" s="302"/>
      <c r="G259" s="97"/>
      <c r="H259" s="97"/>
      <c r="I259" s="97"/>
      <c r="J259" s="97"/>
      <c r="K259" s="97"/>
      <c r="L259" s="97"/>
      <c r="M259" s="97"/>
      <c r="N259" s="97"/>
      <c r="O259" s="97"/>
      <c r="P259" s="97"/>
      <c r="Q259" s="97"/>
      <c r="R259" s="97"/>
      <c r="S259" s="97"/>
      <c r="T259" s="97"/>
      <c r="U259" s="97"/>
      <c r="V259" s="97"/>
      <c r="W259" s="97"/>
      <c r="X259" s="97"/>
      <c r="Y259" s="97"/>
      <c r="Z259" s="97"/>
      <c r="AA259" s="97"/>
    </row>
    <row r="260" spans="1:27" ht="17">
      <c r="A260" s="97"/>
      <c r="B260" s="97"/>
      <c r="C260" s="302"/>
      <c r="D260" s="302"/>
      <c r="E260" s="302"/>
      <c r="F260" s="302"/>
      <c r="G260" s="97"/>
      <c r="H260" s="97"/>
      <c r="I260" s="97"/>
      <c r="J260" s="97"/>
      <c r="K260" s="97"/>
      <c r="L260" s="97"/>
      <c r="M260" s="97"/>
      <c r="N260" s="97"/>
      <c r="O260" s="97"/>
      <c r="P260" s="97"/>
      <c r="Q260" s="97"/>
      <c r="R260" s="97"/>
      <c r="S260" s="97"/>
      <c r="T260" s="97"/>
      <c r="U260" s="97"/>
      <c r="V260" s="97"/>
      <c r="W260" s="97"/>
      <c r="X260" s="97"/>
      <c r="Y260" s="97"/>
      <c r="Z260" s="97"/>
      <c r="AA260" s="97"/>
    </row>
    <row r="261" spans="1:27" ht="17">
      <c r="A261" s="97"/>
      <c r="B261" s="97"/>
      <c r="C261" s="302"/>
      <c r="D261" s="302"/>
      <c r="E261" s="302"/>
      <c r="F261" s="302"/>
      <c r="G261" s="97"/>
      <c r="H261" s="97"/>
      <c r="I261" s="97"/>
      <c r="J261" s="97"/>
      <c r="K261" s="97"/>
      <c r="L261" s="97"/>
      <c r="M261" s="97"/>
      <c r="N261" s="97"/>
      <c r="O261" s="97"/>
      <c r="P261" s="97"/>
      <c r="Q261" s="97"/>
      <c r="R261" s="97"/>
      <c r="S261" s="97"/>
      <c r="T261" s="97"/>
      <c r="U261" s="97"/>
      <c r="V261" s="97"/>
      <c r="W261" s="97"/>
      <c r="X261" s="97"/>
      <c r="Y261" s="97"/>
      <c r="Z261" s="97"/>
      <c r="AA261" s="97"/>
    </row>
    <row r="262" spans="1:27" ht="17">
      <c r="A262" s="97"/>
      <c r="B262" s="97"/>
      <c r="C262" s="302"/>
      <c r="D262" s="302"/>
      <c r="E262" s="302"/>
      <c r="F262" s="302"/>
      <c r="G262" s="97"/>
      <c r="H262" s="97"/>
      <c r="I262" s="97"/>
      <c r="J262" s="97"/>
      <c r="K262" s="97"/>
      <c r="L262" s="97"/>
      <c r="M262" s="97"/>
      <c r="N262" s="97"/>
      <c r="O262" s="97"/>
      <c r="P262" s="97"/>
      <c r="Q262" s="97"/>
      <c r="R262" s="97"/>
      <c r="S262" s="97"/>
      <c r="T262" s="97"/>
      <c r="U262" s="97"/>
      <c r="V262" s="97"/>
      <c r="W262" s="97"/>
      <c r="X262" s="97"/>
      <c r="Y262" s="97"/>
      <c r="Z262" s="97"/>
      <c r="AA262" s="97"/>
    </row>
    <row r="263" spans="1:27" ht="17">
      <c r="A263" s="97"/>
      <c r="B263" s="97"/>
      <c r="C263" s="302"/>
      <c r="D263" s="302"/>
      <c r="E263" s="302"/>
      <c r="F263" s="302"/>
      <c r="G263" s="97"/>
      <c r="H263" s="97"/>
      <c r="I263" s="97"/>
      <c r="J263" s="97"/>
      <c r="K263" s="97"/>
      <c r="L263" s="97"/>
      <c r="M263" s="97"/>
      <c r="N263" s="97"/>
      <c r="O263" s="97"/>
      <c r="P263" s="97"/>
      <c r="Q263" s="97"/>
      <c r="R263" s="97"/>
      <c r="S263" s="97"/>
      <c r="T263" s="97"/>
      <c r="U263" s="97"/>
      <c r="V263" s="97"/>
      <c r="W263" s="97"/>
      <c r="X263" s="97"/>
      <c r="Y263" s="97"/>
      <c r="Z263" s="97"/>
      <c r="AA263" s="97"/>
    </row>
    <row r="264" spans="1:27" ht="17">
      <c r="A264" s="97"/>
      <c r="B264" s="97"/>
      <c r="C264" s="302"/>
      <c r="D264" s="302"/>
      <c r="E264" s="302"/>
      <c r="F264" s="302"/>
      <c r="G264" s="97"/>
      <c r="H264" s="97"/>
      <c r="I264" s="97"/>
      <c r="J264" s="97"/>
      <c r="K264" s="97"/>
      <c r="L264" s="97"/>
      <c r="M264" s="97"/>
      <c r="N264" s="97"/>
      <c r="O264" s="97"/>
      <c r="P264" s="97"/>
      <c r="Q264" s="97"/>
      <c r="R264" s="97"/>
      <c r="S264" s="97"/>
      <c r="T264" s="97"/>
      <c r="U264" s="97"/>
      <c r="V264" s="97"/>
      <c r="W264" s="97"/>
      <c r="X264" s="97"/>
      <c r="Y264" s="97"/>
      <c r="Z264" s="97"/>
      <c r="AA264" s="97"/>
    </row>
    <row r="265" spans="1:27" ht="17">
      <c r="A265" s="97"/>
      <c r="B265" s="97"/>
      <c r="C265" s="302"/>
      <c r="D265" s="302"/>
      <c r="E265" s="302"/>
      <c r="F265" s="302"/>
      <c r="G265" s="97"/>
      <c r="H265" s="97"/>
      <c r="I265" s="97"/>
      <c r="J265" s="97"/>
      <c r="K265" s="97"/>
      <c r="L265" s="97"/>
      <c r="M265" s="97"/>
      <c r="N265" s="97"/>
      <c r="O265" s="97"/>
      <c r="P265" s="97"/>
      <c r="Q265" s="97"/>
      <c r="R265" s="97"/>
      <c r="S265" s="97"/>
      <c r="T265" s="97"/>
      <c r="U265" s="97"/>
      <c r="V265" s="97"/>
      <c r="W265" s="97"/>
      <c r="X265" s="97"/>
      <c r="Y265" s="97"/>
      <c r="Z265" s="97"/>
      <c r="AA265" s="97"/>
    </row>
    <row r="266" spans="1:27" ht="17">
      <c r="A266" s="97"/>
      <c r="B266" s="97"/>
      <c r="C266" s="302"/>
      <c r="D266" s="302"/>
      <c r="E266" s="302"/>
      <c r="F266" s="302"/>
      <c r="G266" s="97"/>
      <c r="H266" s="97"/>
      <c r="I266" s="97"/>
      <c r="J266" s="97"/>
      <c r="K266" s="97"/>
      <c r="L266" s="97"/>
      <c r="M266" s="97"/>
      <c r="N266" s="97"/>
      <c r="O266" s="97"/>
      <c r="P266" s="97"/>
      <c r="Q266" s="97"/>
      <c r="R266" s="97"/>
      <c r="S266" s="97"/>
      <c r="T266" s="97"/>
      <c r="U266" s="97"/>
      <c r="V266" s="97"/>
      <c r="W266" s="97"/>
      <c r="X266" s="97"/>
      <c r="Y266" s="97"/>
      <c r="Z266" s="97"/>
      <c r="AA266" s="97"/>
    </row>
    <row r="267" spans="1:27" ht="17">
      <c r="A267" s="97"/>
      <c r="B267" s="97"/>
      <c r="C267" s="302"/>
      <c r="D267" s="302"/>
      <c r="E267" s="302"/>
      <c r="F267" s="302"/>
      <c r="G267" s="97"/>
      <c r="H267" s="97"/>
      <c r="I267" s="97"/>
      <c r="J267" s="97"/>
      <c r="K267" s="97"/>
      <c r="L267" s="97"/>
      <c r="M267" s="97"/>
      <c r="N267" s="97"/>
      <c r="O267" s="97"/>
      <c r="P267" s="97"/>
      <c r="Q267" s="97"/>
      <c r="R267" s="97"/>
      <c r="S267" s="97"/>
      <c r="T267" s="97"/>
      <c r="U267" s="97"/>
      <c r="V267" s="97"/>
      <c r="W267" s="97"/>
      <c r="X267" s="97"/>
      <c r="Y267" s="97"/>
      <c r="Z267" s="97"/>
      <c r="AA267" s="97"/>
    </row>
    <row r="268" spans="1:27" ht="17">
      <c r="A268" s="97"/>
      <c r="B268" s="97"/>
      <c r="C268" s="302"/>
      <c r="D268" s="302"/>
      <c r="E268" s="302"/>
      <c r="F268" s="302"/>
      <c r="G268" s="97"/>
      <c r="H268" s="97"/>
      <c r="I268" s="97"/>
      <c r="J268" s="97"/>
      <c r="K268" s="97"/>
      <c r="L268" s="97"/>
      <c r="M268" s="97"/>
      <c r="N268" s="97"/>
      <c r="O268" s="97"/>
      <c r="P268" s="97"/>
      <c r="Q268" s="97"/>
      <c r="R268" s="97"/>
      <c r="S268" s="97"/>
      <c r="T268" s="97"/>
      <c r="U268" s="97"/>
      <c r="V268" s="97"/>
      <c r="W268" s="97"/>
      <c r="X268" s="97"/>
      <c r="Y268" s="97"/>
      <c r="Z268" s="97"/>
      <c r="AA268" s="97"/>
    </row>
    <row r="269" spans="1:27" ht="17">
      <c r="A269" s="97"/>
      <c r="B269" s="97"/>
      <c r="C269" s="302"/>
      <c r="D269" s="302"/>
      <c r="E269" s="302"/>
      <c r="F269" s="302"/>
      <c r="G269" s="97"/>
      <c r="H269" s="97"/>
      <c r="I269" s="97"/>
      <c r="J269" s="97"/>
      <c r="K269" s="97"/>
      <c r="L269" s="97"/>
      <c r="M269" s="97"/>
      <c r="N269" s="97"/>
      <c r="O269" s="97"/>
      <c r="P269" s="97"/>
      <c r="Q269" s="97"/>
      <c r="R269" s="97"/>
      <c r="S269" s="97"/>
      <c r="T269" s="97"/>
      <c r="U269" s="97"/>
      <c r="V269" s="97"/>
      <c r="W269" s="97"/>
      <c r="X269" s="97"/>
      <c r="Y269" s="97"/>
      <c r="Z269" s="97"/>
      <c r="AA269" s="97"/>
    </row>
    <row r="270" spans="1:27" ht="17">
      <c r="A270" s="97"/>
      <c r="B270" s="97"/>
      <c r="C270" s="302"/>
      <c r="D270" s="302"/>
      <c r="E270" s="302"/>
      <c r="F270" s="302"/>
      <c r="G270" s="97"/>
      <c r="H270" s="97"/>
      <c r="I270" s="97"/>
      <c r="J270" s="97"/>
      <c r="K270" s="97"/>
      <c r="L270" s="97"/>
      <c r="M270" s="97"/>
      <c r="N270" s="97"/>
      <c r="O270" s="97"/>
      <c r="P270" s="97"/>
      <c r="Q270" s="97"/>
      <c r="R270" s="97"/>
      <c r="S270" s="97"/>
      <c r="T270" s="97"/>
      <c r="U270" s="97"/>
      <c r="V270" s="97"/>
      <c r="W270" s="97"/>
      <c r="X270" s="97"/>
      <c r="Y270" s="97"/>
      <c r="Z270" s="97"/>
      <c r="AA270" s="97"/>
    </row>
    <row r="271" spans="1:27" ht="17">
      <c r="A271" s="97"/>
      <c r="B271" s="97"/>
      <c r="C271" s="302"/>
      <c r="D271" s="302"/>
      <c r="E271" s="302"/>
      <c r="F271" s="302"/>
      <c r="G271" s="97"/>
      <c r="H271" s="97"/>
      <c r="I271" s="97"/>
      <c r="J271" s="97"/>
      <c r="K271" s="97"/>
      <c r="L271" s="97"/>
      <c r="M271" s="97"/>
      <c r="N271" s="97"/>
      <c r="O271" s="97"/>
      <c r="P271" s="97"/>
      <c r="Q271" s="97"/>
      <c r="R271" s="97"/>
      <c r="S271" s="97"/>
      <c r="T271" s="97"/>
      <c r="U271" s="97"/>
      <c r="V271" s="97"/>
      <c r="W271" s="97"/>
      <c r="X271" s="97"/>
      <c r="Y271" s="97"/>
      <c r="Z271" s="97"/>
      <c r="AA271" s="97"/>
    </row>
    <row r="272" spans="1:27" ht="17">
      <c r="A272" s="97"/>
      <c r="B272" s="97"/>
      <c r="C272" s="302"/>
      <c r="D272" s="302"/>
      <c r="E272" s="302"/>
      <c r="F272" s="302"/>
      <c r="G272" s="97"/>
      <c r="H272" s="97"/>
      <c r="I272" s="97"/>
      <c r="J272" s="97"/>
      <c r="K272" s="97"/>
      <c r="L272" s="97"/>
      <c r="M272" s="97"/>
      <c r="N272" s="97"/>
      <c r="O272" s="97"/>
      <c r="P272" s="97"/>
      <c r="Q272" s="97"/>
      <c r="R272" s="97"/>
      <c r="S272" s="97"/>
      <c r="T272" s="97"/>
      <c r="U272" s="97"/>
      <c r="V272" s="97"/>
      <c r="W272" s="97"/>
      <c r="X272" s="97"/>
      <c r="Y272" s="97"/>
      <c r="Z272" s="97"/>
      <c r="AA272" s="97"/>
    </row>
    <row r="273" spans="1:27" ht="17">
      <c r="A273" s="97"/>
      <c r="B273" s="97"/>
      <c r="C273" s="302"/>
      <c r="D273" s="302"/>
      <c r="E273" s="302"/>
      <c r="F273" s="302"/>
      <c r="G273" s="97"/>
      <c r="H273" s="97"/>
      <c r="I273" s="97"/>
      <c r="J273" s="97"/>
      <c r="K273" s="97"/>
      <c r="L273" s="97"/>
      <c r="M273" s="97"/>
      <c r="N273" s="97"/>
      <c r="O273" s="97"/>
      <c r="P273" s="97"/>
      <c r="Q273" s="97"/>
      <c r="R273" s="97"/>
      <c r="S273" s="97"/>
      <c r="T273" s="97"/>
      <c r="U273" s="97"/>
      <c r="V273" s="97"/>
      <c r="W273" s="97"/>
      <c r="X273" s="97"/>
      <c r="Y273" s="97"/>
      <c r="Z273" s="97"/>
      <c r="AA273" s="97"/>
    </row>
    <row r="274" spans="1:27" ht="17">
      <c r="A274" s="97"/>
      <c r="B274" s="97"/>
      <c r="C274" s="302"/>
      <c r="D274" s="302"/>
      <c r="E274" s="302"/>
      <c r="F274" s="302"/>
      <c r="G274" s="97"/>
      <c r="H274" s="97"/>
      <c r="I274" s="97"/>
      <c r="J274" s="97"/>
      <c r="K274" s="97"/>
      <c r="L274" s="97"/>
      <c r="M274" s="97"/>
      <c r="N274" s="97"/>
      <c r="O274" s="97"/>
      <c r="P274" s="97"/>
      <c r="Q274" s="97"/>
      <c r="R274" s="97"/>
      <c r="S274" s="97"/>
      <c r="T274" s="97"/>
      <c r="U274" s="97"/>
      <c r="V274" s="97"/>
      <c r="W274" s="97"/>
      <c r="X274" s="97"/>
      <c r="Y274" s="97"/>
      <c r="Z274" s="97"/>
      <c r="AA274" s="97"/>
    </row>
    <row r="275" spans="1:27" ht="17">
      <c r="A275" s="97"/>
      <c r="B275" s="97"/>
      <c r="C275" s="302"/>
      <c r="D275" s="302"/>
      <c r="E275" s="302"/>
      <c r="F275" s="302"/>
      <c r="G275" s="97"/>
      <c r="H275" s="97"/>
      <c r="I275" s="97"/>
      <c r="J275" s="97"/>
      <c r="K275" s="97"/>
      <c r="L275" s="97"/>
      <c r="M275" s="97"/>
      <c r="N275" s="97"/>
      <c r="O275" s="97"/>
      <c r="P275" s="97"/>
      <c r="Q275" s="97"/>
      <c r="R275" s="97"/>
      <c r="S275" s="97"/>
      <c r="T275" s="97"/>
      <c r="U275" s="97"/>
      <c r="V275" s="97"/>
      <c r="W275" s="97"/>
      <c r="X275" s="97"/>
      <c r="Y275" s="97"/>
      <c r="Z275" s="97"/>
      <c r="AA275" s="97"/>
    </row>
    <row r="276" spans="1:27" ht="17">
      <c r="A276" s="97"/>
      <c r="B276" s="97"/>
      <c r="C276" s="302"/>
      <c r="D276" s="302"/>
      <c r="E276" s="302"/>
      <c r="F276" s="302"/>
      <c r="G276" s="97"/>
      <c r="H276" s="97"/>
      <c r="I276" s="97"/>
      <c r="J276" s="97"/>
      <c r="K276" s="97"/>
      <c r="L276" s="97"/>
      <c r="M276" s="97"/>
      <c r="N276" s="97"/>
      <c r="O276" s="97"/>
      <c r="P276" s="97"/>
      <c r="Q276" s="97"/>
      <c r="R276" s="97"/>
      <c r="S276" s="97"/>
      <c r="T276" s="97"/>
      <c r="U276" s="97"/>
      <c r="V276" s="97"/>
      <c r="W276" s="97"/>
      <c r="X276" s="97"/>
      <c r="Y276" s="97"/>
      <c r="Z276" s="97"/>
      <c r="AA276" s="97"/>
    </row>
    <row r="277" spans="1:27" ht="17">
      <c r="A277" s="97"/>
      <c r="B277" s="97"/>
      <c r="C277" s="302"/>
      <c r="D277" s="302"/>
      <c r="E277" s="302"/>
      <c r="F277" s="302"/>
      <c r="G277" s="97"/>
      <c r="H277" s="97"/>
      <c r="I277" s="97"/>
      <c r="J277" s="97"/>
      <c r="K277" s="97"/>
      <c r="L277" s="97"/>
      <c r="M277" s="97"/>
      <c r="N277" s="97"/>
      <c r="O277" s="97"/>
      <c r="P277" s="97"/>
      <c r="Q277" s="97"/>
      <c r="R277" s="97"/>
      <c r="S277" s="97"/>
      <c r="T277" s="97"/>
      <c r="U277" s="97"/>
      <c r="V277" s="97"/>
      <c r="W277" s="97"/>
      <c r="X277" s="97"/>
      <c r="Y277" s="97"/>
      <c r="Z277" s="97"/>
      <c r="AA277" s="97"/>
    </row>
    <row r="278" spans="1:27" ht="17">
      <c r="A278" s="97"/>
      <c r="B278" s="97"/>
      <c r="C278" s="302"/>
      <c r="D278" s="302"/>
      <c r="E278" s="302"/>
      <c r="F278" s="302"/>
      <c r="G278" s="97"/>
      <c r="H278" s="97"/>
      <c r="I278" s="97"/>
      <c r="J278" s="97"/>
      <c r="K278" s="97"/>
      <c r="L278" s="97"/>
      <c r="M278" s="97"/>
      <c r="N278" s="97"/>
      <c r="O278" s="97"/>
      <c r="P278" s="97"/>
      <c r="Q278" s="97"/>
      <c r="R278" s="97"/>
      <c r="S278" s="97"/>
      <c r="T278" s="97"/>
      <c r="U278" s="97"/>
      <c r="V278" s="97"/>
      <c r="W278" s="97"/>
      <c r="X278" s="97"/>
      <c r="Y278" s="97"/>
      <c r="Z278" s="97"/>
      <c r="AA278" s="97"/>
    </row>
    <row r="279" spans="1:27" ht="17">
      <c r="A279" s="97"/>
      <c r="B279" s="97"/>
      <c r="C279" s="302"/>
      <c r="D279" s="302"/>
      <c r="E279" s="302"/>
      <c r="F279" s="302"/>
      <c r="G279" s="97"/>
      <c r="H279" s="97"/>
      <c r="I279" s="97"/>
      <c r="J279" s="97"/>
      <c r="K279" s="97"/>
      <c r="L279" s="97"/>
      <c r="M279" s="97"/>
      <c r="N279" s="97"/>
      <c r="O279" s="97"/>
      <c r="P279" s="97"/>
      <c r="Q279" s="97"/>
      <c r="R279" s="97"/>
      <c r="S279" s="97"/>
      <c r="T279" s="97"/>
      <c r="U279" s="97"/>
      <c r="V279" s="97"/>
      <c r="W279" s="97"/>
      <c r="X279" s="97"/>
      <c r="Y279" s="97"/>
      <c r="Z279" s="97"/>
      <c r="AA279" s="97"/>
    </row>
    <row r="280" spans="1:27" ht="17">
      <c r="A280" s="97"/>
      <c r="B280" s="97"/>
      <c r="C280" s="302"/>
      <c r="D280" s="302"/>
      <c r="E280" s="302"/>
      <c r="F280" s="302"/>
      <c r="G280" s="97"/>
      <c r="H280" s="97"/>
      <c r="I280" s="97"/>
      <c r="J280" s="97"/>
      <c r="K280" s="97"/>
      <c r="L280" s="97"/>
      <c r="M280" s="97"/>
      <c r="N280" s="97"/>
      <c r="O280" s="97"/>
      <c r="P280" s="97"/>
      <c r="Q280" s="97"/>
      <c r="R280" s="97"/>
      <c r="S280" s="97"/>
      <c r="T280" s="97"/>
      <c r="U280" s="97"/>
      <c r="V280" s="97"/>
      <c r="W280" s="97"/>
      <c r="X280" s="97"/>
      <c r="Y280" s="97"/>
      <c r="Z280" s="97"/>
      <c r="AA280" s="97"/>
    </row>
    <row r="281" spans="1:27" ht="17">
      <c r="A281" s="97"/>
      <c r="B281" s="97"/>
      <c r="C281" s="302"/>
      <c r="D281" s="302"/>
      <c r="E281" s="302"/>
      <c r="F281" s="302"/>
      <c r="G281" s="97"/>
      <c r="H281" s="97"/>
      <c r="I281" s="97"/>
      <c r="J281" s="97"/>
      <c r="K281" s="97"/>
      <c r="L281" s="97"/>
      <c r="M281" s="97"/>
      <c r="N281" s="97"/>
      <c r="O281" s="97"/>
      <c r="P281" s="97"/>
      <c r="Q281" s="97"/>
      <c r="R281" s="97"/>
      <c r="S281" s="97"/>
      <c r="T281" s="97"/>
      <c r="U281" s="97"/>
      <c r="V281" s="97"/>
      <c r="W281" s="97"/>
      <c r="X281" s="97"/>
      <c r="Y281" s="97"/>
      <c r="Z281" s="97"/>
      <c r="AA281" s="97"/>
    </row>
    <row r="282" spans="1:27" ht="17">
      <c r="A282" s="97"/>
      <c r="B282" s="97"/>
      <c r="C282" s="302"/>
      <c r="D282" s="302"/>
      <c r="E282" s="302"/>
      <c r="F282" s="302"/>
      <c r="G282" s="97"/>
      <c r="H282" s="97"/>
      <c r="I282" s="97"/>
      <c r="J282" s="97"/>
      <c r="K282" s="97"/>
      <c r="L282" s="97"/>
      <c r="M282" s="97"/>
      <c r="N282" s="97"/>
      <c r="O282" s="97"/>
      <c r="P282" s="97"/>
      <c r="Q282" s="97"/>
      <c r="R282" s="97"/>
      <c r="S282" s="97"/>
      <c r="T282" s="97"/>
      <c r="U282" s="97"/>
      <c r="V282" s="97"/>
      <c r="W282" s="97"/>
      <c r="X282" s="97"/>
      <c r="Y282" s="97"/>
      <c r="Z282" s="97"/>
      <c r="AA282" s="97"/>
    </row>
    <row r="283" spans="1:27" ht="17">
      <c r="A283" s="97"/>
      <c r="B283" s="97"/>
      <c r="C283" s="302"/>
      <c r="D283" s="302"/>
      <c r="E283" s="302"/>
      <c r="F283" s="302"/>
      <c r="G283" s="97"/>
      <c r="H283" s="97"/>
      <c r="I283" s="97"/>
      <c r="J283" s="97"/>
      <c r="K283" s="97"/>
      <c r="L283" s="97"/>
      <c r="M283" s="97"/>
      <c r="N283" s="97"/>
      <c r="O283" s="97"/>
      <c r="P283" s="97"/>
      <c r="Q283" s="97"/>
      <c r="R283" s="97"/>
      <c r="S283" s="97"/>
      <c r="T283" s="97"/>
      <c r="U283" s="97"/>
      <c r="V283" s="97"/>
      <c r="W283" s="97"/>
      <c r="X283" s="97"/>
      <c r="Y283" s="97"/>
      <c r="Z283" s="97"/>
      <c r="AA283" s="97"/>
    </row>
    <row r="284" spans="1:27" ht="17">
      <c r="A284" s="97"/>
      <c r="B284" s="97"/>
      <c r="C284" s="302"/>
      <c r="D284" s="302"/>
      <c r="E284" s="302"/>
      <c r="F284" s="302"/>
      <c r="G284" s="97"/>
      <c r="H284" s="97"/>
      <c r="I284" s="97"/>
      <c r="J284" s="97"/>
      <c r="K284" s="97"/>
      <c r="L284" s="97"/>
      <c r="M284" s="97"/>
      <c r="N284" s="97"/>
      <c r="O284" s="97"/>
      <c r="P284" s="97"/>
      <c r="Q284" s="97"/>
      <c r="R284" s="97"/>
      <c r="S284" s="97"/>
      <c r="T284" s="97"/>
      <c r="U284" s="97"/>
      <c r="V284" s="97"/>
      <c r="W284" s="97"/>
      <c r="X284" s="97"/>
      <c r="Y284" s="97"/>
      <c r="Z284" s="97"/>
      <c r="AA284" s="97"/>
    </row>
    <row r="285" spans="1:27" ht="17">
      <c r="A285" s="97"/>
      <c r="B285" s="97"/>
      <c r="C285" s="302"/>
      <c r="D285" s="302"/>
      <c r="E285" s="302"/>
      <c r="F285" s="302"/>
      <c r="G285" s="97"/>
      <c r="H285" s="97"/>
      <c r="I285" s="97"/>
      <c r="J285" s="97"/>
      <c r="K285" s="97"/>
      <c r="L285" s="97"/>
      <c r="M285" s="97"/>
      <c r="N285" s="97"/>
      <c r="O285" s="97"/>
      <c r="P285" s="97"/>
      <c r="Q285" s="97"/>
      <c r="R285" s="97"/>
      <c r="S285" s="97"/>
      <c r="T285" s="97"/>
      <c r="U285" s="97"/>
      <c r="V285" s="97"/>
      <c r="W285" s="97"/>
      <c r="X285" s="97"/>
      <c r="Y285" s="97"/>
      <c r="Z285" s="97"/>
      <c r="AA285" s="97"/>
    </row>
    <row r="286" spans="1:27" ht="17">
      <c r="A286" s="97"/>
      <c r="B286" s="97"/>
      <c r="C286" s="302"/>
      <c r="D286" s="302"/>
      <c r="E286" s="302"/>
      <c r="F286" s="302"/>
      <c r="G286" s="97"/>
      <c r="H286" s="97"/>
      <c r="I286" s="97"/>
      <c r="J286" s="97"/>
      <c r="K286" s="97"/>
      <c r="L286" s="97"/>
      <c r="M286" s="97"/>
      <c r="N286" s="97"/>
      <c r="O286" s="97"/>
      <c r="P286" s="97"/>
      <c r="Q286" s="97"/>
      <c r="R286" s="97"/>
      <c r="S286" s="97"/>
      <c r="T286" s="97"/>
      <c r="U286" s="97"/>
      <c r="V286" s="97"/>
      <c r="W286" s="97"/>
      <c r="X286" s="97"/>
      <c r="Y286" s="97"/>
      <c r="Z286" s="97"/>
      <c r="AA286" s="97"/>
    </row>
    <row r="287" spans="1:27" ht="17">
      <c r="A287" s="97"/>
      <c r="B287" s="97"/>
      <c r="C287" s="302"/>
      <c r="D287" s="302"/>
      <c r="E287" s="302"/>
      <c r="F287" s="302"/>
      <c r="G287" s="97"/>
      <c r="H287" s="97"/>
      <c r="I287" s="97"/>
      <c r="J287" s="97"/>
      <c r="K287" s="97"/>
      <c r="L287" s="97"/>
      <c r="M287" s="97"/>
      <c r="N287" s="97"/>
      <c r="O287" s="97"/>
      <c r="P287" s="97"/>
      <c r="Q287" s="97"/>
      <c r="R287" s="97"/>
      <c r="S287" s="97"/>
      <c r="T287" s="97"/>
      <c r="U287" s="97"/>
      <c r="V287" s="97"/>
      <c r="W287" s="97"/>
      <c r="X287" s="97"/>
      <c r="Y287" s="97"/>
      <c r="Z287" s="97"/>
      <c r="AA287" s="97"/>
    </row>
    <row r="288" spans="1:27" ht="17">
      <c r="A288" s="97"/>
      <c r="B288" s="97"/>
      <c r="C288" s="302"/>
      <c r="D288" s="302"/>
      <c r="E288" s="302"/>
      <c r="F288" s="302"/>
      <c r="G288" s="97"/>
      <c r="H288" s="97"/>
      <c r="I288" s="97"/>
      <c r="J288" s="97"/>
      <c r="K288" s="97"/>
      <c r="L288" s="97"/>
      <c r="M288" s="97"/>
      <c r="N288" s="97"/>
      <c r="O288" s="97"/>
      <c r="P288" s="97"/>
      <c r="Q288" s="97"/>
      <c r="R288" s="97"/>
      <c r="S288" s="97"/>
      <c r="T288" s="97"/>
      <c r="U288" s="97"/>
      <c r="V288" s="97"/>
      <c r="W288" s="97"/>
      <c r="X288" s="97"/>
      <c r="Y288" s="97"/>
      <c r="Z288" s="97"/>
      <c r="AA288" s="97"/>
    </row>
    <row r="289" spans="1:27" ht="17">
      <c r="A289" s="97"/>
      <c r="B289" s="97"/>
      <c r="C289" s="302"/>
      <c r="D289" s="302"/>
      <c r="E289" s="302"/>
      <c r="F289" s="302"/>
      <c r="G289" s="97"/>
      <c r="H289" s="97"/>
      <c r="I289" s="97"/>
      <c r="J289" s="97"/>
      <c r="K289" s="97"/>
      <c r="L289" s="97"/>
      <c r="M289" s="97"/>
      <c r="N289" s="97"/>
      <c r="O289" s="97"/>
      <c r="P289" s="97"/>
      <c r="Q289" s="97"/>
      <c r="R289" s="97"/>
      <c r="S289" s="97"/>
      <c r="T289" s="97"/>
      <c r="U289" s="97"/>
      <c r="V289" s="97"/>
      <c r="W289" s="97"/>
      <c r="X289" s="97"/>
      <c r="Y289" s="97"/>
      <c r="Z289" s="97"/>
      <c r="AA289" s="97"/>
    </row>
    <row r="290" spans="1:27" ht="17">
      <c r="A290" s="97"/>
      <c r="B290" s="97"/>
      <c r="C290" s="302"/>
      <c r="D290" s="302"/>
      <c r="E290" s="302"/>
      <c r="F290" s="302"/>
      <c r="G290" s="97"/>
      <c r="H290" s="97"/>
      <c r="I290" s="97"/>
      <c r="J290" s="97"/>
      <c r="K290" s="97"/>
      <c r="L290" s="97"/>
      <c r="M290" s="97"/>
      <c r="N290" s="97"/>
      <c r="O290" s="97"/>
      <c r="P290" s="97"/>
      <c r="Q290" s="97"/>
      <c r="R290" s="97"/>
      <c r="S290" s="97"/>
      <c r="T290" s="97"/>
      <c r="U290" s="97"/>
      <c r="V290" s="97"/>
      <c r="W290" s="97"/>
      <c r="X290" s="97"/>
      <c r="Y290" s="97"/>
      <c r="Z290" s="97"/>
      <c r="AA290" s="97"/>
    </row>
    <row r="291" spans="1:27" ht="17">
      <c r="A291" s="97"/>
      <c r="B291" s="97"/>
      <c r="C291" s="302"/>
      <c r="D291" s="302"/>
      <c r="E291" s="302"/>
      <c r="F291" s="302"/>
      <c r="G291" s="97"/>
      <c r="H291" s="97"/>
      <c r="I291" s="97"/>
      <c r="J291" s="97"/>
      <c r="K291" s="97"/>
      <c r="L291" s="97"/>
      <c r="M291" s="97"/>
      <c r="N291" s="97"/>
      <c r="O291" s="97"/>
      <c r="P291" s="97"/>
      <c r="Q291" s="97"/>
      <c r="R291" s="97"/>
      <c r="S291" s="97"/>
      <c r="T291" s="97"/>
      <c r="U291" s="97"/>
      <c r="V291" s="97"/>
      <c r="W291" s="97"/>
      <c r="X291" s="97"/>
      <c r="Y291" s="97"/>
      <c r="Z291" s="97"/>
      <c r="AA291" s="97"/>
    </row>
    <row r="292" spans="1:27" ht="17">
      <c r="A292" s="97"/>
      <c r="B292" s="97"/>
      <c r="C292" s="302"/>
      <c r="D292" s="302"/>
      <c r="E292" s="302"/>
      <c r="F292" s="302"/>
      <c r="G292" s="97"/>
      <c r="H292" s="97"/>
      <c r="I292" s="97"/>
      <c r="J292" s="97"/>
      <c r="K292" s="97"/>
      <c r="L292" s="97"/>
      <c r="M292" s="97"/>
      <c r="N292" s="97"/>
      <c r="O292" s="97"/>
      <c r="P292" s="97"/>
      <c r="Q292" s="97"/>
      <c r="R292" s="97"/>
      <c r="S292" s="97"/>
      <c r="T292" s="97"/>
      <c r="U292" s="97"/>
      <c r="V292" s="97"/>
      <c r="W292" s="97"/>
      <c r="X292" s="97"/>
      <c r="Y292" s="97"/>
      <c r="Z292" s="97"/>
      <c r="AA292" s="97"/>
    </row>
    <row r="293" spans="1:27" ht="17">
      <c r="A293" s="97"/>
      <c r="B293" s="97"/>
      <c r="C293" s="302"/>
      <c r="D293" s="302"/>
      <c r="E293" s="302"/>
      <c r="F293" s="302"/>
      <c r="G293" s="97"/>
      <c r="H293" s="97"/>
      <c r="I293" s="97"/>
      <c r="J293" s="97"/>
      <c r="K293" s="97"/>
      <c r="L293" s="97"/>
      <c r="M293" s="97"/>
      <c r="N293" s="97"/>
      <c r="O293" s="97"/>
      <c r="P293" s="97"/>
      <c r="Q293" s="97"/>
      <c r="R293" s="97"/>
      <c r="S293" s="97"/>
      <c r="T293" s="97"/>
      <c r="U293" s="97"/>
      <c r="V293" s="97"/>
      <c r="W293" s="97"/>
      <c r="X293" s="97"/>
      <c r="Y293" s="97"/>
      <c r="Z293" s="97"/>
      <c r="AA293" s="97"/>
    </row>
    <row r="294" spans="1:27" ht="17">
      <c r="A294" s="97"/>
      <c r="B294" s="97"/>
      <c r="C294" s="302"/>
      <c r="D294" s="302"/>
      <c r="E294" s="302"/>
      <c r="F294" s="302"/>
      <c r="G294" s="97"/>
      <c r="H294" s="97"/>
      <c r="I294" s="97"/>
      <c r="J294" s="97"/>
      <c r="K294" s="97"/>
      <c r="L294" s="97"/>
      <c r="M294" s="97"/>
      <c r="N294" s="97"/>
      <c r="O294" s="97"/>
      <c r="P294" s="97"/>
      <c r="Q294" s="97"/>
      <c r="R294" s="97"/>
      <c r="S294" s="97"/>
      <c r="T294" s="97"/>
      <c r="U294" s="97"/>
      <c r="V294" s="97"/>
      <c r="W294" s="97"/>
      <c r="X294" s="97"/>
      <c r="Y294" s="97"/>
      <c r="Z294" s="97"/>
      <c r="AA294" s="97"/>
    </row>
    <row r="295" spans="1:27" ht="17">
      <c r="A295" s="97"/>
      <c r="B295" s="97"/>
      <c r="C295" s="302"/>
      <c r="D295" s="302"/>
      <c r="E295" s="302"/>
      <c r="F295" s="302"/>
      <c r="G295" s="97"/>
      <c r="H295" s="97"/>
      <c r="I295" s="97"/>
      <c r="J295" s="97"/>
      <c r="K295" s="97"/>
      <c r="L295" s="97"/>
      <c r="M295" s="97"/>
      <c r="N295" s="97"/>
      <c r="O295" s="97"/>
      <c r="P295" s="97"/>
      <c r="Q295" s="97"/>
      <c r="R295" s="97"/>
      <c r="S295" s="97"/>
      <c r="T295" s="97"/>
      <c r="U295" s="97"/>
      <c r="V295" s="97"/>
      <c r="W295" s="97"/>
      <c r="X295" s="97"/>
      <c r="Y295" s="97"/>
      <c r="Z295" s="97"/>
      <c r="AA295" s="97"/>
    </row>
    <row r="296" spans="1:27" ht="17">
      <c r="A296" s="97"/>
      <c r="B296" s="97"/>
      <c r="C296" s="302"/>
      <c r="D296" s="302"/>
      <c r="E296" s="302"/>
      <c r="F296" s="302"/>
      <c r="G296" s="97"/>
      <c r="H296" s="97"/>
      <c r="I296" s="97"/>
      <c r="J296" s="97"/>
      <c r="K296" s="97"/>
      <c r="L296" s="97"/>
      <c r="M296" s="97"/>
      <c r="N296" s="97"/>
      <c r="O296" s="97"/>
      <c r="P296" s="97"/>
      <c r="Q296" s="97"/>
      <c r="R296" s="97"/>
      <c r="S296" s="97"/>
      <c r="T296" s="97"/>
      <c r="U296" s="97"/>
      <c r="V296" s="97"/>
      <c r="W296" s="97"/>
      <c r="X296" s="97"/>
      <c r="Y296" s="97"/>
      <c r="Z296" s="97"/>
      <c r="AA296" s="97"/>
    </row>
    <row r="297" spans="1:27" ht="17">
      <c r="A297" s="97"/>
      <c r="B297" s="97"/>
      <c r="C297" s="302"/>
      <c r="D297" s="302"/>
      <c r="E297" s="302"/>
      <c r="F297" s="302"/>
      <c r="G297" s="97"/>
      <c r="H297" s="97"/>
      <c r="I297" s="97"/>
      <c r="J297" s="97"/>
      <c r="K297" s="97"/>
      <c r="L297" s="97"/>
      <c r="M297" s="97"/>
      <c r="N297" s="97"/>
      <c r="O297" s="97"/>
      <c r="P297" s="97"/>
      <c r="Q297" s="97"/>
      <c r="R297" s="97"/>
      <c r="S297" s="97"/>
      <c r="T297" s="97"/>
      <c r="U297" s="97"/>
      <c r="V297" s="97"/>
      <c r="W297" s="97"/>
      <c r="X297" s="97"/>
      <c r="Y297" s="97"/>
      <c r="Z297" s="97"/>
      <c r="AA297" s="97"/>
    </row>
    <row r="298" spans="1:27" ht="17">
      <c r="A298" s="97"/>
      <c r="B298" s="97"/>
      <c r="C298" s="302"/>
      <c r="D298" s="302"/>
      <c r="E298" s="302"/>
      <c r="F298" s="302"/>
      <c r="G298" s="97"/>
      <c r="H298" s="97"/>
      <c r="I298" s="97"/>
      <c r="J298" s="97"/>
      <c r="K298" s="97"/>
      <c r="L298" s="97"/>
      <c r="M298" s="97"/>
      <c r="N298" s="97"/>
      <c r="O298" s="97"/>
      <c r="P298" s="97"/>
      <c r="Q298" s="97"/>
      <c r="R298" s="97"/>
      <c r="S298" s="97"/>
      <c r="T298" s="97"/>
      <c r="U298" s="97"/>
      <c r="V298" s="97"/>
      <c r="W298" s="97"/>
      <c r="X298" s="97"/>
      <c r="Y298" s="97"/>
      <c r="Z298" s="97"/>
      <c r="AA298" s="97"/>
    </row>
    <row r="299" spans="1:27" ht="17">
      <c r="A299" s="97"/>
      <c r="B299" s="97"/>
      <c r="C299" s="302"/>
      <c r="D299" s="302"/>
      <c r="E299" s="302"/>
      <c r="F299" s="302"/>
      <c r="G299" s="97"/>
      <c r="H299" s="97"/>
      <c r="I299" s="97"/>
      <c r="J299" s="97"/>
      <c r="K299" s="97"/>
      <c r="L299" s="97"/>
      <c r="M299" s="97"/>
      <c r="N299" s="97"/>
      <c r="O299" s="97"/>
      <c r="P299" s="97"/>
      <c r="Q299" s="97"/>
      <c r="R299" s="97"/>
      <c r="S299" s="97"/>
      <c r="T299" s="97"/>
      <c r="U299" s="97"/>
      <c r="V299" s="97"/>
      <c r="W299" s="97"/>
      <c r="X299" s="97"/>
      <c r="Y299" s="97"/>
      <c r="Z299" s="97"/>
      <c r="AA299" s="97"/>
    </row>
    <row r="300" spans="1:27" ht="17">
      <c r="A300" s="97"/>
      <c r="B300" s="97"/>
      <c r="C300" s="302"/>
      <c r="D300" s="302"/>
      <c r="E300" s="302"/>
      <c r="F300" s="302"/>
      <c r="G300" s="97"/>
      <c r="H300" s="97"/>
      <c r="I300" s="97"/>
      <c r="J300" s="97"/>
      <c r="K300" s="97"/>
      <c r="L300" s="97"/>
      <c r="M300" s="97"/>
      <c r="N300" s="97"/>
      <c r="O300" s="97"/>
      <c r="P300" s="97"/>
      <c r="Q300" s="97"/>
      <c r="R300" s="97"/>
      <c r="S300" s="97"/>
      <c r="T300" s="97"/>
      <c r="U300" s="97"/>
      <c r="V300" s="97"/>
      <c r="W300" s="97"/>
      <c r="X300" s="97"/>
      <c r="Y300" s="97"/>
      <c r="Z300" s="97"/>
      <c r="AA300" s="97"/>
    </row>
    <row r="301" spans="1:27" ht="17">
      <c r="A301" s="97"/>
      <c r="B301" s="97"/>
      <c r="C301" s="302"/>
      <c r="D301" s="302"/>
      <c r="E301" s="302"/>
      <c r="F301" s="302"/>
      <c r="G301" s="97"/>
      <c r="H301" s="97"/>
      <c r="I301" s="97"/>
      <c r="J301" s="97"/>
      <c r="K301" s="97"/>
      <c r="L301" s="97"/>
      <c r="M301" s="97"/>
      <c r="N301" s="97"/>
      <c r="O301" s="97"/>
      <c r="P301" s="97"/>
      <c r="Q301" s="97"/>
      <c r="R301" s="97"/>
      <c r="S301" s="97"/>
      <c r="T301" s="97"/>
      <c r="U301" s="97"/>
      <c r="V301" s="97"/>
      <c r="W301" s="97"/>
      <c r="X301" s="97"/>
      <c r="Y301" s="97"/>
      <c r="Z301" s="97"/>
      <c r="AA301" s="97"/>
    </row>
    <row r="302" spans="1:27" ht="17">
      <c r="A302" s="97"/>
      <c r="B302" s="97"/>
      <c r="C302" s="302"/>
      <c r="D302" s="302"/>
      <c r="E302" s="302"/>
      <c r="F302" s="302"/>
      <c r="G302" s="97"/>
      <c r="H302" s="97"/>
      <c r="I302" s="97"/>
      <c r="J302" s="97"/>
      <c r="K302" s="97"/>
      <c r="L302" s="97"/>
      <c r="M302" s="97"/>
      <c r="N302" s="97"/>
      <c r="O302" s="97"/>
      <c r="P302" s="97"/>
      <c r="Q302" s="97"/>
      <c r="R302" s="97"/>
      <c r="S302" s="97"/>
      <c r="T302" s="97"/>
      <c r="U302" s="97"/>
      <c r="V302" s="97"/>
      <c r="W302" s="97"/>
      <c r="X302" s="97"/>
      <c r="Y302" s="97"/>
      <c r="Z302" s="97"/>
      <c r="AA302" s="97"/>
    </row>
    <row r="303" spans="1:27" ht="17">
      <c r="A303" s="97"/>
      <c r="B303" s="97"/>
      <c r="C303" s="302"/>
      <c r="D303" s="302"/>
      <c r="E303" s="302"/>
      <c r="F303" s="302"/>
      <c r="G303" s="97"/>
      <c r="H303" s="97"/>
      <c r="I303" s="97"/>
      <c r="J303" s="97"/>
      <c r="K303" s="97"/>
      <c r="L303" s="97"/>
      <c r="M303" s="97"/>
      <c r="N303" s="97"/>
      <c r="O303" s="97"/>
      <c r="P303" s="97"/>
      <c r="Q303" s="97"/>
      <c r="R303" s="97"/>
      <c r="S303" s="97"/>
      <c r="T303" s="97"/>
      <c r="U303" s="97"/>
      <c r="V303" s="97"/>
      <c r="W303" s="97"/>
      <c r="X303" s="97"/>
      <c r="Y303" s="97"/>
      <c r="Z303" s="97"/>
      <c r="AA303" s="97"/>
    </row>
    <row r="304" spans="1:27" ht="17">
      <c r="A304" s="97"/>
      <c r="B304" s="97"/>
      <c r="C304" s="302"/>
      <c r="D304" s="302"/>
      <c r="E304" s="302"/>
      <c r="F304" s="302"/>
      <c r="G304" s="97"/>
      <c r="H304" s="97"/>
      <c r="I304" s="97"/>
      <c r="J304" s="97"/>
      <c r="K304" s="97"/>
      <c r="L304" s="97"/>
      <c r="M304" s="97"/>
      <c r="N304" s="97"/>
      <c r="O304" s="97"/>
      <c r="P304" s="97"/>
      <c r="Q304" s="97"/>
      <c r="R304" s="97"/>
      <c r="S304" s="97"/>
      <c r="T304" s="97"/>
      <c r="U304" s="97"/>
      <c r="V304" s="97"/>
      <c r="W304" s="97"/>
      <c r="X304" s="97"/>
      <c r="Y304" s="97"/>
      <c r="Z304" s="97"/>
      <c r="AA304" s="97"/>
    </row>
    <row r="305" spans="1:27" ht="17">
      <c r="A305" s="97"/>
      <c r="B305" s="97"/>
      <c r="C305" s="302"/>
      <c r="D305" s="302"/>
      <c r="E305" s="302"/>
      <c r="F305" s="302"/>
      <c r="G305" s="97"/>
      <c r="H305" s="97"/>
      <c r="I305" s="97"/>
      <c r="J305" s="97"/>
      <c r="K305" s="97"/>
      <c r="L305" s="97"/>
      <c r="M305" s="97"/>
      <c r="N305" s="97"/>
      <c r="O305" s="97"/>
      <c r="P305" s="97"/>
      <c r="Q305" s="97"/>
      <c r="R305" s="97"/>
      <c r="S305" s="97"/>
      <c r="T305" s="97"/>
      <c r="U305" s="97"/>
      <c r="V305" s="97"/>
      <c r="W305" s="97"/>
      <c r="X305" s="97"/>
      <c r="Y305" s="97"/>
      <c r="Z305" s="97"/>
      <c r="AA305" s="97"/>
    </row>
    <row r="306" spans="1:27" ht="17">
      <c r="A306" s="97"/>
      <c r="B306" s="97"/>
      <c r="C306" s="302"/>
      <c r="D306" s="302"/>
      <c r="E306" s="302"/>
      <c r="F306" s="302"/>
      <c r="G306" s="97"/>
      <c r="H306" s="97"/>
      <c r="I306" s="97"/>
      <c r="J306" s="97"/>
      <c r="K306" s="97"/>
      <c r="L306" s="97"/>
      <c r="M306" s="97"/>
      <c r="N306" s="97"/>
      <c r="O306" s="97"/>
      <c r="P306" s="97"/>
      <c r="Q306" s="97"/>
      <c r="R306" s="97"/>
      <c r="S306" s="97"/>
      <c r="T306" s="97"/>
      <c r="U306" s="97"/>
      <c r="V306" s="97"/>
      <c r="W306" s="97"/>
      <c r="X306" s="97"/>
      <c r="Y306" s="97"/>
      <c r="Z306" s="97"/>
      <c r="AA306" s="97"/>
    </row>
    <row r="307" spans="1:27" ht="17">
      <c r="A307" s="97"/>
      <c r="B307" s="97"/>
      <c r="C307" s="302"/>
      <c r="D307" s="302"/>
      <c r="E307" s="302"/>
      <c r="F307" s="302"/>
      <c r="G307" s="97"/>
      <c r="H307" s="97"/>
      <c r="I307" s="97"/>
      <c r="J307" s="97"/>
      <c r="K307" s="97"/>
      <c r="L307" s="97"/>
      <c r="M307" s="97"/>
      <c r="N307" s="97"/>
      <c r="O307" s="97"/>
      <c r="P307" s="97"/>
      <c r="Q307" s="97"/>
      <c r="R307" s="97"/>
      <c r="S307" s="97"/>
      <c r="T307" s="97"/>
      <c r="U307" s="97"/>
      <c r="V307" s="97"/>
      <c r="W307" s="97"/>
      <c r="X307" s="97"/>
      <c r="Y307" s="97"/>
      <c r="Z307" s="97"/>
      <c r="AA307" s="97"/>
    </row>
    <row r="308" spans="1:27" ht="17">
      <c r="A308" s="97"/>
      <c r="B308" s="97"/>
      <c r="C308" s="302"/>
      <c r="D308" s="302"/>
      <c r="E308" s="302"/>
      <c r="F308" s="302"/>
      <c r="G308" s="97"/>
      <c r="H308" s="97"/>
      <c r="I308" s="97"/>
      <c r="J308" s="97"/>
      <c r="K308" s="97"/>
      <c r="L308" s="97"/>
      <c r="M308" s="97"/>
      <c r="N308" s="97"/>
      <c r="O308" s="97"/>
      <c r="P308" s="97"/>
      <c r="Q308" s="97"/>
      <c r="R308" s="97"/>
      <c r="S308" s="97"/>
      <c r="T308" s="97"/>
      <c r="U308" s="97"/>
      <c r="V308" s="97"/>
      <c r="W308" s="97"/>
      <c r="X308" s="97"/>
      <c r="Y308" s="97"/>
      <c r="Z308" s="97"/>
      <c r="AA308" s="97"/>
    </row>
    <row r="309" spans="1:27" ht="17">
      <c r="A309" s="97"/>
      <c r="B309" s="97"/>
      <c r="C309" s="302"/>
      <c r="D309" s="302"/>
      <c r="E309" s="302"/>
      <c r="F309" s="302"/>
      <c r="G309" s="97"/>
      <c r="H309" s="97"/>
      <c r="I309" s="97"/>
      <c r="J309" s="97"/>
      <c r="K309" s="97"/>
      <c r="L309" s="97"/>
      <c r="M309" s="97"/>
      <c r="N309" s="97"/>
      <c r="O309" s="97"/>
      <c r="P309" s="97"/>
      <c r="Q309" s="97"/>
      <c r="R309" s="97"/>
      <c r="S309" s="97"/>
      <c r="T309" s="97"/>
      <c r="U309" s="97"/>
      <c r="V309" s="97"/>
      <c r="W309" s="97"/>
      <c r="X309" s="97"/>
      <c r="Y309" s="97"/>
      <c r="Z309" s="97"/>
      <c r="AA309" s="97"/>
    </row>
    <row r="310" spans="1:27" ht="17">
      <c r="A310" s="97"/>
      <c r="B310" s="97"/>
      <c r="C310" s="302"/>
      <c r="D310" s="302"/>
      <c r="E310" s="302"/>
      <c r="F310" s="302"/>
      <c r="G310" s="97"/>
      <c r="H310" s="97"/>
      <c r="I310" s="97"/>
      <c r="J310" s="97"/>
      <c r="K310" s="97"/>
      <c r="L310" s="97"/>
      <c r="M310" s="97"/>
      <c r="N310" s="97"/>
      <c r="O310" s="97"/>
      <c r="P310" s="97"/>
      <c r="Q310" s="97"/>
      <c r="R310" s="97"/>
      <c r="S310" s="97"/>
      <c r="T310" s="97"/>
      <c r="U310" s="97"/>
      <c r="V310" s="97"/>
      <c r="W310" s="97"/>
      <c r="X310" s="97"/>
      <c r="Y310" s="97"/>
      <c r="Z310" s="97"/>
      <c r="AA310" s="97"/>
    </row>
    <row r="311" spans="1:27" ht="17">
      <c r="A311" s="97"/>
      <c r="B311" s="97"/>
      <c r="C311" s="302"/>
      <c r="D311" s="302"/>
      <c r="E311" s="302"/>
      <c r="F311" s="302"/>
      <c r="G311" s="97"/>
      <c r="H311" s="97"/>
      <c r="I311" s="97"/>
      <c r="J311" s="97"/>
      <c r="K311" s="97"/>
      <c r="L311" s="97"/>
      <c r="M311" s="97"/>
      <c r="N311" s="97"/>
      <c r="O311" s="97"/>
      <c r="P311" s="97"/>
      <c r="Q311" s="97"/>
      <c r="R311" s="97"/>
      <c r="S311" s="97"/>
      <c r="T311" s="97"/>
      <c r="U311" s="97"/>
      <c r="V311" s="97"/>
      <c r="W311" s="97"/>
      <c r="X311" s="97"/>
      <c r="Y311" s="97"/>
      <c r="Z311" s="97"/>
      <c r="AA311" s="97"/>
    </row>
    <row r="312" spans="1:27" ht="17">
      <c r="A312" s="97"/>
      <c r="B312" s="97"/>
      <c r="C312" s="302"/>
      <c r="D312" s="302"/>
      <c r="E312" s="302"/>
      <c r="F312" s="302"/>
      <c r="G312" s="97"/>
      <c r="H312" s="97"/>
      <c r="I312" s="97"/>
      <c r="J312" s="97"/>
      <c r="K312" s="97"/>
      <c r="L312" s="97"/>
      <c r="M312" s="97"/>
      <c r="N312" s="97"/>
      <c r="O312" s="97"/>
      <c r="P312" s="97"/>
      <c r="Q312" s="97"/>
      <c r="R312" s="97"/>
      <c r="S312" s="97"/>
      <c r="T312" s="97"/>
      <c r="U312" s="97"/>
      <c r="V312" s="97"/>
      <c r="W312" s="97"/>
      <c r="X312" s="97"/>
      <c r="Y312" s="97"/>
      <c r="Z312" s="97"/>
      <c r="AA312" s="97"/>
    </row>
    <row r="313" spans="1:27" ht="17">
      <c r="A313" s="97"/>
      <c r="B313" s="97"/>
      <c r="C313" s="302"/>
      <c r="D313" s="302"/>
      <c r="E313" s="302"/>
      <c r="F313" s="302"/>
      <c r="G313" s="97"/>
      <c r="H313" s="97"/>
      <c r="I313" s="97"/>
      <c r="J313" s="97"/>
      <c r="K313" s="97"/>
      <c r="L313" s="97"/>
      <c r="M313" s="97"/>
      <c r="N313" s="97"/>
      <c r="O313" s="97"/>
      <c r="P313" s="97"/>
      <c r="Q313" s="97"/>
      <c r="R313" s="97"/>
      <c r="S313" s="97"/>
      <c r="T313" s="97"/>
      <c r="U313" s="97"/>
      <c r="V313" s="97"/>
      <c r="W313" s="97"/>
      <c r="X313" s="97"/>
      <c r="Y313" s="97"/>
      <c r="Z313" s="97"/>
      <c r="AA313" s="97"/>
    </row>
    <row r="314" spans="1:27" ht="17">
      <c r="A314" s="97"/>
      <c r="B314" s="97"/>
      <c r="C314" s="302"/>
      <c r="D314" s="302"/>
      <c r="E314" s="302"/>
      <c r="F314" s="302"/>
      <c r="G314" s="97"/>
      <c r="H314" s="97"/>
      <c r="I314" s="97"/>
      <c r="J314" s="97"/>
      <c r="K314" s="97"/>
      <c r="L314" s="97"/>
      <c r="M314" s="97"/>
      <c r="N314" s="97"/>
      <c r="O314" s="97"/>
      <c r="P314" s="97"/>
      <c r="Q314" s="97"/>
      <c r="R314" s="97"/>
      <c r="S314" s="97"/>
      <c r="T314" s="97"/>
      <c r="U314" s="97"/>
      <c r="V314" s="97"/>
      <c r="W314" s="97"/>
      <c r="X314" s="97"/>
      <c r="Y314" s="97"/>
      <c r="Z314" s="97"/>
      <c r="AA314" s="97"/>
    </row>
    <row r="315" spans="1:27" ht="17">
      <c r="A315" s="97"/>
      <c r="B315" s="97"/>
      <c r="C315" s="302"/>
      <c r="D315" s="302"/>
      <c r="E315" s="302"/>
      <c r="F315" s="302"/>
      <c r="G315" s="97"/>
      <c r="H315" s="97"/>
      <c r="I315" s="97"/>
      <c r="J315" s="97"/>
      <c r="K315" s="97"/>
      <c r="L315" s="97"/>
      <c r="M315" s="97"/>
      <c r="N315" s="97"/>
      <c r="O315" s="97"/>
      <c r="P315" s="97"/>
      <c r="Q315" s="97"/>
      <c r="R315" s="97"/>
      <c r="S315" s="97"/>
      <c r="T315" s="97"/>
      <c r="U315" s="97"/>
      <c r="V315" s="97"/>
      <c r="W315" s="97"/>
      <c r="X315" s="97"/>
      <c r="Y315" s="97"/>
      <c r="Z315" s="97"/>
      <c r="AA315" s="97"/>
    </row>
    <row r="316" spans="1:27" ht="17">
      <c r="A316" s="97"/>
      <c r="B316" s="97"/>
      <c r="C316" s="302"/>
      <c r="D316" s="302"/>
      <c r="E316" s="302"/>
      <c r="F316" s="302"/>
      <c r="G316" s="97"/>
      <c r="H316" s="97"/>
      <c r="I316" s="97"/>
      <c r="J316" s="97"/>
      <c r="K316" s="97"/>
      <c r="L316" s="97"/>
      <c r="M316" s="97"/>
      <c r="N316" s="97"/>
      <c r="O316" s="97"/>
      <c r="P316" s="97"/>
      <c r="Q316" s="97"/>
      <c r="R316" s="97"/>
      <c r="S316" s="97"/>
      <c r="T316" s="97"/>
      <c r="U316" s="97"/>
      <c r="V316" s="97"/>
      <c r="W316" s="97"/>
      <c r="X316" s="97"/>
      <c r="Y316" s="97"/>
      <c r="Z316" s="97"/>
      <c r="AA316" s="97"/>
    </row>
    <row r="317" spans="1:27" ht="17">
      <c r="A317" s="97"/>
      <c r="B317" s="97"/>
      <c r="C317" s="302"/>
      <c r="D317" s="302"/>
      <c r="E317" s="302"/>
      <c r="F317" s="302"/>
      <c r="G317" s="97"/>
      <c r="H317" s="97"/>
      <c r="I317" s="97"/>
      <c r="J317" s="97"/>
      <c r="K317" s="97"/>
      <c r="L317" s="97"/>
      <c r="M317" s="97"/>
      <c r="N317" s="97"/>
      <c r="O317" s="97"/>
      <c r="P317" s="97"/>
      <c r="Q317" s="97"/>
      <c r="R317" s="97"/>
      <c r="S317" s="97"/>
      <c r="T317" s="97"/>
      <c r="U317" s="97"/>
      <c r="V317" s="97"/>
      <c r="W317" s="97"/>
      <c r="X317" s="97"/>
      <c r="Y317" s="97"/>
      <c r="Z317" s="97"/>
      <c r="AA317" s="97"/>
    </row>
    <row r="318" spans="1:27" ht="17">
      <c r="A318" s="97"/>
      <c r="B318" s="97"/>
      <c r="C318" s="302"/>
      <c r="D318" s="302"/>
      <c r="E318" s="302"/>
      <c r="F318" s="302"/>
      <c r="G318" s="97"/>
      <c r="H318" s="97"/>
      <c r="I318" s="97"/>
      <c r="J318" s="97"/>
      <c r="K318" s="97"/>
      <c r="L318" s="97"/>
      <c r="M318" s="97"/>
      <c r="N318" s="97"/>
      <c r="O318" s="97"/>
      <c r="P318" s="97"/>
      <c r="Q318" s="97"/>
      <c r="R318" s="97"/>
      <c r="S318" s="97"/>
      <c r="T318" s="97"/>
      <c r="U318" s="97"/>
      <c r="V318" s="97"/>
      <c r="W318" s="97"/>
      <c r="X318" s="97"/>
      <c r="Y318" s="97"/>
      <c r="Z318" s="97"/>
      <c r="AA318" s="97"/>
    </row>
    <row r="319" spans="1:27" ht="17">
      <c r="A319" s="97"/>
      <c r="B319" s="97"/>
      <c r="C319" s="302"/>
      <c r="D319" s="302"/>
      <c r="E319" s="302"/>
      <c r="F319" s="302"/>
      <c r="G319" s="97"/>
      <c r="H319" s="97"/>
      <c r="I319" s="97"/>
      <c r="J319" s="97"/>
      <c r="K319" s="97"/>
      <c r="L319" s="97"/>
      <c r="M319" s="97"/>
      <c r="N319" s="97"/>
      <c r="O319" s="97"/>
      <c r="P319" s="97"/>
      <c r="Q319" s="97"/>
      <c r="R319" s="97"/>
      <c r="S319" s="97"/>
      <c r="T319" s="97"/>
      <c r="U319" s="97"/>
      <c r="V319" s="97"/>
      <c r="W319" s="97"/>
      <c r="X319" s="97"/>
      <c r="Y319" s="97"/>
      <c r="Z319" s="97"/>
      <c r="AA319" s="97"/>
    </row>
    <row r="320" spans="1:27" ht="17">
      <c r="A320" s="97"/>
      <c r="B320" s="97"/>
      <c r="C320" s="302"/>
      <c r="D320" s="302"/>
      <c r="E320" s="302"/>
      <c r="F320" s="302"/>
      <c r="G320" s="97"/>
      <c r="H320" s="97"/>
      <c r="I320" s="97"/>
      <c r="J320" s="97"/>
      <c r="K320" s="97"/>
      <c r="L320" s="97"/>
      <c r="M320" s="97"/>
      <c r="N320" s="97"/>
      <c r="O320" s="97"/>
      <c r="P320" s="97"/>
      <c r="Q320" s="97"/>
      <c r="R320" s="97"/>
      <c r="S320" s="97"/>
      <c r="T320" s="97"/>
      <c r="U320" s="97"/>
      <c r="V320" s="97"/>
      <c r="W320" s="97"/>
      <c r="X320" s="97"/>
      <c r="Y320" s="97"/>
      <c r="Z320" s="97"/>
      <c r="AA320" s="97"/>
    </row>
    <row r="321" spans="1:27" ht="17">
      <c r="A321" s="97"/>
      <c r="B321" s="97"/>
      <c r="C321" s="302"/>
      <c r="D321" s="302"/>
      <c r="E321" s="302"/>
      <c r="F321" s="302"/>
      <c r="G321" s="97"/>
      <c r="H321" s="97"/>
      <c r="I321" s="97"/>
      <c r="J321" s="97"/>
      <c r="K321" s="97"/>
      <c r="L321" s="97"/>
      <c r="M321" s="97"/>
      <c r="N321" s="97"/>
      <c r="O321" s="97"/>
      <c r="P321" s="97"/>
      <c r="Q321" s="97"/>
      <c r="R321" s="97"/>
      <c r="S321" s="97"/>
      <c r="T321" s="97"/>
      <c r="U321" s="97"/>
      <c r="V321" s="97"/>
      <c r="W321" s="97"/>
      <c r="X321" s="97"/>
      <c r="Y321" s="97"/>
      <c r="Z321" s="97"/>
      <c r="AA321" s="97"/>
    </row>
    <row r="322" spans="1:27" ht="17">
      <c r="A322" s="97"/>
      <c r="B322" s="97"/>
      <c r="C322" s="302"/>
      <c r="D322" s="302"/>
      <c r="E322" s="302"/>
      <c r="F322" s="302"/>
      <c r="G322" s="97"/>
      <c r="H322" s="97"/>
      <c r="I322" s="97"/>
      <c r="J322" s="97"/>
      <c r="K322" s="97"/>
      <c r="L322" s="97"/>
      <c r="M322" s="97"/>
      <c r="N322" s="97"/>
      <c r="O322" s="97"/>
      <c r="P322" s="97"/>
      <c r="Q322" s="97"/>
      <c r="R322" s="97"/>
      <c r="S322" s="97"/>
      <c r="T322" s="97"/>
      <c r="U322" s="97"/>
      <c r="V322" s="97"/>
      <c r="W322" s="97"/>
      <c r="X322" s="97"/>
      <c r="Y322" s="97"/>
      <c r="Z322" s="97"/>
      <c r="AA322" s="97"/>
    </row>
    <row r="323" spans="1:27" ht="17">
      <c r="A323" s="97"/>
      <c r="B323" s="97"/>
      <c r="C323" s="302"/>
      <c r="D323" s="302"/>
      <c r="E323" s="302"/>
      <c r="F323" s="302"/>
      <c r="G323" s="97"/>
      <c r="H323" s="97"/>
      <c r="I323" s="97"/>
      <c r="J323" s="97"/>
      <c r="K323" s="97"/>
      <c r="L323" s="97"/>
      <c r="M323" s="97"/>
      <c r="N323" s="97"/>
      <c r="O323" s="97"/>
      <c r="P323" s="97"/>
      <c r="Q323" s="97"/>
      <c r="R323" s="97"/>
      <c r="S323" s="97"/>
      <c r="T323" s="97"/>
      <c r="U323" s="97"/>
      <c r="V323" s="97"/>
      <c r="W323" s="97"/>
      <c r="X323" s="97"/>
      <c r="Y323" s="97"/>
      <c r="Z323" s="97"/>
      <c r="AA323" s="97"/>
    </row>
    <row r="324" spans="1:27" ht="17">
      <c r="A324" s="97"/>
      <c r="B324" s="97"/>
      <c r="C324" s="302"/>
      <c r="D324" s="302"/>
      <c r="E324" s="302"/>
      <c r="F324" s="302"/>
      <c r="G324" s="97"/>
      <c r="H324" s="97"/>
      <c r="I324" s="97"/>
      <c r="J324" s="97"/>
      <c r="K324" s="97"/>
      <c r="L324" s="97"/>
      <c r="M324" s="97"/>
      <c r="N324" s="97"/>
      <c r="O324" s="97"/>
      <c r="P324" s="97"/>
      <c r="Q324" s="97"/>
      <c r="R324" s="97"/>
      <c r="S324" s="97"/>
      <c r="T324" s="97"/>
      <c r="U324" s="97"/>
      <c r="V324" s="97"/>
      <c r="W324" s="97"/>
      <c r="X324" s="97"/>
      <c r="Y324" s="97"/>
      <c r="Z324" s="97"/>
      <c r="AA324" s="97"/>
    </row>
    <row r="325" spans="1:27" ht="17">
      <c r="A325" s="97"/>
      <c r="B325" s="97"/>
      <c r="C325" s="302"/>
      <c r="D325" s="302"/>
      <c r="E325" s="302"/>
      <c r="F325" s="302"/>
      <c r="G325" s="97"/>
      <c r="H325" s="97"/>
      <c r="I325" s="97"/>
      <c r="J325" s="97"/>
      <c r="K325" s="97"/>
      <c r="L325" s="97"/>
      <c r="M325" s="97"/>
      <c r="N325" s="97"/>
      <c r="O325" s="97"/>
      <c r="P325" s="97"/>
      <c r="Q325" s="97"/>
      <c r="R325" s="97"/>
      <c r="S325" s="97"/>
      <c r="T325" s="97"/>
      <c r="U325" s="97"/>
      <c r="V325" s="97"/>
      <c r="W325" s="97"/>
      <c r="X325" s="97"/>
      <c r="Y325" s="97"/>
      <c r="Z325" s="97"/>
      <c r="AA325" s="97"/>
    </row>
    <row r="326" spans="1:27" ht="17">
      <c r="A326" s="97"/>
      <c r="B326" s="97"/>
      <c r="C326" s="302"/>
      <c r="D326" s="302"/>
      <c r="E326" s="302"/>
      <c r="F326" s="302"/>
      <c r="G326" s="97"/>
      <c r="H326" s="97"/>
      <c r="I326" s="97"/>
      <c r="J326" s="97"/>
      <c r="K326" s="97"/>
      <c r="L326" s="97"/>
      <c r="M326" s="97"/>
      <c r="N326" s="97"/>
      <c r="O326" s="97"/>
      <c r="P326" s="97"/>
      <c r="Q326" s="97"/>
      <c r="R326" s="97"/>
      <c r="S326" s="97"/>
      <c r="T326" s="97"/>
      <c r="U326" s="97"/>
      <c r="V326" s="97"/>
      <c r="W326" s="97"/>
      <c r="X326" s="97"/>
      <c r="Y326" s="97"/>
      <c r="Z326" s="97"/>
      <c r="AA326" s="97"/>
    </row>
    <row r="327" spans="1:27" ht="17">
      <c r="A327" s="97"/>
      <c r="B327" s="97"/>
      <c r="C327" s="302"/>
      <c r="D327" s="302"/>
      <c r="E327" s="302"/>
      <c r="F327" s="302"/>
      <c r="G327" s="97"/>
      <c r="H327" s="97"/>
      <c r="I327" s="97"/>
      <c r="J327" s="97"/>
      <c r="K327" s="97"/>
      <c r="L327" s="97"/>
      <c r="M327" s="97"/>
      <c r="N327" s="97"/>
      <c r="O327" s="97"/>
      <c r="P327" s="97"/>
      <c r="Q327" s="97"/>
      <c r="R327" s="97"/>
      <c r="S327" s="97"/>
      <c r="T327" s="97"/>
      <c r="U327" s="97"/>
      <c r="V327" s="97"/>
      <c r="W327" s="97"/>
      <c r="X327" s="97"/>
      <c r="Y327" s="97"/>
      <c r="Z327" s="97"/>
      <c r="AA327" s="97"/>
    </row>
    <row r="328" spans="1:27" ht="17">
      <c r="A328" s="97"/>
      <c r="B328" s="97"/>
      <c r="C328" s="302"/>
      <c r="D328" s="302"/>
      <c r="E328" s="302"/>
      <c r="F328" s="302"/>
      <c r="G328" s="97"/>
      <c r="H328" s="97"/>
      <c r="I328" s="97"/>
      <c r="J328" s="97"/>
      <c r="K328" s="97"/>
      <c r="L328" s="97"/>
      <c r="M328" s="97"/>
      <c r="N328" s="97"/>
      <c r="O328" s="97"/>
      <c r="P328" s="97"/>
      <c r="Q328" s="97"/>
      <c r="R328" s="97"/>
      <c r="S328" s="97"/>
      <c r="T328" s="97"/>
      <c r="U328" s="97"/>
      <c r="V328" s="97"/>
      <c r="W328" s="97"/>
      <c r="X328" s="97"/>
      <c r="Y328" s="97"/>
      <c r="Z328" s="97"/>
      <c r="AA328" s="97"/>
    </row>
    <row r="329" spans="1:27" ht="17">
      <c r="A329" s="97"/>
      <c r="B329" s="97"/>
      <c r="C329" s="302"/>
      <c r="D329" s="302"/>
      <c r="E329" s="302"/>
      <c r="F329" s="302"/>
      <c r="G329" s="97"/>
      <c r="H329" s="97"/>
      <c r="I329" s="97"/>
      <c r="J329" s="97"/>
      <c r="K329" s="97"/>
      <c r="L329" s="97"/>
      <c r="M329" s="97"/>
      <c r="N329" s="97"/>
      <c r="O329" s="97"/>
      <c r="P329" s="97"/>
      <c r="Q329" s="97"/>
      <c r="R329" s="97"/>
      <c r="S329" s="97"/>
      <c r="T329" s="97"/>
      <c r="U329" s="97"/>
      <c r="V329" s="97"/>
      <c r="W329" s="97"/>
      <c r="X329" s="97"/>
      <c r="Y329" s="97"/>
      <c r="Z329" s="97"/>
      <c r="AA329" s="97"/>
    </row>
    <row r="330" spans="1:27" ht="17">
      <c r="A330" s="97"/>
      <c r="B330" s="97"/>
      <c r="C330" s="302"/>
      <c r="D330" s="302"/>
      <c r="E330" s="302"/>
      <c r="F330" s="302"/>
      <c r="G330" s="97"/>
      <c r="H330" s="97"/>
      <c r="I330" s="97"/>
      <c r="J330" s="97"/>
      <c r="K330" s="97"/>
      <c r="L330" s="97"/>
      <c r="M330" s="97"/>
      <c r="N330" s="97"/>
      <c r="O330" s="97"/>
      <c r="P330" s="97"/>
      <c r="Q330" s="97"/>
      <c r="R330" s="97"/>
      <c r="S330" s="97"/>
      <c r="T330" s="97"/>
      <c r="U330" s="97"/>
      <c r="V330" s="97"/>
      <c r="W330" s="97"/>
      <c r="X330" s="97"/>
      <c r="Y330" s="97"/>
      <c r="Z330" s="97"/>
      <c r="AA330" s="97"/>
    </row>
    <row r="331" spans="1:27" ht="17">
      <c r="A331" s="97"/>
      <c r="B331" s="97"/>
      <c r="C331" s="302"/>
      <c r="D331" s="302"/>
      <c r="E331" s="302"/>
      <c r="F331" s="302"/>
      <c r="G331" s="97"/>
      <c r="H331" s="97"/>
      <c r="I331" s="97"/>
      <c r="J331" s="97"/>
      <c r="K331" s="97"/>
      <c r="L331" s="97"/>
      <c r="M331" s="97"/>
      <c r="N331" s="97"/>
      <c r="O331" s="97"/>
      <c r="P331" s="97"/>
      <c r="Q331" s="97"/>
      <c r="R331" s="97"/>
      <c r="S331" s="97"/>
      <c r="T331" s="97"/>
      <c r="U331" s="97"/>
      <c r="V331" s="97"/>
      <c r="W331" s="97"/>
      <c r="X331" s="97"/>
      <c r="Y331" s="97"/>
      <c r="Z331" s="97"/>
      <c r="AA331" s="97"/>
    </row>
    <row r="332" spans="1:27" ht="17">
      <c r="A332" s="97"/>
      <c r="B332" s="97"/>
      <c r="C332" s="302"/>
      <c r="D332" s="302"/>
      <c r="E332" s="302"/>
      <c r="F332" s="302"/>
      <c r="G332" s="97"/>
      <c r="H332" s="97"/>
      <c r="I332" s="97"/>
      <c r="J332" s="97"/>
      <c r="K332" s="97"/>
      <c r="L332" s="97"/>
      <c r="M332" s="97"/>
      <c r="N332" s="97"/>
      <c r="O332" s="97"/>
      <c r="P332" s="97"/>
      <c r="Q332" s="97"/>
      <c r="R332" s="97"/>
      <c r="S332" s="97"/>
      <c r="T332" s="97"/>
      <c r="U332" s="97"/>
      <c r="V332" s="97"/>
      <c r="W332" s="97"/>
      <c r="X332" s="97"/>
      <c r="Y332" s="97"/>
      <c r="Z332" s="97"/>
      <c r="AA332" s="97"/>
    </row>
    <row r="333" spans="1:27" ht="17">
      <c r="A333" s="97"/>
      <c r="B333" s="97"/>
      <c r="C333" s="302"/>
      <c r="D333" s="302"/>
      <c r="E333" s="302"/>
      <c r="F333" s="302"/>
      <c r="G333" s="97"/>
      <c r="H333" s="97"/>
      <c r="I333" s="97"/>
      <c r="J333" s="97"/>
      <c r="K333" s="97"/>
      <c r="L333" s="97"/>
      <c r="M333" s="97"/>
      <c r="N333" s="97"/>
      <c r="O333" s="97"/>
      <c r="P333" s="97"/>
      <c r="Q333" s="97"/>
      <c r="R333" s="97"/>
      <c r="S333" s="97"/>
      <c r="T333" s="97"/>
      <c r="U333" s="97"/>
      <c r="V333" s="97"/>
      <c r="W333" s="97"/>
      <c r="X333" s="97"/>
      <c r="Y333" s="97"/>
      <c r="Z333" s="97"/>
      <c r="AA333" s="97"/>
    </row>
    <row r="334" spans="1:27" ht="17">
      <c r="A334" s="97"/>
      <c r="B334" s="97"/>
      <c r="C334" s="302"/>
      <c r="D334" s="302"/>
      <c r="E334" s="302"/>
      <c r="F334" s="302"/>
      <c r="G334" s="97"/>
      <c r="H334" s="97"/>
      <c r="I334" s="97"/>
      <c r="J334" s="97"/>
      <c r="K334" s="97"/>
      <c r="L334" s="97"/>
      <c r="M334" s="97"/>
      <c r="N334" s="97"/>
      <c r="O334" s="97"/>
      <c r="P334" s="97"/>
      <c r="Q334" s="97"/>
      <c r="R334" s="97"/>
      <c r="S334" s="97"/>
      <c r="T334" s="97"/>
      <c r="U334" s="97"/>
      <c r="V334" s="97"/>
      <c r="W334" s="97"/>
      <c r="X334" s="97"/>
      <c r="Y334" s="97"/>
      <c r="Z334" s="97"/>
      <c r="AA334" s="97"/>
    </row>
    <row r="335" spans="1:27" ht="17">
      <c r="A335" s="97"/>
      <c r="B335" s="97"/>
      <c r="C335" s="302"/>
      <c r="D335" s="302"/>
      <c r="E335" s="302"/>
      <c r="F335" s="302"/>
      <c r="G335" s="97"/>
      <c r="H335" s="97"/>
      <c r="I335" s="97"/>
      <c r="J335" s="97"/>
      <c r="K335" s="97"/>
      <c r="L335" s="97"/>
      <c r="M335" s="97"/>
      <c r="N335" s="97"/>
      <c r="O335" s="97"/>
      <c r="P335" s="97"/>
      <c r="Q335" s="97"/>
      <c r="R335" s="97"/>
      <c r="S335" s="97"/>
      <c r="T335" s="97"/>
      <c r="U335" s="97"/>
      <c r="V335" s="97"/>
      <c r="W335" s="97"/>
      <c r="X335" s="97"/>
      <c r="Y335" s="97"/>
      <c r="Z335" s="97"/>
      <c r="AA335" s="97"/>
    </row>
    <row r="336" spans="1:27" ht="17">
      <c r="A336" s="97"/>
      <c r="B336" s="97"/>
      <c r="C336" s="302"/>
      <c r="D336" s="302"/>
      <c r="E336" s="302"/>
      <c r="F336" s="302"/>
      <c r="G336" s="97"/>
      <c r="H336" s="97"/>
      <c r="I336" s="97"/>
      <c r="J336" s="97"/>
      <c r="K336" s="97"/>
      <c r="L336" s="97"/>
      <c r="M336" s="97"/>
      <c r="N336" s="97"/>
      <c r="O336" s="97"/>
      <c r="P336" s="97"/>
      <c r="Q336" s="97"/>
      <c r="R336" s="97"/>
      <c r="S336" s="97"/>
      <c r="T336" s="97"/>
      <c r="U336" s="97"/>
      <c r="V336" s="97"/>
      <c r="W336" s="97"/>
      <c r="X336" s="97"/>
      <c r="Y336" s="97"/>
      <c r="Z336" s="97"/>
      <c r="AA336" s="97"/>
    </row>
    <row r="337" spans="1:27" ht="17">
      <c r="A337" s="97"/>
      <c r="B337" s="97"/>
      <c r="C337" s="302"/>
      <c r="D337" s="302"/>
      <c r="E337" s="302"/>
      <c r="F337" s="302"/>
      <c r="G337" s="97"/>
      <c r="H337" s="97"/>
      <c r="I337" s="97"/>
      <c r="J337" s="97"/>
      <c r="K337" s="97"/>
      <c r="L337" s="97"/>
      <c r="M337" s="97"/>
      <c r="N337" s="97"/>
      <c r="O337" s="97"/>
      <c r="P337" s="97"/>
      <c r="Q337" s="97"/>
      <c r="R337" s="97"/>
      <c r="S337" s="97"/>
      <c r="T337" s="97"/>
      <c r="U337" s="97"/>
      <c r="V337" s="97"/>
      <c r="W337" s="97"/>
      <c r="X337" s="97"/>
      <c r="Y337" s="97"/>
      <c r="Z337" s="97"/>
      <c r="AA337" s="97"/>
    </row>
    <row r="338" spans="1:27" ht="17">
      <c r="A338" s="97"/>
      <c r="B338" s="97"/>
      <c r="C338" s="302"/>
      <c r="D338" s="302"/>
      <c r="E338" s="302"/>
      <c r="F338" s="302"/>
      <c r="G338" s="97"/>
      <c r="H338" s="97"/>
      <c r="I338" s="97"/>
      <c r="J338" s="97"/>
      <c r="K338" s="97"/>
      <c r="L338" s="97"/>
      <c r="M338" s="97"/>
      <c r="N338" s="97"/>
      <c r="O338" s="97"/>
      <c r="P338" s="97"/>
      <c r="Q338" s="97"/>
      <c r="R338" s="97"/>
      <c r="S338" s="97"/>
      <c r="T338" s="97"/>
      <c r="U338" s="97"/>
      <c r="V338" s="97"/>
      <c r="W338" s="97"/>
      <c r="X338" s="97"/>
      <c r="Y338" s="97"/>
      <c r="Z338" s="97"/>
      <c r="AA338" s="97"/>
    </row>
    <row r="339" spans="1:27" ht="17">
      <c r="A339" s="97"/>
      <c r="B339" s="97"/>
      <c r="C339" s="302"/>
      <c r="D339" s="302"/>
      <c r="E339" s="302"/>
      <c r="F339" s="302"/>
      <c r="G339" s="97"/>
      <c r="H339" s="97"/>
      <c r="I339" s="97"/>
      <c r="J339" s="97"/>
      <c r="K339" s="97"/>
      <c r="L339" s="97"/>
      <c r="M339" s="97"/>
      <c r="N339" s="97"/>
      <c r="O339" s="97"/>
      <c r="P339" s="97"/>
      <c r="Q339" s="97"/>
      <c r="R339" s="97"/>
      <c r="S339" s="97"/>
      <c r="T339" s="97"/>
      <c r="U339" s="97"/>
      <c r="V339" s="97"/>
      <c r="W339" s="97"/>
      <c r="X339" s="97"/>
      <c r="Y339" s="97"/>
      <c r="Z339" s="97"/>
      <c r="AA339" s="97"/>
    </row>
    <row r="340" spans="1:27" ht="17">
      <c r="A340" s="97"/>
      <c r="B340" s="97"/>
      <c r="C340" s="302"/>
      <c r="D340" s="302"/>
      <c r="E340" s="302"/>
      <c r="F340" s="302"/>
      <c r="G340" s="97"/>
      <c r="H340" s="97"/>
      <c r="I340" s="97"/>
      <c r="J340" s="97"/>
      <c r="K340" s="97"/>
      <c r="L340" s="97"/>
      <c r="M340" s="97"/>
      <c r="N340" s="97"/>
      <c r="O340" s="97"/>
      <c r="P340" s="97"/>
      <c r="Q340" s="97"/>
      <c r="R340" s="97"/>
      <c r="S340" s="97"/>
      <c r="T340" s="97"/>
      <c r="U340" s="97"/>
      <c r="V340" s="97"/>
      <c r="W340" s="97"/>
      <c r="X340" s="97"/>
      <c r="Y340" s="97"/>
      <c r="Z340" s="97"/>
      <c r="AA340" s="97"/>
    </row>
    <row r="341" spans="1:27" ht="17">
      <c r="A341" s="97"/>
      <c r="B341" s="97"/>
      <c r="C341" s="302"/>
      <c r="D341" s="302"/>
      <c r="E341" s="302"/>
      <c r="F341" s="302"/>
      <c r="G341" s="97"/>
      <c r="H341" s="97"/>
      <c r="I341" s="97"/>
      <c r="J341" s="97"/>
      <c r="K341" s="97"/>
      <c r="L341" s="97"/>
      <c r="M341" s="97"/>
      <c r="N341" s="97"/>
      <c r="O341" s="97"/>
      <c r="P341" s="97"/>
      <c r="Q341" s="97"/>
      <c r="R341" s="97"/>
      <c r="S341" s="97"/>
      <c r="T341" s="97"/>
      <c r="U341" s="97"/>
      <c r="V341" s="97"/>
      <c r="W341" s="97"/>
      <c r="X341" s="97"/>
      <c r="Y341" s="97"/>
      <c r="Z341" s="97"/>
      <c r="AA341" s="97"/>
    </row>
    <row r="342" spans="1:27" ht="17">
      <c r="A342" s="97"/>
      <c r="B342" s="97"/>
      <c r="C342" s="302"/>
      <c r="D342" s="302"/>
      <c r="E342" s="302"/>
      <c r="F342" s="302"/>
      <c r="G342" s="97"/>
      <c r="H342" s="97"/>
      <c r="I342" s="97"/>
      <c r="J342" s="97"/>
      <c r="K342" s="97"/>
      <c r="L342" s="97"/>
      <c r="M342" s="97"/>
      <c r="N342" s="97"/>
      <c r="O342" s="97"/>
      <c r="P342" s="97"/>
      <c r="Q342" s="97"/>
      <c r="R342" s="97"/>
      <c r="S342" s="97"/>
      <c r="T342" s="97"/>
      <c r="U342" s="97"/>
      <c r="V342" s="97"/>
      <c r="W342" s="97"/>
      <c r="X342" s="97"/>
      <c r="Y342" s="97"/>
      <c r="Z342" s="97"/>
      <c r="AA342" s="97"/>
    </row>
    <row r="343" spans="1:27" ht="17">
      <c r="A343" s="97"/>
      <c r="B343" s="97"/>
      <c r="C343" s="302"/>
      <c r="D343" s="302"/>
      <c r="E343" s="302"/>
      <c r="F343" s="302"/>
      <c r="G343" s="97"/>
      <c r="H343" s="97"/>
      <c r="I343" s="97"/>
      <c r="J343" s="97"/>
      <c r="K343" s="97"/>
      <c r="L343" s="97"/>
      <c r="M343" s="97"/>
      <c r="N343" s="97"/>
      <c r="O343" s="97"/>
      <c r="P343" s="97"/>
      <c r="Q343" s="97"/>
      <c r="R343" s="97"/>
      <c r="S343" s="97"/>
      <c r="T343" s="97"/>
      <c r="U343" s="97"/>
      <c r="V343" s="97"/>
      <c r="W343" s="97"/>
      <c r="X343" s="97"/>
      <c r="Y343" s="97"/>
      <c r="Z343" s="97"/>
      <c r="AA343" s="97"/>
    </row>
    <row r="344" spans="1:27" ht="17">
      <c r="A344" s="97"/>
      <c r="B344" s="97"/>
      <c r="C344" s="302"/>
      <c r="D344" s="302"/>
      <c r="E344" s="302"/>
      <c r="F344" s="302"/>
      <c r="G344" s="97"/>
      <c r="H344" s="97"/>
      <c r="I344" s="97"/>
      <c r="J344" s="97"/>
      <c r="K344" s="97"/>
      <c r="L344" s="97"/>
      <c r="M344" s="97"/>
      <c r="N344" s="97"/>
      <c r="O344" s="97"/>
      <c r="P344" s="97"/>
      <c r="Q344" s="97"/>
      <c r="R344" s="97"/>
      <c r="S344" s="97"/>
      <c r="T344" s="97"/>
      <c r="U344" s="97"/>
      <c r="V344" s="97"/>
      <c r="W344" s="97"/>
      <c r="X344" s="97"/>
      <c r="Y344" s="97"/>
      <c r="Z344" s="97"/>
      <c r="AA344" s="97"/>
    </row>
    <row r="345" spans="1:27" ht="17">
      <c r="A345" s="97"/>
      <c r="B345" s="97"/>
      <c r="C345" s="302"/>
      <c r="D345" s="302"/>
      <c r="E345" s="302"/>
      <c r="F345" s="302"/>
      <c r="G345" s="97"/>
      <c r="H345" s="97"/>
      <c r="I345" s="97"/>
      <c r="J345" s="97"/>
      <c r="K345" s="97"/>
      <c r="L345" s="97"/>
      <c r="M345" s="97"/>
      <c r="N345" s="97"/>
      <c r="O345" s="97"/>
      <c r="P345" s="97"/>
      <c r="Q345" s="97"/>
      <c r="R345" s="97"/>
      <c r="S345" s="97"/>
      <c r="T345" s="97"/>
      <c r="U345" s="97"/>
      <c r="V345" s="97"/>
      <c r="W345" s="97"/>
      <c r="X345" s="97"/>
      <c r="Y345" s="97"/>
      <c r="Z345" s="97"/>
      <c r="AA345" s="97"/>
    </row>
    <row r="346" spans="1:27" ht="17">
      <c r="A346" s="97"/>
      <c r="B346" s="97"/>
      <c r="C346" s="302"/>
      <c r="D346" s="302"/>
      <c r="E346" s="302"/>
      <c r="F346" s="302"/>
      <c r="G346" s="97"/>
      <c r="H346" s="97"/>
      <c r="I346" s="97"/>
      <c r="J346" s="97"/>
      <c r="K346" s="97"/>
      <c r="L346" s="97"/>
      <c r="M346" s="97"/>
      <c r="N346" s="97"/>
      <c r="O346" s="97"/>
      <c r="P346" s="97"/>
      <c r="Q346" s="97"/>
      <c r="R346" s="97"/>
      <c r="S346" s="97"/>
      <c r="T346" s="97"/>
      <c r="U346" s="97"/>
      <c r="V346" s="97"/>
      <c r="W346" s="97"/>
      <c r="X346" s="97"/>
      <c r="Y346" s="97"/>
      <c r="Z346" s="97"/>
      <c r="AA346" s="97"/>
    </row>
    <row r="347" spans="1:27" ht="17">
      <c r="A347" s="97"/>
      <c r="B347" s="97"/>
      <c r="C347" s="302"/>
      <c r="D347" s="302"/>
      <c r="E347" s="302"/>
      <c r="F347" s="302"/>
      <c r="G347" s="97"/>
      <c r="H347" s="97"/>
      <c r="I347" s="97"/>
      <c r="J347" s="97"/>
      <c r="K347" s="97"/>
      <c r="L347" s="97"/>
      <c r="M347" s="97"/>
      <c r="N347" s="97"/>
      <c r="O347" s="97"/>
      <c r="P347" s="97"/>
      <c r="Q347" s="97"/>
      <c r="R347" s="97"/>
      <c r="S347" s="97"/>
      <c r="T347" s="97"/>
      <c r="U347" s="97"/>
      <c r="V347" s="97"/>
      <c r="W347" s="97"/>
      <c r="X347" s="97"/>
      <c r="Y347" s="97"/>
      <c r="Z347" s="97"/>
      <c r="AA347" s="97"/>
    </row>
    <row r="348" spans="1:27" ht="17">
      <c r="A348" s="97"/>
      <c r="B348" s="97"/>
      <c r="C348" s="302"/>
      <c r="D348" s="302"/>
      <c r="E348" s="302"/>
      <c r="F348" s="302"/>
      <c r="G348" s="97"/>
      <c r="H348" s="97"/>
      <c r="I348" s="97"/>
      <c r="J348" s="97"/>
      <c r="K348" s="97"/>
      <c r="L348" s="97"/>
      <c r="M348" s="97"/>
      <c r="N348" s="97"/>
      <c r="O348" s="97"/>
      <c r="P348" s="97"/>
      <c r="Q348" s="97"/>
      <c r="R348" s="97"/>
      <c r="S348" s="97"/>
      <c r="T348" s="97"/>
      <c r="U348" s="97"/>
      <c r="V348" s="97"/>
      <c r="W348" s="97"/>
      <c r="X348" s="97"/>
      <c r="Y348" s="97"/>
      <c r="Z348" s="97"/>
      <c r="AA348" s="97"/>
    </row>
    <row r="349" spans="1:27" ht="17">
      <c r="A349" s="97"/>
      <c r="B349" s="97"/>
      <c r="C349" s="302"/>
      <c r="D349" s="302"/>
      <c r="E349" s="302"/>
      <c r="F349" s="302"/>
      <c r="G349" s="97"/>
      <c r="H349" s="97"/>
      <c r="I349" s="97"/>
      <c r="J349" s="97"/>
      <c r="K349" s="97"/>
      <c r="L349" s="97"/>
      <c r="M349" s="97"/>
      <c r="N349" s="97"/>
      <c r="O349" s="97"/>
      <c r="P349" s="97"/>
      <c r="Q349" s="97"/>
      <c r="R349" s="97"/>
      <c r="S349" s="97"/>
      <c r="T349" s="97"/>
      <c r="U349" s="97"/>
      <c r="V349" s="97"/>
      <c r="W349" s="97"/>
      <c r="X349" s="97"/>
      <c r="Y349" s="97"/>
      <c r="Z349" s="97"/>
      <c r="AA349" s="97"/>
    </row>
    <row r="350" spans="1:27" ht="17">
      <c r="A350" s="97"/>
      <c r="B350" s="97"/>
      <c r="C350" s="302"/>
      <c r="D350" s="302"/>
      <c r="E350" s="302"/>
      <c r="F350" s="302"/>
      <c r="G350" s="97"/>
      <c r="H350" s="97"/>
      <c r="I350" s="97"/>
      <c r="J350" s="97"/>
      <c r="K350" s="97"/>
      <c r="L350" s="97"/>
      <c r="M350" s="97"/>
      <c r="N350" s="97"/>
      <c r="O350" s="97"/>
      <c r="P350" s="97"/>
      <c r="Q350" s="97"/>
      <c r="R350" s="97"/>
      <c r="S350" s="97"/>
      <c r="T350" s="97"/>
      <c r="U350" s="97"/>
      <c r="V350" s="97"/>
      <c r="W350" s="97"/>
      <c r="X350" s="97"/>
      <c r="Y350" s="97"/>
      <c r="Z350" s="97"/>
      <c r="AA350" s="97"/>
    </row>
    <row r="351" spans="1:27" ht="17">
      <c r="A351" s="97"/>
      <c r="B351" s="97"/>
      <c r="C351" s="302"/>
      <c r="D351" s="302"/>
      <c r="E351" s="302"/>
      <c r="F351" s="302"/>
      <c r="G351" s="97"/>
      <c r="H351" s="97"/>
      <c r="I351" s="97"/>
      <c r="J351" s="97"/>
      <c r="K351" s="97"/>
      <c r="L351" s="97"/>
      <c r="M351" s="97"/>
      <c r="N351" s="97"/>
      <c r="O351" s="97"/>
      <c r="P351" s="97"/>
      <c r="Q351" s="97"/>
      <c r="R351" s="97"/>
      <c r="S351" s="97"/>
      <c r="T351" s="97"/>
      <c r="U351" s="97"/>
      <c r="V351" s="97"/>
      <c r="W351" s="97"/>
      <c r="X351" s="97"/>
      <c r="Y351" s="97"/>
      <c r="Z351" s="97"/>
      <c r="AA351" s="97"/>
    </row>
    <row r="352" spans="1:27" ht="17">
      <c r="A352" s="97"/>
      <c r="B352" s="97"/>
      <c r="C352" s="302"/>
      <c r="D352" s="302"/>
      <c r="E352" s="302"/>
      <c r="F352" s="302"/>
      <c r="G352" s="97"/>
      <c r="H352" s="97"/>
      <c r="I352" s="97"/>
      <c r="J352" s="97"/>
      <c r="K352" s="97"/>
      <c r="L352" s="97"/>
      <c r="M352" s="97"/>
      <c r="N352" s="97"/>
      <c r="O352" s="97"/>
      <c r="P352" s="97"/>
      <c r="Q352" s="97"/>
      <c r="R352" s="97"/>
      <c r="S352" s="97"/>
      <c r="T352" s="97"/>
      <c r="U352" s="97"/>
      <c r="V352" s="97"/>
      <c r="W352" s="97"/>
      <c r="X352" s="97"/>
      <c r="Y352" s="97"/>
      <c r="Z352" s="97"/>
      <c r="AA352" s="97"/>
    </row>
    <row r="353" spans="1:27" ht="17">
      <c r="A353" s="97"/>
      <c r="B353" s="97"/>
      <c r="C353" s="302"/>
      <c r="D353" s="302"/>
      <c r="E353" s="302"/>
      <c r="F353" s="302"/>
      <c r="G353" s="97"/>
      <c r="H353" s="97"/>
      <c r="I353" s="97"/>
      <c r="J353" s="97"/>
      <c r="K353" s="97"/>
      <c r="L353" s="97"/>
      <c r="M353" s="97"/>
      <c r="N353" s="97"/>
      <c r="O353" s="97"/>
      <c r="P353" s="97"/>
      <c r="Q353" s="97"/>
      <c r="R353" s="97"/>
      <c r="S353" s="97"/>
      <c r="T353" s="97"/>
      <c r="U353" s="97"/>
      <c r="V353" s="97"/>
      <c r="W353" s="97"/>
      <c r="X353" s="97"/>
      <c r="Y353" s="97"/>
      <c r="Z353" s="97"/>
      <c r="AA353" s="97"/>
    </row>
    <row r="354" spans="1:27" ht="17">
      <c r="A354" s="97"/>
      <c r="B354" s="97"/>
      <c r="C354" s="302"/>
      <c r="D354" s="302"/>
      <c r="E354" s="302"/>
      <c r="F354" s="302"/>
      <c r="G354" s="97"/>
      <c r="H354" s="97"/>
      <c r="I354" s="97"/>
      <c r="J354" s="97"/>
      <c r="K354" s="97"/>
      <c r="L354" s="97"/>
      <c r="M354" s="97"/>
      <c r="N354" s="97"/>
      <c r="O354" s="97"/>
      <c r="P354" s="97"/>
      <c r="Q354" s="97"/>
      <c r="R354" s="97"/>
      <c r="S354" s="97"/>
      <c r="T354" s="97"/>
      <c r="U354" s="97"/>
      <c r="V354" s="97"/>
      <c r="W354" s="97"/>
      <c r="X354" s="97"/>
      <c r="Y354" s="97"/>
      <c r="Z354" s="97"/>
      <c r="AA354" s="97"/>
    </row>
    <row r="355" spans="1:27" ht="17">
      <c r="A355" s="97"/>
      <c r="B355" s="97"/>
      <c r="C355" s="302"/>
      <c r="D355" s="302"/>
      <c r="E355" s="302"/>
      <c r="F355" s="302"/>
      <c r="G355" s="97"/>
      <c r="H355" s="97"/>
      <c r="I355" s="97"/>
      <c r="J355" s="97"/>
      <c r="K355" s="97"/>
      <c r="L355" s="97"/>
      <c r="M355" s="97"/>
      <c r="N355" s="97"/>
      <c r="O355" s="97"/>
      <c r="P355" s="97"/>
      <c r="Q355" s="97"/>
      <c r="R355" s="97"/>
      <c r="S355" s="97"/>
      <c r="T355" s="97"/>
      <c r="U355" s="97"/>
      <c r="V355" s="97"/>
      <c r="W355" s="97"/>
      <c r="X355" s="97"/>
      <c r="Y355" s="97"/>
      <c r="Z355" s="97"/>
      <c r="AA355" s="97"/>
    </row>
    <row r="356" spans="1:27" ht="17">
      <c r="A356" s="97"/>
      <c r="B356" s="97"/>
      <c r="C356" s="302"/>
      <c r="D356" s="302"/>
      <c r="E356" s="302"/>
      <c r="F356" s="302"/>
      <c r="G356" s="97"/>
      <c r="H356" s="97"/>
      <c r="I356" s="97"/>
      <c r="J356" s="97"/>
      <c r="K356" s="97"/>
      <c r="L356" s="97"/>
      <c r="M356" s="97"/>
      <c r="N356" s="97"/>
      <c r="O356" s="97"/>
      <c r="P356" s="97"/>
      <c r="Q356" s="97"/>
      <c r="R356" s="97"/>
      <c r="S356" s="97"/>
      <c r="T356" s="97"/>
      <c r="U356" s="97"/>
      <c r="V356" s="97"/>
      <c r="W356" s="97"/>
      <c r="X356" s="97"/>
      <c r="Y356" s="97"/>
      <c r="Z356" s="97"/>
      <c r="AA356" s="97"/>
    </row>
    <row r="357" spans="1:27" ht="17">
      <c r="A357" s="97"/>
      <c r="B357" s="97"/>
      <c r="C357" s="302"/>
      <c r="D357" s="302"/>
      <c r="E357" s="302"/>
      <c r="F357" s="302"/>
      <c r="G357" s="97"/>
      <c r="H357" s="97"/>
      <c r="I357" s="97"/>
      <c r="J357" s="97"/>
      <c r="K357" s="97"/>
      <c r="L357" s="97"/>
      <c r="M357" s="97"/>
      <c r="N357" s="97"/>
      <c r="O357" s="97"/>
      <c r="P357" s="97"/>
      <c r="Q357" s="97"/>
      <c r="R357" s="97"/>
      <c r="S357" s="97"/>
      <c r="T357" s="97"/>
      <c r="U357" s="97"/>
      <c r="V357" s="97"/>
      <c r="W357" s="97"/>
      <c r="X357" s="97"/>
      <c r="Y357" s="97"/>
      <c r="Z357" s="97"/>
      <c r="AA357" s="97"/>
    </row>
    <row r="358" spans="1:27" ht="17">
      <c r="A358" s="97"/>
      <c r="B358" s="97"/>
      <c r="C358" s="302"/>
      <c r="D358" s="302"/>
      <c r="E358" s="302"/>
      <c r="F358" s="302"/>
      <c r="G358" s="97"/>
      <c r="H358" s="97"/>
      <c r="I358" s="97"/>
      <c r="J358" s="97"/>
      <c r="K358" s="97"/>
      <c r="L358" s="97"/>
      <c r="M358" s="97"/>
      <c r="N358" s="97"/>
      <c r="O358" s="97"/>
      <c r="P358" s="97"/>
      <c r="Q358" s="97"/>
      <c r="R358" s="97"/>
      <c r="S358" s="97"/>
      <c r="T358" s="97"/>
      <c r="U358" s="97"/>
      <c r="V358" s="97"/>
      <c r="W358" s="97"/>
      <c r="X358" s="97"/>
      <c r="Y358" s="97"/>
      <c r="Z358" s="97"/>
      <c r="AA358" s="97"/>
    </row>
    <row r="359" spans="1:27" ht="17">
      <c r="A359" s="97"/>
      <c r="B359" s="97"/>
      <c r="C359" s="302"/>
      <c r="D359" s="302"/>
      <c r="E359" s="302"/>
      <c r="F359" s="302"/>
      <c r="G359" s="97"/>
      <c r="H359" s="97"/>
      <c r="I359" s="97"/>
      <c r="J359" s="97"/>
      <c r="K359" s="97"/>
      <c r="L359" s="97"/>
      <c r="M359" s="97"/>
      <c r="N359" s="97"/>
      <c r="O359" s="97"/>
      <c r="P359" s="97"/>
      <c r="Q359" s="97"/>
      <c r="R359" s="97"/>
      <c r="S359" s="97"/>
      <c r="T359" s="97"/>
      <c r="U359" s="97"/>
      <c r="V359" s="97"/>
      <c r="W359" s="97"/>
      <c r="X359" s="97"/>
      <c r="Y359" s="97"/>
      <c r="Z359" s="97"/>
      <c r="AA359" s="97"/>
    </row>
    <row r="360" spans="1:27" ht="17">
      <c r="A360" s="97"/>
      <c r="B360" s="97"/>
      <c r="C360" s="302"/>
      <c r="D360" s="302"/>
      <c r="E360" s="302"/>
      <c r="F360" s="302"/>
      <c r="G360" s="97"/>
      <c r="H360" s="97"/>
      <c r="I360" s="97"/>
      <c r="J360" s="97"/>
      <c r="K360" s="97"/>
      <c r="L360" s="97"/>
      <c r="M360" s="97"/>
      <c r="N360" s="97"/>
      <c r="O360" s="97"/>
      <c r="P360" s="97"/>
      <c r="Q360" s="97"/>
      <c r="R360" s="97"/>
      <c r="S360" s="97"/>
      <c r="T360" s="97"/>
      <c r="U360" s="97"/>
      <c r="V360" s="97"/>
      <c r="W360" s="97"/>
      <c r="X360" s="97"/>
      <c r="Y360" s="97"/>
      <c r="Z360" s="97"/>
      <c r="AA360" s="97"/>
    </row>
    <row r="361" spans="1:27" ht="17">
      <c r="A361" s="97"/>
      <c r="B361" s="97"/>
      <c r="C361" s="302"/>
      <c r="D361" s="302"/>
      <c r="E361" s="302"/>
      <c r="F361" s="302"/>
      <c r="G361" s="97"/>
      <c r="H361" s="97"/>
      <c r="I361" s="97"/>
      <c r="J361" s="97"/>
      <c r="K361" s="97"/>
      <c r="L361" s="97"/>
      <c r="M361" s="97"/>
      <c r="N361" s="97"/>
      <c r="O361" s="97"/>
      <c r="P361" s="97"/>
      <c r="Q361" s="97"/>
      <c r="R361" s="97"/>
      <c r="S361" s="97"/>
      <c r="T361" s="97"/>
      <c r="U361" s="97"/>
      <c r="V361" s="97"/>
      <c r="W361" s="97"/>
      <c r="X361" s="97"/>
      <c r="Y361" s="97"/>
      <c r="Z361" s="97"/>
      <c r="AA361" s="97"/>
    </row>
    <row r="362" spans="1:27" ht="17">
      <c r="A362" s="97"/>
      <c r="B362" s="97"/>
      <c r="C362" s="302"/>
      <c r="D362" s="302"/>
      <c r="E362" s="302"/>
      <c r="F362" s="302"/>
      <c r="G362" s="97"/>
      <c r="H362" s="97"/>
      <c r="I362" s="97"/>
      <c r="J362" s="97"/>
      <c r="K362" s="97"/>
      <c r="L362" s="97"/>
      <c r="M362" s="97"/>
      <c r="N362" s="97"/>
      <c r="O362" s="97"/>
      <c r="P362" s="97"/>
      <c r="Q362" s="97"/>
      <c r="R362" s="97"/>
      <c r="S362" s="97"/>
      <c r="T362" s="97"/>
      <c r="U362" s="97"/>
      <c r="V362" s="97"/>
      <c r="W362" s="97"/>
      <c r="X362" s="97"/>
      <c r="Y362" s="97"/>
      <c r="Z362" s="97"/>
      <c r="AA362" s="97"/>
    </row>
    <row r="363" spans="1:27" ht="17">
      <c r="A363" s="97"/>
      <c r="B363" s="97"/>
      <c r="C363" s="302"/>
      <c r="D363" s="302"/>
      <c r="E363" s="302"/>
      <c r="F363" s="302"/>
      <c r="G363" s="97"/>
      <c r="H363" s="97"/>
      <c r="I363" s="97"/>
      <c r="J363" s="97"/>
      <c r="K363" s="97"/>
      <c r="L363" s="97"/>
      <c r="M363" s="97"/>
      <c r="N363" s="97"/>
      <c r="O363" s="97"/>
      <c r="P363" s="97"/>
      <c r="Q363" s="97"/>
      <c r="R363" s="97"/>
      <c r="S363" s="97"/>
      <c r="T363" s="97"/>
      <c r="U363" s="97"/>
      <c r="V363" s="97"/>
      <c r="W363" s="97"/>
      <c r="X363" s="97"/>
      <c r="Y363" s="97"/>
      <c r="Z363" s="97"/>
      <c r="AA363" s="97"/>
    </row>
    <row r="364" spans="1:27" ht="17">
      <c r="A364" s="97"/>
      <c r="B364" s="97"/>
      <c r="C364" s="302"/>
      <c r="D364" s="302"/>
      <c r="E364" s="302"/>
      <c r="F364" s="302"/>
      <c r="G364" s="97"/>
      <c r="H364" s="97"/>
      <c r="I364" s="97"/>
      <c r="J364" s="97"/>
      <c r="K364" s="97"/>
      <c r="L364" s="97"/>
      <c r="M364" s="97"/>
      <c r="N364" s="97"/>
      <c r="O364" s="97"/>
      <c r="P364" s="97"/>
      <c r="Q364" s="97"/>
      <c r="R364" s="97"/>
      <c r="S364" s="97"/>
      <c r="T364" s="97"/>
      <c r="U364" s="97"/>
      <c r="V364" s="97"/>
      <c r="W364" s="97"/>
      <c r="X364" s="97"/>
      <c r="Y364" s="97"/>
      <c r="Z364" s="97"/>
      <c r="AA364" s="97"/>
    </row>
    <row r="365" spans="1:27" ht="17">
      <c r="A365" s="97"/>
      <c r="B365" s="97"/>
      <c r="C365" s="302"/>
      <c r="D365" s="302"/>
      <c r="E365" s="302"/>
      <c r="F365" s="302"/>
      <c r="G365" s="97"/>
      <c r="H365" s="97"/>
      <c r="I365" s="97"/>
      <c r="J365" s="97"/>
      <c r="K365" s="97"/>
      <c r="L365" s="97"/>
      <c r="M365" s="97"/>
      <c r="N365" s="97"/>
      <c r="O365" s="97"/>
      <c r="P365" s="97"/>
      <c r="Q365" s="97"/>
      <c r="R365" s="97"/>
      <c r="S365" s="97"/>
      <c r="T365" s="97"/>
      <c r="U365" s="97"/>
      <c r="V365" s="97"/>
      <c r="W365" s="97"/>
      <c r="X365" s="97"/>
      <c r="Y365" s="97"/>
      <c r="Z365" s="97"/>
      <c r="AA365" s="97"/>
    </row>
    <row r="366" spans="1:27" ht="17">
      <c r="A366" s="97"/>
      <c r="B366" s="97"/>
      <c r="C366" s="302"/>
      <c r="D366" s="302"/>
      <c r="E366" s="302"/>
      <c r="F366" s="302"/>
      <c r="G366" s="97"/>
      <c r="H366" s="97"/>
      <c r="I366" s="97"/>
      <c r="J366" s="97"/>
      <c r="K366" s="97"/>
      <c r="L366" s="97"/>
      <c r="M366" s="97"/>
      <c r="N366" s="97"/>
      <c r="O366" s="97"/>
      <c r="P366" s="97"/>
      <c r="Q366" s="97"/>
      <c r="R366" s="97"/>
      <c r="S366" s="97"/>
      <c r="T366" s="97"/>
      <c r="U366" s="97"/>
      <c r="V366" s="97"/>
      <c r="W366" s="97"/>
      <c r="X366" s="97"/>
      <c r="Y366" s="97"/>
      <c r="Z366" s="97"/>
      <c r="AA366" s="97"/>
    </row>
    <row r="367" spans="1:27" ht="17">
      <c r="A367" s="97"/>
      <c r="B367" s="97"/>
      <c r="C367" s="302"/>
      <c r="D367" s="302"/>
      <c r="E367" s="302"/>
      <c r="F367" s="302"/>
      <c r="G367" s="97"/>
      <c r="H367" s="97"/>
      <c r="I367" s="97"/>
      <c r="J367" s="97"/>
      <c r="K367" s="97"/>
      <c r="L367" s="97"/>
      <c r="M367" s="97"/>
      <c r="N367" s="97"/>
      <c r="O367" s="97"/>
      <c r="P367" s="97"/>
      <c r="Q367" s="97"/>
      <c r="R367" s="97"/>
      <c r="S367" s="97"/>
      <c r="T367" s="97"/>
      <c r="U367" s="97"/>
      <c r="V367" s="97"/>
      <c r="W367" s="97"/>
      <c r="X367" s="97"/>
      <c r="Y367" s="97"/>
      <c r="Z367" s="97"/>
      <c r="AA367" s="97"/>
    </row>
    <row r="368" spans="1:27" ht="17">
      <c r="A368" s="97"/>
      <c r="B368" s="97"/>
      <c r="C368" s="302"/>
      <c r="D368" s="302"/>
      <c r="E368" s="302"/>
      <c r="F368" s="302"/>
      <c r="G368" s="97"/>
      <c r="H368" s="97"/>
      <c r="I368" s="97"/>
      <c r="J368" s="97"/>
      <c r="K368" s="97"/>
      <c r="L368" s="97"/>
      <c r="M368" s="97"/>
      <c r="N368" s="97"/>
      <c r="O368" s="97"/>
      <c r="P368" s="97"/>
      <c r="Q368" s="97"/>
      <c r="R368" s="97"/>
      <c r="S368" s="97"/>
      <c r="T368" s="97"/>
      <c r="U368" s="97"/>
      <c r="V368" s="97"/>
      <c r="W368" s="97"/>
      <c r="X368" s="97"/>
      <c r="Y368" s="97"/>
      <c r="Z368" s="97"/>
      <c r="AA368" s="97"/>
    </row>
    <row r="369" spans="1:27" ht="17">
      <c r="A369" s="97"/>
      <c r="B369" s="97"/>
      <c r="C369" s="302"/>
      <c r="D369" s="302"/>
      <c r="E369" s="302"/>
      <c r="F369" s="302"/>
      <c r="G369" s="97"/>
      <c r="H369" s="97"/>
      <c r="I369" s="97"/>
      <c r="J369" s="97"/>
      <c r="K369" s="97"/>
      <c r="L369" s="97"/>
      <c r="M369" s="97"/>
      <c r="N369" s="97"/>
      <c r="O369" s="97"/>
      <c r="P369" s="97"/>
      <c r="Q369" s="97"/>
      <c r="R369" s="97"/>
      <c r="S369" s="97"/>
      <c r="T369" s="97"/>
      <c r="U369" s="97"/>
      <c r="V369" s="97"/>
      <c r="W369" s="97"/>
      <c r="X369" s="97"/>
      <c r="Y369" s="97"/>
      <c r="Z369" s="97"/>
      <c r="AA369" s="97"/>
    </row>
    <row r="370" spans="1:27" ht="17">
      <c r="A370" s="97"/>
      <c r="B370" s="97"/>
      <c r="C370" s="302"/>
      <c r="D370" s="302"/>
      <c r="E370" s="302"/>
      <c r="F370" s="302"/>
      <c r="G370" s="97"/>
      <c r="H370" s="97"/>
      <c r="I370" s="97"/>
      <c r="J370" s="97"/>
      <c r="K370" s="97"/>
      <c r="L370" s="97"/>
      <c r="M370" s="97"/>
      <c r="N370" s="97"/>
      <c r="O370" s="97"/>
      <c r="P370" s="97"/>
      <c r="Q370" s="97"/>
      <c r="R370" s="97"/>
      <c r="S370" s="97"/>
      <c r="T370" s="97"/>
      <c r="U370" s="97"/>
      <c r="V370" s="97"/>
      <c r="W370" s="97"/>
      <c r="X370" s="97"/>
      <c r="Y370" s="97"/>
      <c r="Z370" s="97"/>
      <c r="AA370" s="97"/>
    </row>
    <row r="371" spans="1:27" ht="17">
      <c r="A371" s="97"/>
      <c r="B371" s="97"/>
      <c r="C371" s="302"/>
      <c r="D371" s="302"/>
      <c r="E371" s="302"/>
      <c r="F371" s="302"/>
      <c r="G371" s="97"/>
      <c r="H371" s="97"/>
      <c r="I371" s="97"/>
      <c r="J371" s="97"/>
      <c r="K371" s="97"/>
      <c r="L371" s="97"/>
      <c r="M371" s="97"/>
      <c r="N371" s="97"/>
      <c r="O371" s="97"/>
      <c r="P371" s="97"/>
      <c r="Q371" s="97"/>
      <c r="R371" s="97"/>
      <c r="S371" s="97"/>
      <c r="T371" s="97"/>
      <c r="U371" s="97"/>
      <c r="V371" s="97"/>
      <c r="W371" s="97"/>
      <c r="X371" s="97"/>
      <c r="Y371" s="97"/>
      <c r="Z371" s="97"/>
      <c r="AA371" s="97"/>
    </row>
    <row r="372" spans="1:27" ht="17">
      <c r="A372" s="97"/>
      <c r="B372" s="97"/>
      <c r="C372" s="302"/>
      <c r="D372" s="302"/>
      <c r="E372" s="302"/>
      <c r="F372" s="302"/>
      <c r="G372" s="97"/>
      <c r="H372" s="97"/>
      <c r="I372" s="97"/>
      <c r="J372" s="97"/>
      <c r="K372" s="97"/>
      <c r="L372" s="97"/>
      <c r="M372" s="97"/>
      <c r="N372" s="97"/>
      <c r="O372" s="97"/>
      <c r="P372" s="97"/>
      <c r="Q372" s="97"/>
      <c r="R372" s="97"/>
      <c r="S372" s="97"/>
      <c r="T372" s="97"/>
      <c r="U372" s="97"/>
      <c r="V372" s="97"/>
      <c r="W372" s="97"/>
      <c r="X372" s="97"/>
      <c r="Y372" s="97"/>
      <c r="Z372" s="97"/>
      <c r="AA372" s="97"/>
    </row>
    <row r="373" spans="1:27" ht="17">
      <c r="A373" s="97"/>
      <c r="B373" s="97"/>
      <c r="C373" s="302"/>
      <c r="D373" s="302"/>
      <c r="E373" s="302"/>
      <c r="F373" s="302"/>
      <c r="G373" s="97"/>
      <c r="H373" s="97"/>
      <c r="I373" s="97"/>
      <c r="J373" s="97"/>
      <c r="K373" s="97"/>
      <c r="L373" s="97"/>
      <c r="M373" s="97"/>
      <c r="N373" s="97"/>
      <c r="O373" s="97"/>
      <c r="P373" s="97"/>
      <c r="Q373" s="97"/>
      <c r="R373" s="97"/>
      <c r="S373" s="97"/>
      <c r="T373" s="97"/>
      <c r="U373" s="97"/>
      <c r="V373" s="97"/>
      <c r="W373" s="97"/>
      <c r="X373" s="97"/>
      <c r="Y373" s="97"/>
      <c r="Z373" s="97"/>
      <c r="AA373" s="97"/>
    </row>
    <row r="374" spans="1:27" ht="17">
      <c r="A374" s="97"/>
      <c r="B374" s="97"/>
      <c r="C374" s="302"/>
      <c r="D374" s="302"/>
      <c r="E374" s="302"/>
      <c r="F374" s="302"/>
      <c r="G374" s="97"/>
      <c r="H374" s="97"/>
      <c r="I374" s="97"/>
      <c r="J374" s="97"/>
      <c r="K374" s="97"/>
      <c r="L374" s="97"/>
      <c r="M374" s="97"/>
      <c r="N374" s="97"/>
      <c r="O374" s="97"/>
      <c r="P374" s="97"/>
      <c r="Q374" s="97"/>
      <c r="R374" s="97"/>
      <c r="S374" s="97"/>
      <c r="T374" s="97"/>
      <c r="U374" s="97"/>
      <c r="V374" s="97"/>
      <c r="W374" s="97"/>
      <c r="X374" s="97"/>
      <c r="Y374" s="97"/>
      <c r="Z374" s="97"/>
      <c r="AA374" s="97"/>
    </row>
    <row r="375" spans="1:27" ht="17">
      <c r="A375" s="97"/>
      <c r="B375" s="97"/>
      <c r="C375" s="302"/>
      <c r="D375" s="302"/>
      <c r="E375" s="302"/>
      <c r="F375" s="302"/>
      <c r="G375" s="97"/>
      <c r="H375" s="97"/>
      <c r="I375" s="97"/>
      <c r="J375" s="97"/>
      <c r="K375" s="97"/>
      <c r="L375" s="97"/>
      <c r="M375" s="97"/>
      <c r="N375" s="97"/>
      <c r="O375" s="97"/>
      <c r="P375" s="97"/>
      <c r="Q375" s="97"/>
      <c r="R375" s="97"/>
      <c r="S375" s="97"/>
      <c r="T375" s="97"/>
      <c r="U375" s="97"/>
      <c r="V375" s="97"/>
      <c r="W375" s="97"/>
      <c r="X375" s="97"/>
      <c r="Y375" s="97"/>
      <c r="Z375" s="97"/>
      <c r="AA375" s="97"/>
    </row>
    <row r="376" spans="1:27" ht="17">
      <c r="A376" s="97"/>
      <c r="B376" s="97"/>
      <c r="C376" s="302"/>
      <c r="D376" s="302"/>
      <c r="E376" s="302"/>
      <c r="F376" s="302"/>
      <c r="G376" s="97"/>
      <c r="H376" s="97"/>
      <c r="I376" s="97"/>
      <c r="J376" s="97"/>
      <c r="K376" s="97"/>
      <c r="L376" s="97"/>
      <c r="M376" s="97"/>
      <c r="N376" s="97"/>
      <c r="O376" s="97"/>
      <c r="P376" s="97"/>
      <c r="Q376" s="97"/>
      <c r="R376" s="97"/>
      <c r="S376" s="97"/>
      <c r="T376" s="97"/>
      <c r="U376" s="97"/>
      <c r="V376" s="97"/>
      <c r="W376" s="97"/>
      <c r="X376" s="97"/>
      <c r="Y376" s="97"/>
      <c r="Z376" s="97"/>
      <c r="AA376" s="97"/>
    </row>
    <row r="377" spans="1:27" ht="17">
      <c r="A377" s="97"/>
      <c r="B377" s="97"/>
      <c r="C377" s="302"/>
      <c r="D377" s="302"/>
      <c r="E377" s="302"/>
      <c r="F377" s="302"/>
      <c r="G377" s="97"/>
      <c r="H377" s="97"/>
      <c r="I377" s="97"/>
      <c r="J377" s="97"/>
      <c r="K377" s="97"/>
      <c r="L377" s="97"/>
      <c r="M377" s="97"/>
      <c r="N377" s="97"/>
      <c r="O377" s="97"/>
      <c r="P377" s="97"/>
      <c r="Q377" s="97"/>
      <c r="R377" s="97"/>
      <c r="S377" s="97"/>
      <c r="T377" s="97"/>
      <c r="U377" s="97"/>
      <c r="V377" s="97"/>
      <c r="W377" s="97"/>
      <c r="X377" s="97"/>
      <c r="Y377" s="97"/>
      <c r="Z377" s="97"/>
      <c r="AA377" s="97"/>
    </row>
    <row r="378" spans="1:27" ht="17">
      <c r="A378" s="97"/>
      <c r="B378" s="97"/>
      <c r="C378" s="302"/>
      <c r="D378" s="302"/>
      <c r="E378" s="302"/>
      <c r="F378" s="302"/>
      <c r="G378" s="97"/>
      <c r="H378" s="97"/>
      <c r="I378" s="97"/>
      <c r="J378" s="97"/>
      <c r="K378" s="97"/>
      <c r="L378" s="97"/>
      <c r="M378" s="97"/>
      <c r="N378" s="97"/>
      <c r="O378" s="97"/>
      <c r="P378" s="97"/>
      <c r="Q378" s="97"/>
      <c r="R378" s="97"/>
      <c r="S378" s="97"/>
      <c r="T378" s="97"/>
      <c r="U378" s="97"/>
      <c r="V378" s="97"/>
      <c r="W378" s="97"/>
      <c r="X378" s="97"/>
      <c r="Y378" s="97"/>
      <c r="Z378" s="97"/>
      <c r="AA378" s="97"/>
    </row>
    <row r="379" spans="1:27" ht="17">
      <c r="A379" s="97"/>
      <c r="B379" s="97"/>
      <c r="C379" s="302"/>
      <c r="D379" s="302"/>
      <c r="E379" s="302"/>
      <c r="F379" s="302"/>
      <c r="G379" s="97"/>
      <c r="H379" s="97"/>
      <c r="I379" s="97"/>
      <c r="J379" s="97"/>
      <c r="K379" s="97"/>
      <c r="L379" s="97"/>
      <c r="M379" s="97"/>
      <c r="N379" s="97"/>
      <c r="O379" s="97"/>
      <c r="P379" s="97"/>
      <c r="Q379" s="97"/>
      <c r="R379" s="97"/>
      <c r="S379" s="97"/>
      <c r="T379" s="97"/>
      <c r="U379" s="97"/>
      <c r="V379" s="97"/>
      <c r="W379" s="97"/>
      <c r="X379" s="97"/>
      <c r="Y379" s="97"/>
      <c r="Z379" s="97"/>
      <c r="AA379" s="97"/>
    </row>
    <row r="380" spans="1:27" ht="17">
      <c r="A380" s="97"/>
      <c r="B380" s="97"/>
      <c r="C380" s="302"/>
      <c r="D380" s="302"/>
      <c r="E380" s="302"/>
      <c r="F380" s="302"/>
      <c r="G380" s="97"/>
      <c r="H380" s="97"/>
      <c r="I380" s="97"/>
      <c r="J380" s="97"/>
      <c r="K380" s="97"/>
      <c r="L380" s="97"/>
      <c r="M380" s="97"/>
      <c r="N380" s="97"/>
      <c r="O380" s="97"/>
      <c r="P380" s="97"/>
      <c r="Q380" s="97"/>
      <c r="R380" s="97"/>
      <c r="S380" s="97"/>
      <c r="T380" s="97"/>
      <c r="U380" s="97"/>
      <c r="V380" s="97"/>
      <c r="W380" s="97"/>
      <c r="X380" s="97"/>
      <c r="Y380" s="97"/>
      <c r="Z380" s="97"/>
      <c r="AA380" s="97"/>
    </row>
    <row r="381" spans="1:27" ht="17">
      <c r="A381" s="97"/>
      <c r="B381" s="97"/>
      <c r="C381" s="302"/>
      <c r="D381" s="302"/>
      <c r="E381" s="302"/>
      <c r="F381" s="302"/>
      <c r="G381" s="97"/>
      <c r="H381" s="97"/>
      <c r="I381" s="97"/>
      <c r="J381" s="97"/>
      <c r="K381" s="97"/>
      <c r="L381" s="97"/>
      <c r="M381" s="97"/>
      <c r="N381" s="97"/>
      <c r="O381" s="97"/>
      <c r="P381" s="97"/>
      <c r="Q381" s="97"/>
      <c r="R381" s="97"/>
      <c r="S381" s="97"/>
      <c r="T381" s="97"/>
      <c r="U381" s="97"/>
      <c r="V381" s="97"/>
      <c r="W381" s="97"/>
      <c r="X381" s="97"/>
      <c r="Y381" s="97"/>
      <c r="Z381" s="97"/>
      <c r="AA381" s="97"/>
    </row>
    <row r="382" spans="1:27" ht="17">
      <c r="A382" s="97"/>
      <c r="B382" s="97"/>
      <c r="C382" s="302"/>
      <c r="D382" s="302"/>
      <c r="E382" s="302"/>
      <c r="F382" s="302"/>
      <c r="G382" s="97"/>
      <c r="H382" s="97"/>
      <c r="I382" s="97"/>
      <c r="J382" s="97"/>
      <c r="K382" s="97"/>
      <c r="L382" s="97"/>
      <c r="M382" s="97"/>
      <c r="N382" s="97"/>
      <c r="O382" s="97"/>
      <c r="P382" s="97"/>
      <c r="Q382" s="97"/>
      <c r="R382" s="97"/>
      <c r="S382" s="97"/>
      <c r="T382" s="97"/>
      <c r="U382" s="97"/>
      <c r="V382" s="97"/>
      <c r="W382" s="97"/>
      <c r="X382" s="97"/>
      <c r="Y382" s="97"/>
      <c r="Z382" s="97"/>
      <c r="AA382" s="97"/>
    </row>
    <row r="383" spans="1:27" ht="17">
      <c r="A383" s="97"/>
      <c r="B383" s="97"/>
      <c r="C383" s="302"/>
      <c r="D383" s="302"/>
      <c r="E383" s="302"/>
      <c r="F383" s="302"/>
      <c r="G383" s="97"/>
      <c r="H383" s="97"/>
      <c r="I383" s="97"/>
      <c r="J383" s="97"/>
      <c r="K383" s="97"/>
      <c r="L383" s="97"/>
      <c r="M383" s="97"/>
      <c r="N383" s="97"/>
      <c r="O383" s="97"/>
      <c r="P383" s="97"/>
      <c r="Q383" s="97"/>
      <c r="R383" s="97"/>
      <c r="S383" s="97"/>
      <c r="T383" s="97"/>
      <c r="U383" s="97"/>
      <c r="V383" s="97"/>
      <c r="W383" s="97"/>
      <c r="X383" s="97"/>
      <c r="Y383" s="97"/>
      <c r="Z383" s="97"/>
      <c r="AA383" s="97"/>
    </row>
    <row r="384" spans="1:27" ht="17">
      <c r="A384" s="97"/>
      <c r="B384" s="97"/>
      <c r="C384" s="302"/>
      <c r="D384" s="302"/>
      <c r="E384" s="302"/>
      <c r="F384" s="302"/>
      <c r="G384" s="97"/>
      <c r="H384" s="97"/>
      <c r="I384" s="97"/>
      <c r="J384" s="97"/>
      <c r="K384" s="97"/>
      <c r="L384" s="97"/>
      <c r="M384" s="97"/>
      <c r="N384" s="97"/>
      <c r="O384" s="97"/>
      <c r="P384" s="97"/>
      <c r="Q384" s="97"/>
      <c r="R384" s="97"/>
      <c r="S384" s="97"/>
      <c r="T384" s="97"/>
      <c r="U384" s="97"/>
      <c r="V384" s="97"/>
      <c r="W384" s="97"/>
      <c r="X384" s="97"/>
      <c r="Y384" s="97"/>
      <c r="Z384" s="97"/>
      <c r="AA384" s="97"/>
    </row>
    <row r="385" spans="1:27" ht="17">
      <c r="A385" s="97"/>
      <c r="B385" s="97"/>
      <c r="C385" s="302"/>
      <c r="D385" s="302"/>
      <c r="E385" s="302"/>
      <c r="F385" s="302"/>
      <c r="G385" s="97"/>
      <c r="H385" s="97"/>
      <c r="I385" s="97"/>
      <c r="J385" s="97"/>
      <c r="K385" s="97"/>
      <c r="L385" s="97"/>
      <c r="M385" s="97"/>
      <c r="N385" s="97"/>
      <c r="O385" s="97"/>
      <c r="P385" s="97"/>
      <c r="Q385" s="97"/>
      <c r="R385" s="97"/>
      <c r="S385" s="97"/>
      <c r="T385" s="97"/>
      <c r="U385" s="97"/>
      <c r="V385" s="97"/>
      <c r="W385" s="97"/>
      <c r="X385" s="97"/>
      <c r="Y385" s="97"/>
      <c r="Z385" s="97"/>
      <c r="AA385" s="97"/>
    </row>
    <row r="386" spans="1:27" ht="17">
      <c r="A386" s="97"/>
      <c r="B386" s="97"/>
      <c r="C386" s="302"/>
      <c r="D386" s="302"/>
      <c r="E386" s="302"/>
      <c r="F386" s="302"/>
      <c r="G386" s="97"/>
      <c r="H386" s="97"/>
      <c r="I386" s="97"/>
      <c r="J386" s="97"/>
      <c r="K386" s="97"/>
      <c r="L386" s="97"/>
      <c r="M386" s="97"/>
      <c r="N386" s="97"/>
      <c r="O386" s="97"/>
      <c r="P386" s="97"/>
      <c r="Q386" s="97"/>
      <c r="R386" s="97"/>
      <c r="S386" s="97"/>
      <c r="T386" s="97"/>
      <c r="U386" s="97"/>
      <c r="V386" s="97"/>
      <c r="W386" s="97"/>
      <c r="X386" s="97"/>
      <c r="Y386" s="97"/>
      <c r="Z386" s="97"/>
      <c r="AA386" s="97"/>
    </row>
    <row r="387" spans="1:27" ht="17">
      <c r="A387" s="97"/>
      <c r="B387" s="97"/>
      <c r="C387" s="302"/>
      <c r="D387" s="302"/>
      <c r="E387" s="302"/>
      <c r="F387" s="302"/>
      <c r="G387" s="97"/>
      <c r="H387" s="97"/>
      <c r="I387" s="97"/>
      <c r="J387" s="97"/>
      <c r="K387" s="97"/>
      <c r="L387" s="97"/>
      <c r="M387" s="97"/>
      <c r="N387" s="97"/>
      <c r="O387" s="97"/>
      <c r="P387" s="97"/>
      <c r="Q387" s="97"/>
      <c r="R387" s="97"/>
      <c r="S387" s="97"/>
      <c r="T387" s="97"/>
      <c r="U387" s="97"/>
      <c r="V387" s="97"/>
      <c r="W387" s="97"/>
      <c r="X387" s="97"/>
      <c r="Y387" s="97"/>
      <c r="Z387" s="97"/>
      <c r="AA387" s="97"/>
    </row>
    <row r="388" spans="1:27" ht="17">
      <c r="A388" s="97"/>
      <c r="B388" s="97"/>
      <c r="C388" s="302"/>
      <c r="D388" s="302"/>
      <c r="E388" s="302"/>
      <c r="F388" s="302"/>
      <c r="G388" s="97"/>
      <c r="H388" s="97"/>
      <c r="I388" s="97"/>
      <c r="J388" s="97"/>
      <c r="K388" s="97"/>
      <c r="L388" s="97"/>
      <c r="M388" s="97"/>
      <c r="N388" s="97"/>
      <c r="O388" s="97"/>
      <c r="P388" s="97"/>
      <c r="Q388" s="97"/>
      <c r="R388" s="97"/>
      <c r="S388" s="97"/>
      <c r="T388" s="97"/>
      <c r="U388" s="97"/>
      <c r="V388" s="97"/>
      <c r="W388" s="97"/>
      <c r="X388" s="97"/>
      <c r="Y388" s="97"/>
      <c r="Z388" s="97"/>
      <c r="AA388" s="97"/>
    </row>
    <row r="389" spans="1:27" ht="17">
      <c r="A389" s="97"/>
      <c r="B389" s="97"/>
      <c r="C389" s="302"/>
      <c r="D389" s="302"/>
      <c r="E389" s="302"/>
      <c r="F389" s="302"/>
      <c r="G389" s="97"/>
      <c r="H389" s="97"/>
      <c r="I389" s="97"/>
      <c r="J389" s="97"/>
      <c r="K389" s="97"/>
      <c r="L389" s="97"/>
      <c r="M389" s="97"/>
      <c r="N389" s="97"/>
      <c r="O389" s="97"/>
      <c r="P389" s="97"/>
      <c r="Q389" s="97"/>
      <c r="R389" s="97"/>
      <c r="S389" s="97"/>
      <c r="T389" s="97"/>
      <c r="U389" s="97"/>
      <c r="V389" s="97"/>
      <c r="W389" s="97"/>
      <c r="X389" s="97"/>
      <c r="Y389" s="97"/>
      <c r="Z389" s="97"/>
      <c r="AA389" s="97"/>
    </row>
    <row r="390" spans="1:27" ht="17">
      <c r="A390" s="97"/>
      <c r="B390" s="97"/>
      <c r="C390" s="302"/>
      <c r="D390" s="302"/>
      <c r="E390" s="302"/>
      <c r="F390" s="302"/>
      <c r="G390" s="97"/>
      <c r="H390" s="97"/>
      <c r="I390" s="97"/>
      <c r="J390" s="97"/>
      <c r="K390" s="97"/>
      <c r="L390" s="97"/>
      <c r="M390" s="97"/>
      <c r="N390" s="97"/>
      <c r="O390" s="97"/>
      <c r="P390" s="97"/>
      <c r="Q390" s="97"/>
      <c r="R390" s="97"/>
      <c r="S390" s="97"/>
      <c r="T390" s="97"/>
      <c r="U390" s="97"/>
      <c r="V390" s="97"/>
      <c r="W390" s="97"/>
      <c r="X390" s="97"/>
      <c r="Y390" s="97"/>
      <c r="Z390" s="97"/>
      <c r="AA390" s="97"/>
    </row>
    <row r="391" spans="1:27" ht="17">
      <c r="A391" s="97"/>
      <c r="B391" s="97"/>
      <c r="C391" s="302"/>
      <c r="D391" s="302"/>
      <c r="E391" s="302"/>
      <c r="F391" s="302"/>
      <c r="G391" s="97"/>
      <c r="H391" s="97"/>
      <c r="I391" s="97"/>
      <c r="J391" s="97"/>
      <c r="K391" s="97"/>
      <c r="L391" s="97"/>
      <c r="M391" s="97"/>
      <c r="N391" s="97"/>
      <c r="O391" s="97"/>
      <c r="P391" s="97"/>
      <c r="Q391" s="97"/>
      <c r="R391" s="97"/>
      <c r="S391" s="97"/>
      <c r="T391" s="97"/>
      <c r="U391" s="97"/>
      <c r="V391" s="97"/>
      <c r="W391" s="97"/>
      <c r="X391" s="97"/>
      <c r="Y391" s="97"/>
      <c r="Z391" s="97"/>
      <c r="AA391" s="97"/>
    </row>
    <row r="392" spans="1:27" ht="17">
      <c r="A392" s="97"/>
      <c r="B392" s="97"/>
      <c r="C392" s="302"/>
      <c r="D392" s="302"/>
      <c r="E392" s="302"/>
      <c r="F392" s="302"/>
      <c r="G392" s="97"/>
      <c r="H392" s="97"/>
      <c r="I392" s="97"/>
      <c r="J392" s="97"/>
      <c r="K392" s="97"/>
      <c r="L392" s="97"/>
      <c r="M392" s="97"/>
      <c r="N392" s="97"/>
      <c r="O392" s="97"/>
      <c r="P392" s="97"/>
      <c r="Q392" s="97"/>
      <c r="R392" s="97"/>
      <c r="S392" s="97"/>
      <c r="T392" s="97"/>
      <c r="U392" s="97"/>
      <c r="V392" s="97"/>
      <c r="W392" s="97"/>
      <c r="X392" s="97"/>
      <c r="Y392" s="97"/>
      <c r="Z392" s="97"/>
      <c r="AA392" s="97"/>
    </row>
    <row r="393" spans="1:27" ht="17">
      <c r="A393" s="97"/>
      <c r="B393" s="97"/>
      <c r="C393" s="302"/>
      <c r="D393" s="302"/>
      <c r="E393" s="302"/>
      <c r="F393" s="302"/>
      <c r="G393" s="97"/>
      <c r="H393" s="97"/>
      <c r="I393" s="97"/>
      <c r="J393" s="97"/>
      <c r="K393" s="97"/>
      <c r="L393" s="97"/>
      <c r="M393" s="97"/>
      <c r="N393" s="97"/>
      <c r="O393" s="97"/>
      <c r="P393" s="97"/>
      <c r="Q393" s="97"/>
      <c r="R393" s="97"/>
      <c r="S393" s="97"/>
      <c r="T393" s="97"/>
      <c r="U393" s="97"/>
      <c r="V393" s="97"/>
      <c r="W393" s="97"/>
      <c r="X393" s="97"/>
      <c r="Y393" s="97"/>
      <c r="Z393" s="97"/>
      <c r="AA393" s="97"/>
    </row>
    <row r="394" spans="1:27" ht="17">
      <c r="A394" s="97"/>
      <c r="B394" s="97"/>
      <c r="C394" s="302"/>
      <c r="D394" s="302"/>
      <c r="E394" s="302"/>
      <c r="F394" s="302"/>
      <c r="G394" s="97"/>
      <c r="H394" s="97"/>
      <c r="I394" s="97"/>
      <c r="J394" s="97"/>
      <c r="K394" s="97"/>
      <c r="L394" s="97"/>
      <c r="M394" s="97"/>
      <c r="N394" s="97"/>
      <c r="O394" s="97"/>
      <c r="P394" s="97"/>
      <c r="Q394" s="97"/>
      <c r="R394" s="97"/>
      <c r="S394" s="97"/>
      <c r="T394" s="97"/>
      <c r="U394" s="97"/>
      <c r="V394" s="97"/>
      <c r="W394" s="97"/>
      <c r="X394" s="97"/>
      <c r="Y394" s="97"/>
      <c r="Z394" s="97"/>
      <c r="AA394" s="97"/>
    </row>
    <row r="395" spans="1:27" ht="17">
      <c r="A395" s="97"/>
      <c r="B395" s="97"/>
      <c r="C395" s="302"/>
      <c r="D395" s="302"/>
      <c r="E395" s="302"/>
      <c r="F395" s="302"/>
      <c r="G395" s="97"/>
      <c r="H395" s="97"/>
      <c r="I395" s="97"/>
      <c r="J395" s="97"/>
      <c r="K395" s="97"/>
      <c r="L395" s="97"/>
      <c r="M395" s="97"/>
      <c r="N395" s="97"/>
      <c r="O395" s="97"/>
      <c r="P395" s="97"/>
      <c r="Q395" s="97"/>
      <c r="R395" s="97"/>
      <c r="S395" s="97"/>
      <c r="T395" s="97"/>
      <c r="U395" s="97"/>
      <c r="V395" s="97"/>
      <c r="W395" s="97"/>
      <c r="X395" s="97"/>
      <c r="Y395" s="97"/>
      <c r="Z395" s="97"/>
      <c r="AA395" s="97"/>
    </row>
    <row r="396" spans="1:27" ht="17">
      <c r="A396" s="97"/>
      <c r="B396" s="97"/>
      <c r="C396" s="302"/>
      <c r="D396" s="302"/>
      <c r="E396" s="302"/>
      <c r="F396" s="302"/>
      <c r="G396" s="97"/>
      <c r="H396" s="97"/>
      <c r="I396" s="97"/>
      <c r="J396" s="97"/>
      <c r="K396" s="97"/>
      <c r="L396" s="97"/>
      <c r="M396" s="97"/>
      <c r="N396" s="97"/>
      <c r="O396" s="97"/>
      <c r="P396" s="97"/>
      <c r="Q396" s="97"/>
      <c r="R396" s="97"/>
      <c r="S396" s="97"/>
      <c r="T396" s="97"/>
      <c r="U396" s="97"/>
      <c r="V396" s="97"/>
      <c r="W396" s="97"/>
      <c r="X396" s="97"/>
      <c r="Y396" s="97"/>
      <c r="Z396" s="97"/>
      <c r="AA396" s="97"/>
    </row>
    <row r="397" spans="1:27" ht="17">
      <c r="A397" s="97"/>
      <c r="B397" s="97"/>
      <c r="C397" s="302"/>
      <c r="D397" s="302"/>
      <c r="E397" s="302"/>
      <c r="F397" s="302"/>
      <c r="G397" s="97"/>
      <c r="H397" s="97"/>
      <c r="I397" s="97"/>
      <c r="J397" s="97"/>
      <c r="K397" s="97"/>
      <c r="L397" s="97"/>
      <c r="M397" s="97"/>
      <c r="N397" s="97"/>
      <c r="O397" s="97"/>
      <c r="P397" s="97"/>
      <c r="Q397" s="97"/>
      <c r="R397" s="97"/>
      <c r="S397" s="97"/>
      <c r="T397" s="97"/>
      <c r="U397" s="97"/>
      <c r="V397" s="97"/>
      <c r="W397" s="97"/>
      <c r="X397" s="97"/>
      <c r="Y397" s="97"/>
      <c r="Z397" s="97"/>
      <c r="AA397" s="97"/>
    </row>
    <row r="398" spans="1:27" ht="17">
      <c r="A398" s="97"/>
      <c r="B398" s="97"/>
      <c r="C398" s="302"/>
      <c r="D398" s="302"/>
      <c r="E398" s="302"/>
      <c r="F398" s="302"/>
      <c r="G398" s="97"/>
      <c r="H398" s="97"/>
      <c r="I398" s="97"/>
      <c r="J398" s="97"/>
      <c r="K398" s="97"/>
      <c r="L398" s="97"/>
      <c r="M398" s="97"/>
      <c r="N398" s="97"/>
      <c r="O398" s="97"/>
      <c r="P398" s="97"/>
      <c r="Q398" s="97"/>
      <c r="R398" s="97"/>
      <c r="S398" s="97"/>
      <c r="T398" s="97"/>
      <c r="U398" s="97"/>
      <c r="V398" s="97"/>
      <c r="W398" s="97"/>
      <c r="X398" s="97"/>
      <c r="Y398" s="97"/>
      <c r="Z398" s="97"/>
      <c r="AA398" s="97"/>
    </row>
    <row r="399" spans="1:27" ht="17">
      <c r="A399" s="97"/>
      <c r="B399" s="97"/>
      <c r="C399" s="302"/>
      <c r="D399" s="302"/>
      <c r="E399" s="302"/>
      <c r="F399" s="302"/>
      <c r="G399" s="97"/>
      <c r="H399" s="97"/>
      <c r="I399" s="97"/>
      <c r="J399" s="97"/>
      <c r="K399" s="97"/>
      <c r="L399" s="97"/>
      <c r="M399" s="97"/>
      <c r="N399" s="97"/>
      <c r="O399" s="97"/>
      <c r="P399" s="97"/>
      <c r="Q399" s="97"/>
      <c r="R399" s="97"/>
      <c r="S399" s="97"/>
      <c r="T399" s="97"/>
      <c r="U399" s="97"/>
      <c r="V399" s="97"/>
      <c r="W399" s="97"/>
      <c r="X399" s="97"/>
      <c r="Y399" s="97"/>
      <c r="Z399" s="97"/>
      <c r="AA399" s="97"/>
    </row>
    <row r="400" spans="1:27" ht="17">
      <c r="A400" s="97"/>
      <c r="B400" s="97"/>
      <c r="C400" s="302"/>
      <c r="D400" s="302"/>
      <c r="E400" s="302"/>
      <c r="F400" s="302"/>
      <c r="G400" s="97"/>
      <c r="H400" s="97"/>
      <c r="I400" s="97"/>
      <c r="J400" s="97"/>
      <c r="K400" s="97"/>
      <c r="L400" s="97"/>
      <c r="M400" s="97"/>
      <c r="N400" s="97"/>
      <c r="O400" s="97"/>
      <c r="P400" s="97"/>
      <c r="Q400" s="97"/>
      <c r="R400" s="97"/>
      <c r="S400" s="97"/>
      <c r="T400" s="97"/>
      <c r="U400" s="97"/>
      <c r="V400" s="97"/>
      <c r="W400" s="97"/>
      <c r="X400" s="97"/>
      <c r="Y400" s="97"/>
      <c r="Z400" s="97"/>
      <c r="AA400" s="97"/>
    </row>
    <row r="401" spans="1:27" ht="17">
      <c r="A401" s="97"/>
      <c r="B401" s="97"/>
      <c r="C401" s="302"/>
      <c r="D401" s="302"/>
      <c r="E401" s="302"/>
      <c r="F401" s="302"/>
      <c r="G401" s="97"/>
      <c r="H401" s="97"/>
      <c r="I401" s="97"/>
      <c r="J401" s="97"/>
      <c r="K401" s="97"/>
      <c r="L401" s="97"/>
      <c r="M401" s="97"/>
      <c r="N401" s="97"/>
      <c r="O401" s="97"/>
      <c r="P401" s="97"/>
      <c r="Q401" s="97"/>
      <c r="R401" s="97"/>
      <c r="S401" s="97"/>
      <c r="T401" s="97"/>
      <c r="U401" s="97"/>
      <c r="V401" s="97"/>
      <c r="W401" s="97"/>
      <c r="X401" s="97"/>
      <c r="Y401" s="97"/>
      <c r="Z401" s="97"/>
      <c r="AA401" s="97"/>
    </row>
    <row r="402" spans="1:27" ht="17">
      <c r="A402" s="97"/>
      <c r="B402" s="97"/>
      <c r="C402" s="302"/>
      <c r="D402" s="302"/>
      <c r="E402" s="302"/>
      <c r="F402" s="302"/>
      <c r="G402" s="97"/>
      <c r="H402" s="97"/>
      <c r="I402" s="97"/>
      <c r="J402" s="97"/>
      <c r="K402" s="97"/>
      <c r="L402" s="97"/>
      <c r="M402" s="97"/>
      <c r="N402" s="97"/>
      <c r="O402" s="97"/>
      <c r="P402" s="97"/>
      <c r="Q402" s="97"/>
      <c r="R402" s="97"/>
      <c r="S402" s="97"/>
      <c r="T402" s="97"/>
      <c r="U402" s="97"/>
      <c r="V402" s="97"/>
      <c r="W402" s="97"/>
      <c r="X402" s="97"/>
      <c r="Y402" s="97"/>
      <c r="Z402" s="97"/>
      <c r="AA402" s="97"/>
    </row>
    <row r="403" spans="1:27" ht="17">
      <c r="A403" s="97"/>
      <c r="B403" s="97"/>
      <c r="C403" s="302"/>
      <c r="D403" s="302"/>
      <c r="E403" s="302"/>
      <c r="F403" s="302"/>
      <c r="G403" s="97"/>
      <c r="H403" s="97"/>
      <c r="I403" s="97"/>
      <c r="J403" s="97"/>
      <c r="K403" s="97"/>
      <c r="L403" s="97"/>
      <c r="M403" s="97"/>
      <c r="N403" s="97"/>
      <c r="O403" s="97"/>
      <c r="P403" s="97"/>
      <c r="Q403" s="97"/>
      <c r="R403" s="97"/>
      <c r="S403" s="97"/>
      <c r="T403" s="97"/>
      <c r="U403" s="97"/>
      <c r="V403" s="97"/>
      <c r="W403" s="97"/>
      <c r="X403" s="97"/>
      <c r="Y403" s="97"/>
      <c r="Z403" s="97"/>
      <c r="AA403" s="97"/>
    </row>
    <row r="404" spans="1:27" ht="17">
      <c r="A404" s="97"/>
      <c r="B404" s="97"/>
      <c r="C404" s="302"/>
      <c r="D404" s="302"/>
      <c r="E404" s="302"/>
      <c r="F404" s="302"/>
      <c r="G404" s="97"/>
      <c r="H404" s="97"/>
      <c r="I404" s="97"/>
      <c r="J404" s="97"/>
      <c r="K404" s="97"/>
      <c r="L404" s="97"/>
      <c r="M404" s="97"/>
      <c r="N404" s="97"/>
      <c r="O404" s="97"/>
      <c r="P404" s="97"/>
      <c r="Q404" s="97"/>
      <c r="R404" s="97"/>
      <c r="S404" s="97"/>
      <c r="T404" s="97"/>
      <c r="U404" s="97"/>
      <c r="V404" s="97"/>
      <c r="W404" s="97"/>
      <c r="X404" s="97"/>
      <c r="Y404" s="97"/>
      <c r="Z404" s="97"/>
      <c r="AA404" s="97"/>
    </row>
    <row r="405" spans="1:27" ht="17">
      <c r="A405" s="97"/>
      <c r="B405" s="97"/>
      <c r="C405" s="302"/>
      <c r="D405" s="302"/>
      <c r="E405" s="302"/>
      <c r="F405" s="302"/>
      <c r="G405" s="97"/>
      <c r="H405" s="97"/>
      <c r="I405" s="97"/>
      <c r="J405" s="97"/>
      <c r="K405" s="97"/>
      <c r="L405" s="97"/>
      <c r="M405" s="97"/>
      <c r="N405" s="97"/>
      <c r="O405" s="97"/>
      <c r="P405" s="97"/>
      <c r="Q405" s="97"/>
      <c r="R405" s="97"/>
      <c r="S405" s="97"/>
      <c r="T405" s="97"/>
      <c r="U405" s="97"/>
      <c r="V405" s="97"/>
      <c r="W405" s="97"/>
      <c r="X405" s="97"/>
      <c r="Y405" s="97"/>
      <c r="Z405" s="97"/>
      <c r="AA405" s="97"/>
    </row>
    <row r="406" spans="1:27" ht="17">
      <c r="A406" s="97"/>
      <c r="B406" s="97"/>
      <c r="C406" s="302"/>
      <c r="D406" s="302"/>
      <c r="E406" s="302"/>
      <c r="F406" s="302"/>
      <c r="G406" s="97"/>
      <c r="H406" s="97"/>
      <c r="I406" s="97"/>
      <c r="J406" s="97"/>
      <c r="K406" s="97"/>
      <c r="L406" s="97"/>
      <c r="M406" s="97"/>
      <c r="N406" s="97"/>
      <c r="O406" s="97"/>
      <c r="P406" s="97"/>
      <c r="Q406" s="97"/>
      <c r="R406" s="97"/>
      <c r="S406" s="97"/>
      <c r="T406" s="97"/>
      <c r="U406" s="97"/>
      <c r="V406" s="97"/>
      <c r="W406" s="97"/>
      <c r="X406" s="97"/>
      <c r="Y406" s="97"/>
      <c r="Z406" s="97"/>
      <c r="AA406" s="97"/>
    </row>
    <row r="407" spans="1:27" ht="17">
      <c r="A407" s="97"/>
      <c r="B407" s="97"/>
      <c r="C407" s="302"/>
      <c r="D407" s="302"/>
      <c r="E407" s="302"/>
      <c r="F407" s="302"/>
      <c r="G407" s="97"/>
      <c r="H407" s="97"/>
      <c r="I407" s="97"/>
      <c r="J407" s="97"/>
      <c r="K407" s="97"/>
      <c r="L407" s="97"/>
      <c r="M407" s="97"/>
      <c r="N407" s="97"/>
      <c r="O407" s="97"/>
      <c r="P407" s="97"/>
      <c r="Q407" s="97"/>
      <c r="R407" s="97"/>
      <c r="S407" s="97"/>
      <c r="T407" s="97"/>
      <c r="U407" s="97"/>
      <c r="V407" s="97"/>
      <c r="W407" s="97"/>
      <c r="X407" s="97"/>
      <c r="Y407" s="97"/>
      <c r="Z407" s="97"/>
      <c r="AA407" s="97"/>
    </row>
    <row r="408" spans="1:27" ht="17">
      <c r="A408" s="97"/>
      <c r="B408" s="97"/>
      <c r="C408" s="302"/>
      <c r="D408" s="302"/>
      <c r="E408" s="302"/>
      <c r="F408" s="302"/>
      <c r="G408" s="97"/>
      <c r="H408" s="97"/>
      <c r="I408" s="97"/>
      <c r="J408" s="97"/>
      <c r="K408" s="97"/>
      <c r="L408" s="97"/>
      <c r="M408" s="97"/>
      <c r="N408" s="97"/>
      <c r="O408" s="97"/>
      <c r="P408" s="97"/>
      <c r="Q408" s="97"/>
      <c r="R408" s="97"/>
      <c r="S408" s="97"/>
      <c r="T408" s="97"/>
      <c r="U408" s="97"/>
      <c r="V408" s="97"/>
      <c r="W408" s="97"/>
      <c r="X408" s="97"/>
      <c r="Y408" s="97"/>
      <c r="Z408" s="97"/>
      <c r="AA408" s="97"/>
    </row>
    <row r="409" spans="1:27" ht="17">
      <c r="A409" s="97"/>
      <c r="B409" s="97"/>
      <c r="C409" s="302"/>
      <c r="D409" s="302"/>
      <c r="E409" s="302"/>
      <c r="F409" s="302"/>
      <c r="G409" s="97"/>
      <c r="H409" s="97"/>
      <c r="I409" s="97"/>
      <c r="J409" s="97"/>
      <c r="K409" s="97"/>
      <c r="L409" s="97"/>
      <c r="M409" s="97"/>
      <c r="N409" s="97"/>
      <c r="O409" s="97"/>
      <c r="P409" s="97"/>
      <c r="Q409" s="97"/>
      <c r="R409" s="97"/>
      <c r="S409" s="97"/>
      <c r="T409" s="97"/>
      <c r="U409" s="97"/>
      <c r="V409" s="97"/>
      <c r="W409" s="97"/>
      <c r="X409" s="97"/>
      <c r="Y409" s="97"/>
      <c r="Z409" s="97"/>
      <c r="AA409" s="97"/>
    </row>
    <row r="410" spans="1:27" ht="17">
      <c r="A410" s="97"/>
      <c r="B410" s="97"/>
      <c r="C410" s="302"/>
      <c r="D410" s="302"/>
      <c r="E410" s="302"/>
      <c r="F410" s="302"/>
      <c r="G410" s="97"/>
      <c r="H410" s="97"/>
      <c r="I410" s="97"/>
      <c r="J410" s="97"/>
      <c r="K410" s="97"/>
      <c r="L410" s="97"/>
      <c r="M410" s="97"/>
      <c r="N410" s="97"/>
      <c r="O410" s="97"/>
      <c r="P410" s="97"/>
      <c r="Q410" s="97"/>
      <c r="R410" s="97"/>
      <c r="S410" s="97"/>
      <c r="T410" s="97"/>
      <c r="U410" s="97"/>
      <c r="V410" s="97"/>
      <c r="W410" s="97"/>
      <c r="X410" s="97"/>
      <c r="Y410" s="97"/>
      <c r="Z410" s="97"/>
      <c r="AA410" s="97"/>
    </row>
    <row r="411" spans="1:27" ht="17">
      <c r="A411" s="97"/>
      <c r="B411" s="97"/>
      <c r="C411" s="302"/>
      <c r="D411" s="302"/>
      <c r="E411" s="302"/>
      <c r="F411" s="302"/>
      <c r="G411" s="97"/>
      <c r="H411" s="97"/>
      <c r="I411" s="97"/>
      <c r="J411" s="97"/>
      <c r="K411" s="97"/>
      <c r="L411" s="97"/>
      <c r="M411" s="97"/>
      <c r="N411" s="97"/>
      <c r="O411" s="97"/>
      <c r="P411" s="97"/>
      <c r="Q411" s="97"/>
      <c r="R411" s="97"/>
      <c r="S411" s="97"/>
      <c r="T411" s="97"/>
      <c r="U411" s="97"/>
      <c r="V411" s="97"/>
      <c r="W411" s="97"/>
      <c r="X411" s="97"/>
      <c r="Y411" s="97"/>
      <c r="Z411" s="97"/>
      <c r="AA411" s="97"/>
    </row>
    <row r="412" spans="1:27" ht="17">
      <c r="A412" s="97"/>
      <c r="B412" s="97"/>
      <c r="C412" s="302"/>
      <c r="D412" s="302"/>
      <c r="E412" s="302"/>
      <c r="F412" s="302"/>
      <c r="G412" s="97"/>
      <c r="H412" s="97"/>
      <c r="I412" s="97"/>
      <c r="J412" s="97"/>
      <c r="K412" s="97"/>
      <c r="L412" s="97"/>
      <c r="M412" s="97"/>
      <c r="N412" s="97"/>
      <c r="O412" s="97"/>
      <c r="P412" s="97"/>
      <c r="Q412" s="97"/>
      <c r="R412" s="97"/>
      <c r="S412" s="97"/>
      <c r="T412" s="97"/>
      <c r="U412" s="97"/>
      <c r="V412" s="97"/>
      <c r="W412" s="97"/>
      <c r="X412" s="97"/>
      <c r="Y412" s="97"/>
      <c r="Z412" s="97"/>
      <c r="AA412" s="97"/>
    </row>
    <row r="413" spans="1:27" ht="17">
      <c r="A413" s="97"/>
      <c r="B413" s="97"/>
      <c r="C413" s="302"/>
      <c r="D413" s="302"/>
      <c r="E413" s="302"/>
      <c r="F413" s="302"/>
      <c r="G413" s="97"/>
      <c r="H413" s="97"/>
      <c r="I413" s="97"/>
      <c r="J413" s="97"/>
      <c r="K413" s="97"/>
      <c r="L413" s="97"/>
      <c r="M413" s="97"/>
      <c r="N413" s="97"/>
      <c r="O413" s="97"/>
      <c r="P413" s="97"/>
      <c r="Q413" s="97"/>
      <c r="R413" s="97"/>
      <c r="S413" s="97"/>
      <c r="T413" s="97"/>
      <c r="U413" s="97"/>
      <c r="V413" s="97"/>
      <c r="W413" s="97"/>
      <c r="X413" s="97"/>
      <c r="Y413" s="97"/>
      <c r="Z413" s="97"/>
      <c r="AA413" s="97"/>
    </row>
    <row r="414" spans="1:27" ht="17">
      <c r="A414" s="97"/>
      <c r="B414" s="97"/>
      <c r="C414" s="302"/>
      <c r="D414" s="302"/>
      <c r="E414" s="302"/>
      <c r="F414" s="302"/>
      <c r="G414" s="97"/>
      <c r="H414" s="97"/>
      <c r="I414" s="97"/>
      <c r="J414" s="97"/>
      <c r="K414" s="97"/>
      <c r="L414" s="97"/>
      <c r="M414" s="97"/>
      <c r="N414" s="97"/>
      <c r="O414" s="97"/>
      <c r="P414" s="97"/>
      <c r="Q414" s="97"/>
      <c r="R414" s="97"/>
      <c r="S414" s="97"/>
      <c r="T414" s="97"/>
      <c r="U414" s="97"/>
      <c r="V414" s="97"/>
      <c r="W414" s="97"/>
      <c r="X414" s="97"/>
      <c r="Y414" s="97"/>
      <c r="Z414" s="97"/>
      <c r="AA414" s="97"/>
    </row>
    <row r="415" spans="1:27" ht="17">
      <c r="A415" s="97"/>
      <c r="B415" s="97"/>
      <c r="C415" s="302"/>
      <c r="D415" s="302"/>
      <c r="E415" s="302"/>
      <c r="F415" s="302"/>
      <c r="G415" s="97"/>
      <c r="H415" s="97"/>
      <c r="I415" s="97"/>
      <c r="J415" s="97"/>
      <c r="K415" s="97"/>
      <c r="L415" s="97"/>
      <c r="M415" s="97"/>
      <c r="N415" s="97"/>
      <c r="O415" s="97"/>
      <c r="P415" s="97"/>
      <c r="Q415" s="97"/>
      <c r="R415" s="97"/>
      <c r="S415" s="97"/>
      <c r="T415" s="97"/>
      <c r="U415" s="97"/>
      <c r="V415" s="97"/>
      <c r="W415" s="97"/>
      <c r="X415" s="97"/>
      <c r="Y415" s="97"/>
      <c r="Z415" s="97"/>
      <c r="AA415" s="97"/>
    </row>
    <row r="416" spans="1:27" ht="17">
      <c r="A416" s="97"/>
      <c r="B416" s="97"/>
      <c r="C416" s="302"/>
      <c r="D416" s="302"/>
      <c r="E416" s="302"/>
      <c r="F416" s="302"/>
      <c r="G416" s="97"/>
      <c r="H416" s="97"/>
      <c r="I416" s="97"/>
      <c r="J416" s="97"/>
      <c r="K416" s="97"/>
      <c r="L416" s="97"/>
      <c r="M416" s="97"/>
      <c r="N416" s="97"/>
      <c r="O416" s="97"/>
      <c r="P416" s="97"/>
      <c r="Q416" s="97"/>
      <c r="R416" s="97"/>
      <c r="S416" s="97"/>
      <c r="T416" s="97"/>
      <c r="U416" s="97"/>
      <c r="V416" s="97"/>
      <c r="W416" s="97"/>
      <c r="X416" s="97"/>
      <c r="Y416" s="97"/>
      <c r="Z416" s="97"/>
      <c r="AA416" s="97"/>
    </row>
    <row r="417" spans="1:27" ht="17">
      <c r="A417" s="97"/>
      <c r="B417" s="97"/>
      <c r="C417" s="302"/>
      <c r="D417" s="302"/>
      <c r="E417" s="302"/>
      <c r="F417" s="302"/>
      <c r="G417" s="97"/>
      <c r="H417" s="97"/>
      <c r="I417" s="97"/>
      <c r="J417" s="97"/>
      <c r="K417" s="97"/>
      <c r="L417" s="97"/>
      <c r="M417" s="97"/>
      <c r="N417" s="97"/>
      <c r="O417" s="97"/>
      <c r="P417" s="97"/>
      <c r="Q417" s="97"/>
      <c r="R417" s="97"/>
      <c r="S417" s="97"/>
      <c r="T417" s="97"/>
      <c r="U417" s="97"/>
      <c r="V417" s="97"/>
      <c r="W417" s="97"/>
      <c r="X417" s="97"/>
      <c r="Y417" s="97"/>
      <c r="Z417" s="97"/>
      <c r="AA417" s="97"/>
    </row>
    <row r="418" spans="1:27" ht="17">
      <c r="A418" s="97"/>
      <c r="B418" s="97"/>
      <c r="C418" s="302"/>
      <c r="D418" s="302"/>
      <c r="E418" s="302"/>
      <c r="F418" s="302"/>
      <c r="G418" s="97"/>
      <c r="H418" s="97"/>
      <c r="I418" s="97"/>
      <c r="J418" s="97"/>
      <c r="K418" s="97"/>
      <c r="L418" s="97"/>
      <c r="M418" s="97"/>
      <c r="N418" s="97"/>
      <c r="O418" s="97"/>
      <c r="P418" s="97"/>
      <c r="Q418" s="97"/>
      <c r="R418" s="97"/>
      <c r="S418" s="97"/>
      <c r="T418" s="97"/>
      <c r="U418" s="97"/>
      <c r="V418" s="97"/>
      <c r="W418" s="97"/>
      <c r="X418" s="97"/>
      <c r="Y418" s="97"/>
      <c r="Z418" s="97"/>
      <c r="AA418" s="97"/>
    </row>
    <row r="419" spans="1:27" ht="17">
      <c r="A419" s="97"/>
      <c r="B419" s="97"/>
      <c r="C419" s="302"/>
      <c r="D419" s="302"/>
      <c r="E419" s="302"/>
      <c r="F419" s="302"/>
      <c r="G419" s="97"/>
      <c r="H419" s="97"/>
      <c r="I419" s="97"/>
      <c r="J419" s="97"/>
      <c r="K419" s="97"/>
      <c r="L419" s="97"/>
      <c r="M419" s="97"/>
      <c r="N419" s="97"/>
      <c r="O419" s="97"/>
      <c r="P419" s="97"/>
      <c r="Q419" s="97"/>
      <c r="R419" s="97"/>
      <c r="S419" s="97"/>
      <c r="T419" s="97"/>
      <c r="U419" s="97"/>
      <c r="V419" s="97"/>
      <c r="W419" s="97"/>
      <c r="X419" s="97"/>
      <c r="Y419" s="97"/>
      <c r="Z419" s="97"/>
      <c r="AA419" s="97"/>
    </row>
    <row r="420" spans="1:27" ht="17">
      <c r="A420" s="97"/>
      <c r="B420" s="97"/>
      <c r="C420" s="302"/>
      <c r="D420" s="302"/>
      <c r="E420" s="302"/>
      <c r="F420" s="302"/>
      <c r="G420" s="97"/>
      <c r="H420" s="97"/>
      <c r="I420" s="97"/>
      <c r="J420" s="97"/>
      <c r="K420" s="97"/>
      <c r="L420" s="97"/>
      <c r="M420" s="97"/>
      <c r="N420" s="97"/>
      <c r="O420" s="97"/>
      <c r="P420" s="97"/>
      <c r="Q420" s="97"/>
      <c r="R420" s="97"/>
      <c r="S420" s="97"/>
      <c r="T420" s="97"/>
      <c r="U420" s="97"/>
      <c r="V420" s="97"/>
      <c r="W420" s="97"/>
      <c r="X420" s="97"/>
      <c r="Y420" s="97"/>
      <c r="Z420" s="97"/>
      <c r="AA420" s="97"/>
    </row>
    <row r="421" spans="1:27" ht="17">
      <c r="A421" s="97"/>
      <c r="B421" s="97"/>
      <c r="C421" s="302"/>
      <c r="D421" s="302"/>
      <c r="E421" s="302"/>
      <c r="F421" s="302"/>
      <c r="G421" s="97"/>
      <c r="H421" s="97"/>
      <c r="I421" s="97"/>
      <c r="J421" s="97"/>
      <c r="K421" s="97"/>
      <c r="L421" s="97"/>
      <c r="M421" s="97"/>
      <c r="N421" s="97"/>
      <c r="O421" s="97"/>
      <c r="P421" s="97"/>
      <c r="Q421" s="97"/>
      <c r="R421" s="97"/>
      <c r="S421" s="97"/>
      <c r="T421" s="97"/>
      <c r="U421" s="97"/>
      <c r="V421" s="97"/>
      <c r="W421" s="97"/>
      <c r="X421" s="97"/>
      <c r="Y421" s="97"/>
      <c r="Z421" s="97"/>
      <c r="AA421" s="97"/>
    </row>
    <row r="422" spans="1:27" ht="17">
      <c r="A422" s="97"/>
      <c r="B422" s="97"/>
      <c r="C422" s="302"/>
      <c r="D422" s="302"/>
      <c r="E422" s="302"/>
      <c r="F422" s="302"/>
      <c r="G422" s="97"/>
      <c r="H422" s="97"/>
      <c r="I422" s="97"/>
      <c r="J422" s="97"/>
      <c r="K422" s="97"/>
      <c r="L422" s="97"/>
      <c r="M422" s="97"/>
      <c r="N422" s="97"/>
      <c r="O422" s="97"/>
      <c r="P422" s="97"/>
      <c r="Q422" s="97"/>
      <c r="R422" s="97"/>
      <c r="S422" s="97"/>
      <c r="T422" s="97"/>
      <c r="U422" s="97"/>
      <c r="V422" s="97"/>
      <c r="W422" s="97"/>
      <c r="X422" s="97"/>
      <c r="Y422" s="97"/>
      <c r="Z422" s="97"/>
      <c r="AA422" s="97"/>
    </row>
    <row r="423" spans="1:27" ht="17">
      <c r="A423" s="97"/>
      <c r="B423" s="97"/>
      <c r="C423" s="302"/>
      <c r="D423" s="302"/>
      <c r="E423" s="302"/>
      <c r="F423" s="302"/>
      <c r="G423" s="97"/>
      <c r="H423" s="97"/>
      <c r="I423" s="97"/>
      <c r="J423" s="97"/>
      <c r="K423" s="97"/>
      <c r="L423" s="97"/>
      <c r="M423" s="97"/>
      <c r="N423" s="97"/>
      <c r="O423" s="97"/>
      <c r="P423" s="97"/>
      <c r="Q423" s="97"/>
      <c r="R423" s="97"/>
      <c r="S423" s="97"/>
      <c r="T423" s="97"/>
      <c r="U423" s="97"/>
      <c r="V423" s="97"/>
      <c r="W423" s="97"/>
      <c r="X423" s="97"/>
      <c r="Y423" s="97"/>
      <c r="Z423" s="97"/>
      <c r="AA423" s="97"/>
    </row>
    <row r="424" spans="1:27" ht="17">
      <c r="A424" s="97"/>
      <c r="B424" s="97"/>
      <c r="C424" s="302"/>
      <c r="D424" s="302"/>
      <c r="E424" s="302"/>
      <c r="F424" s="302"/>
      <c r="G424" s="97"/>
      <c r="H424" s="97"/>
      <c r="I424" s="97"/>
      <c r="J424" s="97"/>
      <c r="K424" s="97"/>
      <c r="L424" s="97"/>
      <c r="M424" s="97"/>
      <c r="N424" s="97"/>
      <c r="O424" s="97"/>
      <c r="P424" s="97"/>
      <c r="Q424" s="97"/>
      <c r="R424" s="97"/>
      <c r="S424" s="97"/>
      <c r="T424" s="97"/>
      <c r="U424" s="97"/>
      <c r="V424" s="97"/>
      <c r="W424" s="97"/>
      <c r="X424" s="97"/>
      <c r="Y424" s="97"/>
      <c r="Z424" s="97"/>
      <c r="AA424" s="97"/>
    </row>
    <row r="425" spans="1:27" ht="17">
      <c r="A425" s="97"/>
      <c r="B425" s="97"/>
      <c r="C425" s="302"/>
      <c r="D425" s="302"/>
      <c r="E425" s="302"/>
      <c r="F425" s="302"/>
      <c r="G425" s="97"/>
      <c r="H425" s="97"/>
      <c r="I425" s="97"/>
      <c r="J425" s="97"/>
      <c r="K425" s="97"/>
      <c r="L425" s="97"/>
      <c r="M425" s="97"/>
      <c r="N425" s="97"/>
      <c r="O425" s="97"/>
      <c r="P425" s="97"/>
      <c r="Q425" s="97"/>
      <c r="R425" s="97"/>
      <c r="S425" s="97"/>
      <c r="T425" s="97"/>
      <c r="U425" s="97"/>
      <c r="V425" s="97"/>
      <c r="W425" s="97"/>
      <c r="X425" s="97"/>
      <c r="Y425" s="97"/>
      <c r="Z425" s="97"/>
      <c r="AA425" s="97"/>
    </row>
    <row r="426" spans="1:27" ht="17">
      <c r="A426" s="97"/>
      <c r="B426" s="97"/>
      <c r="C426" s="302"/>
      <c r="D426" s="302"/>
      <c r="E426" s="302"/>
      <c r="F426" s="302"/>
      <c r="G426" s="97"/>
      <c r="H426" s="97"/>
      <c r="I426" s="97"/>
      <c r="J426" s="97"/>
      <c r="K426" s="97"/>
      <c r="L426" s="97"/>
      <c r="M426" s="97"/>
      <c r="N426" s="97"/>
      <c r="O426" s="97"/>
      <c r="P426" s="97"/>
      <c r="Q426" s="97"/>
      <c r="R426" s="97"/>
      <c r="S426" s="97"/>
      <c r="T426" s="97"/>
      <c r="U426" s="97"/>
      <c r="V426" s="97"/>
      <c r="W426" s="97"/>
      <c r="X426" s="97"/>
      <c r="Y426" s="97"/>
      <c r="Z426" s="97"/>
      <c r="AA426" s="97"/>
    </row>
    <row r="427" spans="1:27" ht="17">
      <c r="A427" s="97"/>
      <c r="B427" s="97"/>
      <c r="C427" s="302"/>
      <c r="D427" s="302"/>
      <c r="E427" s="302"/>
      <c r="F427" s="302"/>
      <c r="G427" s="97"/>
      <c r="H427" s="97"/>
      <c r="I427" s="97"/>
      <c r="J427" s="97"/>
      <c r="K427" s="97"/>
      <c r="L427" s="97"/>
      <c r="M427" s="97"/>
      <c r="N427" s="97"/>
      <c r="O427" s="97"/>
      <c r="P427" s="97"/>
      <c r="Q427" s="97"/>
      <c r="R427" s="97"/>
      <c r="S427" s="97"/>
      <c r="T427" s="97"/>
      <c r="U427" s="97"/>
      <c r="V427" s="97"/>
      <c r="W427" s="97"/>
      <c r="X427" s="97"/>
      <c r="Y427" s="97"/>
      <c r="Z427" s="97"/>
      <c r="AA427" s="97"/>
    </row>
    <row r="428" spans="1:27" ht="17">
      <c r="A428" s="97"/>
      <c r="B428" s="97"/>
      <c r="C428" s="302"/>
      <c r="D428" s="302"/>
      <c r="E428" s="302"/>
      <c r="F428" s="302"/>
      <c r="G428" s="97"/>
      <c r="H428" s="97"/>
      <c r="I428" s="97"/>
      <c r="J428" s="97"/>
      <c r="K428" s="97"/>
      <c r="L428" s="97"/>
      <c r="M428" s="97"/>
      <c r="N428" s="97"/>
      <c r="O428" s="97"/>
      <c r="P428" s="97"/>
      <c r="Q428" s="97"/>
      <c r="R428" s="97"/>
      <c r="S428" s="97"/>
      <c r="T428" s="97"/>
      <c r="U428" s="97"/>
      <c r="V428" s="97"/>
      <c r="W428" s="97"/>
      <c r="X428" s="97"/>
      <c r="Y428" s="97"/>
      <c r="Z428" s="97"/>
      <c r="AA428" s="97"/>
    </row>
    <row r="429" spans="1:27" ht="17">
      <c r="A429" s="97"/>
      <c r="B429" s="97"/>
      <c r="C429" s="302"/>
      <c r="D429" s="302"/>
      <c r="E429" s="302"/>
      <c r="F429" s="302"/>
      <c r="G429" s="97"/>
      <c r="H429" s="97"/>
      <c r="I429" s="97"/>
      <c r="J429" s="97"/>
      <c r="K429" s="97"/>
      <c r="L429" s="97"/>
      <c r="M429" s="97"/>
      <c r="N429" s="97"/>
      <c r="O429" s="97"/>
      <c r="P429" s="97"/>
      <c r="Q429" s="97"/>
      <c r="R429" s="97"/>
      <c r="S429" s="97"/>
      <c r="T429" s="97"/>
      <c r="U429" s="97"/>
      <c r="V429" s="97"/>
      <c r="W429" s="97"/>
      <c r="X429" s="97"/>
      <c r="Y429" s="97"/>
      <c r="Z429" s="97"/>
      <c r="AA429" s="97"/>
    </row>
    <row r="430" spans="1:27" ht="17">
      <c r="A430" s="97"/>
      <c r="B430" s="97"/>
      <c r="C430" s="302"/>
      <c r="D430" s="302"/>
      <c r="E430" s="302"/>
      <c r="F430" s="302"/>
      <c r="G430" s="97"/>
      <c r="H430" s="97"/>
      <c r="I430" s="97"/>
      <c r="J430" s="97"/>
      <c r="K430" s="97"/>
      <c r="L430" s="97"/>
      <c r="M430" s="97"/>
      <c r="N430" s="97"/>
      <c r="O430" s="97"/>
      <c r="P430" s="97"/>
      <c r="Q430" s="97"/>
      <c r="R430" s="97"/>
      <c r="S430" s="97"/>
      <c r="T430" s="97"/>
      <c r="U430" s="97"/>
      <c r="V430" s="97"/>
      <c r="W430" s="97"/>
      <c r="X430" s="97"/>
      <c r="Y430" s="97"/>
      <c r="Z430" s="97"/>
      <c r="AA430" s="97"/>
    </row>
    <row r="431" spans="1:27" ht="17">
      <c r="A431" s="97"/>
      <c r="B431" s="97"/>
      <c r="C431" s="302"/>
      <c r="D431" s="302"/>
      <c r="E431" s="302"/>
      <c r="F431" s="302"/>
      <c r="G431" s="97"/>
      <c r="H431" s="97"/>
      <c r="I431" s="97"/>
      <c r="J431" s="97"/>
      <c r="K431" s="97"/>
      <c r="L431" s="97"/>
      <c r="M431" s="97"/>
      <c r="N431" s="97"/>
      <c r="O431" s="97"/>
      <c r="P431" s="97"/>
      <c r="Q431" s="97"/>
      <c r="R431" s="97"/>
      <c r="S431" s="97"/>
      <c r="T431" s="97"/>
      <c r="U431" s="97"/>
      <c r="V431" s="97"/>
      <c r="W431" s="97"/>
      <c r="X431" s="97"/>
      <c r="Y431" s="97"/>
      <c r="Z431" s="97"/>
      <c r="AA431" s="97"/>
    </row>
    <row r="432" spans="1:27" ht="17">
      <c r="A432" s="97"/>
      <c r="B432" s="97"/>
      <c r="C432" s="302"/>
      <c r="D432" s="302"/>
      <c r="E432" s="302"/>
      <c r="F432" s="302"/>
      <c r="G432" s="97"/>
      <c r="H432" s="97"/>
      <c r="I432" s="97"/>
      <c r="J432" s="97"/>
      <c r="K432" s="97"/>
      <c r="L432" s="97"/>
      <c r="M432" s="97"/>
      <c r="N432" s="97"/>
      <c r="O432" s="97"/>
      <c r="P432" s="97"/>
      <c r="Q432" s="97"/>
      <c r="R432" s="97"/>
      <c r="S432" s="97"/>
      <c r="T432" s="97"/>
      <c r="U432" s="97"/>
      <c r="V432" s="97"/>
      <c r="W432" s="97"/>
      <c r="X432" s="97"/>
      <c r="Y432" s="97"/>
      <c r="Z432" s="97"/>
      <c r="AA432" s="97"/>
    </row>
    <row r="433" spans="1:27" ht="17">
      <c r="A433" s="97"/>
      <c r="B433" s="97"/>
      <c r="C433" s="302"/>
      <c r="D433" s="302"/>
      <c r="E433" s="302"/>
      <c r="F433" s="302"/>
      <c r="G433" s="97"/>
      <c r="H433" s="97"/>
      <c r="I433" s="97"/>
      <c r="J433" s="97"/>
      <c r="K433" s="97"/>
      <c r="L433" s="97"/>
      <c r="M433" s="97"/>
      <c r="N433" s="97"/>
      <c r="O433" s="97"/>
      <c r="P433" s="97"/>
      <c r="Q433" s="97"/>
      <c r="R433" s="97"/>
      <c r="S433" s="97"/>
      <c r="T433" s="97"/>
      <c r="U433" s="97"/>
      <c r="V433" s="97"/>
      <c r="W433" s="97"/>
      <c r="X433" s="97"/>
      <c r="Y433" s="97"/>
      <c r="Z433" s="97"/>
      <c r="AA433" s="97"/>
    </row>
    <row r="434" spans="1:27" ht="17">
      <c r="A434" s="97"/>
      <c r="B434" s="97"/>
      <c r="C434" s="302"/>
      <c r="D434" s="302"/>
      <c r="E434" s="302"/>
      <c r="F434" s="302"/>
      <c r="G434" s="97"/>
      <c r="H434" s="97"/>
      <c r="I434" s="97"/>
      <c r="J434" s="97"/>
      <c r="K434" s="97"/>
      <c r="L434" s="97"/>
      <c r="M434" s="97"/>
      <c r="N434" s="97"/>
      <c r="O434" s="97"/>
      <c r="P434" s="97"/>
      <c r="Q434" s="97"/>
      <c r="R434" s="97"/>
      <c r="S434" s="97"/>
      <c r="T434" s="97"/>
      <c r="U434" s="97"/>
      <c r="V434" s="97"/>
      <c r="W434" s="97"/>
      <c r="X434" s="97"/>
      <c r="Y434" s="97"/>
      <c r="Z434" s="97"/>
      <c r="AA434" s="97"/>
    </row>
    <row r="435" spans="1:27" ht="17">
      <c r="A435" s="97"/>
      <c r="B435" s="97"/>
      <c r="C435" s="302"/>
      <c r="D435" s="302"/>
      <c r="E435" s="302"/>
      <c r="F435" s="302"/>
      <c r="G435" s="97"/>
      <c r="H435" s="97"/>
      <c r="I435" s="97"/>
      <c r="J435" s="97"/>
      <c r="K435" s="97"/>
      <c r="L435" s="97"/>
      <c r="M435" s="97"/>
      <c r="N435" s="97"/>
      <c r="O435" s="97"/>
      <c r="P435" s="97"/>
      <c r="Q435" s="97"/>
      <c r="R435" s="97"/>
      <c r="S435" s="97"/>
      <c r="T435" s="97"/>
      <c r="U435" s="97"/>
      <c r="V435" s="97"/>
      <c r="W435" s="97"/>
      <c r="X435" s="97"/>
      <c r="Y435" s="97"/>
      <c r="Z435" s="97"/>
      <c r="AA435" s="97"/>
    </row>
    <row r="436" spans="1:27" ht="17">
      <c r="A436" s="97"/>
      <c r="B436" s="97"/>
      <c r="C436" s="302"/>
      <c r="D436" s="302"/>
      <c r="E436" s="302"/>
      <c r="F436" s="302"/>
      <c r="G436" s="97"/>
      <c r="H436" s="97"/>
      <c r="I436" s="97"/>
      <c r="J436" s="97"/>
      <c r="K436" s="97"/>
      <c r="L436" s="97"/>
      <c r="M436" s="97"/>
      <c r="N436" s="97"/>
      <c r="O436" s="97"/>
      <c r="P436" s="97"/>
      <c r="Q436" s="97"/>
      <c r="R436" s="97"/>
      <c r="S436" s="97"/>
      <c r="T436" s="97"/>
      <c r="U436" s="97"/>
      <c r="V436" s="97"/>
      <c r="W436" s="97"/>
      <c r="X436" s="97"/>
      <c r="Y436" s="97"/>
      <c r="Z436" s="97"/>
      <c r="AA436" s="97"/>
    </row>
    <row r="437" spans="1:27" ht="17">
      <c r="A437" s="97"/>
      <c r="B437" s="97"/>
      <c r="C437" s="302"/>
      <c r="D437" s="302"/>
      <c r="E437" s="302"/>
      <c r="F437" s="302"/>
      <c r="G437" s="97"/>
      <c r="H437" s="97"/>
      <c r="I437" s="97"/>
      <c r="J437" s="97"/>
      <c r="K437" s="97"/>
      <c r="L437" s="97"/>
      <c r="M437" s="97"/>
      <c r="N437" s="97"/>
      <c r="O437" s="97"/>
      <c r="P437" s="97"/>
      <c r="Q437" s="97"/>
      <c r="R437" s="97"/>
      <c r="S437" s="97"/>
      <c r="T437" s="97"/>
      <c r="U437" s="97"/>
      <c r="V437" s="97"/>
      <c r="W437" s="97"/>
      <c r="X437" s="97"/>
      <c r="Y437" s="97"/>
      <c r="Z437" s="97"/>
      <c r="AA437" s="97"/>
    </row>
    <row r="438" spans="1:27" ht="17">
      <c r="A438" s="97"/>
      <c r="B438" s="97"/>
      <c r="C438" s="302"/>
      <c r="D438" s="302"/>
      <c r="E438" s="302"/>
      <c r="F438" s="302"/>
      <c r="G438" s="97"/>
      <c r="H438" s="97"/>
      <c r="I438" s="97"/>
      <c r="J438" s="97"/>
      <c r="K438" s="97"/>
      <c r="L438" s="97"/>
      <c r="M438" s="97"/>
      <c r="N438" s="97"/>
      <c r="O438" s="97"/>
      <c r="P438" s="97"/>
      <c r="Q438" s="97"/>
      <c r="R438" s="97"/>
      <c r="S438" s="97"/>
      <c r="T438" s="97"/>
      <c r="U438" s="97"/>
      <c r="V438" s="97"/>
      <c r="W438" s="97"/>
      <c r="X438" s="97"/>
      <c r="Y438" s="97"/>
      <c r="Z438" s="97"/>
      <c r="AA438" s="97"/>
    </row>
    <row r="439" spans="1:27" ht="17">
      <c r="A439" s="97"/>
      <c r="B439" s="97"/>
      <c r="C439" s="302"/>
      <c r="D439" s="302"/>
      <c r="E439" s="302"/>
      <c r="F439" s="302"/>
      <c r="G439" s="97"/>
      <c r="H439" s="97"/>
      <c r="I439" s="97"/>
      <c r="J439" s="97"/>
      <c r="K439" s="97"/>
      <c r="L439" s="97"/>
      <c r="M439" s="97"/>
      <c r="N439" s="97"/>
      <c r="O439" s="97"/>
      <c r="P439" s="97"/>
      <c r="Q439" s="97"/>
      <c r="R439" s="97"/>
      <c r="S439" s="97"/>
      <c r="T439" s="97"/>
      <c r="U439" s="97"/>
      <c r="V439" s="97"/>
      <c r="W439" s="97"/>
      <c r="X439" s="97"/>
      <c r="Y439" s="97"/>
      <c r="Z439" s="97"/>
      <c r="AA439" s="97"/>
    </row>
    <row r="440" spans="1:27" ht="17">
      <c r="A440" s="97"/>
      <c r="B440" s="97"/>
      <c r="C440" s="302"/>
      <c r="D440" s="302"/>
      <c r="E440" s="302"/>
      <c r="F440" s="302"/>
      <c r="G440" s="97"/>
      <c r="H440" s="97"/>
      <c r="I440" s="97"/>
      <c r="J440" s="97"/>
      <c r="K440" s="97"/>
      <c r="L440" s="97"/>
      <c r="M440" s="97"/>
      <c r="N440" s="97"/>
      <c r="O440" s="97"/>
      <c r="P440" s="97"/>
      <c r="Q440" s="97"/>
      <c r="R440" s="97"/>
      <c r="S440" s="97"/>
      <c r="T440" s="97"/>
      <c r="U440" s="97"/>
      <c r="V440" s="97"/>
      <c r="W440" s="97"/>
      <c r="X440" s="97"/>
      <c r="Y440" s="97"/>
      <c r="Z440" s="97"/>
      <c r="AA440" s="97"/>
    </row>
    <row r="441" spans="1:27" ht="17">
      <c r="A441" s="97"/>
      <c r="B441" s="97"/>
      <c r="C441" s="302"/>
      <c r="D441" s="302"/>
      <c r="E441" s="302"/>
      <c r="F441" s="302"/>
      <c r="G441" s="97"/>
      <c r="H441" s="97"/>
      <c r="I441" s="97"/>
      <c r="J441" s="97"/>
      <c r="K441" s="97"/>
      <c r="L441" s="97"/>
      <c r="M441" s="97"/>
      <c r="N441" s="97"/>
      <c r="O441" s="97"/>
      <c r="P441" s="97"/>
      <c r="Q441" s="97"/>
      <c r="R441" s="97"/>
      <c r="S441" s="97"/>
      <c r="T441" s="97"/>
      <c r="U441" s="97"/>
      <c r="V441" s="97"/>
      <c r="W441" s="97"/>
      <c r="X441" s="97"/>
      <c r="Y441" s="97"/>
      <c r="Z441" s="97"/>
      <c r="AA441" s="97"/>
    </row>
    <row r="442" spans="1:27" ht="17">
      <c r="A442" s="97"/>
      <c r="B442" s="97"/>
      <c r="C442" s="302"/>
      <c r="D442" s="302"/>
      <c r="E442" s="302"/>
      <c r="F442" s="302"/>
      <c r="G442" s="97"/>
      <c r="H442" s="97"/>
      <c r="I442" s="97"/>
      <c r="J442" s="97"/>
      <c r="K442" s="97"/>
      <c r="L442" s="97"/>
      <c r="M442" s="97"/>
      <c r="N442" s="97"/>
      <c r="O442" s="97"/>
      <c r="P442" s="97"/>
      <c r="Q442" s="97"/>
      <c r="R442" s="97"/>
      <c r="S442" s="97"/>
      <c r="T442" s="97"/>
      <c r="U442" s="97"/>
      <c r="V442" s="97"/>
      <c r="W442" s="97"/>
      <c r="X442" s="97"/>
      <c r="Y442" s="97"/>
      <c r="Z442" s="97"/>
      <c r="AA442" s="97"/>
    </row>
    <row r="443" spans="1:27" ht="17">
      <c r="A443" s="97"/>
      <c r="B443" s="97"/>
      <c r="C443" s="302"/>
      <c r="D443" s="302"/>
      <c r="E443" s="302"/>
      <c r="F443" s="302"/>
      <c r="G443" s="97"/>
      <c r="H443" s="97"/>
      <c r="I443" s="97"/>
      <c r="J443" s="97"/>
      <c r="K443" s="97"/>
      <c r="L443" s="97"/>
      <c r="M443" s="97"/>
      <c r="N443" s="97"/>
      <c r="O443" s="97"/>
      <c r="P443" s="97"/>
      <c r="Q443" s="97"/>
      <c r="R443" s="97"/>
      <c r="S443" s="97"/>
      <c r="T443" s="97"/>
      <c r="U443" s="97"/>
      <c r="V443" s="97"/>
      <c r="W443" s="97"/>
      <c r="X443" s="97"/>
      <c r="Y443" s="97"/>
      <c r="Z443" s="97"/>
      <c r="AA443" s="97"/>
    </row>
    <row r="444" spans="1:27" ht="17">
      <c r="A444" s="97"/>
      <c r="B444" s="97"/>
      <c r="C444" s="302"/>
      <c r="D444" s="302"/>
      <c r="E444" s="302"/>
      <c r="F444" s="302"/>
      <c r="G444" s="97"/>
      <c r="H444" s="97"/>
      <c r="I444" s="97"/>
      <c r="J444" s="97"/>
      <c r="K444" s="97"/>
      <c r="L444" s="97"/>
      <c r="M444" s="97"/>
      <c r="N444" s="97"/>
      <c r="O444" s="97"/>
      <c r="P444" s="97"/>
      <c r="Q444" s="97"/>
      <c r="R444" s="97"/>
      <c r="S444" s="97"/>
      <c r="T444" s="97"/>
      <c r="U444" s="97"/>
      <c r="V444" s="97"/>
      <c r="W444" s="97"/>
      <c r="X444" s="97"/>
      <c r="Y444" s="97"/>
      <c r="Z444" s="97"/>
      <c r="AA444" s="97"/>
    </row>
    <row r="445" spans="1:27" ht="17">
      <c r="A445" s="97"/>
      <c r="B445" s="97"/>
      <c r="C445" s="302"/>
      <c r="D445" s="302"/>
      <c r="E445" s="302"/>
      <c r="F445" s="302"/>
      <c r="G445" s="97"/>
      <c r="H445" s="97"/>
      <c r="I445" s="97"/>
      <c r="J445" s="97"/>
      <c r="K445" s="97"/>
      <c r="L445" s="97"/>
      <c r="M445" s="97"/>
      <c r="N445" s="97"/>
      <c r="O445" s="97"/>
      <c r="P445" s="97"/>
      <c r="Q445" s="97"/>
      <c r="R445" s="97"/>
      <c r="S445" s="97"/>
      <c r="T445" s="97"/>
      <c r="U445" s="97"/>
      <c r="V445" s="97"/>
      <c r="W445" s="97"/>
      <c r="X445" s="97"/>
      <c r="Y445" s="97"/>
      <c r="Z445" s="97"/>
      <c r="AA445" s="97"/>
    </row>
    <row r="446" spans="1:27" ht="17">
      <c r="A446" s="97"/>
      <c r="B446" s="97"/>
      <c r="C446" s="302"/>
      <c r="D446" s="302"/>
      <c r="E446" s="302"/>
      <c r="F446" s="302"/>
      <c r="G446" s="97"/>
      <c r="H446" s="97"/>
      <c r="I446" s="97"/>
      <c r="J446" s="97"/>
      <c r="K446" s="97"/>
      <c r="L446" s="97"/>
      <c r="M446" s="97"/>
      <c r="N446" s="97"/>
      <c r="O446" s="97"/>
      <c r="P446" s="97"/>
      <c r="Q446" s="97"/>
      <c r="R446" s="97"/>
      <c r="S446" s="97"/>
      <c r="T446" s="97"/>
      <c r="U446" s="97"/>
      <c r="V446" s="97"/>
      <c r="W446" s="97"/>
      <c r="X446" s="97"/>
      <c r="Y446" s="97"/>
      <c r="Z446" s="97"/>
      <c r="AA446" s="97"/>
    </row>
    <row r="447" spans="1:27" ht="17">
      <c r="A447" s="97"/>
      <c r="B447" s="97"/>
      <c r="C447" s="302"/>
      <c r="D447" s="302"/>
      <c r="E447" s="302"/>
      <c r="F447" s="302"/>
      <c r="G447" s="97"/>
      <c r="H447" s="97"/>
      <c r="I447" s="97"/>
      <c r="J447" s="97"/>
      <c r="K447" s="97"/>
      <c r="L447" s="97"/>
      <c r="M447" s="97"/>
      <c r="N447" s="97"/>
      <c r="O447" s="97"/>
      <c r="P447" s="97"/>
      <c r="Q447" s="97"/>
      <c r="R447" s="97"/>
      <c r="S447" s="97"/>
      <c r="T447" s="97"/>
      <c r="U447" s="97"/>
      <c r="V447" s="97"/>
      <c r="W447" s="97"/>
      <c r="X447" s="97"/>
      <c r="Y447" s="97"/>
      <c r="Z447" s="97"/>
      <c r="AA447" s="97"/>
    </row>
    <row r="448" spans="1:27" ht="17">
      <c r="A448" s="97"/>
      <c r="B448" s="97"/>
      <c r="C448" s="302"/>
      <c r="D448" s="302"/>
      <c r="E448" s="302"/>
      <c r="F448" s="302"/>
      <c r="G448" s="97"/>
      <c r="H448" s="97"/>
      <c r="I448" s="97"/>
      <c r="J448" s="97"/>
      <c r="K448" s="97"/>
      <c r="L448" s="97"/>
      <c r="M448" s="97"/>
      <c r="N448" s="97"/>
      <c r="O448" s="97"/>
      <c r="P448" s="97"/>
      <c r="Q448" s="97"/>
      <c r="R448" s="97"/>
      <c r="S448" s="97"/>
      <c r="T448" s="97"/>
      <c r="U448" s="97"/>
      <c r="V448" s="97"/>
      <c r="W448" s="97"/>
      <c r="X448" s="97"/>
      <c r="Y448" s="97"/>
      <c r="Z448" s="97"/>
      <c r="AA448" s="97"/>
    </row>
    <row r="449" spans="1:27" ht="17">
      <c r="A449" s="97"/>
      <c r="B449" s="97"/>
      <c r="C449" s="302"/>
      <c r="D449" s="302"/>
      <c r="E449" s="302"/>
      <c r="F449" s="302"/>
      <c r="G449" s="97"/>
      <c r="H449" s="97"/>
      <c r="I449" s="97"/>
      <c r="J449" s="97"/>
      <c r="K449" s="97"/>
      <c r="L449" s="97"/>
      <c r="M449" s="97"/>
      <c r="N449" s="97"/>
      <c r="O449" s="97"/>
      <c r="P449" s="97"/>
      <c r="Q449" s="97"/>
      <c r="R449" s="97"/>
      <c r="S449" s="97"/>
      <c r="T449" s="97"/>
      <c r="U449" s="97"/>
      <c r="V449" s="97"/>
      <c r="W449" s="97"/>
      <c r="X449" s="97"/>
      <c r="Y449" s="97"/>
      <c r="Z449" s="97"/>
      <c r="AA449" s="97"/>
    </row>
    <row r="450" spans="1:27" ht="17">
      <c r="A450" s="97"/>
      <c r="B450" s="97"/>
      <c r="C450" s="302"/>
      <c r="D450" s="302"/>
      <c r="E450" s="302"/>
      <c r="F450" s="302"/>
      <c r="G450" s="97"/>
      <c r="H450" s="97"/>
      <c r="I450" s="97"/>
      <c r="J450" s="97"/>
      <c r="K450" s="97"/>
      <c r="L450" s="97"/>
      <c r="M450" s="97"/>
      <c r="N450" s="97"/>
      <c r="O450" s="97"/>
      <c r="P450" s="97"/>
      <c r="Q450" s="97"/>
      <c r="R450" s="97"/>
      <c r="S450" s="97"/>
      <c r="T450" s="97"/>
      <c r="U450" s="97"/>
      <c r="V450" s="97"/>
      <c r="W450" s="97"/>
      <c r="X450" s="97"/>
      <c r="Y450" s="97"/>
      <c r="Z450" s="97"/>
      <c r="AA450" s="97"/>
    </row>
    <row r="451" spans="1:27" ht="17">
      <c r="A451" s="97"/>
      <c r="B451" s="97"/>
      <c r="C451" s="302"/>
      <c r="D451" s="302"/>
      <c r="E451" s="302"/>
      <c r="F451" s="302"/>
      <c r="G451" s="97"/>
      <c r="H451" s="97"/>
      <c r="I451" s="97"/>
      <c r="J451" s="97"/>
      <c r="K451" s="97"/>
      <c r="L451" s="97"/>
      <c r="M451" s="97"/>
      <c r="N451" s="97"/>
      <c r="O451" s="97"/>
      <c r="P451" s="97"/>
      <c r="Q451" s="97"/>
      <c r="R451" s="97"/>
      <c r="S451" s="97"/>
      <c r="T451" s="97"/>
      <c r="U451" s="97"/>
      <c r="V451" s="97"/>
      <c r="W451" s="97"/>
      <c r="X451" s="97"/>
      <c r="Y451" s="97"/>
      <c r="Z451" s="97"/>
      <c r="AA451" s="97"/>
    </row>
    <row r="452" spans="1:27" ht="17">
      <c r="A452" s="97"/>
      <c r="B452" s="97"/>
      <c r="C452" s="302"/>
      <c r="D452" s="302"/>
      <c r="E452" s="302"/>
      <c r="F452" s="302"/>
      <c r="G452" s="97"/>
      <c r="H452" s="97"/>
      <c r="I452" s="97"/>
      <c r="J452" s="97"/>
      <c r="K452" s="97"/>
      <c r="L452" s="97"/>
      <c r="M452" s="97"/>
      <c r="N452" s="97"/>
      <c r="O452" s="97"/>
      <c r="P452" s="97"/>
      <c r="Q452" s="97"/>
      <c r="R452" s="97"/>
      <c r="S452" s="97"/>
      <c r="T452" s="97"/>
      <c r="U452" s="97"/>
      <c r="V452" s="97"/>
      <c r="W452" s="97"/>
      <c r="X452" s="97"/>
      <c r="Y452" s="97"/>
      <c r="Z452" s="97"/>
      <c r="AA452" s="97"/>
    </row>
    <row r="453" spans="1:27" ht="17">
      <c r="A453" s="97"/>
      <c r="B453" s="97"/>
      <c r="C453" s="302"/>
      <c r="D453" s="302"/>
      <c r="E453" s="302"/>
      <c r="F453" s="302"/>
      <c r="G453" s="97"/>
      <c r="H453" s="97"/>
      <c r="I453" s="97"/>
      <c r="J453" s="97"/>
      <c r="K453" s="97"/>
      <c r="L453" s="97"/>
      <c r="M453" s="97"/>
      <c r="N453" s="97"/>
      <c r="O453" s="97"/>
      <c r="P453" s="97"/>
      <c r="Q453" s="97"/>
      <c r="R453" s="97"/>
      <c r="S453" s="97"/>
      <c r="T453" s="97"/>
      <c r="U453" s="97"/>
      <c r="V453" s="97"/>
      <c r="W453" s="97"/>
      <c r="X453" s="97"/>
      <c r="Y453" s="97"/>
      <c r="Z453" s="97"/>
      <c r="AA453" s="97"/>
    </row>
    <row r="454" spans="1:27" ht="17">
      <c r="A454" s="97"/>
      <c r="B454" s="97"/>
      <c r="C454" s="302"/>
      <c r="D454" s="302"/>
      <c r="E454" s="302"/>
      <c r="F454" s="302"/>
      <c r="G454" s="97"/>
      <c r="H454" s="97"/>
      <c r="I454" s="97"/>
      <c r="J454" s="97"/>
      <c r="K454" s="97"/>
      <c r="L454" s="97"/>
      <c r="M454" s="97"/>
      <c r="N454" s="97"/>
      <c r="O454" s="97"/>
      <c r="P454" s="97"/>
      <c r="Q454" s="97"/>
      <c r="R454" s="97"/>
      <c r="S454" s="97"/>
      <c r="T454" s="97"/>
      <c r="U454" s="97"/>
      <c r="V454" s="97"/>
      <c r="W454" s="97"/>
      <c r="X454" s="97"/>
      <c r="Y454" s="97"/>
      <c r="Z454" s="97"/>
      <c r="AA454" s="97"/>
    </row>
    <row r="455" spans="1:27" ht="17">
      <c r="A455" s="97"/>
      <c r="B455" s="97"/>
      <c r="C455" s="302"/>
      <c r="D455" s="302"/>
      <c r="E455" s="302"/>
      <c r="F455" s="302"/>
      <c r="G455" s="97"/>
      <c r="H455" s="97"/>
      <c r="I455" s="97"/>
      <c r="J455" s="97"/>
      <c r="K455" s="97"/>
      <c r="L455" s="97"/>
      <c r="M455" s="97"/>
      <c r="N455" s="97"/>
      <c r="O455" s="97"/>
      <c r="P455" s="97"/>
      <c r="Q455" s="97"/>
      <c r="R455" s="97"/>
      <c r="S455" s="97"/>
      <c r="T455" s="97"/>
      <c r="U455" s="97"/>
      <c r="V455" s="97"/>
      <c r="W455" s="97"/>
      <c r="X455" s="97"/>
      <c r="Y455" s="97"/>
      <c r="Z455" s="97"/>
      <c r="AA455" s="97"/>
    </row>
    <row r="456" spans="1:27" ht="17">
      <c r="A456" s="97"/>
      <c r="B456" s="97"/>
      <c r="C456" s="302"/>
      <c r="D456" s="302"/>
      <c r="E456" s="302"/>
      <c r="F456" s="302"/>
      <c r="G456" s="97"/>
      <c r="H456" s="97"/>
      <c r="I456" s="97"/>
      <c r="J456" s="97"/>
      <c r="K456" s="97"/>
      <c r="L456" s="97"/>
      <c r="M456" s="97"/>
      <c r="N456" s="97"/>
      <c r="O456" s="97"/>
      <c r="P456" s="97"/>
      <c r="Q456" s="97"/>
      <c r="R456" s="97"/>
      <c r="S456" s="97"/>
      <c r="T456" s="97"/>
      <c r="U456" s="97"/>
      <c r="V456" s="97"/>
      <c r="W456" s="97"/>
      <c r="X456" s="97"/>
      <c r="Y456" s="97"/>
      <c r="Z456" s="97"/>
      <c r="AA456" s="97"/>
    </row>
    <row r="457" spans="1:27" ht="17">
      <c r="A457" s="97"/>
      <c r="B457" s="97"/>
      <c r="C457" s="302"/>
      <c r="D457" s="302"/>
      <c r="E457" s="302"/>
      <c r="F457" s="302"/>
      <c r="G457" s="97"/>
      <c r="H457" s="97"/>
      <c r="I457" s="97"/>
      <c r="J457" s="97"/>
      <c r="K457" s="97"/>
      <c r="L457" s="97"/>
      <c r="M457" s="97"/>
      <c r="N457" s="97"/>
      <c r="O457" s="97"/>
      <c r="P457" s="97"/>
      <c r="Q457" s="97"/>
      <c r="R457" s="97"/>
      <c r="S457" s="97"/>
      <c r="T457" s="97"/>
      <c r="U457" s="97"/>
      <c r="V457" s="97"/>
      <c r="W457" s="97"/>
      <c r="X457" s="97"/>
      <c r="Y457" s="97"/>
      <c r="Z457" s="97"/>
      <c r="AA457" s="97"/>
    </row>
    <row r="458" spans="1:27" ht="17">
      <c r="A458" s="97"/>
      <c r="B458" s="97"/>
      <c r="C458" s="302"/>
      <c r="D458" s="302"/>
      <c r="E458" s="302"/>
      <c r="F458" s="302"/>
      <c r="G458" s="97"/>
      <c r="H458" s="97"/>
      <c r="I458" s="97"/>
      <c r="J458" s="97"/>
      <c r="K458" s="97"/>
      <c r="L458" s="97"/>
      <c r="M458" s="97"/>
      <c r="N458" s="97"/>
      <c r="O458" s="97"/>
      <c r="P458" s="97"/>
      <c r="Q458" s="97"/>
      <c r="R458" s="97"/>
      <c r="S458" s="97"/>
      <c r="T458" s="97"/>
      <c r="U458" s="97"/>
      <c r="V458" s="97"/>
      <c r="W458" s="97"/>
      <c r="X458" s="97"/>
      <c r="Y458" s="97"/>
      <c r="Z458" s="97"/>
      <c r="AA458" s="97"/>
    </row>
    <row r="459" spans="1:27" ht="17">
      <c r="A459" s="97"/>
      <c r="B459" s="97"/>
      <c r="C459" s="302"/>
      <c r="D459" s="302"/>
      <c r="E459" s="302"/>
      <c r="F459" s="302"/>
      <c r="G459" s="97"/>
      <c r="H459" s="97"/>
      <c r="I459" s="97"/>
      <c r="J459" s="97"/>
      <c r="K459" s="97"/>
      <c r="L459" s="97"/>
      <c r="M459" s="97"/>
      <c r="N459" s="97"/>
      <c r="O459" s="97"/>
      <c r="P459" s="97"/>
      <c r="Q459" s="97"/>
      <c r="R459" s="97"/>
      <c r="S459" s="97"/>
      <c r="T459" s="97"/>
      <c r="U459" s="97"/>
      <c r="V459" s="97"/>
      <c r="W459" s="97"/>
      <c r="X459" s="97"/>
      <c r="Y459" s="97"/>
      <c r="Z459" s="97"/>
      <c r="AA459" s="97"/>
    </row>
    <row r="460" spans="1:27" ht="17">
      <c r="A460" s="97"/>
      <c r="B460" s="97"/>
      <c r="C460" s="302"/>
      <c r="D460" s="302"/>
      <c r="E460" s="302"/>
      <c r="F460" s="302"/>
      <c r="G460" s="97"/>
      <c r="H460" s="97"/>
      <c r="I460" s="97"/>
      <c r="J460" s="97"/>
      <c r="K460" s="97"/>
      <c r="L460" s="97"/>
      <c r="M460" s="97"/>
      <c r="N460" s="97"/>
      <c r="O460" s="97"/>
      <c r="P460" s="97"/>
      <c r="Q460" s="97"/>
      <c r="R460" s="97"/>
      <c r="S460" s="97"/>
      <c r="T460" s="97"/>
      <c r="U460" s="97"/>
      <c r="V460" s="97"/>
      <c r="W460" s="97"/>
      <c r="X460" s="97"/>
      <c r="Y460" s="97"/>
      <c r="Z460" s="97"/>
      <c r="AA460" s="97"/>
    </row>
    <row r="461" spans="1:27" ht="17">
      <c r="A461" s="97"/>
      <c r="B461" s="97"/>
      <c r="C461" s="302"/>
      <c r="D461" s="302"/>
      <c r="E461" s="302"/>
      <c r="F461" s="302"/>
      <c r="G461" s="97"/>
      <c r="H461" s="97"/>
      <c r="I461" s="97"/>
      <c r="J461" s="97"/>
      <c r="K461" s="97"/>
      <c r="L461" s="97"/>
      <c r="M461" s="97"/>
      <c r="N461" s="97"/>
      <c r="O461" s="97"/>
      <c r="P461" s="97"/>
      <c r="Q461" s="97"/>
      <c r="R461" s="97"/>
      <c r="S461" s="97"/>
      <c r="T461" s="97"/>
      <c r="U461" s="97"/>
      <c r="V461" s="97"/>
      <c r="W461" s="97"/>
      <c r="X461" s="97"/>
      <c r="Y461" s="97"/>
      <c r="Z461" s="97"/>
      <c r="AA461" s="97"/>
    </row>
    <row r="462" spans="1:27" ht="17">
      <c r="A462" s="97"/>
      <c r="B462" s="97"/>
      <c r="C462" s="302"/>
      <c r="D462" s="302"/>
      <c r="E462" s="302"/>
      <c r="F462" s="302"/>
      <c r="G462" s="97"/>
      <c r="H462" s="97"/>
      <c r="I462" s="97"/>
      <c r="J462" s="97"/>
      <c r="K462" s="97"/>
      <c r="L462" s="97"/>
      <c r="M462" s="97"/>
      <c r="N462" s="97"/>
      <c r="O462" s="97"/>
      <c r="P462" s="97"/>
      <c r="Q462" s="97"/>
      <c r="R462" s="97"/>
      <c r="S462" s="97"/>
      <c r="T462" s="97"/>
      <c r="U462" s="97"/>
      <c r="V462" s="97"/>
      <c r="W462" s="97"/>
      <c r="X462" s="97"/>
      <c r="Y462" s="97"/>
      <c r="Z462" s="97"/>
      <c r="AA462" s="97"/>
    </row>
    <row r="463" spans="1:27" ht="17">
      <c r="A463" s="97"/>
      <c r="B463" s="97"/>
      <c r="C463" s="302"/>
      <c r="D463" s="302"/>
      <c r="E463" s="302"/>
      <c r="F463" s="302"/>
      <c r="G463" s="97"/>
      <c r="H463" s="97"/>
      <c r="I463" s="97"/>
      <c r="J463" s="97"/>
      <c r="K463" s="97"/>
      <c r="L463" s="97"/>
      <c r="M463" s="97"/>
      <c r="N463" s="97"/>
      <c r="O463" s="97"/>
      <c r="P463" s="97"/>
      <c r="Q463" s="97"/>
      <c r="R463" s="97"/>
      <c r="S463" s="97"/>
      <c r="T463" s="97"/>
      <c r="U463" s="97"/>
      <c r="V463" s="97"/>
      <c r="W463" s="97"/>
      <c r="X463" s="97"/>
      <c r="Y463" s="97"/>
      <c r="Z463" s="97"/>
      <c r="AA463" s="97"/>
    </row>
    <row r="464" spans="1:27" ht="17">
      <c r="A464" s="97"/>
      <c r="B464" s="97"/>
      <c r="C464" s="302"/>
      <c r="D464" s="302"/>
      <c r="E464" s="302"/>
      <c r="F464" s="302"/>
      <c r="G464" s="97"/>
      <c r="H464" s="97"/>
      <c r="I464" s="97"/>
      <c r="J464" s="97"/>
      <c r="K464" s="97"/>
      <c r="L464" s="97"/>
      <c r="M464" s="97"/>
      <c r="N464" s="97"/>
      <c r="O464" s="97"/>
      <c r="P464" s="97"/>
      <c r="Q464" s="97"/>
      <c r="R464" s="97"/>
      <c r="S464" s="97"/>
      <c r="T464" s="97"/>
      <c r="U464" s="97"/>
      <c r="V464" s="97"/>
      <c r="W464" s="97"/>
      <c r="X464" s="97"/>
      <c r="Y464" s="97"/>
      <c r="Z464" s="97"/>
      <c r="AA464" s="97"/>
    </row>
    <row r="465" spans="1:27" ht="17">
      <c r="A465" s="97"/>
      <c r="B465" s="97"/>
      <c r="C465" s="302"/>
      <c r="D465" s="302"/>
      <c r="E465" s="302"/>
      <c r="F465" s="302"/>
      <c r="G465" s="97"/>
      <c r="H465" s="97"/>
      <c r="I465" s="97"/>
      <c r="J465" s="97"/>
      <c r="K465" s="97"/>
      <c r="L465" s="97"/>
      <c r="M465" s="97"/>
      <c r="N465" s="97"/>
      <c r="O465" s="97"/>
      <c r="P465" s="97"/>
      <c r="Q465" s="97"/>
      <c r="R465" s="97"/>
      <c r="S465" s="97"/>
      <c r="T465" s="97"/>
      <c r="U465" s="97"/>
      <c r="V465" s="97"/>
      <c r="W465" s="97"/>
      <c r="X465" s="97"/>
      <c r="Y465" s="97"/>
      <c r="Z465" s="97"/>
      <c r="AA465" s="97"/>
    </row>
    <row r="466" spans="1:27" ht="17">
      <c r="A466" s="97"/>
      <c r="B466" s="97"/>
      <c r="C466" s="302"/>
      <c r="D466" s="302"/>
      <c r="E466" s="302"/>
      <c r="F466" s="302"/>
      <c r="G466" s="97"/>
      <c r="H466" s="97"/>
      <c r="I466" s="97"/>
      <c r="J466" s="97"/>
      <c r="K466" s="97"/>
      <c r="L466" s="97"/>
      <c r="M466" s="97"/>
      <c r="N466" s="97"/>
      <c r="O466" s="97"/>
      <c r="P466" s="97"/>
      <c r="Q466" s="97"/>
      <c r="R466" s="97"/>
      <c r="S466" s="97"/>
      <c r="T466" s="97"/>
      <c r="U466" s="97"/>
      <c r="V466" s="97"/>
      <c r="W466" s="97"/>
      <c r="X466" s="97"/>
      <c r="Y466" s="97"/>
      <c r="Z466" s="97"/>
      <c r="AA466" s="97"/>
    </row>
    <row r="467" spans="1:27" ht="17">
      <c r="A467" s="97"/>
      <c r="B467" s="97"/>
      <c r="C467" s="302"/>
      <c r="D467" s="302"/>
      <c r="E467" s="302"/>
      <c r="F467" s="302"/>
      <c r="G467" s="97"/>
      <c r="H467" s="97"/>
      <c r="I467" s="97"/>
      <c r="J467" s="97"/>
      <c r="K467" s="97"/>
      <c r="L467" s="97"/>
      <c r="M467" s="97"/>
      <c r="N467" s="97"/>
      <c r="O467" s="97"/>
      <c r="P467" s="97"/>
      <c r="Q467" s="97"/>
      <c r="R467" s="97"/>
      <c r="S467" s="97"/>
      <c r="T467" s="97"/>
      <c r="U467" s="97"/>
      <c r="V467" s="97"/>
      <c r="W467" s="97"/>
      <c r="X467" s="97"/>
      <c r="Y467" s="97"/>
      <c r="Z467" s="97"/>
      <c r="AA467" s="97"/>
    </row>
    <row r="468" spans="1:27" ht="17">
      <c r="A468" s="97"/>
      <c r="B468" s="97"/>
      <c r="C468" s="302"/>
      <c r="D468" s="302"/>
      <c r="E468" s="302"/>
      <c r="F468" s="302"/>
      <c r="G468" s="97"/>
      <c r="H468" s="97"/>
      <c r="I468" s="97"/>
      <c r="J468" s="97"/>
      <c r="K468" s="97"/>
      <c r="L468" s="97"/>
      <c r="M468" s="97"/>
      <c r="N468" s="97"/>
      <c r="O468" s="97"/>
      <c r="P468" s="97"/>
      <c r="Q468" s="97"/>
      <c r="R468" s="97"/>
      <c r="S468" s="97"/>
      <c r="T468" s="97"/>
      <c r="U468" s="97"/>
      <c r="V468" s="97"/>
      <c r="W468" s="97"/>
      <c r="X468" s="97"/>
      <c r="Y468" s="97"/>
      <c r="Z468" s="97"/>
      <c r="AA468" s="97"/>
    </row>
    <row r="469" spans="1:27" ht="17">
      <c r="A469" s="97"/>
      <c r="B469" s="97"/>
      <c r="C469" s="302"/>
      <c r="D469" s="302"/>
      <c r="E469" s="302"/>
      <c r="F469" s="302"/>
      <c r="G469" s="97"/>
      <c r="H469" s="97"/>
      <c r="I469" s="97"/>
      <c r="J469" s="97"/>
      <c r="K469" s="97"/>
      <c r="L469" s="97"/>
      <c r="M469" s="97"/>
      <c r="N469" s="97"/>
      <c r="O469" s="97"/>
      <c r="P469" s="97"/>
      <c r="Q469" s="97"/>
      <c r="R469" s="97"/>
      <c r="S469" s="97"/>
      <c r="T469" s="97"/>
      <c r="U469" s="97"/>
      <c r="V469" s="97"/>
      <c r="W469" s="97"/>
      <c r="X469" s="97"/>
      <c r="Y469" s="97"/>
      <c r="Z469" s="97"/>
      <c r="AA469" s="97"/>
    </row>
    <row r="470" spans="1:27" ht="17">
      <c r="A470" s="97"/>
      <c r="B470" s="97"/>
      <c r="C470" s="302"/>
      <c r="D470" s="302"/>
      <c r="E470" s="302"/>
      <c r="F470" s="302"/>
      <c r="G470" s="97"/>
      <c r="H470" s="97"/>
      <c r="I470" s="97"/>
      <c r="J470" s="97"/>
      <c r="K470" s="97"/>
      <c r="L470" s="97"/>
      <c r="M470" s="97"/>
      <c r="N470" s="97"/>
      <c r="O470" s="97"/>
      <c r="P470" s="97"/>
      <c r="Q470" s="97"/>
      <c r="R470" s="97"/>
      <c r="S470" s="97"/>
      <c r="T470" s="97"/>
      <c r="U470" s="97"/>
      <c r="V470" s="97"/>
      <c r="W470" s="97"/>
      <c r="X470" s="97"/>
      <c r="Y470" s="97"/>
      <c r="Z470" s="97"/>
      <c r="AA470" s="97"/>
    </row>
    <row r="471" spans="1:27" ht="17">
      <c r="A471" s="97"/>
      <c r="B471" s="97"/>
      <c r="C471" s="302"/>
      <c r="D471" s="302"/>
      <c r="E471" s="302"/>
      <c r="F471" s="302"/>
      <c r="G471" s="97"/>
      <c r="H471" s="97"/>
      <c r="I471" s="97"/>
      <c r="J471" s="97"/>
      <c r="K471" s="97"/>
      <c r="L471" s="97"/>
      <c r="M471" s="97"/>
      <c r="N471" s="97"/>
      <c r="O471" s="97"/>
      <c r="P471" s="97"/>
      <c r="Q471" s="97"/>
      <c r="R471" s="97"/>
      <c r="S471" s="97"/>
      <c r="T471" s="97"/>
      <c r="U471" s="97"/>
      <c r="V471" s="97"/>
      <c r="W471" s="97"/>
      <c r="X471" s="97"/>
      <c r="Y471" s="97"/>
      <c r="Z471" s="97"/>
      <c r="AA471" s="97"/>
    </row>
    <row r="472" spans="1:27" ht="17">
      <c r="A472" s="97"/>
      <c r="B472" s="97"/>
      <c r="C472" s="302"/>
      <c r="D472" s="302"/>
      <c r="E472" s="302"/>
      <c r="F472" s="302"/>
      <c r="G472" s="97"/>
      <c r="H472" s="97"/>
      <c r="I472" s="97"/>
      <c r="J472" s="97"/>
      <c r="K472" s="97"/>
      <c r="L472" s="97"/>
      <c r="M472" s="97"/>
      <c r="N472" s="97"/>
      <c r="O472" s="97"/>
      <c r="P472" s="97"/>
      <c r="Q472" s="97"/>
      <c r="R472" s="97"/>
      <c r="S472" s="97"/>
      <c r="T472" s="97"/>
      <c r="U472" s="97"/>
      <c r="V472" s="97"/>
      <c r="W472" s="97"/>
      <c r="X472" s="97"/>
      <c r="Y472" s="97"/>
      <c r="Z472" s="97"/>
      <c r="AA472" s="97"/>
    </row>
    <row r="473" spans="1:27" ht="17">
      <c r="A473" s="97"/>
      <c r="B473" s="97"/>
      <c r="C473" s="302"/>
      <c r="D473" s="302"/>
      <c r="E473" s="302"/>
      <c r="F473" s="302"/>
      <c r="G473" s="97"/>
      <c r="H473" s="97"/>
      <c r="I473" s="97"/>
      <c r="J473" s="97"/>
      <c r="K473" s="97"/>
      <c r="L473" s="97"/>
      <c r="M473" s="97"/>
      <c r="N473" s="97"/>
      <c r="O473" s="97"/>
      <c r="P473" s="97"/>
      <c r="Q473" s="97"/>
      <c r="R473" s="97"/>
      <c r="S473" s="97"/>
      <c r="T473" s="97"/>
      <c r="U473" s="97"/>
      <c r="V473" s="97"/>
      <c r="W473" s="97"/>
      <c r="X473" s="97"/>
      <c r="Y473" s="97"/>
      <c r="Z473" s="97"/>
      <c r="AA473" s="97"/>
    </row>
    <row r="474" spans="1:27" ht="17">
      <c r="A474" s="97"/>
      <c r="B474" s="97"/>
      <c r="C474" s="302"/>
      <c r="D474" s="302"/>
      <c r="E474" s="302"/>
      <c r="F474" s="302"/>
      <c r="G474" s="97"/>
      <c r="H474" s="97"/>
      <c r="I474" s="97"/>
      <c r="J474" s="97"/>
      <c r="K474" s="97"/>
      <c r="L474" s="97"/>
      <c r="M474" s="97"/>
      <c r="N474" s="97"/>
      <c r="O474" s="97"/>
      <c r="P474" s="97"/>
      <c r="Q474" s="97"/>
      <c r="R474" s="97"/>
      <c r="S474" s="97"/>
      <c r="T474" s="97"/>
      <c r="U474" s="97"/>
      <c r="V474" s="97"/>
      <c r="W474" s="97"/>
      <c r="X474" s="97"/>
      <c r="Y474" s="97"/>
      <c r="Z474" s="97"/>
      <c r="AA474" s="97"/>
    </row>
    <row r="475" spans="1:27" ht="17">
      <c r="A475" s="97"/>
      <c r="B475" s="97"/>
      <c r="C475" s="302"/>
      <c r="D475" s="302"/>
      <c r="E475" s="302"/>
      <c r="F475" s="302"/>
      <c r="G475" s="97"/>
      <c r="H475" s="97"/>
      <c r="I475" s="97"/>
      <c r="J475" s="97"/>
      <c r="K475" s="97"/>
      <c r="L475" s="97"/>
      <c r="M475" s="97"/>
      <c r="N475" s="97"/>
      <c r="O475" s="97"/>
      <c r="P475" s="97"/>
      <c r="Q475" s="97"/>
      <c r="R475" s="97"/>
      <c r="S475" s="97"/>
      <c r="T475" s="97"/>
      <c r="U475" s="97"/>
      <c r="V475" s="97"/>
      <c r="W475" s="97"/>
      <c r="X475" s="97"/>
      <c r="Y475" s="97"/>
      <c r="Z475" s="97"/>
      <c r="AA475" s="97"/>
    </row>
    <row r="476" spans="1:27" ht="17">
      <c r="A476" s="97"/>
      <c r="B476" s="97"/>
      <c r="C476" s="302"/>
      <c r="D476" s="302"/>
      <c r="E476" s="302"/>
      <c r="F476" s="302"/>
      <c r="G476" s="97"/>
      <c r="H476" s="97"/>
      <c r="I476" s="97"/>
      <c r="J476" s="97"/>
      <c r="K476" s="97"/>
      <c r="L476" s="97"/>
      <c r="M476" s="97"/>
      <c r="N476" s="97"/>
      <c r="O476" s="97"/>
      <c r="P476" s="97"/>
      <c r="Q476" s="97"/>
      <c r="R476" s="97"/>
      <c r="S476" s="97"/>
      <c r="T476" s="97"/>
      <c r="U476" s="97"/>
      <c r="V476" s="97"/>
      <c r="W476" s="97"/>
      <c r="X476" s="97"/>
      <c r="Y476" s="97"/>
      <c r="Z476" s="97"/>
      <c r="AA476" s="97"/>
    </row>
    <row r="477" spans="1:27" ht="17">
      <c r="A477" s="97"/>
      <c r="B477" s="97"/>
      <c r="C477" s="302"/>
      <c r="D477" s="302"/>
      <c r="E477" s="302"/>
      <c r="F477" s="302"/>
      <c r="G477" s="97"/>
      <c r="H477" s="97"/>
      <c r="I477" s="97"/>
      <c r="J477" s="97"/>
      <c r="K477" s="97"/>
      <c r="L477" s="97"/>
      <c r="M477" s="97"/>
      <c r="N477" s="97"/>
      <c r="O477" s="97"/>
      <c r="P477" s="97"/>
      <c r="Q477" s="97"/>
      <c r="R477" s="97"/>
      <c r="S477" s="97"/>
      <c r="T477" s="97"/>
      <c r="U477" s="97"/>
      <c r="V477" s="97"/>
      <c r="W477" s="97"/>
      <c r="X477" s="97"/>
      <c r="Y477" s="97"/>
      <c r="Z477" s="97"/>
      <c r="AA477" s="97"/>
    </row>
    <row r="478" spans="1:27" ht="17">
      <c r="A478" s="97"/>
      <c r="B478" s="97"/>
      <c r="C478" s="302"/>
      <c r="D478" s="302"/>
      <c r="E478" s="302"/>
      <c r="F478" s="302"/>
      <c r="G478" s="97"/>
      <c r="H478" s="97"/>
      <c r="I478" s="97"/>
      <c r="J478" s="97"/>
      <c r="K478" s="97"/>
      <c r="L478" s="97"/>
      <c r="M478" s="97"/>
      <c r="N478" s="97"/>
      <c r="O478" s="97"/>
      <c r="P478" s="97"/>
      <c r="Q478" s="97"/>
      <c r="R478" s="97"/>
      <c r="S478" s="97"/>
      <c r="T478" s="97"/>
      <c r="U478" s="97"/>
      <c r="V478" s="97"/>
      <c r="W478" s="97"/>
      <c r="X478" s="97"/>
      <c r="Y478" s="97"/>
      <c r="Z478" s="97"/>
      <c r="AA478" s="97"/>
    </row>
    <row r="479" spans="1:27" ht="17">
      <c r="A479" s="97"/>
      <c r="B479" s="97"/>
      <c r="C479" s="302"/>
      <c r="D479" s="302"/>
      <c r="E479" s="302"/>
      <c r="F479" s="302"/>
      <c r="G479" s="97"/>
      <c r="H479" s="97"/>
      <c r="I479" s="97"/>
      <c r="J479" s="97"/>
      <c r="K479" s="97"/>
      <c r="L479" s="97"/>
      <c r="M479" s="97"/>
      <c r="N479" s="97"/>
      <c r="O479" s="97"/>
      <c r="P479" s="97"/>
      <c r="Q479" s="97"/>
      <c r="R479" s="97"/>
      <c r="S479" s="97"/>
      <c r="T479" s="97"/>
      <c r="U479" s="97"/>
      <c r="V479" s="97"/>
      <c r="W479" s="97"/>
      <c r="X479" s="97"/>
      <c r="Y479" s="97"/>
      <c r="Z479" s="97"/>
      <c r="AA479" s="97"/>
    </row>
    <row r="480" spans="1:27" ht="17">
      <c r="A480" s="97"/>
      <c r="B480" s="97"/>
      <c r="C480" s="302"/>
      <c r="D480" s="302"/>
      <c r="E480" s="302"/>
      <c r="F480" s="302"/>
      <c r="G480" s="97"/>
      <c r="H480" s="97"/>
      <c r="I480" s="97"/>
      <c r="J480" s="97"/>
      <c r="K480" s="97"/>
      <c r="L480" s="97"/>
      <c r="M480" s="97"/>
      <c r="N480" s="97"/>
      <c r="O480" s="97"/>
      <c r="P480" s="97"/>
      <c r="Q480" s="97"/>
      <c r="R480" s="97"/>
      <c r="S480" s="97"/>
      <c r="T480" s="97"/>
      <c r="U480" s="97"/>
      <c r="V480" s="97"/>
      <c r="W480" s="97"/>
      <c r="X480" s="97"/>
      <c r="Y480" s="97"/>
      <c r="Z480" s="97"/>
      <c r="AA480" s="97"/>
    </row>
    <row r="481" spans="1:27" ht="17">
      <c r="A481" s="97"/>
      <c r="B481" s="97"/>
      <c r="C481" s="302"/>
      <c r="D481" s="302"/>
      <c r="E481" s="302"/>
      <c r="F481" s="302"/>
      <c r="G481" s="97"/>
      <c r="H481" s="97"/>
      <c r="I481" s="97"/>
      <c r="J481" s="97"/>
      <c r="K481" s="97"/>
      <c r="L481" s="97"/>
      <c r="M481" s="97"/>
      <c r="N481" s="97"/>
      <c r="O481" s="97"/>
      <c r="P481" s="97"/>
      <c r="Q481" s="97"/>
      <c r="R481" s="97"/>
      <c r="S481" s="97"/>
      <c r="T481" s="97"/>
      <c r="U481" s="97"/>
      <c r="V481" s="97"/>
      <c r="W481" s="97"/>
      <c r="X481" s="97"/>
      <c r="Y481" s="97"/>
      <c r="Z481" s="97"/>
      <c r="AA481" s="97"/>
    </row>
    <row r="482" spans="1:27" ht="17">
      <c r="A482" s="97"/>
      <c r="B482" s="97"/>
      <c r="C482" s="302"/>
      <c r="D482" s="302"/>
      <c r="E482" s="302"/>
      <c r="F482" s="302"/>
      <c r="G482" s="97"/>
      <c r="H482" s="97"/>
      <c r="I482" s="97"/>
      <c r="J482" s="97"/>
      <c r="K482" s="97"/>
      <c r="L482" s="97"/>
      <c r="M482" s="97"/>
      <c r="N482" s="97"/>
      <c r="O482" s="97"/>
      <c r="P482" s="97"/>
      <c r="Q482" s="97"/>
      <c r="R482" s="97"/>
      <c r="S482" s="97"/>
      <c r="T482" s="97"/>
      <c r="U482" s="97"/>
      <c r="V482" s="97"/>
      <c r="W482" s="97"/>
      <c r="X482" s="97"/>
      <c r="Y482" s="97"/>
      <c r="Z482" s="97"/>
      <c r="AA482" s="97"/>
    </row>
    <row r="483" spans="1:27" ht="17">
      <c r="A483" s="97"/>
      <c r="B483" s="97"/>
      <c r="C483" s="302"/>
      <c r="D483" s="302"/>
      <c r="E483" s="302"/>
      <c r="F483" s="302"/>
      <c r="G483" s="97"/>
      <c r="H483" s="97"/>
      <c r="I483" s="97"/>
      <c r="J483" s="97"/>
      <c r="K483" s="97"/>
      <c r="L483" s="97"/>
      <c r="M483" s="97"/>
      <c r="N483" s="97"/>
      <c r="O483" s="97"/>
      <c r="P483" s="97"/>
      <c r="Q483" s="97"/>
      <c r="R483" s="97"/>
      <c r="S483" s="97"/>
      <c r="T483" s="97"/>
      <c r="U483" s="97"/>
      <c r="V483" s="97"/>
      <c r="W483" s="97"/>
      <c r="X483" s="97"/>
      <c r="Y483" s="97"/>
      <c r="Z483" s="97"/>
      <c r="AA483" s="97"/>
    </row>
    <row r="484" spans="1:27" ht="17">
      <c r="A484" s="97"/>
      <c r="B484" s="97"/>
      <c r="C484" s="302"/>
      <c r="D484" s="302"/>
      <c r="E484" s="302"/>
      <c r="F484" s="302"/>
      <c r="G484" s="97"/>
      <c r="H484" s="97"/>
      <c r="I484" s="97"/>
      <c r="J484" s="97"/>
      <c r="K484" s="97"/>
      <c r="L484" s="97"/>
      <c r="M484" s="97"/>
      <c r="N484" s="97"/>
      <c r="O484" s="97"/>
      <c r="P484" s="97"/>
      <c r="Q484" s="97"/>
      <c r="R484" s="97"/>
      <c r="S484" s="97"/>
      <c r="T484" s="97"/>
      <c r="U484" s="97"/>
      <c r="V484" s="97"/>
      <c r="W484" s="97"/>
      <c r="X484" s="97"/>
      <c r="Y484" s="97"/>
      <c r="Z484" s="97"/>
      <c r="AA484" s="97"/>
    </row>
    <row r="485" spans="1:27" ht="17">
      <c r="A485" s="97"/>
      <c r="B485" s="97"/>
      <c r="C485" s="302"/>
      <c r="D485" s="302"/>
      <c r="E485" s="302"/>
      <c r="F485" s="302"/>
      <c r="G485" s="97"/>
      <c r="H485" s="97"/>
      <c r="I485" s="97"/>
      <c r="J485" s="97"/>
      <c r="K485" s="97"/>
      <c r="L485" s="97"/>
      <c r="M485" s="97"/>
      <c r="N485" s="97"/>
      <c r="O485" s="97"/>
      <c r="P485" s="97"/>
      <c r="Q485" s="97"/>
      <c r="R485" s="97"/>
      <c r="S485" s="97"/>
      <c r="T485" s="97"/>
      <c r="U485" s="97"/>
      <c r="V485" s="97"/>
      <c r="W485" s="97"/>
      <c r="X485" s="97"/>
      <c r="Y485" s="97"/>
      <c r="Z485" s="97"/>
      <c r="AA485" s="97"/>
    </row>
    <row r="486" spans="1:27" ht="17">
      <c r="A486" s="97"/>
      <c r="B486" s="97"/>
      <c r="C486" s="302"/>
      <c r="D486" s="302"/>
      <c r="E486" s="302"/>
      <c r="F486" s="302"/>
      <c r="G486" s="97"/>
      <c r="H486" s="97"/>
      <c r="I486" s="97"/>
      <c r="J486" s="97"/>
      <c r="K486" s="97"/>
      <c r="L486" s="97"/>
      <c r="M486" s="97"/>
      <c r="N486" s="97"/>
      <c r="O486" s="97"/>
      <c r="P486" s="97"/>
      <c r="Q486" s="97"/>
      <c r="R486" s="97"/>
      <c r="S486" s="97"/>
      <c r="T486" s="97"/>
      <c r="U486" s="97"/>
      <c r="V486" s="97"/>
      <c r="W486" s="97"/>
      <c r="X486" s="97"/>
      <c r="Y486" s="97"/>
      <c r="Z486" s="97"/>
      <c r="AA486" s="97"/>
    </row>
    <row r="487" spans="1:27" ht="17">
      <c r="A487" s="97"/>
      <c r="B487" s="97"/>
      <c r="C487" s="302"/>
      <c r="D487" s="302"/>
      <c r="E487" s="302"/>
      <c r="F487" s="302"/>
      <c r="G487" s="97"/>
      <c r="H487" s="97"/>
      <c r="I487" s="97"/>
      <c r="J487" s="97"/>
      <c r="K487" s="97"/>
      <c r="L487" s="97"/>
      <c r="M487" s="97"/>
      <c r="N487" s="97"/>
      <c r="O487" s="97"/>
      <c r="P487" s="97"/>
      <c r="Q487" s="97"/>
      <c r="R487" s="97"/>
      <c r="S487" s="97"/>
      <c r="T487" s="97"/>
      <c r="U487" s="97"/>
      <c r="V487" s="97"/>
      <c r="W487" s="97"/>
      <c r="X487" s="97"/>
      <c r="Y487" s="97"/>
      <c r="Z487" s="97"/>
      <c r="AA487" s="97"/>
    </row>
    <row r="488" spans="1:27" ht="17">
      <c r="A488" s="97"/>
      <c r="B488" s="97"/>
      <c r="C488" s="302"/>
      <c r="D488" s="302"/>
      <c r="E488" s="302"/>
      <c r="F488" s="302"/>
      <c r="G488" s="97"/>
      <c r="H488" s="97"/>
      <c r="I488" s="97"/>
      <c r="J488" s="97"/>
      <c r="K488" s="97"/>
      <c r="L488" s="97"/>
      <c r="M488" s="97"/>
      <c r="N488" s="97"/>
      <c r="O488" s="97"/>
      <c r="P488" s="97"/>
      <c r="Q488" s="97"/>
      <c r="R488" s="97"/>
      <c r="S488" s="97"/>
      <c r="T488" s="97"/>
      <c r="U488" s="97"/>
      <c r="V488" s="97"/>
      <c r="W488" s="97"/>
      <c r="X488" s="97"/>
      <c r="Y488" s="97"/>
      <c r="Z488" s="97"/>
      <c r="AA488" s="97"/>
    </row>
    <row r="489" spans="1:27" ht="17">
      <c r="A489" s="97"/>
      <c r="B489" s="97"/>
      <c r="C489" s="302"/>
      <c r="D489" s="302"/>
      <c r="E489" s="302"/>
      <c r="F489" s="302"/>
      <c r="G489" s="97"/>
      <c r="H489" s="97"/>
      <c r="I489" s="97"/>
      <c r="J489" s="97"/>
      <c r="K489" s="97"/>
      <c r="L489" s="97"/>
      <c r="M489" s="97"/>
      <c r="N489" s="97"/>
      <c r="O489" s="97"/>
      <c r="P489" s="97"/>
      <c r="Q489" s="97"/>
      <c r="R489" s="97"/>
      <c r="S489" s="97"/>
      <c r="T489" s="97"/>
      <c r="U489" s="97"/>
      <c r="V489" s="97"/>
      <c r="W489" s="97"/>
      <c r="X489" s="97"/>
      <c r="Y489" s="97"/>
      <c r="Z489" s="97"/>
      <c r="AA489" s="97"/>
    </row>
    <row r="490" spans="1:27" ht="17">
      <c r="A490" s="97"/>
      <c r="B490" s="97"/>
      <c r="C490" s="302"/>
      <c r="D490" s="302"/>
      <c r="E490" s="302"/>
      <c r="F490" s="302"/>
      <c r="G490" s="97"/>
      <c r="H490" s="97"/>
      <c r="I490" s="97"/>
      <c r="J490" s="97"/>
      <c r="K490" s="97"/>
      <c r="L490" s="97"/>
      <c r="M490" s="97"/>
      <c r="N490" s="97"/>
      <c r="O490" s="97"/>
      <c r="P490" s="97"/>
      <c r="Q490" s="97"/>
      <c r="R490" s="97"/>
      <c r="S490" s="97"/>
      <c r="T490" s="97"/>
      <c r="U490" s="97"/>
      <c r="V490" s="97"/>
      <c r="W490" s="97"/>
      <c r="X490" s="97"/>
      <c r="Y490" s="97"/>
      <c r="Z490" s="97"/>
      <c r="AA490" s="97"/>
    </row>
    <row r="491" spans="1:27" ht="17">
      <c r="A491" s="97"/>
      <c r="B491" s="97"/>
      <c r="C491" s="302"/>
      <c r="D491" s="302"/>
      <c r="E491" s="302"/>
      <c r="F491" s="302"/>
      <c r="G491" s="97"/>
      <c r="H491" s="97"/>
      <c r="I491" s="97"/>
      <c r="J491" s="97"/>
      <c r="K491" s="97"/>
      <c r="L491" s="97"/>
      <c r="M491" s="97"/>
      <c r="N491" s="97"/>
      <c r="O491" s="97"/>
      <c r="P491" s="97"/>
      <c r="Q491" s="97"/>
      <c r="R491" s="97"/>
      <c r="S491" s="97"/>
      <c r="T491" s="97"/>
      <c r="U491" s="97"/>
      <c r="V491" s="97"/>
      <c r="W491" s="97"/>
      <c r="X491" s="97"/>
      <c r="Y491" s="97"/>
      <c r="Z491" s="97"/>
      <c r="AA491" s="97"/>
    </row>
    <row r="492" spans="1:27" ht="17">
      <c r="A492" s="97"/>
      <c r="B492" s="97"/>
      <c r="C492" s="302"/>
      <c r="D492" s="302"/>
      <c r="E492" s="302"/>
      <c r="F492" s="302"/>
      <c r="G492" s="97"/>
      <c r="H492" s="97"/>
      <c r="I492" s="97"/>
      <c r="J492" s="97"/>
      <c r="K492" s="97"/>
      <c r="L492" s="97"/>
      <c r="M492" s="97"/>
      <c r="N492" s="97"/>
      <c r="O492" s="97"/>
      <c r="P492" s="97"/>
      <c r="Q492" s="97"/>
      <c r="R492" s="97"/>
      <c r="S492" s="97"/>
      <c r="T492" s="97"/>
      <c r="U492" s="97"/>
      <c r="V492" s="97"/>
      <c r="W492" s="97"/>
      <c r="X492" s="97"/>
      <c r="Y492" s="97"/>
      <c r="Z492" s="97"/>
      <c r="AA492" s="97"/>
    </row>
    <row r="493" spans="1:27" ht="17">
      <c r="A493" s="97"/>
      <c r="B493" s="97"/>
      <c r="C493" s="302"/>
      <c r="D493" s="302"/>
      <c r="E493" s="302"/>
      <c r="F493" s="302"/>
      <c r="G493" s="97"/>
      <c r="H493" s="97"/>
      <c r="I493" s="97"/>
      <c r="J493" s="97"/>
      <c r="K493" s="97"/>
      <c r="L493" s="97"/>
      <c r="M493" s="97"/>
      <c r="N493" s="97"/>
      <c r="O493" s="97"/>
      <c r="P493" s="97"/>
      <c r="Q493" s="97"/>
      <c r="R493" s="97"/>
      <c r="S493" s="97"/>
      <c r="T493" s="97"/>
      <c r="U493" s="97"/>
      <c r="V493" s="97"/>
      <c r="W493" s="97"/>
      <c r="X493" s="97"/>
      <c r="Y493" s="97"/>
      <c r="Z493" s="97"/>
      <c r="AA493" s="97"/>
    </row>
    <row r="494" spans="1:27" ht="17">
      <c r="A494" s="97"/>
      <c r="B494" s="97"/>
      <c r="C494" s="302"/>
      <c r="D494" s="302"/>
      <c r="E494" s="302"/>
      <c r="F494" s="302"/>
      <c r="G494" s="97"/>
      <c r="H494" s="97"/>
      <c r="I494" s="97"/>
      <c r="J494" s="97"/>
      <c r="K494" s="97"/>
      <c r="L494" s="97"/>
      <c r="M494" s="97"/>
      <c r="N494" s="97"/>
      <c r="O494" s="97"/>
      <c r="P494" s="97"/>
      <c r="Q494" s="97"/>
      <c r="R494" s="97"/>
      <c r="S494" s="97"/>
      <c r="T494" s="97"/>
      <c r="U494" s="97"/>
      <c r="V494" s="97"/>
      <c r="W494" s="97"/>
      <c r="X494" s="97"/>
      <c r="Y494" s="97"/>
      <c r="Z494" s="97"/>
      <c r="AA494" s="97"/>
    </row>
    <row r="495" spans="1:27" ht="17">
      <c r="A495" s="97"/>
      <c r="B495" s="97"/>
      <c r="C495" s="302"/>
      <c r="D495" s="302"/>
      <c r="E495" s="302"/>
      <c r="F495" s="302"/>
      <c r="G495" s="97"/>
      <c r="H495" s="97"/>
      <c r="I495" s="97"/>
      <c r="J495" s="97"/>
      <c r="K495" s="97"/>
      <c r="L495" s="97"/>
      <c r="M495" s="97"/>
      <c r="N495" s="97"/>
      <c r="O495" s="97"/>
      <c r="P495" s="97"/>
      <c r="Q495" s="97"/>
      <c r="R495" s="97"/>
      <c r="S495" s="97"/>
      <c r="T495" s="97"/>
      <c r="U495" s="97"/>
      <c r="V495" s="97"/>
      <c r="W495" s="97"/>
      <c r="X495" s="97"/>
      <c r="Y495" s="97"/>
      <c r="Z495" s="97"/>
      <c r="AA495" s="97"/>
    </row>
    <row r="496" spans="1:27" ht="17">
      <c r="A496" s="97"/>
      <c r="B496" s="97"/>
      <c r="C496" s="302"/>
      <c r="D496" s="302"/>
      <c r="E496" s="302"/>
      <c r="F496" s="302"/>
      <c r="G496" s="97"/>
      <c r="H496" s="97"/>
      <c r="I496" s="97"/>
      <c r="J496" s="97"/>
      <c r="K496" s="97"/>
      <c r="L496" s="97"/>
      <c r="M496" s="97"/>
      <c r="N496" s="97"/>
      <c r="O496" s="97"/>
      <c r="P496" s="97"/>
      <c r="Q496" s="97"/>
      <c r="R496" s="97"/>
      <c r="S496" s="97"/>
      <c r="T496" s="97"/>
      <c r="U496" s="97"/>
      <c r="V496" s="97"/>
      <c r="W496" s="97"/>
      <c r="X496" s="97"/>
      <c r="Y496" s="97"/>
      <c r="Z496" s="97"/>
      <c r="AA496" s="97"/>
    </row>
    <row r="497" spans="1:27" ht="17">
      <c r="A497" s="97"/>
      <c r="B497" s="97"/>
      <c r="C497" s="302"/>
      <c r="D497" s="302"/>
      <c r="E497" s="302"/>
      <c r="F497" s="302"/>
      <c r="G497" s="97"/>
      <c r="H497" s="97"/>
      <c r="I497" s="97"/>
      <c r="J497" s="97"/>
      <c r="K497" s="97"/>
      <c r="L497" s="97"/>
      <c r="M497" s="97"/>
      <c r="N497" s="97"/>
      <c r="O497" s="97"/>
      <c r="P497" s="97"/>
      <c r="Q497" s="97"/>
      <c r="R497" s="97"/>
      <c r="S497" s="97"/>
      <c r="T497" s="97"/>
      <c r="U497" s="97"/>
      <c r="V497" s="97"/>
      <c r="W497" s="97"/>
      <c r="X497" s="97"/>
      <c r="Y497" s="97"/>
      <c r="Z497" s="97"/>
      <c r="AA497" s="97"/>
    </row>
    <row r="498" spans="1:27" ht="17">
      <c r="A498" s="97"/>
      <c r="B498" s="97"/>
      <c r="C498" s="302"/>
      <c r="D498" s="302"/>
      <c r="E498" s="302"/>
      <c r="F498" s="302"/>
      <c r="G498" s="97"/>
      <c r="H498" s="97"/>
      <c r="I498" s="97"/>
      <c r="J498" s="97"/>
      <c r="K498" s="97"/>
      <c r="L498" s="97"/>
      <c r="M498" s="97"/>
      <c r="N498" s="97"/>
      <c r="O498" s="97"/>
      <c r="P498" s="97"/>
      <c r="Q498" s="97"/>
      <c r="R498" s="97"/>
      <c r="S498" s="97"/>
      <c r="T498" s="97"/>
      <c r="U498" s="97"/>
      <c r="V498" s="97"/>
      <c r="W498" s="97"/>
      <c r="X498" s="97"/>
      <c r="Y498" s="97"/>
      <c r="Z498" s="97"/>
      <c r="AA498" s="97"/>
    </row>
    <row r="499" spans="1:27" ht="17">
      <c r="A499" s="97"/>
      <c r="B499" s="97"/>
      <c r="C499" s="302"/>
      <c r="D499" s="302"/>
      <c r="E499" s="302"/>
      <c r="F499" s="302"/>
      <c r="G499" s="97"/>
      <c r="H499" s="97"/>
      <c r="I499" s="97"/>
      <c r="J499" s="97"/>
      <c r="K499" s="97"/>
      <c r="L499" s="97"/>
      <c r="M499" s="97"/>
      <c r="N499" s="97"/>
      <c r="O499" s="97"/>
      <c r="P499" s="97"/>
      <c r="Q499" s="97"/>
      <c r="R499" s="97"/>
      <c r="S499" s="97"/>
      <c r="T499" s="97"/>
      <c r="U499" s="97"/>
      <c r="V499" s="97"/>
      <c r="W499" s="97"/>
      <c r="X499" s="97"/>
      <c r="Y499" s="97"/>
      <c r="Z499" s="97"/>
      <c r="AA499" s="97"/>
    </row>
    <row r="500" spans="1:27" ht="17">
      <c r="A500" s="97"/>
      <c r="B500" s="97"/>
      <c r="C500" s="302"/>
      <c r="D500" s="302"/>
      <c r="E500" s="302"/>
      <c r="F500" s="302"/>
      <c r="G500" s="97"/>
      <c r="H500" s="97"/>
      <c r="I500" s="97"/>
      <c r="J500" s="97"/>
      <c r="K500" s="97"/>
      <c r="L500" s="97"/>
      <c r="M500" s="97"/>
      <c r="N500" s="97"/>
      <c r="O500" s="97"/>
      <c r="P500" s="97"/>
      <c r="Q500" s="97"/>
      <c r="R500" s="97"/>
      <c r="S500" s="97"/>
      <c r="T500" s="97"/>
      <c r="U500" s="97"/>
      <c r="V500" s="97"/>
      <c r="W500" s="97"/>
      <c r="X500" s="97"/>
      <c r="Y500" s="97"/>
      <c r="Z500" s="97"/>
      <c r="AA500" s="97"/>
    </row>
    <row r="501" spans="1:27" ht="17">
      <c r="A501" s="97"/>
      <c r="B501" s="97"/>
      <c r="C501" s="302"/>
      <c r="D501" s="302"/>
      <c r="E501" s="302"/>
      <c r="F501" s="302"/>
      <c r="G501" s="97"/>
      <c r="H501" s="97"/>
      <c r="I501" s="97"/>
      <c r="J501" s="97"/>
      <c r="K501" s="97"/>
      <c r="L501" s="97"/>
      <c r="M501" s="97"/>
      <c r="N501" s="97"/>
      <c r="O501" s="97"/>
      <c r="P501" s="97"/>
      <c r="Q501" s="97"/>
      <c r="R501" s="97"/>
      <c r="S501" s="97"/>
      <c r="T501" s="97"/>
      <c r="U501" s="97"/>
      <c r="V501" s="97"/>
      <c r="W501" s="97"/>
      <c r="X501" s="97"/>
      <c r="Y501" s="97"/>
      <c r="Z501" s="97"/>
      <c r="AA501" s="97"/>
    </row>
    <row r="502" spans="1:27" ht="17">
      <c r="A502" s="97"/>
      <c r="B502" s="97"/>
      <c r="C502" s="302"/>
      <c r="D502" s="302"/>
      <c r="E502" s="302"/>
      <c r="F502" s="302"/>
      <c r="G502" s="97"/>
      <c r="H502" s="97"/>
      <c r="I502" s="97"/>
      <c r="J502" s="97"/>
      <c r="K502" s="97"/>
      <c r="L502" s="97"/>
      <c r="M502" s="97"/>
      <c r="N502" s="97"/>
      <c r="O502" s="97"/>
      <c r="P502" s="97"/>
      <c r="Q502" s="97"/>
      <c r="R502" s="97"/>
      <c r="S502" s="97"/>
      <c r="T502" s="97"/>
      <c r="U502" s="97"/>
      <c r="V502" s="97"/>
      <c r="W502" s="97"/>
      <c r="X502" s="97"/>
      <c r="Y502" s="97"/>
      <c r="Z502" s="97"/>
      <c r="AA502" s="97"/>
    </row>
    <row r="503" spans="1:27" ht="17">
      <c r="A503" s="97"/>
      <c r="B503" s="97"/>
      <c r="C503" s="302"/>
      <c r="D503" s="302"/>
      <c r="E503" s="302"/>
      <c r="F503" s="302"/>
      <c r="G503" s="97"/>
      <c r="H503" s="97"/>
      <c r="I503" s="97"/>
      <c r="J503" s="97"/>
      <c r="K503" s="97"/>
      <c r="L503" s="97"/>
      <c r="M503" s="97"/>
      <c r="N503" s="97"/>
      <c r="O503" s="97"/>
      <c r="P503" s="97"/>
      <c r="Q503" s="97"/>
      <c r="R503" s="97"/>
      <c r="S503" s="97"/>
      <c r="T503" s="97"/>
      <c r="U503" s="97"/>
      <c r="V503" s="97"/>
      <c r="W503" s="97"/>
      <c r="X503" s="97"/>
      <c r="Y503" s="97"/>
      <c r="Z503" s="97"/>
      <c r="AA503" s="97"/>
    </row>
    <row r="504" spans="1:27" ht="17">
      <c r="A504" s="97"/>
      <c r="B504" s="97"/>
      <c r="C504" s="302"/>
      <c r="D504" s="302"/>
      <c r="E504" s="302"/>
      <c r="F504" s="302"/>
      <c r="G504" s="97"/>
      <c r="H504" s="97"/>
      <c r="I504" s="97"/>
      <c r="J504" s="97"/>
      <c r="K504" s="97"/>
      <c r="L504" s="97"/>
      <c r="M504" s="97"/>
      <c r="N504" s="97"/>
      <c r="O504" s="97"/>
      <c r="P504" s="97"/>
      <c r="Q504" s="97"/>
      <c r="R504" s="97"/>
      <c r="S504" s="97"/>
      <c r="T504" s="97"/>
      <c r="U504" s="97"/>
      <c r="V504" s="97"/>
      <c r="W504" s="97"/>
      <c r="X504" s="97"/>
      <c r="Y504" s="97"/>
      <c r="Z504" s="97"/>
      <c r="AA504" s="97"/>
    </row>
    <row r="505" spans="1:27" ht="17">
      <c r="A505" s="97"/>
      <c r="B505" s="97"/>
      <c r="C505" s="302"/>
      <c r="D505" s="302"/>
      <c r="E505" s="302"/>
      <c r="F505" s="302"/>
      <c r="G505" s="97"/>
      <c r="H505" s="97"/>
      <c r="I505" s="97"/>
      <c r="J505" s="97"/>
      <c r="K505" s="97"/>
      <c r="L505" s="97"/>
      <c r="M505" s="97"/>
      <c r="N505" s="97"/>
      <c r="O505" s="97"/>
      <c r="P505" s="97"/>
      <c r="Q505" s="97"/>
      <c r="R505" s="97"/>
      <c r="S505" s="97"/>
      <c r="T505" s="97"/>
      <c r="U505" s="97"/>
      <c r="V505" s="97"/>
      <c r="W505" s="97"/>
      <c r="X505" s="97"/>
      <c r="Y505" s="97"/>
      <c r="Z505" s="97"/>
      <c r="AA505" s="97"/>
    </row>
    <row r="506" spans="1:27" ht="17">
      <c r="A506" s="97"/>
      <c r="B506" s="97"/>
      <c r="C506" s="302"/>
      <c r="D506" s="302"/>
      <c r="E506" s="302"/>
      <c r="F506" s="302"/>
      <c r="G506" s="97"/>
      <c r="H506" s="97"/>
      <c r="I506" s="97"/>
      <c r="J506" s="97"/>
      <c r="K506" s="97"/>
      <c r="L506" s="97"/>
      <c r="M506" s="97"/>
      <c r="N506" s="97"/>
      <c r="O506" s="97"/>
      <c r="P506" s="97"/>
      <c r="Q506" s="97"/>
      <c r="R506" s="97"/>
      <c r="S506" s="97"/>
      <c r="T506" s="97"/>
      <c r="U506" s="97"/>
      <c r="V506" s="97"/>
      <c r="W506" s="97"/>
      <c r="X506" s="97"/>
      <c r="Y506" s="97"/>
      <c r="Z506" s="97"/>
      <c r="AA506" s="97"/>
    </row>
    <row r="507" spans="1:27" ht="17">
      <c r="A507" s="97"/>
      <c r="B507" s="97"/>
      <c r="C507" s="302"/>
      <c r="D507" s="302"/>
      <c r="E507" s="302"/>
      <c r="F507" s="302"/>
      <c r="G507" s="97"/>
      <c r="H507" s="97"/>
      <c r="I507" s="97"/>
      <c r="J507" s="97"/>
      <c r="K507" s="97"/>
      <c r="L507" s="97"/>
      <c r="M507" s="97"/>
      <c r="N507" s="97"/>
      <c r="O507" s="97"/>
      <c r="P507" s="97"/>
      <c r="Q507" s="97"/>
      <c r="R507" s="97"/>
      <c r="S507" s="97"/>
      <c r="T507" s="97"/>
      <c r="U507" s="97"/>
      <c r="V507" s="97"/>
      <c r="W507" s="97"/>
      <c r="X507" s="97"/>
      <c r="Y507" s="97"/>
      <c r="Z507" s="97"/>
      <c r="AA507" s="97"/>
    </row>
    <row r="508" spans="1:27" ht="17">
      <c r="A508" s="97"/>
      <c r="B508" s="97"/>
      <c r="C508" s="302"/>
      <c r="D508" s="302"/>
      <c r="E508" s="302"/>
      <c r="F508" s="302"/>
      <c r="G508" s="97"/>
      <c r="H508" s="97"/>
      <c r="I508" s="97"/>
      <c r="J508" s="97"/>
      <c r="K508" s="97"/>
      <c r="L508" s="97"/>
      <c r="M508" s="97"/>
      <c r="N508" s="97"/>
      <c r="O508" s="97"/>
      <c r="P508" s="97"/>
      <c r="Q508" s="97"/>
      <c r="R508" s="97"/>
      <c r="S508" s="97"/>
      <c r="T508" s="97"/>
      <c r="U508" s="97"/>
      <c r="V508" s="97"/>
      <c r="W508" s="97"/>
      <c r="X508" s="97"/>
      <c r="Y508" s="97"/>
      <c r="Z508" s="97"/>
      <c r="AA508" s="97"/>
    </row>
    <row r="509" spans="1:27" ht="17">
      <c r="A509" s="97"/>
      <c r="B509" s="97"/>
      <c r="C509" s="302"/>
      <c r="D509" s="302"/>
      <c r="E509" s="302"/>
      <c r="F509" s="302"/>
      <c r="G509" s="97"/>
      <c r="H509" s="97"/>
      <c r="I509" s="97"/>
      <c r="J509" s="97"/>
      <c r="K509" s="97"/>
      <c r="L509" s="97"/>
      <c r="M509" s="97"/>
      <c r="N509" s="97"/>
      <c r="O509" s="97"/>
      <c r="P509" s="97"/>
      <c r="Q509" s="97"/>
      <c r="R509" s="97"/>
      <c r="S509" s="97"/>
      <c r="T509" s="97"/>
      <c r="U509" s="97"/>
      <c r="V509" s="97"/>
      <c r="W509" s="97"/>
      <c r="X509" s="97"/>
      <c r="Y509" s="97"/>
      <c r="Z509" s="97"/>
      <c r="AA509" s="97"/>
    </row>
    <row r="510" spans="1:27" ht="17">
      <c r="A510" s="97"/>
      <c r="B510" s="97"/>
      <c r="C510" s="302"/>
      <c r="D510" s="302"/>
      <c r="E510" s="302"/>
      <c r="F510" s="302"/>
      <c r="G510" s="97"/>
      <c r="H510" s="97"/>
      <c r="I510" s="97"/>
      <c r="J510" s="97"/>
      <c r="K510" s="97"/>
      <c r="L510" s="97"/>
      <c r="M510" s="97"/>
      <c r="N510" s="97"/>
      <c r="O510" s="97"/>
      <c r="P510" s="97"/>
      <c r="Q510" s="97"/>
      <c r="R510" s="97"/>
      <c r="S510" s="97"/>
      <c r="T510" s="97"/>
      <c r="U510" s="97"/>
      <c r="V510" s="97"/>
      <c r="W510" s="97"/>
      <c r="X510" s="97"/>
      <c r="Y510" s="97"/>
      <c r="Z510" s="97"/>
      <c r="AA510" s="97"/>
    </row>
    <row r="511" spans="1:27" ht="17">
      <c r="A511" s="97"/>
      <c r="B511" s="97"/>
      <c r="C511" s="302"/>
      <c r="D511" s="302"/>
      <c r="E511" s="302"/>
      <c r="F511" s="302"/>
      <c r="G511" s="97"/>
      <c r="H511" s="97"/>
      <c r="I511" s="97"/>
      <c r="J511" s="97"/>
      <c r="K511" s="97"/>
      <c r="L511" s="97"/>
      <c r="M511" s="97"/>
      <c r="N511" s="97"/>
      <c r="O511" s="97"/>
      <c r="P511" s="97"/>
      <c r="Q511" s="97"/>
      <c r="R511" s="97"/>
      <c r="S511" s="97"/>
      <c r="T511" s="97"/>
      <c r="U511" s="97"/>
      <c r="V511" s="97"/>
      <c r="W511" s="97"/>
      <c r="X511" s="97"/>
      <c r="Y511" s="97"/>
      <c r="Z511" s="97"/>
      <c r="AA511" s="97"/>
    </row>
    <row r="512" spans="1:27" ht="17">
      <c r="A512" s="97"/>
      <c r="B512" s="97"/>
      <c r="C512" s="302"/>
      <c r="D512" s="302"/>
      <c r="E512" s="302"/>
      <c r="F512" s="302"/>
      <c r="G512" s="97"/>
      <c r="H512" s="97"/>
      <c r="I512" s="97"/>
      <c r="J512" s="97"/>
      <c r="K512" s="97"/>
      <c r="L512" s="97"/>
      <c r="M512" s="97"/>
      <c r="N512" s="97"/>
      <c r="O512" s="97"/>
      <c r="P512" s="97"/>
      <c r="Q512" s="97"/>
      <c r="R512" s="97"/>
      <c r="S512" s="97"/>
      <c r="T512" s="97"/>
      <c r="U512" s="97"/>
      <c r="V512" s="97"/>
      <c r="W512" s="97"/>
      <c r="X512" s="97"/>
      <c r="Y512" s="97"/>
      <c r="Z512" s="97"/>
      <c r="AA512" s="97"/>
    </row>
    <row r="513" spans="1:27" ht="17">
      <c r="A513" s="97"/>
      <c r="B513" s="97"/>
      <c r="C513" s="302"/>
      <c r="D513" s="302"/>
      <c r="E513" s="302"/>
      <c r="F513" s="302"/>
      <c r="G513" s="97"/>
      <c r="H513" s="97"/>
      <c r="I513" s="97"/>
      <c r="J513" s="97"/>
      <c r="K513" s="97"/>
      <c r="L513" s="97"/>
      <c r="M513" s="97"/>
      <c r="N513" s="97"/>
      <c r="O513" s="97"/>
      <c r="P513" s="97"/>
      <c r="Q513" s="97"/>
      <c r="R513" s="97"/>
      <c r="S513" s="97"/>
      <c r="T513" s="97"/>
      <c r="U513" s="97"/>
      <c r="V513" s="97"/>
      <c r="W513" s="97"/>
      <c r="X513" s="97"/>
      <c r="Y513" s="97"/>
      <c r="Z513" s="97"/>
      <c r="AA513" s="97"/>
    </row>
    <row r="514" spans="1:27" ht="17">
      <c r="A514" s="97"/>
      <c r="B514" s="97"/>
      <c r="C514" s="302"/>
      <c r="D514" s="302"/>
      <c r="E514" s="302"/>
      <c r="F514" s="302"/>
      <c r="G514" s="97"/>
      <c r="H514" s="97"/>
      <c r="I514" s="97"/>
      <c r="J514" s="97"/>
      <c r="K514" s="97"/>
      <c r="L514" s="97"/>
      <c r="M514" s="97"/>
      <c r="N514" s="97"/>
      <c r="O514" s="97"/>
      <c r="P514" s="97"/>
      <c r="Q514" s="97"/>
      <c r="R514" s="97"/>
      <c r="S514" s="97"/>
      <c r="T514" s="97"/>
      <c r="U514" s="97"/>
      <c r="V514" s="97"/>
      <c r="W514" s="97"/>
      <c r="X514" s="97"/>
      <c r="Y514" s="97"/>
      <c r="Z514" s="97"/>
      <c r="AA514" s="97"/>
    </row>
    <row r="515" spans="1:27" ht="17">
      <c r="A515" s="97"/>
      <c r="B515" s="97"/>
      <c r="C515" s="302"/>
      <c r="D515" s="302"/>
      <c r="E515" s="302"/>
      <c r="F515" s="302"/>
      <c r="G515" s="97"/>
      <c r="H515" s="97"/>
      <c r="I515" s="97"/>
      <c r="J515" s="97"/>
      <c r="K515" s="97"/>
      <c r="L515" s="97"/>
      <c r="M515" s="97"/>
      <c r="N515" s="97"/>
      <c r="O515" s="97"/>
      <c r="P515" s="97"/>
      <c r="Q515" s="97"/>
      <c r="R515" s="97"/>
      <c r="S515" s="97"/>
      <c r="T515" s="97"/>
      <c r="U515" s="97"/>
      <c r="V515" s="97"/>
      <c r="W515" s="97"/>
      <c r="X515" s="97"/>
      <c r="Y515" s="97"/>
      <c r="Z515" s="97"/>
      <c r="AA515" s="97"/>
    </row>
    <row r="516" spans="1:27" ht="17">
      <c r="A516" s="97"/>
      <c r="B516" s="97"/>
      <c r="C516" s="302"/>
      <c r="D516" s="302"/>
      <c r="E516" s="302"/>
      <c r="F516" s="302"/>
      <c r="G516" s="97"/>
      <c r="H516" s="97"/>
      <c r="I516" s="97"/>
      <c r="J516" s="97"/>
      <c r="K516" s="97"/>
      <c r="L516" s="97"/>
      <c r="M516" s="97"/>
      <c r="N516" s="97"/>
      <c r="O516" s="97"/>
      <c r="P516" s="97"/>
      <c r="Q516" s="97"/>
      <c r="R516" s="97"/>
      <c r="S516" s="97"/>
      <c r="T516" s="97"/>
      <c r="U516" s="97"/>
      <c r="V516" s="97"/>
      <c r="W516" s="97"/>
      <c r="X516" s="97"/>
      <c r="Y516" s="97"/>
      <c r="Z516" s="97"/>
      <c r="AA516" s="97"/>
    </row>
    <row r="517" spans="1:27" ht="17">
      <c r="A517" s="97"/>
      <c r="B517" s="97"/>
      <c r="C517" s="302"/>
      <c r="D517" s="302"/>
      <c r="E517" s="302"/>
      <c r="F517" s="302"/>
      <c r="G517" s="97"/>
      <c r="H517" s="97"/>
      <c r="I517" s="97"/>
      <c r="J517" s="97"/>
      <c r="K517" s="97"/>
      <c r="L517" s="97"/>
      <c r="M517" s="97"/>
      <c r="N517" s="97"/>
      <c r="O517" s="97"/>
      <c r="P517" s="97"/>
      <c r="Q517" s="97"/>
      <c r="R517" s="97"/>
      <c r="S517" s="97"/>
      <c r="T517" s="97"/>
      <c r="U517" s="97"/>
      <c r="V517" s="97"/>
      <c r="W517" s="97"/>
      <c r="X517" s="97"/>
      <c r="Y517" s="97"/>
      <c r="Z517" s="97"/>
      <c r="AA517" s="97"/>
    </row>
    <row r="518" spans="1:27" ht="17">
      <c r="A518" s="97"/>
      <c r="B518" s="97"/>
      <c r="C518" s="302"/>
      <c r="D518" s="302"/>
      <c r="E518" s="302"/>
      <c r="F518" s="302"/>
      <c r="G518" s="97"/>
      <c r="H518" s="97"/>
      <c r="I518" s="97"/>
      <c r="J518" s="97"/>
      <c r="K518" s="97"/>
      <c r="L518" s="97"/>
      <c r="M518" s="97"/>
      <c r="N518" s="97"/>
      <c r="O518" s="97"/>
      <c r="P518" s="97"/>
      <c r="Q518" s="97"/>
      <c r="R518" s="97"/>
      <c r="S518" s="97"/>
      <c r="T518" s="97"/>
      <c r="U518" s="97"/>
      <c r="V518" s="97"/>
      <c r="W518" s="97"/>
      <c r="X518" s="97"/>
      <c r="Y518" s="97"/>
      <c r="Z518" s="97"/>
      <c r="AA518" s="97"/>
    </row>
    <row r="519" spans="1:27" ht="17">
      <c r="A519" s="97"/>
      <c r="B519" s="97"/>
      <c r="C519" s="302"/>
      <c r="D519" s="302"/>
      <c r="E519" s="302"/>
      <c r="F519" s="302"/>
      <c r="G519" s="97"/>
      <c r="H519" s="97"/>
      <c r="I519" s="97"/>
      <c r="J519" s="97"/>
      <c r="K519" s="97"/>
      <c r="L519" s="97"/>
      <c r="M519" s="97"/>
      <c r="N519" s="97"/>
      <c r="O519" s="97"/>
      <c r="P519" s="97"/>
      <c r="Q519" s="97"/>
      <c r="R519" s="97"/>
      <c r="S519" s="97"/>
      <c r="T519" s="97"/>
      <c r="U519" s="97"/>
      <c r="V519" s="97"/>
      <c r="W519" s="97"/>
      <c r="X519" s="97"/>
      <c r="Y519" s="97"/>
      <c r="Z519" s="97"/>
      <c r="AA519" s="97"/>
    </row>
    <row r="520" spans="1:27" ht="17">
      <c r="A520" s="97"/>
      <c r="B520" s="97"/>
      <c r="C520" s="302"/>
      <c r="D520" s="302"/>
      <c r="E520" s="302"/>
      <c r="F520" s="302"/>
      <c r="G520" s="97"/>
      <c r="H520" s="97"/>
      <c r="I520" s="97"/>
      <c r="J520" s="97"/>
      <c r="K520" s="97"/>
      <c r="L520" s="97"/>
      <c r="M520" s="97"/>
      <c r="N520" s="97"/>
      <c r="O520" s="97"/>
      <c r="P520" s="97"/>
      <c r="Q520" s="97"/>
      <c r="R520" s="97"/>
      <c r="S520" s="97"/>
      <c r="T520" s="97"/>
      <c r="U520" s="97"/>
      <c r="V520" s="97"/>
      <c r="W520" s="97"/>
      <c r="X520" s="97"/>
      <c r="Y520" s="97"/>
      <c r="Z520" s="97"/>
      <c r="AA520" s="97"/>
    </row>
    <row r="521" spans="1:27" ht="17">
      <c r="A521" s="97"/>
      <c r="B521" s="97"/>
      <c r="C521" s="302"/>
      <c r="D521" s="302"/>
      <c r="E521" s="302"/>
      <c r="F521" s="302"/>
      <c r="G521" s="97"/>
      <c r="H521" s="97"/>
      <c r="I521" s="97"/>
      <c r="J521" s="97"/>
      <c r="K521" s="97"/>
      <c r="L521" s="97"/>
      <c r="M521" s="97"/>
      <c r="N521" s="97"/>
      <c r="O521" s="97"/>
      <c r="P521" s="97"/>
      <c r="Q521" s="97"/>
      <c r="R521" s="97"/>
      <c r="S521" s="97"/>
      <c r="T521" s="97"/>
      <c r="U521" s="97"/>
      <c r="V521" s="97"/>
      <c r="W521" s="97"/>
      <c r="X521" s="97"/>
      <c r="Y521" s="97"/>
      <c r="Z521" s="97"/>
      <c r="AA521" s="97"/>
    </row>
    <row r="522" spans="1:27" ht="17">
      <c r="A522" s="97"/>
      <c r="B522" s="97"/>
      <c r="C522" s="302"/>
      <c r="D522" s="302"/>
      <c r="E522" s="302"/>
      <c r="F522" s="302"/>
      <c r="G522" s="97"/>
      <c r="H522" s="97"/>
      <c r="I522" s="97"/>
      <c r="J522" s="97"/>
      <c r="K522" s="97"/>
      <c r="L522" s="97"/>
      <c r="M522" s="97"/>
      <c r="N522" s="97"/>
      <c r="O522" s="97"/>
      <c r="P522" s="97"/>
      <c r="Q522" s="97"/>
      <c r="R522" s="97"/>
      <c r="S522" s="97"/>
      <c r="T522" s="97"/>
      <c r="U522" s="97"/>
      <c r="V522" s="97"/>
      <c r="W522" s="97"/>
      <c r="X522" s="97"/>
      <c r="Y522" s="97"/>
      <c r="Z522" s="97"/>
      <c r="AA522" s="97"/>
    </row>
    <row r="523" spans="1:27" ht="17">
      <c r="A523" s="97"/>
      <c r="B523" s="97"/>
      <c r="C523" s="302"/>
      <c r="D523" s="302"/>
      <c r="E523" s="302"/>
      <c r="F523" s="302"/>
      <c r="G523" s="97"/>
      <c r="H523" s="97"/>
      <c r="I523" s="97"/>
      <c r="J523" s="97"/>
      <c r="K523" s="97"/>
      <c r="L523" s="97"/>
      <c r="M523" s="97"/>
      <c r="N523" s="97"/>
      <c r="O523" s="97"/>
      <c r="P523" s="97"/>
      <c r="Q523" s="97"/>
      <c r="R523" s="97"/>
      <c r="S523" s="97"/>
      <c r="T523" s="97"/>
      <c r="U523" s="97"/>
      <c r="V523" s="97"/>
      <c r="W523" s="97"/>
      <c r="X523" s="97"/>
      <c r="Y523" s="97"/>
      <c r="Z523" s="97"/>
      <c r="AA523" s="97"/>
    </row>
    <row r="524" spans="1:27" ht="17">
      <c r="A524" s="97"/>
      <c r="B524" s="97"/>
      <c r="C524" s="302"/>
      <c r="D524" s="302"/>
      <c r="E524" s="302"/>
      <c r="F524" s="302"/>
      <c r="G524" s="97"/>
      <c r="H524" s="97"/>
      <c r="I524" s="97"/>
      <c r="J524" s="97"/>
      <c r="K524" s="97"/>
      <c r="L524" s="97"/>
      <c r="M524" s="97"/>
      <c r="N524" s="97"/>
      <c r="O524" s="97"/>
      <c r="P524" s="97"/>
      <c r="Q524" s="97"/>
      <c r="R524" s="97"/>
      <c r="S524" s="97"/>
      <c r="T524" s="97"/>
      <c r="U524" s="97"/>
      <c r="V524" s="97"/>
      <c r="W524" s="97"/>
      <c r="X524" s="97"/>
      <c r="Y524" s="97"/>
      <c r="Z524" s="97"/>
      <c r="AA524" s="97"/>
    </row>
    <row r="525" spans="1:27" ht="17">
      <c r="A525" s="97"/>
      <c r="B525" s="97"/>
      <c r="C525" s="302"/>
      <c r="D525" s="302"/>
      <c r="E525" s="302"/>
      <c r="F525" s="302"/>
      <c r="G525" s="97"/>
      <c r="H525" s="97"/>
      <c r="I525" s="97"/>
      <c r="J525" s="97"/>
      <c r="K525" s="97"/>
      <c r="L525" s="97"/>
      <c r="M525" s="97"/>
      <c r="N525" s="97"/>
      <c r="O525" s="97"/>
      <c r="P525" s="97"/>
      <c r="Q525" s="97"/>
      <c r="R525" s="97"/>
      <c r="S525" s="97"/>
      <c r="T525" s="97"/>
      <c r="U525" s="97"/>
      <c r="V525" s="97"/>
      <c r="W525" s="97"/>
      <c r="X525" s="97"/>
      <c r="Y525" s="97"/>
      <c r="Z525" s="97"/>
      <c r="AA525" s="97"/>
    </row>
    <row r="526" spans="1:27" ht="17">
      <c r="A526" s="97"/>
      <c r="B526" s="97"/>
      <c r="C526" s="302"/>
      <c r="D526" s="302"/>
      <c r="E526" s="302"/>
      <c r="F526" s="302"/>
      <c r="G526" s="97"/>
      <c r="H526" s="97"/>
      <c r="I526" s="97"/>
      <c r="J526" s="97"/>
      <c r="K526" s="97"/>
      <c r="L526" s="97"/>
      <c r="M526" s="97"/>
      <c r="N526" s="97"/>
      <c r="O526" s="97"/>
      <c r="P526" s="97"/>
      <c r="Q526" s="97"/>
      <c r="R526" s="97"/>
      <c r="S526" s="97"/>
      <c r="T526" s="97"/>
      <c r="U526" s="97"/>
      <c r="V526" s="97"/>
      <c r="W526" s="97"/>
      <c r="X526" s="97"/>
      <c r="Y526" s="97"/>
      <c r="Z526" s="97"/>
      <c r="AA526" s="97"/>
    </row>
    <row r="527" spans="1:27" ht="17">
      <c r="A527" s="97"/>
      <c r="B527" s="97"/>
      <c r="C527" s="302"/>
      <c r="D527" s="302"/>
      <c r="E527" s="302"/>
      <c r="F527" s="302"/>
      <c r="G527" s="97"/>
      <c r="H527" s="97"/>
      <c r="I527" s="97"/>
      <c r="J527" s="97"/>
      <c r="K527" s="97"/>
      <c r="L527" s="97"/>
      <c r="M527" s="97"/>
      <c r="N527" s="97"/>
      <c r="O527" s="97"/>
      <c r="P527" s="97"/>
      <c r="Q527" s="97"/>
      <c r="R527" s="97"/>
      <c r="S527" s="97"/>
      <c r="T527" s="97"/>
      <c r="U527" s="97"/>
      <c r="V527" s="97"/>
      <c r="W527" s="97"/>
      <c r="X527" s="97"/>
      <c r="Y527" s="97"/>
      <c r="Z527" s="97"/>
      <c r="AA527" s="97"/>
    </row>
    <row r="528" spans="1:27" ht="17">
      <c r="A528" s="97"/>
      <c r="B528" s="97"/>
      <c r="C528" s="302"/>
      <c r="D528" s="302"/>
      <c r="E528" s="302"/>
      <c r="F528" s="302"/>
      <c r="G528" s="97"/>
      <c r="H528" s="97"/>
      <c r="I528" s="97"/>
      <c r="J528" s="97"/>
      <c r="K528" s="97"/>
      <c r="L528" s="97"/>
      <c r="M528" s="97"/>
      <c r="N528" s="97"/>
      <c r="O528" s="97"/>
      <c r="P528" s="97"/>
      <c r="Q528" s="97"/>
      <c r="R528" s="97"/>
      <c r="S528" s="97"/>
      <c r="T528" s="97"/>
      <c r="U528" s="97"/>
      <c r="V528" s="97"/>
      <c r="W528" s="97"/>
      <c r="X528" s="97"/>
      <c r="Y528" s="97"/>
      <c r="Z528" s="97"/>
      <c r="AA528" s="97"/>
    </row>
    <row r="529" spans="1:27" ht="17">
      <c r="A529" s="97"/>
      <c r="B529" s="97"/>
      <c r="C529" s="302"/>
      <c r="D529" s="302"/>
      <c r="E529" s="302"/>
      <c r="F529" s="302"/>
      <c r="G529" s="97"/>
      <c r="H529" s="97"/>
      <c r="I529" s="97"/>
      <c r="J529" s="97"/>
      <c r="K529" s="97"/>
      <c r="L529" s="97"/>
      <c r="M529" s="97"/>
      <c r="N529" s="97"/>
      <c r="O529" s="97"/>
      <c r="P529" s="97"/>
      <c r="Q529" s="97"/>
      <c r="R529" s="97"/>
      <c r="S529" s="97"/>
      <c r="T529" s="97"/>
      <c r="U529" s="97"/>
      <c r="V529" s="97"/>
      <c r="W529" s="97"/>
      <c r="X529" s="97"/>
      <c r="Y529" s="97"/>
      <c r="Z529" s="97"/>
      <c r="AA529" s="97"/>
    </row>
    <row r="530" spans="1:27" ht="17">
      <c r="A530" s="97"/>
      <c r="B530" s="97"/>
      <c r="C530" s="302"/>
      <c r="D530" s="302"/>
      <c r="E530" s="302"/>
      <c r="F530" s="302"/>
      <c r="G530" s="97"/>
      <c r="H530" s="97"/>
      <c r="I530" s="97"/>
      <c r="J530" s="97"/>
      <c r="K530" s="97"/>
      <c r="L530" s="97"/>
      <c r="M530" s="97"/>
      <c r="N530" s="97"/>
      <c r="O530" s="97"/>
      <c r="P530" s="97"/>
      <c r="Q530" s="97"/>
      <c r="R530" s="97"/>
      <c r="S530" s="97"/>
      <c r="T530" s="97"/>
      <c r="U530" s="97"/>
      <c r="V530" s="97"/>
      <c r="W530" s="97"/>
      <c r="X530" s="97"/>
      <c r="Y530" s="97"/>
      <c r="Z530" s="97"/>
      <c r="AA530" s="97"/>
    </row>
    <row r="531" spans="1:27" ht="17">
      <c r="A531" s="97"/>
      <c r="B531" s="97"/>
      <c r="C531" s="302"/>
      <c r="D531" s="302"/>
      <c r="E531" s="302"/>
      <c r="F531" s="302"/>
      <c r="G531" s="97"/>
      <c r="H531" s="97"/>
      <c r="I531" s="97"/>
      <c r="J531" s="97"/>
      <c r="K531" s="97"/>
      <c r="L531" s="97"/>
      <c r="M531" s="97"/>
      <c r="N531" s="97"/>
      <c r="O531" s="97"/>
      <c r="P531" s="97"/>
      <c r="Q531" s="97"/>
      <c r="R531" s="97"/>
      <c r="S531" s="97"/>
      <c r="T531" s="97"/>
      <c r="U531" s="97"/>
      <c r="V531" s="97"/>
      <c r="W531" s="97"/>
      <c r="X531" s="97"/>
      <c r="Y531" s="97"/>
      <c r="Z531" s="97"/>
      <c r="AA531" s="97"/>
    </row>
    <row r="532" spans="1:27" ht="17">
      <c r="A532" s="97"/>
      <c r="B532" s="97"/>
      <c r="C532" s="302"/>
      <c r="D532" s="302"/>
      <c r="E532" s="302"/>
      <c r="F532" s="302"/>
      <c r="G532" s="97"/>
      <c r="H532" s="97"/>
      <c r="I532" s="97"/>
      <c r="J532" s="97"/>
      <c r="K532" s="97"/>
      <c r="L532" s="97"/>
      <c r="M532" s="97"/>
      <c r="N532" s="97"/>
      <c r="O532" s="97"/>
      <c r="P532" s="97"/>
      <c r="Q532" s="97"/>
      <c r="R532" s="97"/>
      <c r="S532" s="97"/>
      <c r="T532" s="97"/>
      <c r="U532" s="97"/>
      <c r="V532" s="97"/>
      <c r="W532" s="97"/>
      <c r="X532" s="97"/>
      <c r="Y532" s="97"/>
      <c r="Z532" s="97"/>
      <c r="AA532" s="97"/>
    </row>
    <row r="533" spans="1:27" ht="17">
      <c r="A533" s="97"/>
      <c r="B533" s="97"/>
      <c r="C533" s="302"/>
      <c r="D533" s="302"/>
      <c r="E533" s="302"/>
      <c r="F533" s="302"/>
      <c r="G533" s="97"/>
      <c r="H533" s="97"/>
      <c r="I533" s="97"/>
      <c r="J533" s="97"/>
      <c r="K533" s="97"/>
      <c r="L533" s="97"/>
      <c r="M533" s="97"/>
      <c r="N533" s="97"/>
      <c r="O533" s="97"/>
      <c r="P533" s="97"/>
      <c r="Q533" s="97"/>
      <c r="R533" s="97"/>
      <c r="S533" s="97"/>
      <c r="T533" s="97"/>
      <c r="U533" s="97"/>
      <c r="V533" s="97"/>
      <c r="W533" s="97"/>
      <c r="X533" s="97"/>
      <c r="Y533" s="97"/>
      <c r="Z533" s="97"/>
      <c r="AA533" s="97"/>
    </row>
    <row r="534" spans="1:27" ht="17">
      <c r="A534" s="97"/>
      <c r="B534" s="97"/>
      <c r="C534" s="302"/>
      <c r="D534" s="302"/>
      <c r="E534" s="302"/>
      <c r="F534" s="302"/>
      <c r="G534" s="97"/>
      <c r="H534" s="97"/>
      <c r="I534" s="97"/>
      <c r="J534" s="97"/>
      <c r="K534" s="97"/>
      <c r="L534" s="97"/>
      <c r="M534" s="97"/>
      <c r="N534" s="97"/>
      <c r="O534" s="97"/>
      <c r="P534" s="97"/>
      <c r="Q534" s="97"/>
      <c r="R534" s="97"/>
      <c r="S534" s="97"/>
      <c r="T534" s="97"/>
      <c r="U534" s="97"/>
      <c r="V534" s="97"/>
      <c r="W534" s="97"/>
      <c r="X534" s="97"/>
      <c r="Y534" s="97"/>
      <c r="Z534" s="97"/>
      <c r="AA534" s="97"/>
    </row>
    <row r="535" spans="1:27" ht="17">
      <c r="A535" s="97"/>
      <c r="B535" s="97"/>
      <c r="C535" s="302"/>
      <c r="D535" s="302"/>
      <c r="E535" s="302"/>
      <c r="F535" s="302"/>
      <c r="G535" s="97"/>
      <c r="H535" s="97"/>
      <c r="I535" s="97"/>
      <c r="J535" s="97"/>
      <c r="K535" s="97"/>
      <c r="L535" s="97"/>
      <c r="M535" s="97"/>
      <c r="N535" s="97"/>
      <c r="O535" s="97"/>
      <c r="P535" s="97"/>
      <c r="Q535" s="97"/>
      <c r="R535" s="97"/>
      <c r="S535" s="97"/>
      <c r="T535" s="97"/>
      <c r="U535" s="97"/>
      <c r="V535" s="97"/>
      <c r="W535" s="97"/>
      <c r="X535" s="97"/>
      <c r="Y535" s="97"/>
      <c r="Z535" s="97"/>
      <c r="AA535" s="97"/>
    </row>
    <row r="536" spans="1:27" ht="17">
      <c r="A536" s="97"/>
      <c r="B536" s="97"/>
      <c r="C536" s="302"/>
      <c r="D536" s="302"/>
      <c r="E536" s="302"/>
      <c r="F536" s="302"/>
      <c r="G536" s="97"/>
      <c r="H536" s="97"/>
      <c r="I536" s="97"/>
      <c r="J536" s="97"/>
      <c r="K536" s="97"/>
      <c r="L536" s="97"/>
      <c r="M536" s="97"/>
      <c r="N536" s="97"/>
      <c r="O536" s="97"/>
      <c r="P536" s="97"/>
      <c r="Q536" s="97"/>
      <c r="R536" s="97"/>
      <c r="S536" s="97"/>
      <c r="T536" s="97"/>
      <c r="U536" s="97"/>
      <c r="V536" s="97"/>
      <c r="W536" s="97"/>
      <c r="X536" s="97"/>
      <c r="Y536" s="97"/>
      <c r="Z536" s="97"/>
      <c r="AA536" s="97"/>
    </row>
    <row r="537" spans="1:27" ht="17">
      <c r="A537" s="97"/>
      <c r="B537" s="97"/>
      <c r="C537" s="302"/>
      <c r="D537" s="302"/>
      <c r="E537" s="302"/>
      <c r="F537" s="302"/>
      <c r="G537" s="97"/>
      <c r="H537" s="97"/>
      <c r="I537" s="97"/>
      <c r="J537" s="97"/>
      <c r="K537" s="97"/>
      <c r="L537" s="97"/>
      <c r="M537" s="97"/>
      <c r="N537" s="97"/>
      <c r="O537" s="97"/>
      <c r="P537" s="97"/>
      <c r="Q537" s="97"/>
      <c r="R537" s="97"/>
      <c r="S537" s="97"/>
      <c r="T537" s="97"/>
      <c r="U537" s="97"/>
      <c r="V537" s="97"/>
      <c r="W537" s="97"/>
      <c r="X537" s="97"/>
      <c r="Y537" s="97"/>
      <c r="Z537" s="97"/>
      <c r="AA537" s="97"/>
    </row>
    <row r="538" spans="1:27" ht="17">
      <c r="A538" s="97"/>
      <c r="B538" s="97"/>
      <c r="C538" s="302"/>
      <c r="D538" s="302"/>
      <c r="E538" s="302"/>
      <c r="F538" s="302"/>
      <c r="G538" s="97"/>
      <c r="H538" s="97"/>
      <c r="I538" s="97"/>
      <c r="J538" s="97"/>
      <c r="K538" s="97"/>
      <c r="L538" s="97"/>
      <c r="M538" s="97"/>
      <c r="N538" s="97"/>
      <c r="O538" s="97"/>
      <c r="P538" s="97"/>
      <c r="Q538" s="97"/>
      <c r="R538" s="97"/>
      <c r="S538" s="97"/>
      <c r="T538" s="97"/>
      <c r="U538" s="97"/>
      <c r="V538" s="97"/>
      <c r="W538" s="97"/>
      <c r="X538" s="97"/>
      <c r="Y538" s="97"/>
      <c r="Z538" s="97"/>
      <c r="AA538" s="97"/>
    </row>
    <row r="539" spans="1:27" ht="17">
      <c r="A539" s="97"/>
      <c r="B539" s="97"/>
      <c r="C539" s="302"/>
      <c r="D539" s="302"/>
      <c r="E539" s="302"/>
      <c r="F539" s="302"/>
      <c r="G539" s="97"/>
      <c r="H539" s="97"/>
      <c r="I539" s="97"/>
      <c r="J539" s="97"/>
      <c r="K539" s="97"/>
      <c r="L539" s="97"/>
      <c r="M539" s="97"/>
      <c r="N539" s="97"/>
      <c r="O539" s="97"/>
      <c r="P539" s="97"/>
      <c r="Q539" s="97"/>
      <c r="R539" s="97"/>
      <c r="S539" s="97"/>
      <c r="T539" s="97"/>
      <c r="U539" s="97"/>
      <c r="V539" s="97"/>
      <c r="W539" s="97"/>
      <c r="X539" s="97"/>
      <c r="Y539" s="97"/>
      <c r="Z539" s="97"/>
      <c r="AA539" s="97"/>
    </row>
    <row r="540" spans="1:27" ht="17">
      <c r="A540" s="97"/>
      <c r="B540" s="97"/>
      <c r="C540" s="302"/>
      <c r="D540" s="302"/>
      <c r="E540" s="302"/>
      <c r="F540" s="302"/>
      <c r="G540" s="97"/>
      <c r="H540" s="97"/>
      <c r="I540" s="97"/>
      <c r="J540" s="97"/>
      <c r="K540" s="97"/>
      <c r="L540" s="97"/>
      <c r="M540" s="97"/>
      <c r="N540" s="97"/>
      <c r="O540" s="97"/>
      <c r="P540" s="97"/>
      <c r="Q540" s="97"/>
      <c r="R540" s="97"/>
      <c r="S540" s="97"/>
      <c r="T540" s="97"/>
      <c r="U540" s="97"/>
      <c r="V540" s="97"/>
      <c r="W540" s="97"/>
      <c r="X540" s="97"/>
      <c r="Y540" s="97"/>
      <c r="Z540" s="97"/>
      <c r="AA540" s="97"/>
    </row>
    <row r="541" spans="1:27" ht="17">
      <c r="A541" s="97"/>
      <c r="B541" s="97"/>
      <c r="C541" s="302"/>
      <c r="D541" s="302"/>
      <c r="E541" s="302"/>
      <c r="F541" s="302"/>
      <c r="G541" s="97"/>
      <c r="H541" s="97"/>
      <c r="I541" s="97"/>
      <c r="J541" s="97"/>
      <c r="K541" s="97"/>
      <c r="L541" s="97"/>
      <c r="M541" s="97"/>
      <c r="N541" s="97"/>
      <c r="O541" s="97"/>
      <c r="P541" s="97"/>
      <c r="Q541" s="97"/>
      <c r="R541" s="97"/>
      <c r="S541" s="97"/>
      <c r="T541" s="97"/>
      <c r="U541" s="97"/>
      <c r="V541" s="97"/>
      <c r="W541" s="97"/>
      <c r="X541" s="97"/>
      <c r="Y541" s="97"/>
      <c r="Z541" s="97"/>
      <c r="AA541" s="97"/>
    </row>
    <row r="542" spans="1:27" ht="17">
      <c r="A542" s="97"/>
      <c r="B542" s="97"/>
      <c r="C542" s="302"/>
      <c r="D542" s="302"/>
      <c r="E542" s="302"/>
      <c r="F542" s="302"/>
      <c r="G542" s="97"/>
      <c r="H542" s="97"/>
      <c r="I542" s="97"/>
      <c r="J542" s="97"/>
      <c r="K542" s="97"/>
      <c r="L542" s="97"/>
      <c r="M542" s="97"/>
      <c r="N542" s="97"/>
      <c r="O542" s="97"/>
      <c r="P542" s="97"/>
      <c r="Q542" s="97"/>
      <c r="R542" s="97"/>
      <c r="S542" s="97"/>
      <c r="T542" s="97"/>
      <c r="U542" s="97"/>
      <c r="V542" s="97"/>
      <c r="W542" s="97"/>
      <c r="X542" s="97"/>
      <c r="Y542" s="97"/>
      <c r="Z542" s="97"/>
      <c r="AA542" s="97"/>
    </row>
    <row r="543" spans="1:27" ht="17">
      <c r="A543" s="97"/>
      <c r="B543" s="97"/>
      <c r="C543" s="302"/>
      <c r="D543" s="302"/>
      <c r="E543" s="302"/>
      <c r="F543" s="302"/>
      <c r="G543" s="97"/>
      <c r="H543" s="97"/>
      <c r="I543" s="97"/>
      <c r="J543" s="97"/>
      <c r="K543" s="97"/>
      <c r="L543" s="97"/>
      <c r="M543" s="97"/>
      <c r="N543" s="97"/>
      <c r="O543" s="97"/>
      <c r="P543" s="97"/>
      <c r="Q543" s="97"/>
      <c r="R543" s="97"/>
      <c r="S543" s="97"/>
      <c r="T543" s="97"/>
      <c r="U543" s="97"/>
      <c r="V543" s="97"/>
      <c r="W543" s="97"/>
      <c r="X543" s="97"/>
      <c r="Y543" s="97"/>
      <c r="Z543" s="97"/>
      <c r="AA543" s="97"/>
    </row>
    <row r="544" spans="1:27" ht="17">
      <c r="A544" s="97"/>
      <c r="B544" s="97"/>
      <c r="C544" s="302"/>
      <c r="D544" s="302"/>
      <c r="E544" s="302"/>
      <c r="F544" s="302"/>
      <c r="G544" s="97"/>
      <c r="H544" s="97"/>
      <c r="I544" s="97"/>
      <c r="J544" s="97"/>
      <c r="K544" s="97"/>
      <c r="L544" s="97"/>
      <c r="M544" s="97"/>
      <c r="N544" s="97"/>
      <c r="O544" s="97"/>
      <c r="P544" s="97"/>
      <c r="Q544" s="97"/>
      <c r="R544" s="97"/>
      <c r="S544" s="97"/>
      <c r="T544" s="97"/>
      <c r="U544" s="97"/>
      <c r="V544" s="97"/>
      <c r="W544" s="97"/>
      <c r="X544" s="97"/>
      <c r="Y544" s="97"/>
      <c r="Z544" s="97"/>
      <c r="AA544" s="97"/>
    </row>
    <row r="545" spans="1:27" ht="17">
      <c r="A545" s="97"/>
      <c r="B545" s="97"/>
      <c r="C545" s="302"/>
      <c r="D545" s="302"/>
      <c r="E545" s="302"/>
      <c r="F545" s="302"/>
      <c r="G545" s="97"/>
      <c r="H545" s="97"/>
      <c r="I545" s="97"/>
      <c r="J545" s="97"/>
      <c r="K545" s="97"/>
      <c r="L545" s="97"/>
      <c r="M545" s="97"/>
      <c r="N545" s="97"/>
      <c r="O545" s="97"/>
      <c r="P545" s="97"/>
      <c r="Q545" s="97"/>
      <c r="R545" s="97"/>
      <c r="S545" s="97"/>
      <c r="T545" s="97"/>
      <c r="U545" s="97"/>
      <c r="V545" s="97"/>
      <c r="W545" s="97"/>
      <c r="X545" s="97"/>
      <c r="Y545" s="97"/>
      <c r="Z545" s="97"/>
      <c r="AA545" s="97"/>
    </row>
    <row r="546" spans="1:27" ht="17">
      <c r="A546" s="97"/>
      <c r="B546" s="97"/>
      <c r="C546" s="302"/>
      <c r="D546" s="302"/>
      <c r="E546" s="302"/>
      <c r="F546" s="302"/>
      <c r="G546" s="97"/>
      <c r="H546" s="97"/>
      <c r="I546" s="97"/>
      <c r="J546" s="97"/>
      <c r="K546" s="97"/>
      <c r="L546" s="97"/>
      <c r="M546" s="97"/>
      <c r="N546" s="97"/>
      <c r="O546" s="97"/>
      <c r="P546" s="97"/>
      <c r="Q546" s="97"/>
      <c r="R546" s="97"/>
      <c r="S546" s="97"/>
      <c r="T546" s="97"/>
      <c r="U546" s="97"/>
      <c r="V546" s="97"/>
      <c r="W546" s="97"/>
      <c r="X546" s="97"/>
      <c r="Y546" s="97"/>
      <c r="Z546" s="97"/>
      <c r="AA546" s="97"/>
    </row>
    <row r="547" spans="1:27" ht="17">
      <c r="A547" s="97"/>
      <c r="B547" s="97"/>
      <c r="C547" s="302"/>
      <c r="D547" s="302"/>
      <c r="E547" s="302"/>
      <c r="F547" s="302"/>
      <c r="G547" s="97"/>
      <c r="H547" s="97"/>
      <c r="I547" s="97"/>
      <c r="J547" s="97"/>
      <c r="K547" s="97"/>
      <c r="L547" s="97"/>
      <c r="M547" s="97"/>
      <c r="N547" s="97"/>
      <c r="O547" s="97"/>
      <c r="P547" s="97"/>
      <c r="Q547" s="97"/>
      <c r="R547" s="97"/>
      <c r="S547" s="97"/>
      <c r="T547" s="97"/>
      <c r="U547" s="97"/>
      <c r="V547" s="97"/>
      <c r="W547" s="97"/>
      <c r="X547" s="97"/>
      <c r="Y547" s="97"/>
      <c r="Z547" s="97"/>
      <c r="AA547" s="97"/>
    </row>
    <row r="548" spans="1:27" ht="17">
      <c r="A548" s="97"/>
      <c r="B548" s="97"/>
      <c r="C548" s="302"/>
      <c r="D548" s="302"/>
      <c r="E548" s="302"/>
      <c r="F548" s="302"/>
      <c r="G548" s="97"/>
      <c r="H548" s="97"/>
      <c r="I548" s="97"/>
      <c r="J548" s="97"/>
      <c r="K548" s="97"/>
      <c r="L548" s="97"/>
      <c r="M548" s="97"/>
      <c r="N548" s="97"/>
      <c r="O548" s="97"/>
      <c r="P548" s="97"/>
      <c r="Q548" s="97"/>
      <c r="R548" s="97"/>
      <c r="S548" s="97"/>
      <c r="T548" s="97"/>
      <c r="U548" s="97"/>
      <c r="V548" s="97"/>
      <c r="W548" s="97"/>
      <c r="X548" s="97"/>
      <c r="Y548" s="97"/>
      <c r="Z548" s="97"/>
      <c r="AA548" s="97"/>
    </row>
    <row r="549" spans="1:27" ht="17">
      <c r="A549" s="97"/>
      <c r="B549" s="97"/>
      <c r="C549" s="302"/>
      <c r="D549" s="302"/>
      <c r="E549" s="302"/>
      <c r="F549" s="302"/>
      <c r="G549" s="97"/>
      <c r="H549" s="97"/>
      <c r="I549" s="97"/>
      <c r="J549" s="97"/>
      <c r="K549" s="97"/>
      <c r="L549" s="97"/>
      <c r="M549" s="97"/>
      <c r="N549" s="97"/>
      <c r="O549" s="97"/>
      <c r="P549" s="97"/>
      <c r="Q549" s="97"/>
      <c r="R549" s="97"/>
      <c r="S549" s="97"/>
      <c r="T549" s="97"/>
      <c r="U549" s="97"/>
      <c r="V549" s="97"/>
      <c r="W549" s="97"/>
      <c r="X549" s="97"/>
      <c r="Y549" s="97"/>
      <c r="Z549" s="97"/>
      <c r="AA549" s="97"/>
    </row>
    <row r="550" spans="1:27" ht="17">
      <c r="A550" s="97"/>
      <c r="B550" s="97"/>
      <c r="C550" s="302"/>
      <c r="D550" s="302"/>
      <c r="E550" s="302"/>
      <c r="F550" s="302"/>
      <c r="G550" s="97"/>
      <c r="H550" s="97"/>
      <c r="I550" s="97"/>
      <c r="J550" s="97"/>
      <c r="K550" s="97"/>
      <c r="L550" s="97"/>
      <c r="M550" s="97"/>
      <c r="N550" s="97"/>
      <c r="O550" s="97"/>
      <c r="P550" s="97"/>
      <c r="Q550" s="97"/>
      <c r="R550" s="97"/>
      <c r="S550" s="97"/>
      <c r="T550" s="97"/>
      <c r="U550" s="97"/>
      <c r="V550" s="97"/>
      <c r="W550" s="97"/>
      <c r="X550" s="97"/>
      <c r="Y550" s="97"/>
      <c r="Z550" s="97"/>
      <c r="AA550" s="97"/>
    </row>
    <row r="551" spans="1:27" ht="17">
      <c r="A551" s="97"/>
      <c r="B551" s="97"/>
      <c r="C551" s="302"/>
      <c r="D551" s="302"/>
      <c r="E551" s="302"/>
      <c r="F551" s="302"/>
      <c r="G551" s="97"/>
      <c r="H551" s="97"/>
      <c r="I551" s="97"/>
      <c r="J551" s="97"/>
      <c r="K551" s="97"/>
      <c r="L551" s="97"/>
      <c r="M551" s="97"/>
      <c r="N551" s="97"/>
      <c r="O551" s="97"/>
      <c r="P551" s="97"/>
      <c r="Q551" s="97"/>
      <c r="R551" s="97"/>
      <c r="S551" s="97"/>
      <c r="T551" s="97"/>
      <c r="U551" s="97"/>
      <c r="V551" s="97"/>
      <c r="W551" s="97"/>
      <c r="X551" s="97"/>
      <c r="Y551" s="97"/>
      <c r="Z551" s="97"/>
      <c r="AA551" s="97"/>
    </row>
    <row r="552" spans="1:27" ht="17">
      <c r="A552" s="97"/>
      <c r="B552" s="97"/>
      <c r="C552" s="302"/>
      <c r="D552" s="302"/>
      <c r="E552" s="302"/>
      <c r="F552" s="302"/>
      <c r="G552" s="97"/>
      <c r="H552" s="97"/>
      <c r="I552" s="97"/>
      <c r="J552" s="97"/>
      <c r="K552" s="97"/>
      <c r="L552" s="97"/>
      <c r="M552" s="97"/>
      <c r="N552" s="97"/>
      <c r="O552" s="97"/>
      <c r="P552" s="97"/>
      <c r="Q552" s="97"/>
      <c r="R552" s="97"/>
      <c r="S552" s="97"/>
      <c r="T552" s="97"/>
      <c r="U552" s="97"/>
      <c r="V552" s="97"/>
      <c r="W552" s="97"/>
      <c r="X552" s="97"/>
      <c r="Y552" s="97"/>
      <c r="Z552" s="97"/>
      <c r="AA552" s="97"/>
    </row>
    <row r="553" spans="1:27" ht="17">
      <c r="A553" s="97"/>
      <c r="B553" s="97"/>
      <c r="C553" s="302"/>
      <c r="D553" s="302"/>
      <c r="E553" s="302"/>
      <c r="F553" s="302"/>
      <c r="G553" s="97"/>
      <c r="H553" s="97"/>
      <c r="I553" s="97"/>
      <c r="J553" s="97"/>
      <c r="K553" s="97"/>
      <c r="L553" s="97"/>
      <c r="M553" s="97"/>
      <c r="N553" s="97"/>
      <c r="O553" s="97"/>
      <c r="P553" s="97"/>
      <c r="Q553" s="97"/>
      <c r="R553" s="97"/>
      <c r="S553" s="97"/>
      <c r="T553" s="97"/>
      <c r="U553" s="97"/>
      <c r="V553" s="97"/>
      <c r="W553" s="97"/>
      <c r="X553" s="97"/>
      <c r="Y553" s="97"/>
      <c r="Z553" s="97"/>
      <c r="AA553" s="97"/>
    </row>
    <row r="554" spans="1:27" ht="17">
      <c r="A554" s="97"/>
      <c r="B554" s="97"/>
      <c r="C554" s="302"/>
      <c r="D554" s="302"/>
      <c r="E554" s="302"/>
      <c r="F554" s="302"/>
      <c r="G554" s="97"/>
      <c r="H554" s="97"/>
      <c r="I554" s="97"/>
      <c r="J554" s="97"/>
      <c r="K554" s="97"/>
      <c r="L554" s="97"/>
      <c r="M554" s="97"/>
      <c r="N554" s="97"/>
      <c r="O554" s="97"/>
      <c r="P554" s="97"/>
      <c r="Q554" s="97"/>
      <c r="R554" s="97"/>
      <c r="S554" s="97"/>
      <c r="T554" s="97"/>
      <c r="U554" s="97"/>
      <c r="V554" s="97"/>
      <c r="W554" s="97"/>
      <c r="X554" s="97"/>
      <c r="Y554" s="97"/>
      <c r="Z554" s="97"/>
      <c r="AA554" s="97"/>
    </row>
    <row r="555" spans="1:27" ht="17">
      <c r="A555" s="97"/>
      <c r="B555" s="97"/>
      <c r="C555" s="302"/>
      <c r="D555" s="302"/>
      <c r="E555" s="302"/>
      <c r="F555" s="302"/>
      <c r="G555" s="97"/>
      <c r="H555" s="97"/>
      <c r="I555" s="97"/>
      <c r="J555" s="97"/>
      <c r="K555" s="97"/>
      <c r="L555" s="97"/>
      <c r="M555" s="97"/>
      <c r="N555" s="97"/>
      <c r="O555" s="97"/>
      <c r="P555" s="97"/>
      <c r="Q555" s="97"/>
      <c r="R555" s="97"/>
      <c r="S555" s="97"/>
      <c r="T555" s="97"/>
      <c r="U555" s="97"/>
      <c r="V555" s="97"/>
      <c r="W555" s="97"/>
      <c r="X555" s="97"/>
      <c r="Y555" s="97"/>
      <c r="Z555" s="97"/>
      <c r="AA555" s="97"/>
    </row>
    <row r="556" spans="1:27" ht="17">
      <c r="A556" s="97"/>
      <c r="B556" s="97"/>
      <c r="C556" s="302"/>
      <c r="D556" s="302"/>
      <c r="E556" s="302"/>
      <c r="F556" s="302"/>
      <c r="G556" s="97"/>
      <c r="H556" s="97"/>
      <c r="I556" s="97"/>
      <c r="J556" s="97"/>
      <c r="K556" s="97"/>
      <c r="L556" s="97"/>
      <c r="M556" s="97"/>
      <c r="N556" s="97"/>
      <c r="O556" s="97"/>
      <c r="P556" s="97"/>
      <c r="Q556" s="97"/>
      <c r="R556" s="97"/>
      <c r="S556" s="97"/>
      <c r="T556" s="97"/>
      <c r="U556" s="97"/>
      <c r="V556" s="97"/>
      <c r="W556" s="97"/>
      <c r="X556" s="97"/>
      <c r="Y556" s="97"/>
      <c r="Z556" s="97"/>
      <c r="AA556" s="97"/>
    </row>
    <row r="557" spans="1:27" ht="17">
      <c r="A557" s="97"/>
      <c r="B557" s="97"/>
      <c r="C557" s="302"/>
      <c r="D557" s="302"/>
      <c r="E557" s="302"/>
      <c r="F557" s="302"/>
      <c r="G557" s="97"/>
      <c r="H557" s="97"/>
      <c r="I557" s="97"/>
      <c r="J557" s="97"/>
      <c r="K557" s="97"/>
      <c r="L557" s="97"/>
      <c r="M557" s="97"/>
      <c r="N557" s="97"/>
      <c r="O557" s="97"/>
      <c r="P557" s="97"/>
      <c r="Q557" s="97"/>
      <c r="R557" s="97"/>
      <c r="S557" s="97"/>
      <c r="T557" s="97"/>
      <c r="U557" s="97"/>
      <c r="V557" s="97"/>
      <c r="W557" s="97"/>
      <c r="X557" s="97"/>
      <c r="Y557" s="97"/>
      <c r="Z557" s="97"/>
      <c r="AA557" s="97"/>
    </row>
    <row r="558" spans="1:27" ht="17">
      <c r="A558" s="97"/>
      <c r="B558" s="97"/>
      <c r="C558" s="302"/>
      <c r="D558" s="302"/>
      <c r="E558" s="302"/>
      <c r="F558" s="302"/>
      <c r="G558" s="97"/>
      <c r="H558" s="97"/>
      <c r="I558" s="97"/>
      <c r="J558" s="97"/>
      <c r="K558" s="97"/>
      <c r="L558" s="97"/>
      <c r="M558" s="97"/>
      <c r="N558" s="97"/>
      <c r="O558" s="97"/>
      <c r="P558" s="97"/>
      <c r="Q558" s="97"/>
      <c r="R558" s="97"/>
      <c r="S558" s="97"/>
      <c r="T558" s="97"/>
      <c r="U558" s="97"/>
      <c r="V558" s="97"/>
      <c r="W558" s="97"/>
      <c r="X558" s="97"/>
      <c r="Y558" s="97"/>
      <c r="Z558" s="97"/>
      <c r="AA558" s="97"/>
    </row>
    <row r="559" spans="1:27" ht="17">
      <c r="A559" s="97"/>
      <c r="B559" s="97"/>
      <c r="C559" s="302"/>
      <c r="D559" s="302"/>
      <c r="E559" s="302"/>
      <c r="F559" s="302"/>
      <c r="G559" s="97"/>
      <c r="H559" s="97"/>
      <c r="I559" s="97"/>
      <c r="J559" s="97"/>
      <c r="K559" s="97"/>
      <c r="L559" s="97"/>
      <c r="M559" s="97"/>
      <c r="N559" s="97"/>
      <c r="O559" s="97"/>
      <c r="P559" s="97"/>
      <c r="Q559" s="97"/>
      <c r="R559" s="97"/>
      <c r="S559" s="97"/>
      <c r="T559" s="97"/>
      <c r="U559" s="97"/>
      <c r="V559" s="97"/>
      <c r="W559" s="97"/>
      <c r="X559" s="97"/>
      <c r="Y559" s="97"/>
      <c r="Z559" s="97"/>
      <c r="AA559" s="97"/>
    </row>
    <row r="560" spans="1:27" ht="17">
      <c r="A560" s="97"/>
      <c r="B560" s="97"/>
      <c r="C560" s="302"/>
      <c r="D560" s="302"/>
      <c r="E560" s="302"/>
      <c r="F560" s="302"/>
      <c r="G560" s="97"/>
      <c r="H560" s="97"/>
      <c r="I560" s="97"/>
      <c r="J560" s="97"/>
      <c r="K560" s="97"/>
      <c r="L560" s="97"/>
      <c r="M560" s="97"/>
      <c r="N560" s="97"/>
      <c r="O560" s="97"/>
      <c r="P560" s="97"/>
      <c r="Q560" s="97"/>
      <c r="R560" s="97"/>
      <c r="S560" s="97"/>
      <c r="T560" s="97"/>
      <c r="U560" s="97"/>
      <c r="V560" s="97"/>
      <c r="W560" s="97"/>
      <c r="X560" s="97"/>
      <c r="Y560" s="97"/>
      <c r="Z560" s="97"/>
      <c r="AA560" s="97"/>
    </row>
    <row r="561" spans="1:27" ht="17">
      <c r="A561" s="97"/>
      <c r="B561" s="97"/>
      <c r="C561" s="302"/>
      <c r="D561" s="302"/>
      <c r="E561" s="302"/>
      <c r="F561" s="302"/>
      <c r="G561" s="97"/>
      <c r="H561" s="97"/>
      <c r="I561" s="97"/>
      <c r="J561" s="97"/>
      <c r="K561" s="97"/>
      <c r="L561" s="97"/>
      <c r="M561" s="97"/>
      <c r="N561" s="97"/>
      <c r="O561" s="97"/>
      <c r="P561" s="97"/>
      <c r="Q561" s="97"/>
      <c r="R561" s="97"/>
      <c r="S561" s="97"/>
      <c r="T561" s="97"/>
      <c r="U561" s="97"/>
      <c r="V561" s="97"/>
      <c r="W561" s="97"/>
      <c r="X561" s="97"/>
      <c r="Y561" s="97"/>
      <c r="Z561" s="97"/>
      <c r="AA561" s="97"/>
    </row>
    <row r="562" spans="1:27" ht="17">
      <c r="A562" s="97"/>
      <c r="B562" s="97"/>
      <c r="C562" s="302"/>
      <c r="D562" s="302"/>
      <c r="E562" s="302"/>
      <c r="F562" s="302"/>
      <c r="G562" s="97"/>
      <c r="H562" s="97"/>
      <c r="I562" s="97"/>
      <c r="J562" s="97"/>
      <c r="K562" s="97"/>
      <c r="L562" s="97"/>
      <c r="M562" s="97"/>
      <c r="N562" s="97"/>
      <c r="O562" s="97"/>
      <c r="P562" s="97"/>
      <c r="Q562" s="97"/>
      <c r="R562" s="97"/>
      <c r="S562" s="97"/>
      <c r="T562" s="97"/>
      <c r="U562" s="97"/>
      <c r="V562" s="97"/>
      <c r="W562" s="97"/>
      <c r="X562" s="97"/>
      <c r="Y562" s="97"/>
      <c r="Z562" s="97"/>
      <c r="AA562" s="97"/>
    </row>
    <row r="563" spans="1:27" ht="17">
      <c r="A563" s="97"/>
      <c r="B563" s="97"/>
      <c r="C563" s="302"/>
      <c r="D563" s="302"/>
      <c r="E563" s="302"/>
      <c r="F563" s="302"/>
      <c r="G563" s="97"/>
      <c r="H563" s="97"/>
      <c r="I563" s="97"/>
      <c r="J563" s="97"/>
      <c r="K563" s="97"/>
      <c r="L563" s="97"/>
      <c r="M563" s="97"/>
      <c r="N563" s="97"/>
      <c r="O563" s="97"/>
      <c r="P563" s="97"/>
      <c r="Q563" s="97"/>
      <c r="R563" s="97"/>
      <c r="S563" s="97"/>
      <c r="T563" s="97"/>
      <c r="U563" s="97"/>
      <c r="V563" s="97"/>
      <c r="W563" s="97"/>
      <c r="X563" s="97"/>
      <c r="Y563" s="97"/>
      <c r="Z563" s="97"/>
      <c r="AA563" s="97"/>
    </row>
    <row r="564" spans="1:27" ht="17">
      <c r="A564" s="97"/>
      <c r="B564" s="97"/>
      <c r="C564" s="302"/>
      <c r="D564" s="302"/>
      <c r="E564" s="302"/>
      <c r="F564" s="302"/>
      <c r="G564" s="97"/>
      <c r="H564" s="97"/>
      <c r="I564" s="97"/>
      <c r="J564" s="97"/>
      <c r="K564" s="97"/>
      <c r="L564" s="97"/>
      <c r="M564" s="97"/>
      <c r="N564" s="97"/>
      <c r="O564" s="97"/>
      <c r="P564" s="97"/>
      <c r="Q564" s="97"/>
      <c r="R564" s="97"/>
      <c r="S564" s="97"/>
      <c r="T564" s="97"/>
      <c r="U564" s="97"/>
      <c r="V564" s="97"/>
      <c r="W564" s="97"/>
      <c r="X564" s="97"/>
      <c r="Y564" s="97"/>
      <c r="Z564" s="97"/>
      <c r="AA564" s="97"/>
    </row>
    <row r="565" spans="1:27" ht="17">
      <c r="A565" s="97"/>
      <c r="B565" s="97"/>
      <c r="C565" s="302"/>
      <c r="D565" s="302"/>
      <c r="E565" s="302"/>
      <c r="F565" s="302"/>
      <c r="G565" s="97"/>
      <c r="H565" s="97"/>
      <c r="I565" s="97"/>
      <c r="J565" s="97"/>
      <c r="K565" s="97"/>
      <c r="L565" s="97"/>
      <c r="M565" s="97"/>
      <c r="N565" s="97"/>
      <c r="O565" s="97"/>
      <c r="P565" s="97"/>
      <c r="Q565" s="97"/>
      <c r="R565" s="97"/>
      <c r="S565" s="97"/>
      <c r="T565" s="97"/>
      <c r="U565" s="97"/>
      <c r="V565" s="97"/>
      <c r="W565" s="97"/>
      <c r="X565" s="97"/>
      <c r="Y565" s="97"/>
      <c r="Z565" s="97"/>
      <c r="AA565" s="97"/>
    </row>
    <row r="566" spans="1:27" ht="17">
      <c r="A566" s="97"/>
      <c r="B566" s="97"/>
      <c r="C566" s="302"/>
      <c r="D566" s="302"/>
      <c r="E566" s="302"/>
      <c r="F566" s="302"/>
      <c r="G566" s="97"/>
      <c r="H566" s="97"/>
      <c r="I566" s="97"/>
      <c r="J566" s="97"/>
      <c r="K566" s="97"/>
      <c r="L566" s="97"/>
      <c r="M566" s="97"/>
      <c r="N566" s="97"/>
      <c r="O566" s="97"/>
      <c r="P566" s="97"/>
      <c r="Q566" s="97"/>
      <c r="R566" s="97"/>
      <c r="S566" s="97"/>
      <c r="T566" s="97"/>
      <c r="U566" s="97"/>
      <c r="V566" s="97"/>
      <c r="W566" s="97"/>
      <c r="X566" s="97"/>
      <c r="Y566" s="97"/>
      <c r="Z566" s="97"/>
      <c r="AA566" s="97"/>
    </row>
    <row r="567" spans="1:27" ht="17">
      <c r="A567" s="97"/>
      <c r="B567" s="97"/>
      <c r="C567" s="302"/>
      <c r="D567" s="302"/>
      <c r="E567" s="302"/>
      <c r="F567" s="302"/>
      <c r="G567" s="97"/>
      <c r="H567" s="97"/>
      <c r="I567" s="97"/>
      <c r="J567" s="97"/>
      <c r="K567" s="97"/>
      <c r="L567" s="97"/>
      <c r="M567" s="97"/>
      <c r="N567" s="97"/>
      <c r="O567" s="97"/>
      <c r="P567" s="97"/>
      <c r="Q567" s="97"/>
      <c r="R567" s="97"/>
      <c r="S567" s="97"/>
      <c r="T567" s="97"/>
      <c r="U567" s="97"/>
      <c r="V567" s="97"/>
      <c r="W567" s="97"/>
      <c r="X567" s="97"/>
      <c r="Y567" s="97"/>
      <c r="Z567" s="97"/>
      <c r="AA567" s="97"/>
    </row>
    <row r="568" spans="1:27" ht="17">
      <c r="A568" s="97"/>
      <c r="B568" s="97"/>
      <c r="C568" s="302"/>
      <c r="D568" s="302"/>
      <c r="E568" s="302"/>
      <c r="F568" s="302"/>
      <c r="G568" s="97"/>
      <c r="H568" s="97"/>
      <c r="I568" s="97"/>
      <c r="J568" s="97"/>
      <c r="K568" s="97"/>
      <c r="L568" s="97"/>
      <c r="M568" s="97"/>
      <c r="N568" s="97"/>
      <c r="O568" s="97"/>
      <c r="P568" s="97"/>
      <c r="Q568" s="97"/>
      <c r="R568" s="97"/>
      <c r="S568" s="97"/>
      <c r="T568" s="97"/>
      <c r="U568" s="97"/>
      <c r="V568" s="97"/>
      <c r="W568" s="97"/>
      <c r="X568" s="97"/>
      <c r="Y568" s="97"/>
      <c r="Z568" s="97"/>
      <c r="AA568" s="97"/>
    </row>
    <row r="569" spans="1:27" ht="17">
      <c r="A569" s="97"/>
      <c r="B569" s="97"/>
      <c r="C569" s="302"/>
      <c r="D569" s="302"/>
      <c r="E569" s="302"/>
      <c r="F569" s="302"/>
      <c r="G569" s="97"/>
      <c r="H569" s="97"/>
      <c r="I569" s="97"/>
      <c r="J569" s="97"/>
      <c r="K569" s="97"/>
      <c r="L569" s="97"/>
      <c r="M569" s="97"/>
      <c r="N569" s="97"/>
      <c r="O569" s="97"/>
      <c r="P569" s="97"/>
      <c r="Q569" s="97"/>
      <c r="R569" s="97"/>
      <c r="S569" s="97"/>
      <c r="T569" s="97"/>
      <c r="U569" s="97"/>
      <c r="V569" s="97"/>
      <c r="W569" s="97"/>
      <c r="X569" s="97"/>
      <c r="Y569" s="97"/>
      <c r="Z569" s="97"/>
      <c r="AA569" s="97"/>
    </row>
    <row r="570" spans="1:27" ht="17">
      <c r="A570" s="97"/>
      <c r="B570" s="97"/>
      <c r="C570" s="302"/>
      <c r="D570" s="302"/>
      <c r="E570" s="302"/>
      <c r="F570" s="302"/>
      <c r="G570" s="97"/>
      <c r="H570" s="97"/>
      <c r="I570" s="97"/>
      <c r="J570" s="97"/>
      <c r="K570" s="97"/>
      <c r="L570" s="97"/>
      <c r="M570" s="97"/>
      <c r="N570" s="97"/>
      <c r="O570" s="97"/>
      <c r="P570" s="97"/>
      <c r="Q570" s="97"/>
      <c r="R570" s="97"/>
      <c r="S570" s="97"/>
      <c r="T570" s="97"/>
      <c r="U570" s="97"/>
      <c r="V570" s="97"/>
      <c r="W570" s="97"/>
      <c r="X570" s="97"/>
      <c r="Y570" s="97"/>
      <c r="Z570" s="97"/>
      <c r="AA570" s="97"/>
    </row>
    <row r="571" spans="1:27" ht="17">
      <c r="A571" s="97"/>
      <c r="B571" s="97"/>
      <c r="C571" s="302"/>
      <c r="D571" s="302"/>
      <c r="E571" s="302"/>
      <c r="F571" s="302"/>
      <c r="G571" s="97"/>
      <c r="H571" s="97"/>
      <c r="I571" s="97"/>
      <c r="J571" s="97"/>
      <c r="K571" s="97"/>
      <c r="L571" s="97"/>
      <c r="M571" s="97"/>
      <c r="N571" s="97"/>
      <c r="O571" s="97"/>
      <c r="P571" s="97"/>
      <c r="Q571" s="97"/>
      <c r="R571" s="97"/>
      <c r="S571" s="97"/>
      <c r="T571" s="97"/>
      <c r="U571" s="97"/>
      <c r="V571" s="97"/>
      <c r="W571" s="97"/>
      <c r="X571" s="97"/>
      <c r="Y571" s="97"/>
      <c r="Z571" s="97"/>
      <c r="AA571" s="97"/>
    </row>
    <row r="572" spans="1:27" ht="17">
      <c r="A572" s="97"/>
      <c r="B572" s="97"/>
      <c r="C572" s="302"/>
      <c r="D572" s="302"/>
      <c r="E572" s="302"/>
      <c r="F572" s="302"/>
      <c r="G572" s="97"/>
      <c r="H572" s="97"/>
      <c r="I572" s="97"/>
      <c r="J572" s="97"/>
      <c r="K572" s="97"/>
      <c r="L572" s="97"/>
      <c r="M572" s="97"/>
      <c r="N572" s="97"/>
      <c r="O572" s="97"/>
      <c r="P572" s="97"/>
      <c r="Q572" s="97"/>
      <c r="R572" s="97"/>
      <c r="S572" s="97"/>
      <c r="T572" s="97"/>
      <c r="U572" s="97"/>
      <c r="V572" s="97"/>
      <c r="W572" s="97"/>
      <c r="X572" s="97"/>
      <c r="Y572" s="97"/>
      <c r="Z572" s="97"/>
      <c r="AA572" s="97"/>
    </row>
    <row r="573" spans="1:27" ht="17">
      <c r="A573" s="97"/>
      <c r="B573" s="97"/>
      <c r="C573" s="302"/>
      <c r="D573" s="302"/>
      <c r="E573" s="302"/>
      <c r="F573" s="302"/>
      <c r="G573" s="97"/>
      <c r="H573" s="97"/>
      <c r="I573" s="97"/>
      <c r="J573" s="97"/>
      <c r="K573" s="97"/>
      <c r="L573" s="97"/>
      <c r="M573" s="97"/>
      <c r="N573" s="97"/>
      <c r="O573" s="97"/>
      <c r="P573" s="97"/>
      <c r="Q573" s="97"/>
      <c r="R573" s="97"/>
      <c r="S573" s="97"/>
      <c r="T573" s="97"/>
      <c r="U573" s="97"/>
      <c r="V573" s="97"/>
      <c r="W573" s="97"/>
      <c r="X573" s="97"/>
      <c r="Y573" s="97"/>
      <c r="Z573" s="97"/>
      <c r="AA573" s="97"/>
    </row>
    <row r="574" spans="1:27" ht="17">
      <c r="A574" s="97"/>
      <c r="B574" s="97"/>
      <c r="C574" s="302"/>
      <c r="D574" s="302"/>
      <c r="E574" s="302"/>
      <c r="F574" s="302"/>
      <c r="G574" s="97"/>
      <c r="H574" s="97"/>
      <c r="I574" s="97"/>
      <c r="J574" s="97"/>
      <c r="K574" s="97"/>
      <c r="L574" s="97"/>
      <c r="M574" s="97"/>
      <c r="N574" s="97"/>
      <c r="O574" s="97"/>
      <c r="P574" s="97"/>
      <c r="Q574" s="97"/>
      <c r="R574" s="97"/>
      <c r="S574" s="97"/>
      <c r="T574" s="97"/>
      <c r="U574" s="97"/>
      <c r="V574" s="97"/>
      <c r="W574" s="97"/>
      <c r="X574" s="97"/>
      <c r="Y574" s="97"/>
      <c r="Z574" s="97"/>
      <c r="AA574" s="97"/>
    </row>
    <row r="575" spans="1:27" ht="17">
      <c r="A575" s="97"/>
      <c r="B575" s="97"/>
      <c r="C575" s="302"/>
      <c r="D575" s="302"/>
      <c r="E575" s="302"/>
      <c r="F575" s="302"/>
      <c r="G575" s="97"/>
      <c r="H575" s="97"/>
      <c r="I575" s="97"/>
      <c r="J575" s="97"/>
      <c r="K575" s="97"/>
      <c r="L575" s="97"/>
      <c r="M575" s="97"/>
      <c r="N575" s="97"/>
      <c r="O575" s="97"/>
      <c r="P575" s="97"/>
      <c r="Q575" s="97"/>
      <c r="R575" s="97"/>
      <c r="S575" s="97"/>
      <c r="T575" s="97"/>
      <c r="U575" s="97"/>
      <c r="V575" s="97"/>
      <c r="W575" s="97"/>
      <c r="X575" s="97"/>
      <c r="Y575" s="97"/>
      <c r="Z575" s="97"/>
      <c r="AA575" s="97"/>
    </row>
    <row r="576" spans="1:27" ht="17">
      <c r="A576" s="97"/>
      <c r="B576" s="97"/>
      <c r="C576" s="302"/>
      <c r="D576" s="302"/>
      <c r="E576" s="302"/>
      <c r="F576" s="302"/>
      <c r="G576" s="97"/>
      <c r="H576" s="97"/>
      <c r="I576" s="97"/>
      <c r="J576" s="97"/>
      <c r="K576" s="97"/>
      <c r="L576" s="97"/>
      <c r="M576" s="97"/>
      <c r="N576" s="97"/>
      <c r="O576" s="97"/>
      <c r="P576" s="97"/>
      <c r="Q576" s="97"/>
      <c r="R576" s="97"/>
      <c r="S576" s="97"/>
      <c r="T576" s="97"/>
      <c r="U576" s="97"/>
      <c r="V576" s="97"/>
      <c r="W576" s="97"/>
      <c r="X576" s="97"/>
      <c r="Y576" s="97"/>
      <c r="Z576" s="97"/>
      <c r="AA576" s="97"/>
    </row>
    <row r="577" spans="1:27" ht="17">
      <c r="A577" s="97"/>
      <c r="B577" s="97"/>
      <c r="C577" s="302"/>
      <c r="D577" s="302"/>
      <c r="E577" s="302"/>
      <c r="F577" s="302"/>
      <c r="G577" s="97"/>
      <c r="H577" s="97"/>
      <c r="I577" s="97"/>
      <c r="J577" s="97"/>
      <c r="K577" s="97"/>
      <c r="L577" s="97"/>
      <c r="M577" s="97"/>
      <c r="N577" s="97"/>
      <c r="O577" s="97"/>
      <c r="P577" s="97"/>
      <c r="Q577" s="97"/>
      <c r="R577" s="97"/>
      <c r="S577" s="97"/>
      <c r="T577" s="97"/>
      <c r="U577" s="97"/>
      <c r="V577" s="97"/>
      <c r="W577" s="97"/>
      <c r="X577" s="97"/>
      <c r="Y577" s="97"/>
      <c r="Z577" s="97"/>
      <c r="AA577" s="97"/>
    </row>
    <row r="578" spans="1:27" ht="17">
      <c r="A578" s="97"/>
      <c r="B578" s="97"/>
      <c r="C578" s="302"/>
      <c r="D578" s="302"/>
      <c r="E578" s="302"/>
      <c r="F578" s="302"/>
      <c r="G578" s="97"/>
      <c r="H578" s="97"/>
      <c r="I578" s="97"/>
      <c r="J578" s="97"/>
      <c r="K578" s="97"/>
      <c r="L578" s="97"/>
      <c r="M578" s="97"/>
      <c r="N578" s="97"/>
      <c r="O578" s="97"/>
      <c r="P578" s="97"/>
      <c r="Q578" s="97"/>
      <c r="R578" s="97"/>
      <c r="S578" s="97"/>
      <c r="T578" s="97"/>
      <c r="U578" s="97"/>
      <c r="V578" s="97"/>
      <c r="W578" s="97"/>
      <c r="X578" s="97"/>
      <c r="Y578" s="97"/>
      <c r="Z578" s="97"/>
      <c r="AA578" s="97"/>
    </row>
    <row r="579" spans="1:27" ht="17">
      <c r="A579" s="97"/>
      <c r="B579" s="97"/>
      <c r="C579" s="302"/>
      <c r="D579" s="302"/>
      <c r="E579" s="302"/>
      <c r="F579" s="302"/>
      <c r="G579" s="97"/>
      <c r="H579" s="97"/>
      <c r="I579" s="97"/>
      <c r="J579" s="97"/>
      <c r="K579" s="97"/>
      <c r="L579" s="97"/>
      <c r="M579" s="97"/>
      <c r="N579" s="97"/>
      <c r="O579" s="97"/>
      <c r="P579" s="97"/>
      <c r="Q579" s="97"/>
      <c r="R579" s="97"/>
      <c r="S579" s="97"/>
      <c r="T579" s="97"/>
      <c r="U579" s="97"/>
      <c r="V579" s="97"/>
      <c r="W579" s="97"/>
      <c r="X579" s="97"/>
      <c r="Y579" s="97"/>
      <c r="Z579" s="97"/>
      <c r="AA579" s="97"/>
    </row>
    <row r="580" spans="1:27" ht="17">
      <c r="A580" s="97"/>
      <c r="B580" s="97"/>
      <c r="C580" s="302"/>
      <c r="D580" s="302"/>
      <c r="E580" s="302"/>
      <c r="F580" s="302"/>
      <c r="G580" s="97"/>
      <c r="H580" s="97"/>
      <c r="I580" s="97"/>
      <c r="J580" s="97"/>
      <c r="K580" s="97"/>
      <c r="L580" s="97"/>
      <c r="M580" s="97"/>
      <c r="N580" s="97"/>
      <c r="O580" s="97"/>
      <c r="P580" s="97"/>
      <c r="Q580" s="97"/>
      <c r="R580" s="97"/>
      <c r="S580" s="97"/>
      <c r="T580" s="97"/>
      <c r="U580" s="97"/>
      <c r="V580" s="97"/>
      <c r="W580" s="97"/>
      <c r="X580" s="97"/>
      <c r="Y580" s="97"/>
      <c r="Z580" s="97"/>
      <c r="AA580" s="97"/>
    </row>
    <row r="581" spans="1:27" ht="17">
      <c r="A581" s="97"/>
      <c r="B581" s="97"/>
      <c r="C581" s="302"/>
      <c r="D581" s="302"/>
      <c r="E581" s="302"/>
      <c r="F581" s="302"/>
      <c r="G581" s="97"/>
      <c r="H581" s="97"/>
      <c r="I581" s="97"/>
      <c r="J581" s="97"/>
      <c r="K581" s="97"/>
      <c r="L581" s="97"/>
      <c r="M581" s="97"/>
      <c r="N581" s="97"/>
      <c r="O581" s="97"/>
      <c r="P581" s="97"/>
      <c r="Q581" s="97"/>
      <c r="R581" s="97"/>
      <c r="S581" s="97"/>
      <c r="T581" s="97"/>
      <c r="U581" s="97"/>
      <c r="V581" s="97"/>
      <c r="W581" s="97"/>
      <c r="X581" s="97"/>
      <c r="Y581" s="97"/>
      <c r="Z581" s="97"/>
      <c r="AA581" s="97"/>
    </row>
    <row r="582" spans="1:27" ht="17">
      <c r="A582" s="97"/>
      <c r="B582" s="97"/>
      <c r="C582" s="302"/>
      <c r="D582" s="302"/>
      <c r="E582" s="302"/>
      <c r="F582" s="302"/>
      <c r="G582" s="97"/>
      <c r="H582" s="97"/>
      <c r="I582" s="97"/>
      <c r="J582" s="97"/>
      <c r="K582" s="97"/>
      <c r="L582" s="97"/>
      <c r="M582" s="97"/>
      <c r="N582" s="97"/>
      <c r="O582" s="97"/>
      <c r="P582" s="97"/>
      <c r="Q582" s="97"/>
      <c r="R582" s="97"/>
      <c r="S582" s="97"/>
      <c r="T582" s="97"/>
      <c r="U582" s="97"/>
      <c r="V582" s="97"/>
      <c r="W582" s="97"/>
      <c r="X582" s="97"/>
      <c r="Y582" s="97"/>
      <c r="Z582" s="97"/>
      <c r="AA582" s="97"/>
    </row>
    <row r="583" spans="1:27" ht="17">
      <c r="A583" s="97"/>
      <c r="B583" s="97"/>
      <c r="C583" s="302"/>
      <c r="D583" s="302"/>
      <c r="E583" s="302"/>
      <c r="F583" s="302"/>
      <c r="G583" s="97"/>
      <c r="H583" s="97"/>
      <c r="I583" s="97"/>
      <c r="J583" s="97"/>
      <c r="K583" s="97"/>
      <c r="L583" s="97"/>
      <c r="M583" s="97"/>
      <c r="N583" s="97"/>
      <c r="O583" s="97"/>
      <c r="P583" s="97"/>
      <c r="Q583" s="97"/>
      <c r="R583" s="97"/>
      <c r="S583" s="97"/>
      <c r="T583" s="97"/>
      <c r="U583" s="97"/>
      <c r="V583" s="97"/>
      <c r="W583" s="97"/>
      <c r="X583" s="97"/>
      <c r="Y583" s="97"/>
      <c r="Z583" s="97"/>
      <c r="AA583" s="97"/>
    </row>
    <row r="584" spans="1:27" ht="17">
      <c r="A584" s="97"/>
      <c r="B584" s="97"/>
      <c r="C584" s="302"/>
      <c r="D584" s="302"/>
      <c r="E584" s="302"/>
      <c r="F584" s="302"/>
      <c r="G584" s="97"/>
      <c r="H584" s="97"/>
      <c r="I584" s="97"/>
      <c r="J584" s="97"/>
      <c r="K584" s="97"/>
      <c r="L584" s="97"/>
      <c r="M584" s="97"/>
      <c r="N584" s="97"/>
      <c r="O584" s="97"/>
      <c r="P584" s="97"/>
      <c r="Q584" s="97"/>
      <c r="R584" s="97"/>
      <c r="S584" s="97"/>
      <c r="T584" s="97"/>
      <c r="U584" s="97"/>
      <c r="V584" s="97"/>
      <c r="W584" s="97"/>
      <c r="X584" s="97"/>
      <c r="Y584" s="97"/>
      <c r="Z584" s="97"/>
      <c r="AA584" s="97"/>
    </row>
    <row r="585" spans="1:27" ht="17">
      <c r="A585" s="97"/>
      <c r="B585" s="97"/>
      <c r="C585" s="302"/>
      <c r="D585" s="302"/>
      <c r="E585" s="302"/>
      <c r="F585" s="302"/>
      <c r="G585" s="97"/>
      <c r="H585" s="97"/>
      <c r="I585" s="97"/>
      <c r="J585" s="97"/>
      <c r="K585" s="97"/>
      <c r="L585" s="97"/>
      <c r="M585" s="97"/>
      <c r="N585" s="97"/>
      <c r="O585" s="97"/>
      <c r="P585" s="97"/>
      <c r="Q585" s="97"/>
      <c r="R585" s="97"/>
      <c r="S585" s="97"/>
      <c r="T585" s="97"/>
      <c r="U585" s="97"/>
      <c r="V585" s="97"/>
      <c r="W585" s="97"/>
      <c r="X585" s="97"/>
      <c r="Y585" s="97"/>
      <c r="Z585" s="97"/>
      <c r="AA585" s="97"/>
    </row>
    <row r="586" spans="1:27" ht="17">
      <c r="A586" s="97"/>
      <c r="B586" s="97"/>
      <c r="C586" s="302"/>
      <c r="D586" s="302"/>
      <c r="E586" s="302"/>
      <c r="F586" s="302"/>
      <c r="G586" s="97"/>
      <c r="H586" s="97"/>
      <c r="I586" s="97"/>
      <c r="J586" s="97"/>
      <c r="K586" s="97"/>
      <c r="L586" s="97"/>
      <c r="M586" s="97"/>
      <c r="N586" s="97"/>
      <c r="O586" s="97"/>
      <c r="P586" s="97"/>
      <c r="Q586" s="97"/>
      <c r="R586" s="97"/>
      <c r="S586" s="97"/>
      <c r="T586" s="97"/>
      <c r="U586" s="97"/>
      <c r="V586" s="97"/>
      <c r="W586" s="97"/>
      <c r="X586" s="97"/>
      <c r="Y586" s="97"/>
      <c r="Z586" s="97"/>
      <c r="AA586" s="97"/>
    </row>
    <row r="587" spans="1:27" ht="17">
      <c r="A587" s="97"/>
      <c r="B587" s="97"/>
      <c r="C587" s="302"/>
      <c r="D587" s="302"/>
      <c r="E587" s="302"/>
      <c r="F587" s="302"/>
      <c r="G587" s="97"/>
      <c r="H587" s="97"/>
      <c r="I587" s="97"/>
      <c r="J587" s="97"/>
      <c r="K587" s="97"/>
      <c r="L587" s="97"/>
      <c r="M587" s="97"/>
      <c r="N587" s="97"/>
      <c r="O587" s="97"/>
      <c r="P587" s="97"/>
      <c r="Q587" s="97"/>
      <c r="R587" s="97"/>
      <c r="S587" s="97"/>
      <c r="T587" s="97"/>
      <c r="U587" s="97"/>
      <c r="V587" s="97"/>
      <c r="W587" s="97"/>
      <c r="X587" s="97"/>
      <c r="Y587" s="97"/>
      <c r="Z587" s="97"/>
      <c r="AA587" s="97"/>
    </row>
    <row r="588" spans="1:27" ht="17">
      <c r="A588" s="97"/>
      <c r="B588" s="97"/>
      <c r="C588" s="302"/>
      <c r="D588" s="302"/>
      <c r="E588" s="302"/>
      <c r="F588" s="302"/>
      <c r="G588" s="97"/>
      <c r="H588" s="97"/>
      <c r="I588" s="97"/>
      <c r="J588" s="97"/>
      <c r="K588" s="97"/>
      <c r="L588" s="97"/>
      <c r="M588" s="97"/>
      <c r="N588" s="97"/>
      <c r="O588" s="97"/>
      <c r="P588" s="97"/>
      <c r="Q588" s="97"/>
      <c r="R588" s="97"/>
      <c r="S588" s="97"/>
      <c r="T588" s="97"/>
      <c r="U588" s="97"/>
      <c r="V588" s="97"/>
      <c r="W588" s="97"/>
      <c r="X588" s="97"/>
      <c r="Y588" s="97"/>
      <c r="Z588" s="97"/>
      <c r="AA588" s="97"/>
    </row>
    <row r="589" spans="1:27" ht="17">
      <c r="A589" s="97"/>
      <c r="B589" s="97"/>
      <c r="C589" s="302"/>
      <c r="D589" s="302"/>
      <c r="E589" s="302"/>
      <c r="F589" s="302"/>
      <c r="G589" s="97"/>
      <c r="H589" s="97"/>
      <c r="I589" s="97"/>
      <c r="J589" s="97"/>
      <c r="K589" s="97"/>
      <c r="L589" s="97"/>
      <c r="M589" s="97"/>
      <c r="N589" s="97"/>
      <c r="O589" s="97"/>
      <c r="P589" s="97"/>
      <c r="Q589" s="97"/>
      <c r="R589" s="97"/>
      <c r="S589" s="97"/>
      <c r="T589" s="97"/>
      <c r="U589" s="97"/>
      <c r="V589" s="97"/>
      <c r="W589" s="97"/>
      <c r="X589" s="97"/>
      <c r="Y589" s="97"/>
      <c r="Z589" s="97"/>
      <c r="AA589" s="97"/>
    </row>
    <row r="590" spans="1:27" ht="17">
      <c r="A590" s="97"/>
      <c r="B590" s="97"/>
      <c r="C590" s="302"/>
      <c r="D590" s="302"/>
      <c r="E590" s="302"/>
      <c r="F590" s="302"/>
      <c r="G590" s="97"/>
      <c r="H590" s="97"/>
      <c r="I590" s="97"/>
      <c r="J590" s="97"/>
      <c r="K590" s="97"/>
      <c r="L590" s="97"/>
      <c r="M590" s="97"/>
      <c r="N590" s="97"/>
      <c r="O590" s="97"/>
      <c r="P590" s="97"/>
      <c r="Q590" s="97"/>
      <c r="R590" s="97"/>
      <c r="S590" s="97"/>
      <c r="T590" s="97"/>
      <c r="U590" s="97"/>
      <c r="V590" s="97"/>
      <c r="W590" s="97"/>
      <c r="X590" s="97"/>
      <c r="Y590" s="97"/>
      <c r="Z590" s="97"/>
      <c r="AA590" s="97"/>
    </row>
    <row r="591" spans="1:27" ht="17">
      <c r="A591" s="97"/>
      <c r="B591" s="97"/>
      <c r="C591" s="302"/>
      <c r="D591" s="302"/>
      <c r="E591" s="302"/>
      <c r="F591" s="302"/>
      <c r="G591" s="97"/>
      <c r="H591" s="97"/>
      <c r="I591" s="97"/>
      <c r="J591" s="97"/>
      <c r="K591" s="97"/>
      <c r="L591" s="97"/>
      <c r="M591" s="97"/>
      <c r="N591" s="97"/>
      <c r="O591" s="97"/>
      <c r="P591" s="97"/>
      <c r="Q591" s="97"/>
      <c r="R591" s="97"/>
      <c r="S591" s="97"/>
      <c r="T591" s="97"/>
      <c r="U591" s="97"/>
      <c r="V591" s="97"/>
      <c r="W591" s="97"/>
      <c r="X591" s="97"/>
      <c r="Y591" s="97"/>
      <c r="Z591" s="97"/>
      <c r="AA591" s="97"/>
    </row>
    <row r="592" spans="1:27" ht="17">
      <c r="A592" s="97"/>
      <c r="B592" s="97"/>
      <c r="C592" s="302"/>
      <c r="D592" s="302"/>
      <c r="E592" s="302"/>
      <c r="F592" s="302"/>
      <c r="G592" s="97"/>
      <c r="H592" s="97"/>
      <c r="I592" s="97"/>
      <c r="J592" s="97"/>
      <c r="K592" s="97"/>
      <c r="L592" s="97"/>
      <c r="M592" s="97"/>
      <c r="N592" s="97"/>
      <c r="O592" s="97"/>
      <c r="P592" s="97"/>
      <c r="Q592" s="97"/>
      <c r="R592" s="97"/>
      <c r="S592" s="97"/>
      <c r="T592" s="97"/>
      <c r="U592" s="97"/>
      <c r="V592" s="97"/>
      <c r="W592" s="97"/>
      <c r="X592" s="97"/>
      <c r="Y592" s="97"/>
      <c r="Z592" s="97"/>
      <c r="AA592" s="97"/>
    </row>
    <row r="593" spans="1:27" ht="17">
      <c r="A593" s="97"/>
      <c r="B593" s="97"/>
      <c r="C593" s="302"/>
      <c r="D593" s="302"/>
      <c r="E593" s="302"/>
      <c r="F593" s="302"/>
      <c r="G593" s="97"/>
      <c r="H593" s="97"/>
      <c r="I593" s="97"/>
      <c r="J593" s="97"/>
      <c r="K593" s="97"/>
      <c r="L593" s="97"/>
      <c r="M593" s="97"/>
      <c r="N593" s="97"/>
      <c r="O593" s="97"/>
      <c r="P593" s="97"/>
      <c r="Q593" s="97"/>
      <c r="R593" s="97"/>
      <c r="S593" s="97"/>
      <c r="T593" s="97"/>
      <c r="U593" s="97"/>
      <c r="V593" s="97"/>
      <c r="W593" s="97"/>
      <c r="X593" s="97"/>
      <c r="Y593" s="97"/>
      <c r="Z593" s="97"/>
      <c r="AA593" s="97"/>
    </row>
    <row r="594" spans="1:27" ht="17">
      <c r="A594" s="97"/>
      <c r="B594" s="97"/>
      <c r="C594" s="302"/>
      <c r="D594" s="302"/>
      <c r="E594" s="302"/>
      <c r="F594" s="302"/>
      <c r="G594" s="97"/>
      <c r="H594" s="97"/>
      <c r="I594" s="97"/>
      <c r="J594" s="97"/>
      <c r="K594" s="97"/>
      <c r="L594" s="97"/>
      <c r="M594" s="97"/>
      <c r="N594" s="97"/>
      <c r="O594" s="97"/>
      <c r="P594" s="97"/>
      <c r="Q594" s="97"/>
      <c r="R594" s="97"/>
      <c r="S594" s="97"/>
      <c r="T594" s="97"/>
      <c r="U594" s="97"/>
      <c r="V594" s="97"/>
      <c r="W594" s="97"/>
      <c r="X594" s="97"/>
      <c r="Y594" s="97"/>
      <c r="Z594" s="97"/>
      <c r="AA594" s="97"/>
    </row>
    <row r="595" spans="1:27" ht="17">
      <c r="A595" s="97"/>
      <c r="B595" s="97"/>
      <c r="C595" s="302"/>
      <c r="D595" s="302"/>
      <c r="E595" s="302"/>
      <c r="F595" s="302"/>
      <c r="G595" s="97"/>
      <c r="H595" s="97"/>
      <c r="I595" s="97"/>
      <c r="J595" s="97"/>
      <c r="K595" s="97"/>
      <c r="L595" s="97"/>
      <c r="M595" s="97"/>
      <c r="N595" s="97"/>
      <c r="O595" s="97"/>
      <c r="P595" s="97"/>
      <c r="Q595" s="97"/>
      <c r="R595" s="97"/>
      <c r="S595" s="97"/>
      <c r="T595" s="97"/>
      <c r="U595" s="97"/>
      <c r="V595" s="97"/>
      <c r="W595" s="97"/>
      <c r="X595" s="97"/>
      <c r="Y595" s="97"/>
      <c r="Z595" s="97"/>
      <c r="AA595" s="97"/>
    </row>
    <row r="596" spans="1:27" ht="17">
      <c r="A596" s="97"/>
      <c r="B596" s="97"/>
      <c r="C596" s="302"/>
      <c r="D596" s="302"/>
      <c r="E596" s="302"/>
      <c r="F596" s="302"/>
      <c r="G596" s="97"/>
      <c r="H596" s="97"/>
      <c r="I596" s="97"/>
      <c r="J596" s="97"/>
      <c r="K596" s="97"/>
      <c r="L596" s="97"/>
      <c r="M596" s="97"/>
      <c r="N596" s="97"/>
      <c r="O596" s="97"/>
      <c r="P596" s="97"/>
      <c r="Q596" s="97"/>
      <c r="R596" s="97"/>
      <c r="S596" s="97"/>
      <c r="T596" s="97"/>
      <c r="U596" s="97"/>
      <c r="V596" s="97"/>
      <c r="W596" s="97"/>
      <c r="X596" s="97"/>
      <c r="Y596" s="97"/>
      <c r="Z596" s="97"/>
      <c r="AA596" s="97"/>
    </row>
    <row r="597" spans="1:27" ht="17">
      <c r="A597" s="97"/>
      <c r="B597" s="97"/>
      <c r="C597" s="302"/>
      <c r="D597" s="302"/>
      <c r="E597" s="302"/>
      <c r="F597" s="302"/>
      <c r="G597" s="97"/>
      <c r="H597" s="97"/>
      <c r="I597" s="97"/>
      <c r="J597" s="97"/>
      <c r="K597" s="97"/>
      <c r="L597" s="97"/>
      <c r="M597" s="97"/>
      <c r="N597" s="97"/>
      <c r="O597" s="97"/>
      <c r="P597" s="97"/>
      <c r="Q597" s="97"/>
      <c r="R597" s="97"/>
      <c r="S597" s="97"/>
      <c r="T597" s="97"/>
      <c r="U597" s="97"/>
      <c r="V597" s="97"/>
      <c r="W597" s="97"/>
      <c r="X597" s="97"/>
      <c r="Y597" s="97"/>
      <c r="Z597" s="97"/>
      <c r="AA597" s="97"/>
    </row>
    <row r="598" spans="1:27" ht="17">
      <c r="A598" s="97"/>
      <c r="B598" s="97"/>
      <c r="C598" s="302"/>
      <c r="D598" s="302"/>
      <c r="E598" s="302"/>
      <c r="F598" s="302"/>
      <c r="G598" s="97"/>
      <c r="H598" s="97"/>
      <c r="I598" s="97"/>
      <c r="J598" s="97"/>
      <c r="K598" s="97"/>
      <c r="L598" s="97"/>
      <c r="M598" s="97"/>
      <c r="N598" s="97"/>
      <c r="O598" s="97"/>
      <c r="P598" s="97"/>
      <c r="Q598" s="97"/>
      <c r="R598" s="97"/>
      <c r="S598" s="97"/>
      <c r="T598" s="97"/>
      <c r="U598" s="97"/>
      <c r="V598" s="97"/>
      <c r="W598" s="97"/>
      <c r="X598" s="97"/>
      <c r="Y598" s="97"/>
      <c r="Z598" s="97"/>
      <c r="AA598" s="97"/>
    </row>
    <row r="599" spans="1:27" ht="17">
      <c r="A599" s="97"/>
      <c r="B599" s="97"/>
      <c r="C599" s="302"/>
      <c r="D599" s="302"/>
      <c r="E599" s="302"/>
      <c r="F599" s="302"/>
      <c r="G599" s="97"/>
      <c r="H599" s="97"/>
      <c r="I599" s="97"/>
      <c r="J599" s="97"/>
      <c r="K599" s="97"/>
      <c r="L599" s="97"/>
      <c r="M599" s="97"/>
      <c r="N599" s="97"/>
      <c r="O599" s="97"/>
      <c r="P599" s="97"/>
      <c r="Q599" s="97"/>
      <c r="R599" s="97"/>
      <c r="S599" s="97"/>
      <c r="T599" s="97"/>
      <c r="U599" s="97"/>
      <c r="V599" s="97"/>
      <c r="W599" s="97"/>
      <c r="X599" s="97"/>
      <c r="Y599" s="97"/>
      <c r="Z599" s="97"/>
      <c r="AA599" s="97"/>
    </row>
    <row r="600" spans="1:27" ht="17">
      <c r="A600" s="97"/>
      <c r="B600" s="97"/>
      <c r="C600" s="302"/>
      <c r="D600" s="302"/>
      <c r="E600" s="302"/>
      <c r="F600" s="302"/>
      <c r="G600" s="97"/>
      <c r="H600" s="97"/>
      <c r="I600" s="97"/>
      <c r="J600" s="97"/>
      <c r="K600" s="97"/>
      <c r="L600" s="97"/>
      <c r="M600" s="97"/>
      <c r="N600" s="97"/>
      <c r="O600" s="97"/>
      <c r="P600" s="97"/>
      <c r="Q600" s="97"/>
      <c r="R600" s="97"/>
      <c r="S600" s="97"/>
      <c r="T600" s="97"/>
      <c r="U600" s="97"/>
      <c r="V600" s="97"/>
      <c r="W600" s="97"/>
      <c r="X600" s="97"/>
      <c r="Y600" s="97"/>
      <c r="Z600" s="97"/>
      <c r="AA600" s="97"/>
    </row>
    <row r="601" spans="1:27" ht="17">
      <c r="A601" s="97"/>
      <c r="B601" s="97"/>
      <c r="C601" s="302"/>
      <c r="D601" s="302"/>
      <c r="E601" s="302"/>
      <c r="F601" s="302"/>
      <c r="G601" s="97"/>
      <c r="H601" s="97"/>
      <c r="I601" s="97"/>
      <c r="J601" s="97"/>
      <c r="K601" s="97"/>
      <c r="L601" s="97"/>
      <c r="M601" s="97"/>
      <c r="N601" s="97"/>
      <c r="O601" s="97"/>
      <c r="P601" s="97"/>
      <c r="Q601" s="97"/>
      <c r="R601" s="97"/>
      <c r="S601" s="97"/>
      <c r="T601" s="97"/>
      <c r="U601" s="97"/>
      <c r="V601" s="97"/>
      <c r="W601" s="97"/>
      <c r="X601" s="97"/>
      <c r="Y601" s="97"/>
      <c r="Z601" s="97"/>
      <c r="AA601" s="97"/>
    </row>
    <row r="602" spans="1:27" ht="17">
      <c r="A602" s="97"/>
      <c r="B602" s="97"/>
      <c r="C602" s="302"/>
      <c r="D602" s="302"/>
      <c r="E602" s="302"/>
      <c r="F602" s="302"/>
      <c r="G602" s="97"/>
      <c r="H602" s="97"/>
      <c r="I602" s="97"/>
      <c r="J602" s="97"/>
      <c r="K602" s="97"/>
      <c r="L602" s="97"/>
      <c r="M602" s="97"/>
      <c r="N602" s="97"/>
      <c r="O602" s="97"/>
      <c r="P602" s="97"/>
      <c r="Q602" s="97"/>
      <c r="R602" s="97"/>
      <c r="S602" s="97"/>
      <c r="T602" s="97"/>
      <c r="U602" s="97"/>
      <c r="V602" s="97"/>
      <c r="W602" s="97"/>
      <c r="X602" s="97"/>
      <c r="Y602" s="97"/>
      <c r="Z602" s="97"/>
      <c r="AA602" s="97"/>
    </row>
    <row r="603" spans="1:27" ht="17">
      <c r="A603" s="97"/>
      <c r="B603" s="97"/>
      <c r="C603" s="302"/>
      <c r="D603" s="302"/>
      <c r="E603" s="302"/>
      <c r="F603" s="302"/>
      <c r="G603" s="97"/>
      <c r="H603" s="97"/>
      <c r="I603" s="97"/>
      <c r="J603" s="97"/>
      <c r="K603" s="97"/>
      <c r="L603" s="97"/>
      <c r="M603" s="97"/>
      <c r="N603" s="97"/>
      <c r="O603" s="97"/>
      <c r="P603" s="97"/>
      <c r="Q603" s="97"/>
      <c r="R603" s="97"/>
      <c r="S603" s="97"/>
      <c r="T603" s="97"/>
      <c r="U603" s="97"/>
      <c r="V603" s="97"/>
      <c r="W603" s="97"/>
      <c r="X603" s="97"/>
      <c r="Y603" s="97"/>
      <c r="Z603" s="97"/>
      <c r="AA603" s="97"/>
    </row>
    <row r="604" spans="1:27" ht="17">
      <c r="A604" s="97"/>
      <c r="B604" s="97"/>
      <c r="C604" s="302"/>
      <c r="D604" s="302"/>
      <c r="E604" s="302"/>
      <c r="F604" s="302"/>
      <c r="G604" s="97"/>
      <c r="H604" s="97"/>
      <c r="I604" s="97"/>
      <c r="J604" s="97"/>
      <c r="K604" s="97"/>
      <c r="L604" s="97"/>
      <c r="M604" s="97"/>
      <c r="N604" s="97"/>
      <c r="O604" s="97"/>
      <c r="P604" s="97"/>
      <c r="Q604" s="97"/>
      <c r="R604" s="97"/>
      <c r="S604" s="97"/>
      <c r="T604" s="97"/>
      <c r="U604" s="97"/>
      <c r="V604" s="97"/>
      <c r="W604" s="97"/>
      <c r="X604" s="97"/>
      <c r="Y604" s="97"/>
      <c r="Z604" s="97"/>
      <c r="AA604" s="97"/>
    </row>
    <row r="605" spans="1:27" ht="17">
      <c r="A605" s="97"/>
      <c r="B605" s="97"/>
      <c r="C605" s="302"/>
      <c r="D605" s="302"/>
      <c r="E605" s="302"/>
      <c r="F605" s="302"/>
      <c r="G605" s="97"/>
      <c r="H605" s="97"/>
      <c r="I605" s="97"/>
      <c r="J605" s="97"/>
      <c r="K605" s="97"/>
      <c r="L605" s="97"/>
      <c r="M605" s="97"/>
      <c r="N605" s="97"/>
      <c r="O605" s="97"/>
      <c r="P605" s="97"/>
      <c r="Q605" s="97"/>
      <c r="R605" s="97"/>
      <c r="S605" s="97"/>
      <c r="T605" s="97"/>
      <c r="U605" s="97"/>
      <c r="V605" s="97"/>
      <c r="W605" s="97"/>
      <c r="X605" s="97"/>
      <c r="Y605" s="97"/>
      <c r="Z605" s="97"/>
      <c r="AA605" s="97"/>
    </row>
    <row r="606" spans="1:27" ht="17">
      <c r="A606" s="97"/>
      <c r="B606" s="97"/>
      <c r="C606" s="302"/>
      <c r="D606" s="302"/>
      <c r="E606" s="302"/>
      <c r="F606" s="302"/>
      <c r="G606" s="97"/>
      <c r="H606" s="97"/>
      <c r="I606" s="97"/>
      <c r="J606" s="97"/>
      <c r="K606" s="97"/>
      <c r="L606" s="97"/>
      <c r="M606" s="97"/>
      <c r="N606" s="97"/>
      <c r="O606" s="97"/>
      <c r="P606" s="97"/>
      <c r="Q606" s="97"/>
      <c r="R606" s="97"/>
      <c r="S606" s="97"/>
      <c r="T606" s="97"/>
      <c r="U606" s="97"/>
      <c r="V606" s="97"/>
      <c r="W606" s="97"/>
      <c r="X606" s="97"/>
      <c r="Y606" s="97"/>
      <c r="Z606" s="97"/>
      <c r="AA606" s="97"/>
    </row>
    <row r="607" spans="1:27" ht="17">
      <c r="A607" s="97"/>
      <c r="B607" s="97"/>
      <c r="C607" s="302"/>
      <c r="D607" s="302"/>
      <c r="E607" s="302"/>
      <c r="F607" s="302"/>
      <c r="G607" s="97"/>
      <c r="H607" s="97"/>
      <c r="I607" s="97"/>
      <c r="J607" s="97"/>
      <c r="K607" s="97"/>
      <c r="L607" s="97"/>
      <c r="M607" s="97"/>
      <c r="N607" s="97"/>
      <c r="O607" s="97"/>
      <c r="P607" s="97"/>
      <c r="Q607" s="97"/>
      <c r="R607" s="97"/>
      <c r="S607" s="97"/>
      <c r="T607" s="97"/>
      <c r="U607" s="97"/>
      <c r="V607" s="97"/>
      <c r="W607" s="97"/>
      <c r="X607" s="97"/>
      <c r="Y607" s="97"/>
      <c r="Z607" s="97"/>
      <c r="AA607" s="97"/>
    </row>
    <row r="608" spans="1:27" ht="17">
      <c r="A608" s="97"/>
      <c r="B608" s="97"/>
      <c r="C608" s="302"/>
      <c r="D608" s="302"/>
      <c r="E608" s="302"/>
      <c r="F608" s="302"/>
      <c r="G608" s="97"/>
      <c r="H608" s="97"/>
      <c r="I608" s="97"/>
      <c r="J608" s="97"/>
      <c r="K608" s="97"/>
      <c r="L608" s="97"/>
      <c r="M608" s="97"/>
      <c r="N608" s="97"/>
      <c r="O608" s="97"/>
      <c r="P608" s="97"/>
      <c r="Q608" s="97"/>
      <c r="R608" s="97"/>
      <c r="S608" s="97"/>
      <c r="T608" s="97"/>
      <c r="U608" s="97"/>
      <c r="V608" s="97"/>
      <c r="W608" s="97"/>
      <c r="X608" s="97"/>
      <c r="Y608" s="97"/>
      <c r="Z608" s="97"/>
      <c r="AA608" s="97"/>
    </row>
    <row r="609" spans="1:27" ht="17">
      <c r="A609" s="97"/>
      <c r="B609" s="97"/>
      <c r="C609" s="302"/>
      <c r="D609" s="302"/>
      <c r="E609" s="302"/>
      <c r="F609" s="302"/>
      <c r="G609" s="97"/>
      <c r="H609" s="97"/>
      <c r="I609" s="97"/>
      <c r="J609" s="97"/>
      <c r="K609" s="97"/>
      <c r="L609" s="97"/>
      <c r="M609" s="97"/>
      <c r="N609" s="97"/>
      <c r="O609" s="97"/>
      <c r="P609" s="97"/>
      <c r="Q609" s="97"/>
      <c r="R609" s="97"/>
      <c r="S609" s="97"/>
      <c r="T609" s="97"/>
      <c r="U609" s="97"/>
      <c r="V609" s="97"/>
      <c r="W609" s="97"/>
      <c r="X609" s="97"/>
      <c r="Y609" s="97"/>
      <c r="Z609" s="97"/>
      <c r="AA609" s="97"/>
    </row>
    <row r="610" spans="1:27" ht="17">
      <c r="A610" s="97"/>
      <c r="B610" s="97"/>
      <c r="C610" s="302"/>
      <c r="D610" s="302"/>
      <c r="E610" s="302"/>
      <c r="F610" s="302"/>
      <c r="G610" s="97"/>
      <c r="H610" s="97"/>
      <c r="I610" s="97"/>
      <c r="J610" s="97"/>
      <c r="K610" s="97"/>
      <c r="L610" s="97"/>
      <c r="M610" s="97"/>
      <c r="N610" s="97"/>
      <c r="O610" s="97"/>
      <c r="P610" s="97"/>
      <c r="Q610" s="97"/>
      <c r="R610" s="97"/>
      <c r="S610" s="97"/>
      <c r="T610" s="97"/>
      <c r="U610" s="97"/>
      <c r="V610" s="97"/>
      <c r="W610" s="97"/>
      <c r="X610" s="97"/>
      <c r="Y610" s="97"/>
      <c r="Z610" s="97"/>
      <c r="AA610" s="97"/>
    </row>
    <row r="611" spans="1:27" ht="17">
      <c r="A611" s="97"/>
      <c r="B611" s="97"/>
      <c r="C611" s="302"/>
      <c r="D611" s="302"/>
      <c r="E611" s="302"/>
      <c r="F611" s="302"/>
      <c r="G611" s="97"/>
      <c r="H611" s="97"/>
      <c r="I611" s="97"/>
      <c r="J611" s="97"/>
      <c r="K611" s="97"/>
      <c r="L611" s="97"/>
      <c r="M611" s="97"/>
      <c r="N611" s="97"/>
      <c r="O611" s="97"/>
      <c r="P611" s="97"/>
      <c r="Q611" s="97"/>
      <c r="R611" s="97"/>
      <c r="S611" s="97"/>
      <c r="T611" s="97"/>
      <c r="U611" s="97"/>
      <c r="V611" s="97"/>
      <c r="W611" s="97"/>
      <c r="X611" s="97"/>
      <c r="Y611" s="97"/>
      <c r="Z611" s="97"/>
      <c r="AA611" s="97"/>
    </row>
    <row r="612" spans="1:27" ht="17">
      <c r="A612" s="97"/>
      <c r="B612" s="97"/>
      <c r="C612" s="302"/>
      <c r="D612" s="302"/>
      <c r="E612" s="302"/>
      <c r="F612" s="302"/>
      <c r="G612" s="97"/>
      <c r="H612" s="97"/>
      <c r="I612" s="97"/>
      <c r="J612" s="97"/>
      <c r="K612" s="97"/>
      <c r="L612" s="97"/>
      <c r="M612" s="97"/>
      <c r="N612" s="97"/>
      <c r="O612" s="97"/>
      <c r="P612" s="97"/>
      <c r="Q612" s="97"/>
      <c r="R612" s="97"/>
      <c r="S612" s="97"/>
      <c r="T612" s="97"/>
      <c r="U612" s="97"/>
      <c r="V612" s="97"/>
      <c r="W612" s="97"/>
      <c r="X612" s="97"/>
      <c r="Y612" s="97"/>
      <c r="Z612" s="97"/>
      <c r="AA612" s="97"/>
    </row>
    <row r="613" spans="1:27" ht="17">
      <c r="A613" s="97"/>
      <c r="B613" s="97"/>
      <c r="C613" s="302"/>
      <c r="D613" s="302"/>
      <c r="E613" s="302"/>
      <c r="F613" s="302"/>
      <c r="G613" s="97"/>
      <c r="H613" s="97"/>
      <c r="I613" s="97"/>
      <c r="J613" s="97"/>
      <c r="K613" s="97"/>
      <c r="L613" s="97"/>
      <c r="M613" s="97"/>
      <c r="N613" s="97"/>
      <c r="O613" s="97"/>
      <c r="P613" s="97"/>
      <c r="Q613" s="97"/>
      <c r="R613" s="97"/>
      <c r="S613" s="97"/>
      <c r="T613" s="97"/>
      <c r="U613" s="97"/>
      <c r="V613" s="97"/>
      <c r="W613" s="97"/>
      <c r="X613" s="97"/>
      <c r="Y613" s="97"/>
      <c r="Z613" s="97"/>
      <c r="AA613" s="97"/>
    </row>
    <row r="614" spans="1:27" ht="17">
      <c r="A614" s="97"/>
      <c r="B614" s="97"/>
      <c r="C614" s="302"/>
      <c r="D614" s="302"/>
      <c r="E614" s="302"/>
      <c r="F614" s="302"/>
      <c r="G614" s="97"/>
      <c r="H614" s="97"/>
      <c r="I614" s="97"/>
      <c r="J614" s="97"/>
      <c r="K614" s="97"/>
      <c r="L614" s="97"/>
      <c r="M614" s="97"/>
      <c r="N614" s="97"/>
      <c r="O614" s="97"/>
      <c r="P614" s="97"/>
      <c r="Q614" s="97"/>
      <c r="R614" s="97"/>
      <c r="S614" s="97"/>
      <c r="T614" s="97"/>
      <c r="U614" s="97"/>
      <c r="V614" s="97"/>
      <c r="W614" s="97"/>
      <c r="X614" s="97"/>
      <c r="Y614" s="97"/>
      <c r="Z614" s="97"/>
      <c r="AA614" s="97"/>
    </row>
    <row r="615" spans="1:27" ht="17">
      <c r="A615" s="97"/>
      <c r="B615" s="97"/>
      <c r="C615" s="302"/>
      <c r="D615" s="302"/>
      <c r="E615" s="302"/>
      <c r="F615" s="302"/>
      <c r="G615" s="97"/>
      <c r="H615" s="97"/>
      <c r="I615" s="97"/>
      <c r="J615" s="97"/>
      <c r="K615" s="97"/>
      <c r="L615" s="97"/>
      <c r="M615" s="97"/>
      <c r="N615" s="97"/>
      <c r="O615" s="97"/>
      <c r="P615" s="97"/>
      <c r="Q615" s="97"/>
      <c r="R615" s="97"/>
      <c r="S615" s="97"/>
      <c r="T615" s="97"/>
      <c r="U615" s="97"/>
      <c r="V615" s="97"/>
      <c r="W615" s="97"/>
      <c r="X615" s="97"/>
      <c r="Y615" s="97"/>
      <c r="Z615" s="97"/>
      <c r="AA615" s="97"/>
    </row>
    <row r="616" spans="1:27" ht="17">
      <c r="A616" s="97"/>
      <c r="B616" s="97"/>
      <c r="C616" s="302"/>
      <c r="D616" s="302"/>
      <c r="E616" s="302"/>
      <c r="F616" s="302"/>
      <c r="G616" s="97"/>
      <c r="H616" s="97"/>
      <c r="I616" s="97"/>
      <c r="J616" s="97"/>
      <c r="K616" s="97"/>
      <c r="L616" s="97"/>
      <c r="M616" s="97"/>
      <c r="N616" s="97"/>
      <c r="O616" s="97"/>
      <c r="P616" s="97"/>
      <c r="Q616" s="97"/>
      <c r="R616" s="97"/>
      <c r="S616" s="97"/>
      <c r="T616" s="97"/>
      <c r="U616" s="97"/>
      <c r="V616" s="97"/>
      <c r="W616" s="97"/>
      <c r="X616" s="97"/>
      <c r="Y616" s="97"/>
      <c r="Z616" s="97"/>
      <c r="AA616" s="97"/>
    </row>
    <row r="617" spans="1:27" ht="17">
      <c r="A617" s="97"/>
      <c r="B617" s="97"/>
      <c r="C617" s="302"/>
      <c r="D617" s="302"/>
      <c r="E617" s="302"/>
      <c r="F617" s="302"/>
      <c r="G617" s="97"/>
      <c r="H617" s="97"/>
      <c r="I617" s="97"/>
      <c r="J617" s="97"/>
      <c r="K617" s="97"/>
      <c r="L617" s="97"/>
      <c r="M617" s="97"/>
      <c r="N617" s="97"/>
      <c r="O617" s="97"/>
      <c r="P617" s="97"/>
      <c r="Q617" s="97"/>
      <c r="R617" s="97"/>
      <c r="S617" s="97"/>
      <c r="T617" s="97"/>
      <c r="U617" s="97"/>
      <c r="V617" s="97"/>
      <c r="W617" s="97"/>
      <c r="X617" s="97"/>
      <c r="Y617" s="97"/>
      <c r="Z617" s="97"/>
      <c r="AA617" s="97"/>
    </row>
    <row r="618" spans="1:27" ht="17">
      <c r="A618" s="97"/>
      <c r="B618" s="97"/>
      <c r="C618" s="302"/>
      <c r="D618" s="302"/>
      <c r="E618" s="302"/>
      <c r="F618" s="302"/>
      <c r="G618" s="97"/>
      <c r="H618" s="97"/>
      <c r="I618" s="97"/>
      <c r="J618" s="97"/>
      <c r="K618" s="97"/>
      <c r="L618" s="97"/>
      <c r="M618" s="97"/>
      <c r="N618" s="97"/>
      <c r="O618" s="97"/>
      <c r="P618" s="97"/>
      <c r="Q618" s="97"/>
      <c r="R618" s="97"/>
      <c r="S618" s="97"/>
      <c r="T618" s="97"/>
      <c r="U618" s="97"/>
      <c r="V618" s="97"/>
      <c r="W618" s="97"/>
      <c r="X618" s="97"/>
      <c r="Y618" s="97"/>
      <c r="Z618" s="97"/>
      <c r="AA618" s="97"/>
    </row>
    <row r="619" spans="1:27" ht="17">
      <c r="A619" s="97"/>
      <c r="B619" s="97"/>
      <c r="C619" s="302"/>
      <c r="D619" s="302"/>
      <c r="E619" s="302"/>
      <c r="F619" s="302"/>
      <c r="G619" s="97"/>
      <c r="H619" s="97"/>
      <c r="I619" s="97"/>
      <c r="J619" s="97"/>
      <c r="K619" s="97"/>
      <c r="L619" s="97"/>
      <c r="M619" s="97"/>
      <c r="N619" s="97"/>
      <c r="O619" s="97"/>
      <c r="P619" s="97"/>
      <c r="Q619" s="97"/>
      <c r="R619" s="97"/>
      <c r="S619" s="97"/>
      <c r="T619" s="97"/>
      <c r="U619" s="97"/>
      <c r="V619" s="97"/>
      <c r="W619" s="97"/>
      <c r="X619" s="97"/>
      <c r="Y619" s="97"/>
      <c r="Z619" s="97"/>
      <c r="AA619" s="97"/>
    </row>
    <row r="620" spans="1:27" ht="17">
      <c r="A620" s="97"/>
      <c r="B620" s="97"/>
      <c r="C620" s="302"/>
      <c r="D620" s="302"/>
      <c r="E620" s="302"/>
      <c r="F620" s="302"/>
      <c r="G620" s="97"/>
      <c r="H620" s="97"/>
      <c r="I620" s="97"/>
      <c r="J620" s="97"/>
      <c r="K620" s="97"/>
      <c r="L620" s="97"/>
      <c r="M620" s="97"/>
      <c r="N620" s="97"/>
      <c r="O620" s="97"/>
      <c r="P620" s="97"/>
      <c r="Q620" s="97"/>
      <c r="R620" s="97"/>
      <c r="S620" s="97"/>
      <c r="T620" s="97"/>
      <c r="U620" s="97"/>
      <c r="V620" s="97"/>
      <c r="W620" s="97"/>
      <c r="X620" s="97"/>
      <c r="Y620" s="97"/>
      <c r="Z620" s="97"/>
      <c r="AA620" s="97"/>
    </row>
    <row r="621" spans="1:27" ht="17">
      <c r="A621" s="97"/>
      <c r="B621" s="97"/>
      <c r="C621" s="302"/>
      <c r="D621" s="302"/>
      <c r="E621" s="302"/>
      <c r="F621" s="302"/>
      <c r="G621" s="97"/>
      <c r="H621" s="97"/>
      <c r="I621" s="97"/>
      <c r="J621" s="97"/>
      <c r="K621" s="97"/>
      <c r="L621" s="97"/>
      <c r="M621" s="97"/>
      <c r="N621" s="97"/>
      <c r="O621" s="97"/>
      <c r="P621" s="97"/>
      <c r="Q621" s="97"/>
      <c r="R621" s="97"/>
      <c r="S621" s="97"/>
      <c r="T621" s="97"/>
      <c r="U621" s="97"/>
      <c r="V621" s="97"/>
      <c r="W621" s="97"/>
      <c r="X621" s="97"/>
      <c r="Y621" s="97"/>
      <c r="Z621" s="97"/>
      <c r="AA621" s="97"/>
    </row>
    <row r="622" spans="1:27" ht="17">
      <c r="A622" s="97"/>
      <c r="B622" s="97"/>
      <c r="C622" s="302"/>
      <c r="D622" s="302"/>
      <c r="E622" s="302"/>
      <c r="F622" s="302"/>
      <c r="G622" s="97"/>
      <c r="H622" s="97"/>
      <c r="I622" s="97"/>
      <c r="J622" s="97"/>
      <c r="K622" s="97"/>
      <c r="L622" s="97"/>
      <c r="M622" s="97"/>
      <c r="N622" s="97"/>
      <c r="O622" s="97"/>
      <c r="P622" s="97"/>
      <c r="Q622" s="97"/>
      <c r="R622" s="97"/>
      <c r="S622" s="97"/>
      <c r="T622" s="97"/>
      <c r="U622" s="97"/>
      <c r="V622" s="97"/>
      <c r="W622" s="97"/>
      <c r="X622" s="97"/>
      <c r="Y622" s="97"/>
      <c r="Z622" s="97"/>
      <c r="AA622" s="97"/>
    </row>
    <row r="623" spans="1:27" ht="17">
      <c r="A623" s="97"/>
      <c r="B623" s="97"/>
      <c r="C623" s="302"/>
      <c r="D623" s="302"/>
      <c r="E623" s="302"/>
      <c r="F623" s="302"/>
      <c r="G623" s="97"/>
      <c r="H623" s="97"/>
      <c r="I623" s="97"/>
      <c r="J623" s="97"/>
      <c r="K623" s="97"/>
      <c r="L623" s="97"/>
      <c r="M623" s="97"/>
      <c r="N623" s="97"/>
      <c r="O623" s="97"/>
      <c r="P623" s="97"/>
      <c r="Q623" s="97"/>
      <c r="R623" s="97"/>
      <c r="S623" s="97"/>
      <c r="T623" s="97"/>
      <c r="U623" s="97"/>
      <c r="V623" s="97"/>
      <c r="W623" s="97"/>
      <c r="X623" s="97"/>
      <c r="Y623" s="97"/>
      <c r="Z623" s="97"/>
      <c r="AA623" s="97"/>
    </row>
    <row r="624" spans="1:27" ht="17">
      <c r="A624" s="97"/>
      <c r="B624" s="97"/>
      <c r="C624" s="302"/>
      <c r="D624" s="302"/>
      <c r="E624" s="302"/>
      <c r="F624" s="302"/>
      <c r="G624" s="97"/>
      <c r="H624" s="97"/>
      <c r="I624" s="97"/>
      <c r="J624" s="97"/>
      <c r="K624" s="97"/>
      <c r="L624" s="97"/>
      <c r="M624" s="97"/>
      <c r="N624" s="97"/>
      <c r="O624" s="97"/>
      <c r="P624" s="97"/>
      <c r="Q624" s="97"/>
      <c r="R624" s="97"/>
      <c r="S624" s="97"/>
      <c r="T624" s="97"/>
      <c r="U624" s="97"/>
      <c r="V624" s="97"/>
      <c r="W624" s="97"/>
      <c r="X624" s="97"/>
      <c r="Y624" s="97"/>
      <c r="Z624" s="97"/>
      <c r="AA624" s="97"/>
    </row>
    <row r="625" spans="1:27" ht="17">
      <c r="A625" s="97"/>
      <c r="B625" s="97"/>
      <c r="C625" s="302"/>
      <c r="D625" s="302"/>
      <c r="E625" s="302"/>
      <c r="F625" s="302"/>
      <c r="G625" s="97"/>
      <c r="H625" s="97"/>
      <c r="I625" s="97"/>
      <c r="J625" s="97"/>
      <c r="K625" s="97"/>
      <c r="L625" s="97"/>
      <c r="M625" s="97"/>
      <c r="N625" s="97"/>
      <c r="O625" s="97"/>
      <c r="P625" s="97"/>
      <c r="Q625" s="97"/>
      <c r="R625" s="97"/>
      <c r="S625" s="97"/>
      <c r="T625" s="97"/>
      <c r="U625" s="97"/>
      <c r="V625" s="97"/>
      <c r="W625" s="97"/>
      <c r="X625" s="97"/>
      <c r="Y625" s="97"/>
      <c r="Z625" s="97"/>
      <c r="AA625" s="97"/>
    </row>
    <row r="626" spans="1:27" ht="17">
      <c r="A626" s="97"/>
      <c r="B626" s="97"/>
      <c r="C626" s="302"/>
      <c r="D626" s="302"/>
      <c r="E626" s="302"/>
      <c r="F626" s="302"/>
      <c r="G626" s="97"/>
      <c r="H626" s="97"/>
      <c r="I626" s="97"/>
      <c r="J626" s="97"/>
      <c r="K626" s="97"/>
      <c r="L626" s="97"/>
      <c r="M626" s="97"/>
      <c r="N626" s="97"/>
      <c r="O626" s="97"/>
      <c r="P626" s="97"/>
      <c r="Q626" s="97"/>
      <c r="R626" s="97"/>
      <c r="S626" s="97"/>
      <c r="T626" s="97"/>
      <c r="U626" s="97"/>
      <c r="V626" s="97"/>
      <c r="W626" s="97"/>
      <c r="X626" s="97"/>
      <c r="Y626" s="97"/>
      <c r="Z626" s="97"/>
      <c r="AA626" s="97"/>
    </row>
    <row r="627" spans="1:27" ht="17">
      <c r="A627" s="97"/>
      <c r="B627" s="97"/>
      <c r="C627" s="302"/>
      <c r="D627" s="302"/>
      <c r="E627" s="302"/>
      <c r="F627" s="302"/>
      <c r="G627" s="97"/>
      <c r="H627" s="97"/>
      <c r="I627" s="97"/>
      <c r="J627" s="97"/>
      <c r="K627" s="97"/>
      <c r="L627" s="97"/>
      <c r="M627" s="97"/>
      <c r="N627" s="97"/>
      <c r="O627" s="97"/>
      <c r="P627" s="97"/>
      <c r="Q627" s="97"/>
      <c r="R627" s="97"/>
      <c r="S627" s="97"/>
      <c r="T627" s="97"/>
      <c r="U627" s="97"/>
      <c r="V627" s="97"/>
      <c r="W627" s="97"/>
      <c r="X627" s="97"/>
      <c r="Y627" s="97"/>
      <c r="Z627" s="97"/>
      <c r="AA627" s="97"/>
    </row>
    <row r="628" spans="1:27" ht="17">
      <c r="A628" s="97"/>
      <c r="B628" s="97"/>
      <c r="C628" s="302"/>
      <c r="D628" s="302"/>
      <c r="E628" s="302"/>
      <c r="F628" s="302"/>
      <c r="G628" s="97"/>
      <c r="H628" s="97"/>
      <c r="I628" s="97"/>
      <c r="J628" s="97"/>
      <c r="K628" s="97"/>
      <c r="L628" s="97"/>
      <c r="M628" s="97"/>
      <c r="N628" s="97"/>
      <c r="O628" s="97"/>
      <c r="P628" s="97"/>
      <c r="Q628" s="97"/>
      <c r="R628" s="97"/>
      <c r="S628" s="97"/>
      <c r="T628" s="97"/>
      <c r="U628" s="97"/>
      <c r="V628" s="97"/>
      <c r="W628" s="97"/>
      <c r="X628" s="97"/>
      <c r="Y628" s="97"/>
      <c r="Z628" s="97"/>
      <c r="AA628" s="97"/>
    </row>
    <row r="629" spans="1:27" ht="17">
      <c r="A629" s="97"/>
      <c r="B629" s="97"/>
      <c r="C629" s="302"/>
      <c r="D629" s="302"/>
      <c r="E629" s="302"/>
      <c r="F629" s="302"/>
      <c r="G629" s="97"/>
      <c r="H629" s="97"/>
      <c r="I629" s="97"/>
      <c r="J629" s="97"/>
      <c r="K629" s="97"/>
      <c r="L629" s="97"/>
      <c r="M629" s="97"/>
      <c r="N629" s="97"/>
      <c r="O629" s="97"/>
      <c r="P629" s="97"/>
      <c r="Q629" s="97"/>
      <c r="R629" s="97"/>
      <c r="S629" s="97"/>
      <c r="T629" s="97"/>
      <c r="U629" s="97"/>
      <c r="V629" s="97"/>
      <c r="W629" s="97"/>
      <c r="X629" s="97"/>
      <c r="Y629" s="97"/>
      <c r="Z629" s="97"/>
      <c r="AA629" s="97"/>
    </row>
    <row r="630" spans="1:27" ht="17">
      <c r="A630" s="97"/>
      <c r="B630" s="97"/>
      <c r="C630" s="302"/>
      <c r="D630" s="302"/>
      <c r="E630" s="302"/>
      <c r="F630" s="302"/>
      <c r="G630" s="97"/>
      <c r="H630" s="97"/>
      <c r="I630" s="97"/>
      <c r="J630" s="97"/>
      <c r="K630" s="97"/>
      <c r="L630" s="97"/>
      <c r="M630" s="97"/>
      <c r="N630" s="97"/>
      <c r="O630" s="97"/>
      <c r="P630" s="97"/>
      <c r="Q630" s="97"/>
      <c r="R630" s="97"/>
      <c r="S630" s="97"/>
      <c r="T630" s="97"/>
      <c r="U630" s="97"/>
      <c r="V630" s="97"/>
      <c r="W630" s="97"/>
      <c r="X630" s="97"/>
      <c r="Y630" s="97"/>
      <c r="Z630" s="97"/>
      <c r="AA630" s="97"/>
    </row>
    <row r="631" spans="1:27" ht="17">
      <c r="A631" s="97"/>
      <c r="B631" s="97"/>
      <c r="C631" s="302"/>
      <c r="D631" s="302"/>
      <c r="E631" s="302"/>
      <c r="F631" s="302"/>
      <c r="G631" s="97"/>
      <c r="H631" s="97"/>
      <c r="I631" s="97"/>
      <c r="J631" s="97"/>
      <c r="K631" s="97"/>
      <c r="L631" s="97"/>
      <c r="M631" s="97"/>
      <c r="N631" s="97"/>
      <c r="O631" s="97"/>
      <c r="P631" s="97"/>
      <c r="Q631" s="97"/>
      <c r="R631" s="97"/>
      <c r="S631" s="97"/>
      <c r="T631" s="97"/>
      <c r="U631" s="97"/>
      <c r="V631" s="97"/>
      <c r="W631" s="97"/>
      <c r="X631" s="97"/>
      <c r="Y631" s="97"/>
      <c r="Z631" s="97"/>
      <c r="AA631" s="97"/>
    </row>
    <row r="632" spans="1:27" ht="17">
      <c r="A632" s="97"/>
      <c r="B632" s="97"/>
      <c r="C632" s="302"/>
      <c r="D632" s="302"/>
      <c r="E632" s="302"/>
      <c r="F632" s="302"/>
      <c r="G632" s="97"/>
      <c r="H632" s="97"/>
      <c r="I632" s="97"/>
      <c r="J632" s="97"/>
      <c r="K632" s="97"/>
      <c r="L632" s="97"/>
      <c r="M632" s="97"/>
      <c r="N632" s="97"/>
      <c r="O632" s="97"/>
      <c r="P632" s="97"/>
      <c r="Q632" s="97"/>
      <c r="R632" s="97"/>
      <c r="S632" s="97"/>
      <c r="T632" s="97"/>
      <c r="U632" s="97"/>
      <c r="V632" s="97"/>
      <c r="W632" s="97"/>
      <c r="X632" s="97"/>
      <c r="Y632" s="97"/>
      <c r="Z632" s="97"/>
      <c r="AA632" s="97"/>
    </row>
    <row r="633" spans="1:27" ht="17">
      <c r="A633" s="97"/>
      <c r="B633" s="97"/>
      <c r="C633" s="302"/>
      <c r="D633" s="302"/>
      <c r="E633" s="302"/>
      <c r="F633" s="302"/>
      <c r="G633" s="97"/>
      <c r="H633" s="97"/>
      <c r="I633" s="97"/>
      <c r="J633" s="97"/>
      <c r="K633" s="97"/>
      <c r="L633" s="97"/>
      <c r="M633" s="97"/>
      <c r="N633" s="97"/>
      <c r="O633" s="97"/>
      <c r="P633" s="97"/>
      <c r="Q633" s="97"/>
      <c r="R633" s="97"/>
      <c r="S633" s="97"/>
      <c r="T633" s="97"/>
      <c r="U633" s="97"/>
      <c r="V633" s="97"/>
      <c r="W633" s="97"/>
      <c r="X633" s="97"/>
      <c r="Y633" s="97"/>
      <c r="Z633" s="97"/>
      <c r="AA633" s="97"/>
    </row>
    <row r="634" spans="1:27" ht="17">
      <c r="A634" s="97"/>
      <c r="B634" s="97"/>
      <c r="C634" s="302"/>
      <c r="D634" s="302"/>
      <c r="E634" s="302"/>
      <c r="F634" s="302"/>
      <c r="G634" s="97"/>
      <c r="H634" s="97"/>
      <c r="I634" s="97"/>
      <c r="J634" s="97"/>
      <c r="K634" s="97"/>
      <c r="L634" s="97"/>
      <c r="M634" s="97"/>
      <c r="N634" s="97"/>
      <c r="O634" s="97"/>
      <c r="P634" s="97"/>
      <c r="Q634" s="97"/>
      <c r="R634" s="97"/>
      <c r="S634" s="97"/>
      <c r="T634" s="97"/>
      <c r="U634" s="97"/>
      <c r="V634" s="97"/>
      <c r="W634" s="97"/>
      <c r="X634" s="97"/>
      <c r="Y634" s="97"/>
      <c r="Z634" s="97"/>
      <c r="AA634" s="97"/>
    </row>
    <row r="635" spans="1:27" ht="17">
      <c r="A635" s="97"/>
      <c r="B635" s="97"/>
      <c r="C635" s="302"/>
      <c r="D635" s="302"/>
      <c r="E635" s="302"/>
      <c r="F635" s="302"/>
      <c r="G635" s="97"/>
      <c r="H635" s="97"/>
      <c r="I635" s="97"/>
      <c r="J635" s="97"/>
      <c r="K635" s="97"/>
      <c r="L635" s="97"/>
      <c r="M635" s="97"/>
      <c r="N635" s="97"/>
      <c r="O635" s="97"/>
      <c r="P635" s="97"/>
      <c r="Q635" s="97"/>
      <c r="R635" s="97"/>
      <c r="S635" s="97"/>
      <c r="T635" s="97"/>
      <c r="U635" s="97"/>
      <c r="V635" s="97"/>
      <c r="W635" s="97"/>
      <c r="X635" s="97"/>
      <c r="Y635" s="97"/>
      <c r="Z635" s="97"/>
      <c r="AA635" s="97"/>
    </row>
    <row r="636" spans="1:27" ht="17">
      <c r="A636" s="97"/>
      <c r="B636" s="97"/>
      <c r="C636" s="302"/>
      <c r="D636" s="302"/>
      <c r="E636" s="302"/>
      <c r="F636" s="302"/>
      <c r="G636" s="97"/>
      <c r="H636" s="97"/>
      <c r="I636" s="97"/>
      <c r="J636" s="97"/>
      <c r="K636" s="97"/>
      <c r="L636" s="97"/>
      <c r="M636" s="97"/>
      <c r="N636" s="97"/>
      <c r="O636" s="97"/>
      <c r="P636" s="97"/>
      <c r="Q636" s="97"/>
      <c r="R636" s="97"/>
      <c r="S636" s="97"/>
      <c r="T636" s="97"/>
      <c r="U636" s="97"/>
      <c r="V636" s="97"/>
      <c r="W636" s="97"/>
      <c r="X636" s="97"/>
      <c r="Y636" s="97"/>
      <c r="Z636" s="97"/>
      <c r="AA636" s="97"/>
    </row>
    <row r="637" spans="1:27" ht="17">
      <c r="A637" s="97"/>
      <c r="B637" s="97"/>
      <c r="C637" s="302"/>
      <c r="D637" s="302"/>
      <c r="E637" s="302"/>
      <c r="F637" s="302"/>
      <c r="G637" s="97"/>
      <c r="H637" s="97"/>
      <c r="I637" s="97"/>
      <c r="J637" s="97"/>
      <c r="K637" s="97"/>
      <c r="L637" s="97"/>
      <c r="M637" s="97"/>
      <c r="N637" s="97"/>
      <c r="O637" s="97"/>
      <c r="P637" s="97"/>
      <c r="Q637" s="97"/>
      <c r="R637" s="97"/>
      <c r="S637" s="97"/>
      <c r="T637" s="97"/>
      <c r="U637" s="97"/>
      <c r="V637" s="97"/>
      <c r="W637" s="97"/>
      <c r="X637" s="97"/>
      <c r="Y637" s="97"/>
      <c r="Z637" s="97"/>
      <c r="AA637" s="97"/>
    </row>
    <row r="638" spans="1:27" ht="17">
      <c r="A638" s="97"/>
      <c r="B638" s="97"/>
      <c r="C638" s="302"/>
      <c r="D638" s="302"/>
      <c r="E638" s="302"/>
      <c r="F638" s="302"/>
      <c r="G638" s="97"/>
      <c r="H638" s="97"/>
      <c r="I638" s="97"/>
      <c r="J638" s="97"/>
      <c r="K638" s="97"/>
      <c r="L638" s="97"/>
      <c r="M638" s="97"/>
      <c r="N638" s="97"/>
      <c r="O638" s="97"/>
      <c r="P638" s="97"/>
      <c r="Q638" s="97"/>
      <c r="R638" s="97"/>
      <c r="S638" s="97"/>
      <c r="T638" s="97"/>
      <c r="U638" s="97"/>
      <c r="V638" s="97"/>
      <c r="W638" s="97"/>
      <c r="X638" s="97"/>
      <c r="Y638" s="97"/>
      <c r="Z638" s="97"/>
      <c r="AA638" s="97"/>
    </row>
    <row r="639" spans="1:27" ht="17">
      <c r="A639" s="97"/>
      <c r="B639" s="97"/>
      <c r="C639" s="302"/>
      <c r="D639" s="302"/>
      <c r="E639" s="302"/>
      <c r="F639" s="302"/>
      <c r="G639" s="97"/>
      <c r="H639" s="97"/>
      <c r="I639" s="97"/>
      <c r="J639" s="97"/>
      <c r="K639" s="97"/>
      <c r="L639" s="97"/>
      <c r="M639" s="97"/>
      <c r="N639" s="97"/>
      <c r="O639" s="97"/>
      <c r="P639" s="97"/>
      <c r="Q639" s="97"/>
      <c r="R639" s="97"/>
      <c r="S639" s="97"/>
      <c r="T639" s="97"/>
      <c r="U639" s="97"/>
      <c r="V639" s="97"/>
      <c r="W639" s="97"/>
      <c r="X639" s="97"/>
      <c r="Y639" s="97"/>
      <c r="Z639" s="97"/>
      <c r="AA639" s="97"/>
    </row>
    <row r="640" spans="1:27" ht="17">
      <c r="A640" s="97"/>
      <c r="B640" s="97"/>
      <c r="C640" s="302"/>
      <c r="D640" s="302"/>
      <c r="E640" s="302"/>
      <c r="F640" s="302"/>
      <c r="G640" s="97"/>
      <c r="H640" s="97"/>
      <c r="I640" s="97"/>
      <c r="J640" s="97"/>
      <c r="K640" s="97"/>
      <c r="L640" s="97"/>
      <c r="M640" s="97"/>
      <c r="N640" s="97"/>
      <c r="O640" s="97"/>
      <c r="P640" s="97"/>
      <c r="Q640" s="97"/>
      <c r="R640" s="97"/>
      <c r="S640" s="97"/>
      <c r="T640" s="97"/>
      <c r="U640" s="97"/>
      <c r="V640" s="97"/>
      <c r="W640" s="97"/>
      <c r="X640" s="97"/>
      <c r="Y640" s="97"/>
      <c r="Z640" s="97"/>
      <c r="AA640" s="97"/>
    </row>
    <row r="641" spans="1:27" ht="17">
      <c r="A641" s="97"/>
      <c r="B641" s="97"/>
      <c r="C641" s="302"/>
      <c r="D641" s="302"/>
      <c r="E641" s="302"/>
      <c r="F641" s="302"/>
      <c r="G641" s="97"/>
      <c r="H641" s="97"/>
      <c r="I641" s="97"/>
      <c r="J641" s="97"/>
      <c r="K641" s="97"/>
      <c r="L641" s="97"/>
      <c r="M641" s="97"/>
      <c r="N641" s="97"/>
      <c r="O641" s="97"/>
      <c r="P641" s="97"/>
      <c r="Q641" s="97"/>
      <c r="R641" s="97"/>
      <c r="S641" s="97"/>
      <c r="T641" s="97"/>
      <c r="U641" s="97"/>
      <c r="V641" s="97"/>
      <c r="W641" s="97"/>
      <c r="X641" s="97"/>
      <c r="Y641" s="97"/>
      <c r="Z641" s="97"/>
      <c r="AA641" s="97"/>
    </row>
    <row r="642" spans="1:27" ht="17">
      <c r="A642" s="97"/>
      <c r="B642" s="97"/>
      <c r="C642" s="302"/>
      <c r="D642" s="302"/>
      <c r="E642" s="302"/>
      <c r="F642" s="302"/>
      <c r="G642" s="97"/>
      <c r="H642" s="97"/>
      <c r="I642" s="97"/>
      <c r="J642" s="97"/>
      <c r="K642" s="97"/>
      <c r="L642" s="97"/>
      <c r="M642" s="97"/>
      <c r="N642" s="97"/>
      <c r="O642" s="97"/>
      <c r="P642" s="97"/>
      <c r="Q642" s="97"/>
      <c r="R642" s="97"/>
      <c r="S642" s="97"/>
      <c r="T642" s="97"/>
      <c r="U642" s="97"/>
      <c r="V642" s="97"/>
      <c r="W642" s="97"/>
      <c r="X642" s="97"/>
      <c r="Y642" s="97"/>
      <c r="Z642" s="97"/>
      <c r="AA642" s="97"/>
    </row>
    <row r="643" spans="1:27" ht="17">
      <c r="A643" s="97"/>
      <c r="B643" s="97"/>
      <c r="C643" s="302"/>
      <c r="D643" s="302"/>
      <c r="E643" s="302"/>
      <c r="F643" s="302"/>
      <c r="G643" s="97"/>
      <c r="H643" s="97"/>
      <c r="I643" s="97"/>
      <c r="J643" s="97"/>
      <c r="K643" s="97"/>
      <c r="L643" s="97"/>
      <c r="M643" s="97"/>
      <c r="N643" s="97"/>
      <c r="O643" s="97"/>
      <c r="P643" s="97"/>
      <c r="Q643" s="97"/>
      <c r="R643" s="97"/>
      <c r="S643" s="97"/>
      <c r="T643" s="97"/>
      <c r="U643" s="97"/>
      <c r="V643" s="97"/>
      <c r="W643" s="97"/>
      <c r="X643" s="97"/>
      <c r="Y643" s="97"/>
      <c r="Z643" s="97"/>
      <c r="AA643" s="97"/>
    </row>
    <row r="644" spans="1:27" ht="17">
      <c r="A644" s="97"/>
      <c r="B644" s="97"/>
      <c r="C644" s="302"/>
      <c r="D644" s="302"/>
      <c r="E644" s="302"/>
      <c r="F644" s="302"/>
      <c r="G644" s="97"/>
      <c r="H644" s="97"/>
      <c r="I644" s="97"/>
      <c r="J644" s="97"/>
      <c r="K644" s="97"/>
      <c r="L644" s="97"/>
      <c r="M644" s="97"/>
      <c r="N644" s="97"/>
      <c r="O644" s="97"/>
      <c r="P644" s="97"/>
      <c r="Q644" s="97"/>
      <c r="R644" s="97"/>
      <c r="S644" s="97"/>
      <c r="T644" s="97"/>
      <c r="U644" s="97"/>
      <c r="V644" s="97"/>
      <c r="W644" s="97"/>
      <c r="X644" s="97"/>
      <c r="Y644" s="97"/>
      <c r="Z644" s="97"/>
      <c r="AA644" s="97"/>
    </row>
    <row r="645" spans="1:27" ht="17">
      <c r="A645" s="97"/>
      <c r="B645" s="97"/>
      <c r="C645" s="302"/>
      <c r="D645" s="302"/>
      <c r="E645" s="302"/>
      <c r="F645" s="302"/>
      <c r="G645" s="97"/>
      <c r="H645" s="97"/>
      <c r="I645" s="97"/>
      <c r="J645" s="97"/>
      <c r="K645" s="97"/>
      <c r="L645" s="97"/>
      <c r="M645" s="97"/>
      <c r="N645" s="97"/>
      <c r="O645" s="97"/>
      <c r="P645" s="97"/>
      <c r="Q645" s="97"/>
      <c r="R645" s="97"/>
      <c r="S645" s="97"/>
      <c r="T645" s="97"/>
      <c r="U645" s="97"/>
      <c r="V645" s="97"/>
      <c r="W645" s="97"/>
      <c r="X645" s="97"/>
      <c r="Y645" s="97"/>
      <c r="Z645" s="97"/>
      <c r="AA645" s="97"/>
    </row>
    <row r="646" spans="1:27" ht="17">
      <c r="A646" s="97"/>
      <c r="B646" s="97"/>
      <c r="C646" s="302"/>
      <c r="D646" s="302"/>
      <c r="E646" s="302"/>
      <c r="F646" s="302"/>
      <c r="G646" s="97"/>
      <c r="H646" s="97"/>
      <c r="I646" s="97"/>
      <c r="J646" s="97"/>
      <c r="K646" s="97"/>
      <c r="L646" s="97"/>
      <c r="M646" s="97"/>
      <c r="N646" s="97"/>
      <c r="O646" s="97"/>
      <c r="P646" s="97"/>
      <c r="Q646" s="97"/>
      <c r="R646" s="97"/>
      <c r="S646" s="97"/>
      <c r="T646" s="97"/>
      <c r="U646" s="97"/>
      <c r="V646" s="97"/>
      <c r="W646" s="97"/>
      <c r="X646" s="97"/>
      <c r="Y646" s="97"/>
      <c r="Z646" s="97"/>
      <c r="AA646" s="97"/>
    </row>
    <row r="647" spans="1:27" ht="17">
      <c r="A647" s="97"/>
      <c r="B647" s="97"/>
      <c r="C647" s="302"/>
      <c r="D647" s="302"/>
      <c r="E647" s="302"/>
      <c r="F647" s="302"/>
      <c r="G647" s="97"/>
      <c r="H647" s="97"/>
      <c r="I647" s="97"/>
      <c r="J647" s="97"/>
      <c r="K647" s="97"/>
      <c r="L647" s="97"/>
      <c r="M647" s="97"/>
      <c r="N647" s="97"/>
      <c r="O647" s="97"/>
      <c r="P647" s="97"/>
      <c r="Q647" s="97"/>
      <c r="R647" s="97"/>
      <c r="S647" s="97"/>
      <c r="T647" s="97"/>
      <c r="U647" s="97"/>
      <c r="V647" s="97"/>
      <c r="W647" s="97"/>
      <c r="X647" s="97"/>
      <c r="Y647" s="97"/>
      <c r="Z647" s="97"/>
      <c r="AA647" s="97"/>
    </row>
    <row r="648" spans="1:27" ht="17">
      <c r="A648" s="97"/>
      <c r="B648" s="97"/>
      <c r="C648" s="302"/>
      <c r="D648" s="302"/>
      <c r="E648" s="302"/>
      <c r="F648" s="302"/>
      <c r="G648" s="97"/>
      <c r="H648" s="97"/>
      <c r="I648" s="97"/>
      <c r="J648" s="97"/>
      <c r="K648" s="97"/>
      <c r="L648" s="97"/>
      <c r="M648" s="97"/>
      <c r="N648" s="97"/>
      <c r="O648" s="97"/>
      <c r="P648" s="97"/>
      <c r="Q648" s="97"/>
      <c r="R648" s="97"/>
      <c r="S648" s="97"/>
      <c r="T648" s="97"/>
      <c r="U648" s="97"/>
      <c r="V648" s="97"/>
      <c r="W648" s="97"/>
      <c r="X648" s="97"/>
      <c r="Y648" s="97"/>
      <c r="Z648" s="97"/>
      <c r="AA648" s="97"/>
    </row>
    <row r="649" spans="1:27" ht="17">
      <c r="A649" s="97"/>
      <c r="B649" s="97"/>
      <c r="C649" s="302"/>
      <c r="D649" s="302"/>
      <c r="E649" s="302"/>
      <c r="F649" s="302"/>
      <c r="G649" s="97"/>
      <c r="H649" s="97"/>
      <c r="I649" s="97"/>
      <c r="J649" s="97"/>
      <c r="K649" s="97"/>
      <c r="L649" s="97"/>
      <c r="M649" s="97"/>
      <c r="N649" s="97"/>
      <c r="O649" s="97"/>
      <c r="P649" s="97"/>
      <c r="Q649" s="97"/>
      <c r="R649" s="97"/>
      <c r="S649" s="97"/>
      <c r="T649" s="97"/>
      <c r="U649" s="97"/>
      <c r="V649" s="97"/>
      <c r="W649" s="97"/>
      <c r="X649" s="97"/>
      <c r="Y649" s="97"/>
      <c r="Z649" s="97"/>
      <c r="AA649" s="97"/>
    </row>
    <row r="650" spans="1:27" ht="17">
      <c r="A650" s="97"/>
      <c r="B650" s="97"/>
      <c r="C650" s="302"/>
      <c r="D650" s="302"/>
      <c r="E650" s="302"/>
      <c r="F650" s="302"/>
      <c r="G650" s="97"/>
      <c r="H650" s="97"/>
      <c r="I650" s="97"/>
      <c r="J650" s="97"/>
      <c r="K650" s="97"/>
      <c r="L650" s="97"/>
      <c r="M650" s="97"/>
      <c r="N650" s="97"/>
      <c r="O650" s="97"/>
      <c r="P650" s="97"/>
      <c r="Q650" s="97"/>
      <c r="R650" s="97"/>
      <c r="S650" s="97"/>
      <c r="T650" s="97"/>
      <c r="U650" s="97"/>
      <c r="V650" s="97"/>
      <c r="W650" s="97"/>
      <c r="X650" s="97"/>
      <c r="Y650" s="97"/>
      <c r="Z650" s="97"/>
      <c r="AA650" s="97"/>
    </row>
    <row r="651" spans="1:27" ht="17">
      <c r="A651" s="97"/>
      <c r="B651" s="97"/>
      <c r="C651" s="302"/>
      <c r="D651" s="302"/>
      <c r="E651" s="302"/>
      <c r="F651" s="302"/>
      <c r="G651" s="97"/>
      <c r="H651" s="97"/>
      <c r="I651" s="97"/>
      <c r="J651" s="97"/>
      <c r="K651" s="97"/>
      <c r="L651" s="97"/>
      <c r="M651" s="97"/>
      <c r="N651" s="97"/>
      <c r="O651" s="97"/>
      <c r="P651" s="97"/>
      <c r="Q651" s="97"/>
      <c r="R651" s="97"/>
      <c r="S651" s="97"/>
      <c r="T651" s="97"/>
      <c r="U651" s="97"/>
      <c r="V651" s="97"/>
      <c r="W651" s="97"/>
      <c r="X651" s="97"/>
      <c r="Y651" s="97"/>
      <c r="Z651" s="97"/>
      <c r="AA651" s="97"/>
    </row>
    <row r="652" spans="1:27" ht="17">
      <c r="A652" s="97"/>
      <c r="B652" s="97"/>
      <c r="C652" s="302"/>
      <c r="D652" s="302"/>
      <c r="E652" s="302"/>
      <c r="F652" s="302"/>
      <c r="G652" s="97"/>
      <c r="H652" s="97"/>
      <c r="I652" s="97"/>
      <c r="J652" s="97"/>
      <c r="K652" s="97"/>
      <c r="L652" s="97"/>
      <c r="M652" s="97"/>
      <c r="N652" s="97"/>
      <c r="O652" s="97"/>
      <c r="P652" s="97"/>
      <c r="Q652" s="97"/>
      <c r="R652" s="97"/>
      <c r="S652" s="97"/>
      <c r="T652" s="97"/>
      <c r="U652" s="97"/>
      <c r="V652" s="97"/>
      <c r="W652" s="97"/>
      <c r="X652" s="97"/>
      <c r="Y652" s="97"/>
      <c r="Z652" s="97"/>
      <c r="AA652" s="97"/>
    </row>
    <row r="653" spans="1:27" ht="17">
      <c r="A653" s="97"/>
      <c r="B653" s="97"/>
      <c r="C653" s="302"/>
      <c r="D653" s="302"/>
      <c r="E653" s="302"/>
      <c r="F653" s="302"/>
      <c r="G653" s="97"/>
      <c r="H653" s="97"/>
      <c r="I653" s="97"/>
      <c r="J653" s="97"/>
      <c r="K653" s="97"/>
      <c r="L653" s="97"/>
      <c r="M653" s="97"/>
      <c r="N653" s="97"/>
      <c r="O653" s="97"/>
      <c r="P653" s="97"/>
      <c r="Q653" s="97"/>
      <c r="R653" s="97"/>
      <c r="S653" s="97"/>
      <c r="T653" s="97"/>
      <c r="U653" s="97"/>
      <c r="V653" s="97"/>
      <c r="W653" s="97"/>
      <c r="X653" s="97"/>
      <c r="Y653" s="97"/>
      <c r="Z653" s="97"/>
      <c r="AA653" s="97"/>
    </row>
    <row r="654" spans="1:27" ht="17">
      <c r="A654" s="97"/>
      <c r="B654" s="97"/>
      <c r="C654" s="302"/>
      <c r="D654" s="302"/>
      <c r="E654" s="302"/>
      <c r="F654" s="302"/>
      <c r="G654" s="97"/>
      <c r="H654" s="97"/>
      <c r="I654" s="97"/>
      <c r="J654" s="97"/>
      <c r="K654" s="97"/>
      <c r="L654" s="97"/>
      <c r="M654" s="97"/>
      <c r="N654" s="97"/>
      <c r="O654" s="97"/>
      <c r="P654" s="97"/>
      <c r="Q654" s="97"/>
      <c r="R654" s="97"/>
      <c r="S654" s="97"/>
      <c r="T654" s="97"/>
      <c r="U654" s="97"/>
      <c r="V654" s="97"/>
      <c r="W654" s="97"/>
      <c r="X654" s="97"/>
      <c r="Y654" s="97"/>
      <c r="Z654" s="97"/>
      <c r="AA654" s="97"/>
    </row>
    <row r="655" spans="1:27" ht="17">
      <c r="A655" s="97"/>
      <c r="B655" s="97"/>
      <c r="C655" s="302"/>
      <c r="D655" s="302"/>
      <c r="E655" s="302"/>
      <c r="F655" s="302"/>
      <c r="G655" s="97"/>
      <c r="H655" s="97"/>
      <c r="I655" s="97"/>
      <c r="J655" s="97"/>
      <c r="K655" s="97"/>
      <c r="L655" s="97"/>
      <c r="M655" s="97"/>
      <c r="N655" s="97"/>
      <c r="O655" s="97"/>
      <c r="P655" s="97"/>
      <c r="Q655" s="97"/>
      <c r="R655" s="97"/>
      <c r="S655" s="97"/>
      <c r="T655" s="97"/>
      <c r="U655" s="97"/>
      <c r="V655" s="97"/>
      <c r="W655" s="97"/>
      <c r="X655" s="97"/>
      <c r="Y655" s="97"/>
      <c r="Z655" s="97"/>
      <c r="AA655" s="97"/>
    </row>
    <row r="656" spans="1:27" ht="17">
      <c r="A656" s="97"/>
      <c r="B656" s="97"/>
      <c r="C656" s="302"/>
      <c r="D656" s="302"/>
      <c r="E656" s="302"/>
      <c r="F656" s="302"/>
      <c r="G656" s="97"/>
      <c r="H656" s="97"/>
      <c r="I656" s="97"/>
      <c r="J656" s="97"/>
      <c r="K656" s="97"/>
      <c r="L656" s="97"/>
      <c r="M656" s="97"/>
      <c r="N656" s="97"/>
      <c r="O656" s="97"/>
      <c r="P656" s="97"/>
      <c r="Q656" s="97"/>
      <c r="R656" s="97"/>
      <c r="S656" s="97"/>
      <c r="T656" s="97"/>
      <c r="U656" s="97"/>
      <c r="V656" s="97"/>
      <c r="W656" s="97"/>
      <c r="X656" s="97"/>
      <c r="Y656" s="97"/>
      <c r="Z656" s="97"/>
      <c r="AA656" s="97"/>
    </row>
    <row r="657" spans="1:27" ht="17">
      <c r="A657" s="97"/>
      <c r="B657" s="97"/>
      <c r="C657" s="302"/>
      <c r="D657" s="302"/>
      <c r="E657" s="302"/>
      <c r="F657" s="302"/>
      <c r="G657" s="97"/>
      <c r="H657" s="97"/>
      <c r="I657" s="97"/>
      <c r="J657" s="97"/>
      <c r="K657" s="97"/>
      <c r="L657" s="97"/>
      <c r="M657" s="97"/>
      <c r="N657" s="97"/>
      <c r="O657" s="97"/>
      <c r="P657" s="97"/>
      <c r="Q657" s="97"/>
      <c r="R657" s="97"/>
      <c r="S657" s="97"/>
      <c r="T657" s="97"/>
      <c r="U657" s="97"/>
      <c r="V657" s="97"/>
      <c r="W657" s="97"/>
      <c r="X657" s="97"/>
      <c r="Y657" s="97"/>
      <c r="Z657" s="97"/>
      <c r="AA657" s="97"/>
    </row>
    <row r="658" spans="1:27" ht="17">
      <c r="A658" s="97"/>
      <c r="B658" s="97"/>
      <c r="C658" s="302"/>
      <c r="D658" s="302"/>
      <c r="E658" s="302"/>
      <c r="F658" s="302"/>
      <c r="G658" s="97"/>
      <c r="H658" s="97"/>
      <c r="I658" s="97"/>
      <c r="J658" s="97"/>
      <c r="K658" s="97"/>
      <c r="L658" s="97"/>
      <c r="M658" s="97"/>
      <c r="N658" s="97"/>
      <c r="O658" s="97"/>
      <c r="P658" s="97"/>
      <c r="Q658" s="97"/>
      <c r="R658" s="97"/>
      <c r="S658" s="97"/>
      <c r="T658" s="97"/>
      <c r="U658" s="97"/>
      <c r="V658" s="97"/>
      <c r="W658" s="97"/>
      <c r="X658" s="97"/>
      <c r="Y658" s="97"/>
      <c r="Z658" s="97"/>
      <c r="AA658" s="97"/>
    </row>
    <row r="659" spans="1:27" ht="17">
      <c r="A659" s="97"/>
      <c r="B659" s="97"/>
      <c r="C659" s="302"/>
      <c r="D659" s="302"/>
      <c r="E659" s="302"/>
      <c r="F659" s="302"/>
      <c r="G659" s="97"/>
      <c r="H659" s="97"/>
      <c r="I659" s="97"/>
      <c r="J659" s="97"/>
      <c r="K659" s="97"/>
      <c r="L659" s="97"/>
      <c r="M659" s="97"/>
      <c r="N659" s="97"/>
      <c r="O659" s="97"/>
      <c r="P659" s="97"/>
      <c r="Q659" s="97"/>
      <c r="R659" s="97"/>
      <c r="S659" s="97"/>
      <c r="T659" s="97"/>
      <c r="U659" s="97"/>
      <c r="V659" s="97"/>
      <c r="W659" s="97"/>
      <c r="X659" s="97"/>
      <c r="Y659" s="97"/>
      <c r="Z659" s="97"/>
      <c r="AA659" s="97"/>
    </row>
    <row r="660" spans="1:27" ht="17">
      <c r="A660" s="97"/>
      <c r="B660" s="97"/>
      <c r="C660" s="302"/>
      <c r="D660" s="302"/>
      <c r="E660" s="302"/>
      <c r="F660" s="302"/>
      <c r="G660" s="97"/>
      <c r="H660" s="97"/>
      <c r="I660" s="97"/>
      <c r="J660" s="97"/>
      <c r="K660" s="97"/>
      <c r="L660" s="97"/>
      <c r="M660" s="97"/>
      <c r="N660" s="97"/>
      <c r="O660" s="97"/>
      <c r="P660" s="97"/>
      <c r="Q660" s="97"/>
      <c r="R660" s="97"/>
      <c r="S660" s="97"/>
      <c r="T660" s="97"/>
      <c r="U660" s="97"/>
      <c r="V660" s="97"/>
      <c r="W660" s="97"/>
      <c r="X660" s="97"/>
      <c r="Y660" s="97"/>
      <c r="Z660" s="97"/>
      <c r="AA660" s="97"/>
    </row>
    <row r="661" spans="1:27" ht="17">
      <c r="A661" s="97"/>
      <c r="B661" s="97"/>
      <c r="C661" s="302"/>
      <c r="D661" s="302"/>
      <c r="E661" s="302"/>
      <c r="F661" s="302"/>
      <c r="G661" s="97"/>
      <c r="H661" s="97"/>
      <c r="I661" s="97"/>
      <c r="J661" s="97"/>
      <c r="K661" s="97"/>
      <c r="L661" s="97"/>
      <c r="M661" s="97"/>
      <c r="N661" s="97"/>
      <c r="O661" s="97"/>
      <c r="P661" s="97"/>
      <c r="Q661" s="97"/>
      <c r="R661" s="97"/>
      <c r="S661" s="97"/>
      <c r="T661" s="97"/>
      <c r="U661" s="97"/>
      <c r="V661" s="97"/>
      <c r="W661" s="97"/>
      <c r="X661" s="97"/>
      <c r="Y661" s="97"/>
      <c r="Z661" s="97"/>
      <c r="AA661" s="97"/>
    </row>
    <row r="662" spans="1:27" ht="17">
      <c r="A662" s="97"/>
      <c r="B662" s="97"/>
      <c r="C662" s="302"/>
      <c r="D662" s="302"/>
      <c r="E662" s="302"/>
      <c r="F662" s="302"/>
      <c r="G662" s="97"/>
      <c r="H662" s="97"/>
      <c r="I662" s="97"/>
      <c r="J662" s="97"/>
      <c r="K662" s="97"/>
      <c r="L662" s="97"/>
      <c r="M662" s="97"/>
      <c r="N662" s="97"/>
      <c r="O662" s="97"/>
      <c r="P662" s="97"/>
      <c r="Q662" s="97"/>
      <c r="R662" s="97"/>
      <c r="S662" s="97"/>
      <c r="T662" s="97"/>
      <c r="U662" s="97"/>
      <c r="V662" s="97"/>
      <c r="W662" s="97"/>
      <c r="X662" s="97"/>
      <c r="Y662" s="97"/>
      <c r="Z662" s="97"/>
      <c r="AA662" s="97"/>
    </row>
    <row r="663" spans="1:27" ht="17">
      <c r="A663" s="97"/>
      <c r="B663" s="97"/>
      <c r="C663" s="302"/>
      <c r="D663" s="302"/>
      <c r="E663" s="302"/>
      <c r="F663" s="302"/>
      <c r="G663" s="97"/>
      <c r="H663" s="97"/>
      <c r="I663" s="97"/>
      <c r="J663" s="97"/>
      <c r="K663" s="97"/>
      <c r="L663" s="97"/>
      <c r="M663" s="97"/>
      <c r="N663" s="97"/>
      <c r="O663" s="97"/>
      <c r="P663" s="97"/>
      <c r="Q663" s="97"/>
      <c r="R663" s="97"/>
      <c r="S663" s="97"/>
      <c r="T663" s="97"/>
      <c r="U663" s="97"/>
      <c r="V663" s="97"/>
      <c r="W663" s="97"/>
      <c r="X663" s="97"/>
      <c r="Y663" s="97"/>
      <c r="Z663" s="97"/>
      <c r="AA663" s="97"/>
    </row>
    <row r="664" spans="1:27" ht="17">
      <c r="A664" s="97"/>
      <c r="B664" s="97"/>
      <c r="C664" s="302"/>
      <c r="D664" s="302"/>
      <c r="E664" s="302"/>
      <c r="F664" s="302"/>
      <c r="G664" s="97"/>
      <c r="H664" s="97"/>
      <c r="I664" s="97"/>
      <c r="J664" s="97"/>
      <c r="K664" s="97"/>
      <c r="L664" s="97"/>
      <c r="M664" s="97"/>
      <c r="N664" s="97"/>
      <c r="O664" s="97"/>
      <c r="P664" s="97"/>
      <c r="Q664" s="97"/>
      <c r="R664" s="97"/>
      <c r="S664" s="97"/>
      <c r="T664" s="97"/>
      <c r="U664" s="97"/>
      <c r="V664" s="97"/>
      <c r="W664" s="97"/>
      <c r="X664" s="97"/>
      <c r="Y664" s="97"/>
      <c r="Z664" s="97"/>
      <c r="AA664" s="97"/>
    </row>
    <row r="665" spans="1:27" ht="17">
      <c r="A665" s="97"/>
      <c r="B665" s="97"/>
      <c r="C665" s="302"/>
      <c r="D665" s="302"/>
      <c r="E665" s="302"/>
      <c r="F665" s="302"/>
      <c r="G665" s="97"/>
      <c r="H665" s="97"/>
      <c r="I665" s="97"/>
      <c r="J665" s="97"/>
      <c r="K665" s="97"/>
      <c r="L665" s="97"/>
      <c r="M665" s="97"/>
      <c r="N665" s="97"/>
      <c r="O665" s="97"/>
      <c r="P665" s="97"/>
      <c r="Q665" s="97"/>
      <c r="R665" s="97"/>
      <c r="S665" s="97"/>
      <c r="T665" s="97"/>
      <c r="U665" s="97"/>
      <c r="V665" s="97"/>
      <c r="W665" s="97"/>
      <c r="X665" s="97"/>
      <c r="Y665" s="97"/>
      <c r="Z665" s="97"/>
      <c r="AA665" s="97"/>
    </row>
    <row r="666" spans="1:27" ht="17">
      <c r="A666" s="97"/>
      <c r="B666" s="97"/>
      <c r="C666" s="302"/>
      <c r="D666" s="302"/>
      <c r="E666" s="302"/>
      <c r="F666" s="302"/>
      <c r="G666" s="97"/>
      <c r="H666" s="97"/>
      <c r="I666" s="97"/>
      <c r="J666" s="97"/>
      <c r="K666" s="97"/>
      <c r="L666" s="97"/>
      <c r="M666" s="97"/>
      <c r="N666" s="97"/>
      <c r="O666" s="97"/>
      <c r="P666" s="97"/>
      <c r="Q666" s="97"/>
      <c r="R666" s="97"/>
      <c r="S666" s="97"/>
      <c r="T666" s="97"/>
      <c r="U666" s="97"/>
      <c r="V666" s="97"/>
      <c r="W666" s="97"/>
      <c r="X666" s="97"/>
      <c r="Y666" s="97"/>
      <c r="Z666" s="97"/>
      <c r="AA666" s="97"/>
    </row>
    <row r="667" spans="1:27" ht="17">
      <c r="A667" s="97"/>
      <c r="B667" s="97"/>
      <c r="C667" s="302"/>
      <c r="D667" s="302"/>
      <c r="E667" s="302"/>
      <c r="F667" s="302"/>
      <c r="G667" s="97"/>
      <c r="H667" s="97"/>
      <c r="I667" s="97"/>
      <c r="J667" s="97"/>
      <c r="K667" s="97"/>
      <c r="L667" s="97"/>
      <c r="M667" s="97"/>
      <c r="N667" s="97"/>
      <c r="O667" s="97"/>
      <c r="P667" s="97"/>
      <c r="Q667" s="97"/>
      <c r="R667" s="97"/>
      <c r="S667" s="97"/>
      <c r="T667" s="97"/>
      <c r="U667" s="97"/>
      <c r="V667" s="97"/>
      <c r="W667" s="97"/>
      <c r="X667" s="97"/>
      <c r="Y667" s="97"/>
      <c r="Z667" s="97"/>
      <c r="AA667" s="97"/>
    </row>
    <row r="668" spans="1:27" ht="17">
      <c r="A668" s="97"/>
      <c r="B668" s="97"/>
      <c r="C668" s="302"/>
      <c r="D668" s="302"/>
      <c r="E668" s="302"/>
      <c r="F668" s="302"/>
      <c r="G668" s="97"/>
      <c r="H668" s="97"/>
      <c r="I668" s="97"/>
      <c r="J668" s="97"/>
      <c r="K668" s="97"/>
      <c r="L668" s="97"/>
      <c r="M668" s="97"/>
      <c r="N668" s="97"/>
      <c r="O668" s="97"/>
      <c r="P668" s="97"/>
      <c r="Q668" s="97"/>
      <c r="R668" s="97"/>
      <c r="S668" s="97"/>
      <c r="T668" s="97"/>
      <c r="U668" s="97"/>
      <c r="V668" s="97"/>
      <c r="W668" s="97"/>
      <c r="X668" s="97"/>
      <c r="Y668" s="97"/>
      <c r="Z668" s="97"/>
      <c r="AA668" s="97"/>
    </row>
    <row r="669" spans="1:27" ht="17">
      <c r="A669" s="97"/>
      <c r="B669" s="97"/>
      <c r="C669" s="302"/>
      <c r="D669" s="302"/>
      <c r="E669" s="302"/>
      <c r="F669" s="302"/>
      <c r="G669" s="97"/>
      <c r="H669" s="97"/>
      <c r="I669" s="97"/>
      <c r="J669" s="97"/>
      <c r="K669" s="97"/>
      <c r="L669" s="97"/>
      <c r="M669" s="97"/>
      <c r="N669" s="97"/>
      <c r="O669" s="97"/>
      <c r="P669" s="97"/>
      <c r="Q669" s="97"/>
      <c r="R669" s="97"/>
      <c r="S669" s="97"/>
      <c r="T669" s="97"/>
      <c r="U669" s="97"/>
      <c r="V669" s="97"/>
      <c r="W669" s="97"/>
      <c r="X669" s="97"/>
      <c r="Y669" s="97"/>
      <c r="Z669" s="97"/>
      <c r="AA669" s="97"/>
    </row>
    <row r="670" spans="1:27" ht="17">
      <c r="A670" s="97"/>
      <c r="B670" s="97"/>
      <c r="C670" s="302"/>
      <c r="D670" s="302"/>
      <c r="E670" s="302"/>
      <c r="F670" s="302"/>
      <c r="G670" s="97"/>
      <c r="H670" s="97"/>
      <c r="I670" s="97"/>
      <c r="J670" s="97"/>
      <c r="K670" s="97"/>
      <c r="L670" s="97"/>
      <c r="M670" s="97"/>
      <c r="N670" s="97"/>
      <c r="O670" s="97"/>
      <c r="P670" s="97"/>
      <c r="Q670" s="97"/>
      <c r="R670" s="97"/>
      <c r="S670" s="97"/>
      <c r="T670" s="97"/>
      <c r="U670" s="97"/>
      <c r="V670" s="97"/>
      <c r="W670" s="97"/>
      <c r="X670" s="97"/>
      <c r="Y670" s="97"/>
      <c r="Z670" s="97"/>
      <c r="AA670" s="97"/>
    </row>
    <row r="671" spans="1:27" ht="17">
      <c r="A671" s="97"/>
      <c r="B671" s="97"/>
      <c r="C671" s="302"/>
      <c r="D671" s="302"/>
      <c r="E671" s="302"/>
      <c r="F671" s="302"/>
      <c r="G671" s="97"/>
      <c r="H671" s="97"/>
      <c r="I671" s="97"/>
      <c r="J671" s="97"/>
      <c r="K671" s="97"/>
      <c r="L671" s="97"/>
      <c r="M671" s="97"/>
      <c r="N671" s="97"/>
      <c r="O671" s="97"/>
      <c r="P671" s="97"/>
      <c r="Q671" s="97"/>
      <c r="R671" s="97"/>
      <c r="S671" s="97"/>
      <c r="T671" s="97"/>
      <c r="U671" s="97"/>
      <c r="V671" s="97"/>
      <c r="W671" s="97"/>
      <c r="X671" s="97"/>
      <c r="Y671" s="97"/>
      <c r="Z671" s="97"/>
      <c r="AA671" s="97"/>
    </row>
    <row r="672" spans="1:27" ht="17">
      <c r="A672" s="97"/>
      <c r="B672" s="97"/>
      <c r="C672" s="302"/>
      <c r="D672" s="302"/>
      <c r="E672" s="302"/>
      <c r="F672" s="302"/>
      <c r="G672" s="97"/>
      <c r="H672" s="97"/>
      <c r="I672" s="97"/>
      <c r="J672" s="97"/>
      <c r="K672" s="97"/>
      <c r="L672" s="97"/>
      <c r="M672" s="97"/>
      <c r="N672" s="97"/>
      <c r="O672" s="97"/>
      <c r="P672" s="97"/>
      <c r="Q672" s="97"/>
      <c r="R672" s="97"/>
      <c r="S672" s="97"/>
      <c r="T672" s="97"/>
      <c r="U672" s="97"/>
      <c r="V672" s="97"/>
      <c r="W672" s="97"/>
      <c r="X672" s="97"/>
      <c r="Y672" s="97"/>
      <c r="Z672" s="97"/>
      <c r="AA672" s="97"/>
    </row>
    <row r="673" spans="1:27" ht="17">
      <c r="A673" s="97"/>
      <c r="B673" s="97"/>
      <c r="C673" s="302"/>
      <c r="D673" s="302"/>
      <c r="E673" s="302"/>
      <c r="F673" s="302"/>
      <c r="G673" s="97"/>
      <c r="H673" s="97"/>
      <c r="I673" s="97"/>
      <c r="J673" s="97"/>
      <c r="K673" s="97"/>
      <c r="L673" s="97"/>
      <c r="M673" s="97"/>
      <c r="N673" s="97"/>
      <c r="O673" s="97"/>
      <c r="P673" s="97"/>
      <c r="Q673" s="97"/>
      <c r="R673" s="97"/>
      <c r="S673" s="97"/>
      <c r="T673" s="97"/>
      <c r="U673" s="97"/>
      <c r="V673" s="97"/>
      <c r="W673" s="97"/>
      <c r="X673" s="97"/>
      <c r="Y673" s="97"/>
      <c r="Z673" s="97"/>
      <c r="AA673" s="97"/>
    </row>
    <row r="674" spans="1:27" ht="17">
      <c r="A674" s="97"/>
      <c r="B674" s="97"/>
      <c r="C674" s="302"/>
      <c r="D674" s="302"/>
      <c r="E674" s="302"/>
      <c r="F674" s="302"/>
      <c r="G674" s="97"/>
      <c r="H674" s="97"/>
      <c r="I674" s="97"/>
      <c r="J674" s="97"/>
      <c r="K674" s="97"/>
      <c r="L674" s="97"/>
      <c r="M674" s="97"/>
      <c r="N674" s="97"/>
      <c r="O674" s="97"/>
      <c r="P674" s="97"/>
      <c r="Q674" s="97"/>
      <c r="R674" s="97"/>
      <c r="S674" s="97"/>
      <c r="T674" s="97"/>
      <c r="U674" s="97"/>
      <c r="V674" s="97"/>
      <c r="W674" s="97"/>
      <c r="X674" s="97"/>
      <c r="Y674" s="97"/>
      <c r="Z674" s="97"/>
      <c r="AA674" s="97"/>
    </row>
    <row r="675" spans="1:27" ht="17">
      <c r="A675" s="97"/>
      <c r="B675" s="97"/>
      <c r="C675" s="302"/>
      <c r="D675" s="302"/>
      <c r="E675" s="302"/>
      <c r="F675" s="302"/>
      <c r="G675" s="97"/>
      <c r="H675" s="97"/>
      <c r="I675" s="97"/>
      <c r="J675" s="97"/>
      <c r="K675" s="97"/>
      <c r="L675" s="97"/>
      <c r="M675" s="97"/>
      <c r="N675" s="97"/>
      <c r="O675" s="97"/>
      <c r="P675" s="97"/>
      <c r="Q675" s="97"/>
      <c r="R675" s="97"/>
      <c r="S675" s="97"/>
      <c r="T675" s="97"/>
      <c r="U675" s="97"/>
      <c r="V675" s="97"/>
      <c r="W675" s="97"/>
      <c r="X675" s="97"/>
      <c r="Y675" s="97"/>
      <c r="Z675" s="97"/>
      <c r="AA675" s="97"/>
    </row>
    <row r="676" spans="1:27" ht="17">
      <c r="A676" s="97"/>
      <c r="B676" s="97"/>
      <c r="C676" s="302"/>
      <c r="D676" s="302"/>
      <c r="E676" s="302"/>
      <c r="F676" s="302"/>
      <c r="G676" s="97"/>
      <c r="H676" s="97"/>
      <c r="I676" s="97"/>
      <c r="J676" s="97"/>
      <c r="K676" s="97"/>
      <c r="L676" s="97"/>
      <c r="M676" s="97"/>
      <c r="N676" s="97"/>
      <c r="O676" s="97"/>
      <c r="P676" s="97"/>
      <c r="Q676" s="97"/>
      <c r="R676" s="97"/>
      <c r="S676" s="97"/>
      <c r="T676" s="97"/>
      <c r="U676" s="97"/>
      <c r="V676" s="97"/>
      <c r="W676" s="97"/>
      <c r="X676" s="97"/>
      <c r="Y676" s="97"/>
      <c r="Z676" s="97"/>
      <c r="AA676" s="97"/>
    </row>
    <row r="677" spans="1:27" ht="17">
      <c r="A677" s="97"/>
      <c r="B677" s="97"/>
      <c r="C677" s="302"/>
      <c r="D677" s="302"/>
      <c r="E677" s="302"/>
      <c r="F677" s="302"/>
      <c r="G677" s="97"/>
      <c r="H677" s="97"/>
      <c r="I677" s="97"/>
      <c r="J677" s="97"/>
      <c r="K677" s="97"/>
      <c r="L677" s="97"/>
      <c r="M677" s="97"/>
      <c r="N677" s="97"/>
      <c r="O677" s="97"/>
      <c r="P677" s="97"/>
      <c r="Q677" s="97"/>
      <c r="R677" s="97"/>
      <c r="S677" s="97"/>
      <c r="T677" s="97"/>
      <c r="U677" s="97"/>
      <c r="V677" s="97"/>
      <c r="W677" s="97"/>
      <c r="X677" s="97"/>
      <c r="Y677" s="97"/>
      <c r="Z677" s="97"/>
      <c r="AA677" s="97"/>
    </row>
    <row r="678" spans="1:27" ht="17">
      <c r="A678" s="97"/>
      <c r="B678" s="97"/>
      <c r="C678" s="302"/>
      <c r="D678" s="302"/>
      <c r="E678" s="302"/>
      <c r="F678" s="302"/>
      <c r="G678" s="97"/>
      <c r="H678" s="97"/>
      <c r="I678" s="97"/>
      <c r="J678" s="97"/>
      <c r="K678" s="97"/>
      <c r="L678" s="97"/>
      <c r="M678" s="97"/>
      <c r="N678" s="97"/>
      <c r="O678" s="97"/>
      <c r="P678" s="97"/>
      <c r="Q678" s="97"/>
      <c r="R678" s="97"/>
      <c r="S678" s="97"/>
      <c r="T678" s="97"/>
      <c r="U678" s="97"/>
      <c r="V678" s="97"/>
      <c r="W678" s="97"/>
      <c r="X678" s="97"/>
      <c r="Y678" s="97"/>
      <c r="Z678" s="97"/>
      <c r="AA678" s="97"/>
    </row>
    <row r="679" spans="1:27" ht="17">
      <c r="A679" s="97"/>
      <c r="B679" s="97"/>
      <c r="C679" s="302"/>
      <c r="D679" s="302"/>
      <c r="E679" s="302"/>
      <c r="F679" s="302"/>
      <c r="G679" s="97"/>
      <c r="H679" s="97"/>
      <c r="I679" s="97"/>
      <c r="J679" s="97"/>
      <c r="K679" s="97"/>
      <c r="L679" s="97"/>
      <c r="M679" s="97"/>
      <c r="N679" s="97"/>
      <c r="O679" s="97"/>
      <c r="P679" s="97"/>
      <c r="Q679" s="97"/>
      <c r="R679" s="97"/>
      <c r="S679" s="97"/>
      <c r="T679" s="97"/>
      <c r="U679" s="97"/>
      <c r="V679" s="97"/>
      <c r="W679" s="97"/>
      <c r="X679" s="97"/>
      <c r="Y679" s="97"/>
      <c r="Z679" s="97"/>
      <c r="AA679" s="97"/>
    </row>
    <row r="680" spans="1:27" ht="17">
      <c r="A680" s="97"/>
      <c r="B680" s="97"/>
      <c r="C680" s="302"/>
      <c r="D680" s="302"/>
      <c r="E680" s="302"/>
      <c r="F680" s="302"/>
      <c r="G680" s="97"/>
      <c r="H680" s="97"/>
      <c r="I680" s="97"/>
      <c r="J680" s="97"/>
      <c r="K680" s="97"/>
      <c r="L680" s="97"/>
      <c r="M680" s="97"/>
      <c r="N680" s="97"/>
      <c r="O680" s="97"/>
      <c r="P680" s="97"/>
      <c r="Q680" s="97"/>
      <c r="R680" s="97"/>
      <c r="S680" s="97"/>
      <c r="T680" s="97"/>
      <c r="U680" s="97"/>
      <c r="V680" s="97"/>
      <c r="W680" s="97"/>
      <c r="X680" s="97"/>
      <c r="Y680" s="97"/>
      <c r="Z680" s="97"/>
      <c r="AA680" s="97"/>
    </row>
    <row r="681" spans="1:27" ht="17">
      <c r="A681" s="97"/>
      <c r="B681" s="97"/>
      <c r="C681" s="302"/>
      <c r="D681" s="302"/>
      <c r="E681" s="302"/>
      <c r="F681" s="302"/>
      <c r="G681" s="97"/>
      <c r="H681" s="97"/>
      <c r="I681" s="97"/>
      <c r="J681" s="97"/>
      <c r="K681" s="97"/>
      <c r="L681" s="97"/>
      <c r="M681" s="97"/>
      <c r="N681" s="97"/>
      <c r="O681" s="97"/>
      <c r="P681" s="97"/>
      <c r="Q681" s="97"/>
      <c r="R681" s="97"/>
      <c r="S681" s="97"/>
      <c r="T681" s="97"/>
      <c r="U681" s="97"/>
      <c r="V681" s="97"/>
      <c r="W681" s="97"/>
      <c r="X681" s="97"/>
      <c r="Y681" s="97"/>
      <c r="Z681" s="97"/>
      <c r="AA681" s="97"/>
    </row>
    <row r="682" spans="1:27" ht="17">
      <c r="A682" s="97"/>
      <c r="B682" s="97"/>
      <c r="C682" s="302"/>
      <c r="D682" s="302"/>
      <c r="E682" s="302"/>
      <c r="F682" s="302"/>
      <c r="G682" s="97"/>
      <c r="H682" s="97"/>
      <c r="I682" s="97"/>
      <c r="J682" s="97"/>
      <c r="K682" s="97"/>
      <c r="L682" s="97"/>
      <c r="M682" s="97"/>
      <c r="N682" s="97"/>
      <c r="O682" s="97"/>
      <c r="P682" s="97"/>
      <c r="Q682" s="97"/>
      <c r="R682" s="97"/>
      <c r="S682" s="97"/>
      <c r="T682" s="97"/>
      <c r="U682" s="97"/>
      <c r="V682" s="97"/>
      <c r="W682" s="97"/>
      <c r="X682" s="97"/>
      <c r="Y682" s="97"/>
      <c r="Z682" s="97"/>
      <c r="AA682" s="97"/>
    </row>
    <row r="683" spans="1:27" ht="17">
      <c r="A683" s="97"/>
      <c r="B683" s="97"/>
      <c r="C683" s="302"/>
      <c r="D683" s="302"/>
      <c r="E683" s="302"/>
      <c r="F683" s="302"/>
      <c r="G683" s="97"/>
      <c r="H683" s="97"/>
      <c r="I683" s="97"/>
      <c r="J683" s="97"/>
      <c r="K683" s="97"/>
      <c r="L683" s="97"/>
      <c r="M683" s="97"/>
      <c r="N683" s="97"/>
      <c r="O683" s="97"/>
      <c r="P683" s="97"/>
      <c r="Q683" s="97"/>
      <c r="R683" s="97"/>
      <c r="S683" s="97"/>
      <c r="T683" s="97"/>
      <c r="U683" s="97"/>
      <c r="V683" s="97"/>
      <c r="W683" s="97"/>
      <c r="X683" s="97"/>
      <c r="Y683" s="97"/>
      <c r="Z683" s="97"/>
      <c r="AA683" s="97"/>
    </row>
    <row r="684" spans="1:27" ht="17">
      <c r="A684" s="97"/>
      <c r="B684" s="97"/>
      <c r="C684" s="302"/>
      <c r="D684" s="302"/>
      <c r="E684" s="302"/>
      <c r="F684" s="302"/>
      <c r="G684" s="97"/>
      <c r="H684" s="97"/>
      <c r="I684" s="97"/>
      <c r="J684" s="97"/>
      <c r="K684" s="97"/>
      <c r="L684" s="97"/>
      <c r="M684" s="97"/>
      <c r="N684" s="97"/>
      <c r="O684" s="97"/>
      <c r="P684" s="97"/>
      <c r="Q684" s="97"/>
      <c r="R684" s="97"/>
      <c r="S684" s="97"/>
      <c r="T684" s="97"/>
      <c r="U684" s="97"/>
      <c r="V684" s="97"/>
      <c r="W684" s="97"/>
      <c r="X684" s="97"/>
      <c r="Y684" s="97"/>
      <c r="Z684" s="97"/>
      <c r="AA684" s="97"/>
    </row>
    <row r="685" spans="1:27" ht="17">
      <c r="A685" s="97"/>
      <c r="B685" s="97"/>
      <c r="C685" s="302"/>
      <c r="D685" s="302"/>
      <c r="E685" s="302"/>
      <c r="F685" s="302"/>
      <c r="G685" s="97"/>
      <c r="H685" s="97"/>
      <c r="I685" s="97"/>
      <c r="J685" s="97"/>
      <c r="K685" s="97"/>
      <c r="L685" s="97"/>
      <c r="M685" s="97"/>
      <c r="N685" s="97"/>
      <c r="O685" s="97"/>
      <c r="P685" s="97"/>
      <c r="Q685" s="97"/>
      <c r="R685" s="97"/>
      <c r="S685" s="97"/>
      <c r="T685" s="97"/>
      <c r="U685" s="97"/>
      <c r="V685" s="97"/>
      <c r="W685" s="97"/>
      <c r="X685" s="97"/>
      <c r="Y685" s="97"/>
      <c r="Z685" s="97"/>
      <c r="AA685" s="97"/>
    </row>
    <row r="686" spans="1:27" ht="17">
      <c r="A686" s="97"/>
      <c r="B686" s="97"/>
      <c r="C686" s="302"/>
      <c r="D686" s="302"/>
      <c r="E686" s="302"/>
      <c r="F686" s="302"/>
      <c r="G686" s="97"/>
      <c r="H686" s="97"/>
      <c r="I686" s="97"/>
      <c r="J686" s="97"/>
      <c r="K686" s="97"/>
      <c r="L686" s="97"/>
      <c r="M686" s="97"/>
      <c r="N686" s="97"/>
      <c r="O686" s="97"/>
      <c r="P686" s="97"/>
      <c r="Q686" s="97"/>
      <c r="R686" s="97"/>
      <c r="S686" s="97"/>
      <c r="T686" s="97"/>
      <c r="U686" s="97"/>
      <c r="V686" s="97"/>
      <c r="W686" s="97"/>
      <c r="X686" s="97"/>
      <c r="Y686" s="97"/>
      <c r="Z686" s="97"/>
      <c r="AA686" s="97"/>
    </row>
    <row r="687" spans="1:27" ht="17">
      <c r="A687" s="97"/>
      <c r="B687" s="97"/>
      <c r="C687" s="302"/>
      <c r="D687" s="302"/>
      <c r="E687" s="302"/>
      <c r="F687" s="302"/>
      <c r="G687" s="97"/>
      <c r="H687" s="97"/>
      <c r="I687" s="97"/>
      <c r="J687" s="97"/>
      <c r="K687" s="97"/>
      <c r="L687" s="97"/>
      <c r="M687" s="97"/>
      <c r="N687" s="97"/>
      <c r="O687" s="97"/>
      <c r="P687" s="97"/>
      <c r="Q687" s="97"/>
      <c r="R687" s="97"/>
      <c r="S687" s="97"/>
      <c r="T687" s="97"/>
      <c r="U687" s="97"/>
      <c r="V687" s="97"/>
      <c r="W687" s="97"/>
      <c r="X687" s="97"/>
      <c r="Y687" s="97"/>
      <c r="Z687" s="97"/>
      <c r="AA687" s="97"/>
    </row>
    <row r="688" spans="1:27" ht="17">
      <c r="A688" s="97"/>
      <c r="B688" s="97"/>
      <c r="C688" s="302"/>
      <c r="D688" s="302"/>
      <c r="E688" s="302"/>
      <c r="F688" s="302"/>
      <c r="G688" s="97"/>
      <c r="H688" s="97"/>
      <c r="I688" s="97"/>
      <c r="J688" s="97"/>
      <c r="K688" s="97"/>
      <c r="L688" s="97"/>
      <c r="M688" s="97"/>
      <c r="N688" s="97"/>
      <c r="O688" s="97"/>
      <c r="P688" s="97"/>
      <c r="Q688" s="97"/>
      <c r="R688" s="97"/>
      <c r="S688" s="97"/>
      <c r="T688" s="97"/>
      <c r="U688" s="97"/>
      <c r="V688" s="97"/>
      <c r="W688" s="97"/>
      <c r="X688" s="97"/>
      <c r="Y688" s="97"/>
      <c r="Z688" s="97"/>
      <c r="AA688" s="97"/>
    </row>
    <row r="689" spans="1:27" ht="17">
      <c r="A689" s="97"/>
      <c r="B689" s="97"/>
      <c r="C689" s="302"/>
      <c r="D689" s="302"/>
      <c r="E689" s="302"/>
      <c r="F689" s="302"/>
      <c r="G689" s="97"/>
      <c r="H689" s="97"/>
      <c r="I689" s="97"/>
      <c r="J689" s="97"/>
      <c r="K689" s="97"/>
      <c r="L689" s="97"/>
      <c r="M689" s="97"/>
      <c r="N689" s="97"/>
      <c r="O689" s="97"/>
      <c r="P689" s="97"/>
      <c r="Q689" s="97"/>
      <c r="R689" s="97"/>
      <c r="S689" s="97"/>
      <c r="T689" s="97"/>
      <c r="U689" s="97"/>
      <c r="V689" s="97"/>
      <c r="W689" s="97"/>
      <c r="X689" s="97"/>
      <c r="Y689" s="97"/>
      <c r="Z689" s="97"/>
      <c r="AA689" s="97"/>
    </row>
    <row r="690" spans="1:27" ht="17">
      <c r="A690" s="97"/>
      <c r="B690" s="97"/>
      <c r="C690" s="302"/>
      <c r="D690" s="302"/>
      <c r="E690" s="302"/>
      <c r="F690" s="302"/>
      <c r="G690" s="97"/>
      <c r="H690" s="97"/>
      <c r="I690" s="97"/>
      <c r="J690" s="97"/>
      <c r="K690" s="97"/>
      <c r="L690" s="97"/>
      <c r="M690" s="97"/>
      <c r="N690" s="97"/>
      <c r="O690" s="97"/>
      <c r="P690" s="97"/>
      <c r="Q690" s="97"/>
      <c r="R690" s="97"/>
      <c r="S690" s="97"/>
      <c r="T690" s="97"/>
      <c r="U690" s="97"/>
      <c r="V690" s="97"/>
      <c r="W690" s="97"/>
      <c r="X690" s="97"/>
      <c r="Y690" s="97"/>
      <c r="Z690" s="97"/>
      <c r="AA690" s="97"/>
    </row>
    <row r="691" spans="1:27" ht="17">
      <c r="A691" s="97"/>
      <c r="B691" s="97"/>
      <c r="C691" s="302"/>
      <c r="D691" s="302"/>
      <c r="E691" s="302"/>
      <c r="F691" s="302"/>
      <c r="G691" s="97"/>
      <c r="H691" s="97"/>
      <c r="I691" s="97"/>
      <c r="J691" s="97"/>
      <c r="K691" s="97"/>
      <c r="L691" s="97"/>
      <c r="M691" s="97"/>
      <c r="N691" s="97"/>
      <c r="O691" s="97"/>
      <c r="P691" s="97"/>
      <c r="Q691" s="97"/>
      <c r="R691" s="97"/>
      <c r="S691" s="97"/>
      <c r="T691" s="97"/>
      <c r="U691" s="97"/>
      <c r="V691" s="97"/>
      <c r="W691" s="97"/>
      <c r="X691" s="97"/>
      <c r="Y691" s="97"/>
      <c r="Z691" s="97"/>
      <c r="AA691" s="97"/>
    </row>
    <row r="692" spans="1:27" ht="17">
      <c r="A692" s="97"/>
      <c r="B692" s="97"/>
      <c r="C692" s="302"/>
      <c r="D692" s="302"/>
      <c r="E692" s="302"/>
      <c r="F692" s="302"/>
      <c r="G692" s="97"/>
      <c r="H692" s="97"/>
      <c r="I692" s="97"/>
      <c r="J692" s="97"/>
      <c r="K692" s="97"/>
      <c r="L692" s="97"/>
      <c r="M692" s="97"/>
      <c r="N692" s="97"/>
      <c r="O692" s="97"/>
      <c r="P692" s="97"/>
      <c r="Q692" s="97"/>
      <c r="R692" s="97"/>
      <c r="S692" s="97"/>
      <c r="T692" s="97"/>
      <c r="U692" s="97"/>
      <c r="V692" s="97"/>
      <c r="W692" s="97"/>
      <c r="X692" s="97"/>
      <c r="Y692" s="97"/>
      <c r="Z692" s="97"/>
      <c r="AA692" s="97"/>
    </row>
    <row r="693" spans="1:27" ht="17">
      <c r="A693" s="97"/>
      <c r="B693" s="97"/>
      <c r="C693" s="302"/>
      <c r="D693" s="302"/>
      <c r="E693" s="302"/>
      <c r="F693" s="302"/>
      <c r="G693" s="97"/>
      <c r="H693" s="97"/>
      <c r="I693" s="97"/>
      <c r="J693" s="97"/>
      <c r="K693" s="97"/>
      <c r="L693" s="97"/>
      <c r="M693" s="97"/>
      <c r="N693" s="97"/>
      <c r="O693" s="97"/>
      <c r="P693" s="97"/>
      <c r="Q693" s="97"/>
      <c r="R693" s="97"/>
      <c r="S693" s="97"/>
      <c r="T693" s="97"/>
      <c r="U693" s="97"/>
      <c r="V693" s="97"/>
      <c r="W693" s="97"/>
      <c r="X693" s="97"/>
      <c r="Y693" s="97"/>
      <c r="Z693" s="97"/>
      <c r="AA693" s="97"/>
    </row>
    <row r="694" spans="1:27" ht="17">
      <c r="A694" s="97"/>
      <c r="B694" s="97"/>
      <c r="C694" s="302"/>
      <c r="D694" s="302"/>
      <c r="E694" s="302"/>
      <c r="F694" s="302"/>
      <c r="G694" s="97"/>
      <c r="H694" s="97"/>
      <c r="I694" s="97"/>
      <c r="J694" s="97"/>
      <c r="K694" s="97"/>
      <c r="L694" s="97"/>
      <c r="M694" s="97"/>
      <c r="N694" s="97"/>
      <c r="O694" s="97"/>
      <c r="P694" s="97"/>
      <c r="Q694" s="97"/>
      <c r="R694" s="97"/>
      <c r="S694" s="97"/>
      <c r="T694" s="97"/>
      <c r="U694" s="97"/>
      <c r="V694" s="97"/>
      <c r="W694" s="97"/>
      <c r="X694" s="97"/>
      <c r="Y694" s="97"/>
      <c r="Z694" s="97"/>
      <c r="AA694" s="97"/>
    </row>
    <row r="695" spans="1:27" ht="17">
      <c r="A695" s="97"/>
      <c r="B695" s="97"/>
      <c r="C695" s="302"/>
      <c r="D695" s="302"/>
      <c r="E695" s="302"/>
      <c r="F695" s="302"/>
      <c r="G695" s="97"/>
      <c r="H695" s="97"/>
      <c r="I695" s="97"/>
      <c r="J695" s="97"/>
      <c r="K695" s="97"/>
      <c r="L695" s="97"/>
      <c r="M695" s="97"/>
      <c r="N695" s="97"/>
      <c r="O695" s="97"/>
      <c r="P695" s="97"/>
      <c r="Q695" s="97"/>
      <c r="R695" s="97"/>
      <c r="S695" s="97"/>
      <c r="T695" s="97"/>
      <c r="U695" s="97"/>
      <c r="V695" s="97"/>
      <c r="W695" s="97"/>
      <c r="X695" s="97"/>
      <c r="Y695" s="97"/>
      <c r="Z695" s="97"/>
      <c r="AA695" s="97"/>
    </row>
    <row r="696" spans="1:27" ht="17">
      <c r="A696" s="97"/>
      <c r="B696" s="97"/>
      <c r="C696" s="302"/>
      <c r="D696" s="302"/>
      <c r="E696" s="302"/>
      <c r="F696" s="302"/>
      <c r="G696" s="97"/>
      <c r="H696" s="97"/>
      <c r="I696" s="97"/>
      <c r="J696" s="97"/>
      <c r="K696" s="97"/>
      <c r="L696" s="97"/>
      <c r="M696" s="97"/>
      <c r="N696" s="97"/>
      <c r="O696" s="97"/>
      <c r="P696" s="97"/>
      <c r="Q696" s="97"/>
      <c r="R696" s="97"/>
      <c r="S696" s="97"/>
      <c r="T696" s="97"/>
      <c r="U696" s="97"/>
      <c r="V696" s="97"/>
      <c r="W696" s="97"/>
      <c r="X696" s="97"/>
      <c r="Y696" s="97"/>
      <c r="Z696" s="97"/>
      <c r="AA696" s="97"/>
    </row>
    <row r="697" spans="1:27" ht="17">
      <c r="A697" s="97"/>
      <c r="B697" s="97"/>
      <c r="C697" s="302"/>
      <c r="D697" s="302"/>
      <c r="E697" s="302"/>
      <c r="F697" s="302"/>
      <c r="G697" s="97"/>
      <c r="H697" s="97"/>
      <c r="I697" s="97"/>
      <c r="J697" s="97"/>
      <c r="K697" s="97"/>
      <c r="L697" s="97"/>
      <c r="M697" s="97"/>
      <c r="N697" s="97"/>
      <c r="O697" s="97"/>
      <c r="P697" s="97"/>
      <c r="Q697" s="97"/>
      <c r="R697" s="97"/>
      <c r="S697" s="97"/>
      <c r="T697" s="97"/>
      <c r="U697" s="97"/>
      <c r="V697" s="97"/>
      <c r="W697" s="97"/>
      <c r="X697" s="97"/>
      <c r="Y697" s="97"/>
      <c r="Z697" s="97"/>
      <c r="AA697" s="97"/>
    </row>
    <row r="698" spans="1:27" ht="17">
      <c r="A698" s="97"/>
      <c r="B698" s="97"/>
      <c r="C698" s="302"/>
      <c r="D698" s="302"/>
      <c r="E698" s="302"/>
      <c r="F698" s="302"/>
      <c r="G698" s="97"/>
      <c r="H698" s="97"/>
      <c r="I698" s="97"/>
      <c r="J698" s="97"/>
      <c r="K698" s="97"/>
      <c r="L698" s="97"/>
      <c r="M698" s="97"/>
      <c r="N698" s="97"/>
      <c r="O698" s="97"/>
      <c r="P698" s="97"/>
      <c r="Q698" s="97"/>
      <c r="R698" s="97"/>
      <c r="S698" s="97"/>
      <c r="T698" s="97"/>
      <c r="U698" s="97"/>
      <c r="V698" s="97"/>
      <c r="W698" s="97"/>
      <c r="X698" s="97"/>
      <c r="Y698" s="97"/>
      <c r="Z698" s="97"/>
      <c r="AA698" s="97"/>
    </row>
    <row r="699" spans="1:27" ht="17">
      <c r="A699" s="97"/>
      <c r="B699" s="97"/>
      <c r="C699" s="302"/>
      <c r="D699" s="302"/>
      <c r="E699" s="302"/>
      <c r="F699" s="302"/>
      <c r="G699" s="97"/>
      <c r="H699" s="97"/>
      <c r="I699" s="97"/>
      <c r="J699" s="97"/>
      <c r="K699" s="97"/>
      <c r="L699" s="97"/>
      <c r="M699" s="97"/>
      <c r="N699" s="97"/>
      <c r="O699" s="97"/>
      <c r="P699" s="97"/>
      <c r="Q699" s="97"/>
      <c r="R699" s="97"/>
      <c r="S699" s="97"/>
      <c r="T699" s="97"/>
      <c r="U699" s="97"/>
      <c r="V699" s="97"/>
      <c r="W699" s="97"/>
      <c r="X699" s="97"/>
      <c r="Y699" s="97"/>
      <c r="Z699" s="97"/>
      <c r="AA699" s="97"/>
    </row>
    <row r="700" spans="1:27" ht="17">
      <c r="A700" s="97"/>
      <c r="B700" s="97"/>
      <c r="C700" s="302"/>
      <c r="D700" s="302"/>
      <c r="E700" s="302"/>
      <c r="F700" s="302"/>
      <c r="G700" s="97"/>
      <c r="H700" s="97"/>
      <c r="I700" s="97"/>
      <c r="J700" s="97"/>
      <c r="K700" s="97"/>
      <c r="L700" s="97"/>
      <c r="M700" s="97"/>
      <c r="N700" s="97"/>
      <c r="O700" s="97"/>
      <c r="P700" s="97"/>
      <c r="Q700" s="97"/>
      <c r="R700" s="97"/>
      <c r="S700" s="97"/>
      <c r="T700" s="97"/>
      <c r="U700" s="97"/>
      <c r="V700" s="97"/>
      <c r="W700" s="97"/>
      <c r="X700" s="97"/>
      <c r="Y700" s="97"/>
      <c r="Z700" s="97"/>
      <c r="AA700" s="97"/>
    </row>
    <row r="701" spans="1:27" ht="17">
      <c r="A701" s="97"/>
      <c r="B701" s="97"/>
      <c r="C701" s="302"/>
      <c r="D701" s="302"/>
      <c r="E701" s="302"/>
      <c r="F701" s="302"/>
      <c r="G701" s="97"/>
      <c r="H701" s="97"/>
      <c r="I701" s="97"/>
      <c r="J701" s="97"/>
      <c r="K701" s="97"/>
      <c r="L701" s="97"/>
      <c r="M701" s="97"/>
      <c r="N701" s="97"/>
      <c r="O701" s="97"/>
      <c r="P701" s="97"/>
      <c r="Q701" s="97"/>
      <c r="R701" s="97"/>
      <c r="S701" s="97"/>
      <c r="T701" s="97"/>
      <c r="U701" s="97"/>
      <c r="V701" s="97"/>
      <c r="W701" s="97"/>
      <c r="X701" s="97"/>
      <c r="Y701" s="97"/>
      <c r="Z701" s="97"/>
      <c r="AA701" s="97"/>
    </row>
    <row r="702" spans="1:27" ht="17">
      <c r="A702" s="97"/>
      <c r="B702" s="97"/>
      <c r="C702" s="302"/>
      <c r="D702" s="302"/>
      <c r="E702" s="302"/>
      <c r="F702" s="302"/>
      <c r="G702" s="97"/>
      <c r="H702" s="97"/>
      <c r="I702" s="97"/>
      <c r="J702" s="97"/>
      <c r="K702" s="97"/>
      <c r="L702" s="97"/>
      <c r="M702" s="97"/>
      <c r="N702" s="97"/>
      <c r="O702" s="97"/>
      <c r="P702" s="97"/>
      <c r="Q702" s="97"/>
      <c r="R702" s="97"/>
      <c r="S702" s="97"/>
      <c r="T702" s="97"/>
      <c r="U702" s="97"/>
      <c r="V702" s="97"/>
      <c r="W702" s="97"/>
      <c r="X702" s="97"/>
      <c r="Y702" s="97"/>
      <c r="Z702" s="97"/>
      <c r="AA702" s="97"/>
    </row>
    <row r="703" spans="1:27" ht="17">
      <c r="A703" s="97"/>
      <c r="B703" s="97"/>
      <c r="C703" s="302"/>
      <c r="D703" s="302"/>
      <c r="E703" s="302"/>
      <c r="F703" s="302"/>
      <c r="G703" s="97"/>
      <c r="H703" s="97"/>
      <c r="I703" s="97"/>
      <c r="J703" s="97"/>
      <c r="K703" s="97"/>
      <c r="L703" s="97"/>
      <c r="M703" s="97"/>
      <c r="N703" s="97"/>
      <c r="O703" s="97"/>
      <c r="P703" s="97"/>
      <c r="Q703" s="97"/>
      <c r="R703" s="97"/>
      <c r="S703" s="97"/>
      <c r="T703" s="97"/>
      <c r="U703" s="97"/>
      <c r="V703" s="97"/>
      <c r="W703" s="97"/>
      <c r="X703" s="97"/>
      <c r="Y703" s="97"/>
      <c r="Z703" s="97"/>
      <c r="AA703" s="97"/>
    </row>
    <row r="704" spans="1:27" ht="17">
      <c r="A704" s="97"/>
      <c r="B704" s="97"/>
      <c r="C704" s="302"/>
      <c r="D704" s="302"/>
      <c r="E704" s="302"/>
      <c r="F704" s="302"/>
      <c r="G704" s="97"/>
      <c r="H704" s="97"/>
      <c r="I704" s="97"/>
      <c r="J704" s="97"/>
      <c r="K704" s="97"/>
      <c r="L704" s="97"/>
      <c r="M704" s="97"/>
      <c r="N704" s="97"/>
      <c r="O704" s="97"/>
      <c r="P704" s="97"/>
      <c r="Q704" s="97"/>
      <c r="R704" s="97"/>
      <c r="S704" s="97"/>
      <c r="T704" s="97"/>
      <c r="U704" s="97"/>
      <c r="V704" s="97"/>
      <c r="W704" s="97"/>
      <c r="X704" s="97"/>
      <c r="Y704" s="97"/>
      <c r="Z704" s="97"/>
      <c r="AA704" s="97"/>
    </row>
    <row r="705" spans="1:27" ht="17">
      <c r="A705" s="97"/>
      <c r="B705" s="97"/>
      <c r="C705" s="302"/>
      <c r="D705" s="302"/>
      <c r="E705" s="302"/>
      <c r="F705" s="302"/>
      <c r="G705" s="97"/>
      <c r="H705" s="97"/>
      <c r="I705" s="97"/>
      <c r="J705" s="97"/>
      <c r="K705" s="97"/>
      <c r="L705" s="97"/>
      <c r="M705" s="97"/>
      <c r="N705" s="97"/>
      <c r="O705" s="97"/>
      <c r="P705" s="97"/>
      <c r="Q705" s="97"/>
      <c r="R705" s="97"/>
      <c r="S705" s="97"/>
      <c r="T705" s="97"/>
      <c r="U705" s="97"/>
      <c r="V705" s="97"/>
      <c r="W705" s="97"/>
      <c r="X705" s="97"/>
      <c r="Y705" s="97"/>
      <c r="Z705" s="97"/>
      <c r="AA705" s="97"/>
    </row>
    <row r="706" spans="1:27" ht="17">
      <c r="A706" s="97"/>
      <c r="B706" s="97"/>
      <c r="C706" s="302"/>
      <c r="D706" s="302"/>
      <c r="E706" s="302"/>
      <c r="F706" s="302"/>
      <c r="G706" s="97"/>
      <c r="H706" s="97"/>
      <c r="I706" s="97"/>
      <c r="J706" s="97"/>
      <c r="K706" s="97"/>
      <c r="L706" s="97"/>
      <c r="M706" s="97"/>
      <c r="N706" s="97"/>
      <c r="O706" s="97"/>
      <c r="P706" s="97"/>
      <c r="Q706" s="97"/>
      <c r="R706" s="97"/>
      <c r="S706" s="97"/>
      <c r="T706" s="97"/>
      <c r="U706" s="97"/>
      <c r="V706" s="97"/>
      <c r="W706" s="97"/>
      <c r="X706" s="97"/>
      <c r="Y706" s="97"/>
      <c r="Z706" s="97"/>
      <c r="AA706" s="97"/>
    </row>
    <row r="707" spans="1:27" ht="17">
      <c r="A707" s="97"/>
      <c r="B707" s="97"/>
      <c r="C707" s="302"/>
      <c r="D707" s="302"/>
      <c r="E707" s="302"/>
      <c r="F707" s="302"/>
      <c r="G707" s="97"/>
      <c r="H707" s="97"/>
      <c r="I707" s="97"/>
      <c r="J707" s="97"/>
      <c r="K707" s="97"/>
      <c r="L707" s="97"/>
      <c r="M707" s="97"/>
      <c r="N707" s="97"/>
      <c r="O707" s="97"/>
      <c r="P707" s="97"/>
      <c r="Q707" s="97"/>
      <c r="R707" s="97"/>
      <c r="S707" s="97"/>
      <c r="T707" s="97"/>
      <c r="U707" s="97"/>
      <c r="V707" s="97"/>
      <c r="W707" s="97"/>
      <c r="X707" s="97"/>
      <c r="Y707" s="97"/>
      <c r="Z707" s="97"/>
      <c r="AA707" s="97"/>
    </row>
    <row r="708" spans="1:27" ht="17">
      <c r="A708" s="97"/>
      <c r="B708" s="97"/>
      <c r="C708" s="302"/>
      <c r="D708" s="302"/>
      <c r="E708" s="302"/>
      <c r="F708" s="302"/>
      <c r="G708" s="97"/>
      <c r="H708" s="97"/>
      <c r="I708" s="97"/>
      <c r="J708" s="97"/>
      <c r="K708" s="97"/>
      <c r="L708" s="97"/>
      <c r="M708" s="97"/>
      <c r="N708" s="97"/>
      <c r="O708" s="97"/>
      <c r="P708" s="97"/>
      <c r="Q708" s="97"/>
      <c r="R708" s="97"/>
      <c r="S708" s="97"/>
      <c r="T708" s="97"/>
      <c r="U708" s="97"/>
      <c r="V708" s="97"/>
      <c r="W708" s="97"/>
      <c r="X708" s="97"/>
      <c r="Y708" s="97"/>
      <c r="Z708" s="97"/>
      <c r="AA708" s="97"/>
    </row>
    <row r="709" spans="1:27" ht="17">
      <c r="A709" s="97"/>
      <c r="B709" s="97"/>
      <c r="C709" s="302"/>
      <c r="D709" s="302"/>
      <c r="E709" s="302"/>
      <c r="F709" s="302"/>
      <c r="G709" s="97"/>
      <c r="H709" s="97"/>
      <c r="I709" s="97"/>
      <c r="J709" s="97"/>
      <c r="K709" s="97"/>
      <c r="L709" s="97"/>
      <c r="M709" s="97"/>
      <c r="N709" s="97"/>
      <c r="O709" s="97"/>
      <c r="P709" s="97"/>
      <c r="Q709" s="97"/>
      <c r="R709" s="97"/>
      <c r="S709" s="97"/>
      <c r="T709" s="97"/>
      <c r="U709" s="97"/>
      <c r="V709" s="97"/>
      <c r="W709" s="97"/>
      <c r="X709" s="97"/>
      <c r="Y709" s="97"/>
      <c r="Z709" s="97"/>
      <c r="AA709" s="97"/>
    </row>
    <row r="710" spans="1:27" ht="17">
      <c r="A710" s="97"/>
      <c r="B710" s="97"/>
      <c r="C710" s="302"/>
      <c r="D710" s="302"/>
      <c r="E710" s="302"/>
      <c r="F710" s="302"/>
      <c r="G710" s="97"/>
      <c r="H710" s="97"/>
      <c r="I710" s="97"/>
      <c r="J710" s="97"/>
      <c r="K710" s="97"/>
      <c r="L710" s="97"/>
      <c r="M710" s="97"/>
      <c r="N710" s="97"/>
      <c r="O710" s="97"/>
      <c r="P710" s="97"/>
      <c r="Q710" s="97"/>
      <c r="R710" s="97"/>
      <c r="S710" s="97"/>
      <c r="T710" s="97"/>
      <c r="U710" s="97"/>
      <c r="V710" s="97"/>
      <c r="W710" s="97"/>
      <c r="X710" s="97"/>
      <c r="Y710" s="97"/>
      <c r="Z710" s="97"/>
      <c r="AA710" s="97"/>
    </row>
    <row r="711" spans="1:27" ht="17">
      <c r="A711" s="97"/>
      <c r="B711" s="97"/>
      <c r="C711" s="302"/>
      <c r="D711" s="302"/>
      <c r="E711" s="302"/>
      <c r="F711" s="302"/>
      <c r="G711" s="97"/>
      <c r="H711" s="97"/>
      <c r="I711" s="97"/>
      <c r="J711" s="97"/>
      <c r="K711" s="97"/>
      <c r="L711" s="97"/>
      <c r="M711" s="97"/>
      <c r="N711" s="97"/>
      <c r="O711" s="97"/>
      <c r="P711" s="97"/>
      <c r="Q711" s="97"/>
      <c r="R711" s="97"/>
      <c r="S711" s="97"/>
      <c r="T711" s="97"/>
      <c r="U711" s="97"/>
      <c r="V711" s="97"/>
      <c r="W711" s="97"/>
      <c r="X711" s="97"/>
      <c r="Y711" s="97"/>
      <c r="Z711" s="97"/>
      <c r="AA711" s="97"/>
    </row>
    <row r="712" spans="1:27" ht="17">
      <c r="A712" s="97"/>
      <c r="B712" s="97"/>
      <c r="C712" s="302"/>
      <c r="D712" s="302"/>
      <c r="E712" s="302"/>
      <c r="F712" s="302"/>
      <c r="G712" s="97"/>
      <c r="H712" s="97"/>
      <c r="I712" s="97"/>
      <c r="J712" s="97"/>
      <c r="K712" s="97"/>
      <c r="L712" s="97"/>
      <c r="M712" s="97"/>
      <c r="N712" s="97"/>
      <c r="O712" s="97"/>
      <c r="P712" s="97"/>
      <c r="Q712" s="97"/>
      <c r="R712" s="97"/>
      <c r="S712" s="97"/>
      <c r="T712" s="97"/>
      <c r="U712" s="97"/>
      <c r="V712" s="97"/>
      <c r="W712" s="97"/>
      <c r="X712" s="97"/>
      <c r="Y712" s="97"/>
      <c r="Z712" s="97"/>
      <c r="AA712" s="97"/>
    </row>
    <row r="713" spans="1:27" ht="17">
      <c r="A713" s="97"/>
      <c r="B713" s="97"/>
      <c r="C713" s="302"/>
      <c r="D713" s="302"/>
      <c r="E713" s="302"/>
      <c r="F713" s="302"/>
      <c r="G713" s="97"/>
      <c r="H713" s="97"/>
      <c r="I713" s="97"/>
      <c r="J713" s="97"/>
      <c r="K713" s="97"/>
      <c r="L713" s="97"/>
      <c r="M713" s="97"/>
      <c r="N713" s="97"/>
      <c r="O713" s="97"/>
      <c r="P713" s="97"/>
      <c r="Q713" s="97"/>
      <c r="R713" s="97"/>
      <c r="S713" s="97"/>
      <c r="T713" s="97"/>
      <c r="U713" s="97"/>
      <c r="V713" s="97"/>
      <c r="W713" s="97"/>
      <c r="X713" s="97"/>
      <c r="Y713" s="97"/>
      <c r="Z713" s="97"/>
      <c r="AA713" s="97"/>
    </row>
    <row r="714" spans="1:27" ht="17">
      <c r="A714" s="97"/>
      <c r="B714" s="97"/>
      <c r="C714" s="302"/>
      <c r="D714" s="302"/>
      <c r="E714" s="302"/>
      <c r="F714" s="302"/>
      <c r="G714" s="97"/>
      <c r="H714" s="97"/>
      <c r="I714" s="97"/>
      <c r="J714" s="97"/>
      <c r="K714" s="97"/>
      <c r="L714" s="97"/>
      <c r="M714" s="97"/>
      <c r="N714" s="97"/>
      <c r="O714" s="97"/>
      <c r="P714" s="97"/>
      <c r="Q714" s="97"/>
      <c r="R714" s="97"/>
      <c r="S714" s="97"/>
      <c r="T714" s="97"/>
      <c r="U714" s="97"/>
      <c r="V714" s="97"/>
      <c r="W714" s="97"/>
      <c r="X714" s="97"/>
      <c r="Y714" s="97"/>
      <c r="Z714" s="97"/>
      <c r="AA714" s="97"/>
    </row>
    <row r="715" spans="1:27" ht="17">
      <c r="A715" s="97"/>
      <c r="B715" s="97"/>
      <c r="C715" s="302"/>
      <c r="D715" s="302"/>
      <c r="E715" s="302"/>
      <c r="F715" s="302"/>
      <c r="G715" s="97"/>
      <c r="H715" s="97"/>
      <c r="I715" s="97"/>
      <c r="J715" s="97"/>
      <c r="K715" s="97"/>
      <c r="L715" s="97"/>
      <c r="M715" s="97"/>
      <c r="N715" s="97"/>
      <c r="O715" s="97"/>
      <c r="P715" s="97"/>
      <c r="Q715" s="97"/>
      <c r="R715" s="97"/>
      <c r="S715" s="97"/>
      <c r="T715" s="97"/>
      <c r="U715" s="97"/>
      <c r="V715" s="97"/>
      <c r="W715" s="97"/>
      <c r="X715" s="97"/>
      <c r="Y715" s="97"/>
      <c r="Z715" s="97"/>
      <c r="AA715" s="97"/>
    </row>
    <row r="716" spans="1:27" ht="17">
      <c r="A716" s="97"/>
      <c r="B716" s="97"/>
      <c r="C716" s="302"/>
      <c r="D716" s="302"/>
      <c r="E716" s="302"/>
      <c r="F716" s="302"/>
      <c r="G716" s="97"/>
      <c r="H716" s="97"/>
      <c r="I716" s="97"/>
      <c r="J716" s="97"/>
      <c r="K716" s="97"/>
      <c r="L716" s="97"/>
      <c r="M716" s="97"/>
      <c r="N716" s="97"/>
      <c r="O716" s="97"/>
      <c r="P716" s="97"/>
      <c r="Q716" s="97"/>
      <c r="R716" s="97"/>
      <c r="S716" s="97"/>
      <c r="T716" s="97"/>
      <c r="U716" s="97"/>
      <c r="V716" s="97"/>
      <c r="W716" s="97"/>
      <c r="X716" s="97"/>
      <c r="Y716" s="97"/>
      <c r="Z716" s="97"/>
      <c r="AA716" s="97"/>
    </row>
    <row r="717" spans="1:27" ht="17">
      <c r="A717" s="97"/>
      <c r="B717" s="97"/>
      <c r="C717" s="302"/>
      <c r="D717" s="302"/>
      <c r="E717" s="302"/>
      <c r="F717" s="302"/>
      <c r="G717" s="97"/>
      <c r="H717" s="97"/>
      <c r="I717" s="97"/>
      <c r="J717" s="97"/>
      <c r="K717" s="97"/>
      <c r="L717" s="97"/>
      <c r="M717" s="97"/>
      <c r="N717" s="97"/>
      <c r="O717" s="97"/>
      <c r="P717" s="97"/>
      <c r="Q717" s="97"/>
      <c r="R717" s="97"/>
      <c r="S717" s="97"/>
      <c r="T717" s="97"/>
      <c r="U717" s="97"/>
      <c r="V717" s="97"/>
      <c r="W717" s="97"/>
      <c r="X717" s="97"/>
      <c r="Y717" s="97"/>
      <c r="Z717" s="97"/>
      <c r="AA717" s="97"/>
    </row>
    <row r="718" spans="1:27" ht="17">
      <c r="A718" s="97"/>
      <c r="B718" s="97"/>
      <c r="C718" s="302"/>
      <c r="D718" s="302"/>
      <c r="E718" s="302"/>
      <c r="F718" s="302"/>
      <c r="G718" s="97"/>
      <c r="H718" s="97"/>
      <c r="I718" s="97"/>
      <c r="J718" s="97"/>
      <c r="K718" s="97"/>
      <c r="L718" s="97"/>
      <c r="M718" s="97"/>
      <c r="N718" s="97"/>
      <c r="O718" s="97"/>
      <c r="P718" s="97"/>
      <c r="Q718" s="97"/>
      <c r="R718" s="97"/>
      <c r="S718" s="97"/>
      <c r="T718" s="97"/>
      <c r="U718" s="97"/>
      <c r="V718" s="97"/>
      <c r="W718" s="97"/>
      <c r="X718" s="97"/>
      <c r="Y718" s="97"/>
      <c r="Z718" s="97"/>
      <c r="AA718" s="97"/>
    </row>
    <row r="719" spans="1:27" ht="17">
      <c r="A719" s="97"/>
      <c r="B719" s="97"/>
      <c r="C719" s="302"/>
      <c r="D719" s="302"/>
      <c r="E719" s="302"/>
      <c r="F719" s="302"/>
      <c r="G719" s="97"/>
      <c r="H719" s="97"/>
      <c r="I719" s="97"/>
      <c r="J719" s="97"/>
      <c r="K719" s="97"/>
      <c r="L719" s="97"/>
      <c r="M719" s="97"/>
      <c r="N719" s="97"/>
      <c r="O719" s="97"/>
      <c r="P719" s="97"/>
      <c r="Q719" s="97"/>
      <c r="R719" s="97"/>
      <c r="S719" s="97"/>
      <c r="T719" s="97"/>
      <c r="U719" s="97"/>
      <c r="V719" s="97"/>
      <c r="W719" s="97"/>
      <c r="X719" s="97"/>
      <c r="Y719" s="97"/>
      <c r="Z719" s="97"/>
      <c r="AA719" s="97"/>
    </row>
    <row r="720" spans="1:27" ht="17">
      <c r="A720" s="97"/>
      <c r="B720" s="97"/>
      <c r="C720" s="302"/>
      <c r="D720" s="302"/>
      <c r="E720" s="302"/>
      <c r="F720" s="302"/>
      <c r="G720" s="97"/>
      <c r="H720" s="97"/>
      <c r="I720" s="97"/>
      <c r="J720" s="97"/>
      <c r="K720" s="97"/>
      <c r="L720" s="97"/>
      <c r="M720" s="97"/>
      <c r="N720" s="97"/>
      <c r="O720" s="97"/>
      <c r="P720" s="97"/>
      <c r="Q720" s="97"/>
      <c r="R720" s="97"/>
      <c r="S720" s="97"/>
      <c r="T720" s="97"/>
      <c r="U720" s="97"/>
      <c r="V720" s="97"/>
      <c r="W720" s="97"/>
      <c r="X720" s="97"/>
      <c r="Y720" s="97"/>
      <c r="Z720" s="97"/>
      <c r="AA720" s="97"/>
    </row>
    <row r="721" spans="1:27" ht="17">
      <c r="A721" s="97"/>
      <c r="B721" s="97"/>
      <c r="C721" s="302"/>
      <c r="D721" s="302"/>
      <c r="E721" s="302"/>
      <c r="F721" s="302"/>
      <c r="G721" s="97"/>
      <c r="H721" s="97"/>
      <c r="I721" s="97"/>
      <c r="J721" s="97"/>
      <c r="K721" s="97"/>
      <c r="L721" s="97"/>
      <c r="M721" s="97"/>
      <c r="N721" s="97"/>
      <c r="O721" s="97"/>
      <c r="P721" s="97"/>
      <c r="Q721" s="97"/>
      <c r="R721" s="97"/>
      <c r="S721" s="97"/>
      <c r="T721" s="97"/>
      <c r="U721" s="97"/>
      <c r="V721" s="97"/>
      <c r="W721" s="97"/>
      <c r="X721" s="97"/>
      <c r="Y721" s="97"/>
      <c r="Z721" s="97"/>
      <c r="AA721" s="97"/>
    </row>
    <row r="722" spans="1:27" ht="17">
      <c r="A722" s="97"/>
      <c r="B722" s="97"/>
      <c r="C722" s="302"/>
      <c r="D722" s="302"/>
      <c r="E722" s="302"/>
      <c r="F722" s="302"/>
      <c r="G722" s="97"/>
      <c r="H722" s="97"/>
      <c r="I722" s="97"/>
      <c r="J722" s="97"/>
      <c r="K722" s="97"/>
      <c r="L722" s="97"/>
      <c r="M722" s="97"/>
      <c r="N722" s="97"/>
      <c r="O722" s="97"/>
      <c r="P722" s="97"/>
      <c r="Q722" s="97"/>
      <c r="R722" s="97"/>
      <c r="S722" s="97"/>
      <c r="T722" s="97"/>
      <c r="U722" s="97"/>
      <c r="V722" s="97"/>
      <c r="W722" s="97"/>
      <c r="X722" s="97"/>
      <c r="Y722" s="97"/>
      <c r="Z722" s="97"/>
      <c r="AA722" s="97"/>
    </row>
    <row r="723" spans="1:27" ht="17">
      <c r="A723" s="97"/>
      <c r="B723" s="97"/>
      <c r="C723" s="302"/>
      <c r="D723" s="302"/>
      <c r="E723" s="302"/>
      <c r="F723" s="302"/>
      <c r="G723" s="97"/>
      <c r="H723" s="97"/>
      <c r="I723" s="97"/>
      <c r="J723" s="97"/>
      <c r="K723" s="97"/>
      <c r="L723" s="97"/>
      <c r="M723" s="97"/>
      <c r="N723" s="97"/>
      <c r="O723" s="97"/>
      <c r="P723" s="97"/>
      <c r="Q723" s="97"/>
      <c r="R723" s="97"/>
      <c r="S723" s="97"/>
      <c r="T723" s="97"/>
      <c r="U723" s="97"/>
      <c r="V723" s="97"/>
      <c r="W723" s="97"/>
      <c r="X723" s="97"/>
      <c r="Y723" s="97"/>
      <c r="Z723" s="97"/>
      <c r="AA723" s="97"/>
    </row>
    <row r="724" spans="1:27" ht="17">
      <c r="A724" s="97"/>
      <c r="B724" s="97"/>
      <c r="C724" s="302"/>
      <c r="D724" s="302"/>
      <c r="E724" s="302"/>
      <c r="F724" s="302"/>
      <c r="G724" s="97"/>
      <c r="H724" s="97"/>
      <c r="I724" s="97"/>
      <c r="J724" s="97"/>
      <c r="K724" s="97"/>
      <c r="L724" s="97"/>
      <c r="M724" s="97"/>
      <c r="N724" s="97"/>
      <c r="O724" s="97"/>
      <c r="P724" s="97"/>
      <c r="Q724" s="97"/>
      <c r="R724" s="97"/>
      <c r="S724" s="97"/>
      <c r="T724" s="97"/>
      <c r="U724" s="97"/>
      <c r="V724" s="97"/>
      <c r="W724" s="97"/>
      <c r="X724" s="97"/>
      <c r="Y724" s="97"/>
      <c r="Z724" s="97"/>
      <c r="AA724" s="97"/>
    </row>
    <row r="725" spans="1:27" ht="17">
      <c r="A725" s="97"/>
      <c r="B725" s="97"/>
      <c r="C725" s="302"/>
      <c r="D725" s="302"/>
      <c r="E725" s="302"/>
      <c r="F725" s="302"/>
      <c r="G725" s="97"/>
      <c r="H725" s="97"/>
      <c r="I725" s="97"/>
      <c r="J725" s="97"/>
      <c r="K725" s="97"/>
      <c r="L725" s="97"/>
      <c r="M725" s="97"/>
      <c r="N725" s="97"/>
      <c r="O725" s="97"/>
      <c r="P725" s="97"/>
      <c r="Q725" s="97"/>
      <c r="R725" s="97"/>
      <c r="S725" s="97"/>
      <c r="T725" s="97"/>
      <c r="U725" s="97"/>
      <c r="V725" s="97"/>
      <c r="W725" s="97"/>
      <c r="X725" s="97"/>
      <c r="Y725" s="97"/>
      <c r="Z725" s="97"/>
      <c r="AA725" s="97"/>
    </row>
    <row r="726" spans="1:27" ht="17">
      <c r="A726" s="97"/>
      <c r="B726" s="97"/>
      <c r="C726" s="302"/>
      <c r="D726" s="302"/>
      <c r="E726" s="302"/>
      <c r="F726" s="302"/>
      <c r="G726" s="97"/>
      <c r="H726" s="97"/>
      <c r="I726" s="97"/>
      <c r="J726" s="97"/>
      <c r="K726" s="97"/>
      <c r="L726" s="97"/>
      <c r="M726" s="97"/>
      <c r="N726" s="97"/>
      <c r="O726" s="97"/>
      <c r="P726" s="97"/>
      <c r="Q726" s="97"/>
      <c r="R726" s="97"/>
      <c r="S726" s="97"/>
      <c r="T726" s="97"/>
      <c r="U726" s="97"/>
      <c r="V726" s="97"/>
      <c r="W726" s="97"/>
      <c r="X726" s="97"/>
      <c r="Y726" s="97"/>
      <c r="Z726" s="97"/>
      <c r="AA726" s="97"/>
    </row>
    <row r="727" spans="1:27" ht="17">
      <c r="A727" s="97"/>
      <c r="B727" s="97"/>
      <c r="C727" s="302"/>
      <c r="D727" s="302"/>
      <c r="E727" s="302"/>
      <c r="F727" s="302"/>
      <c r="G727" s="97"/>
      <c r="H727" s="97"/>
      <c r="I727" s="97"/>
      <c r="J727" s="97"/>
      <c r="K727" s="97"/>
      <c r="L727" s="97"/>
      <c r="M727" s="97"/>
      <c r="N727" s="97"/>
      <c r="O727" s="97"/>
      <c r="P727" s="97"/>
      <c r="Q727" s="97"/>
      <c r="R727" s="97"/>
      <c r="S727" s="97"/>
      <c r="T727" s="97"/>
      <c r="U727" s="97"/>
      <c r="V727" s="97"/>
      <c r="W727" s="97"/>
      <c r="X727" s="97"/>
      <c r="Y727" s="97"/>
      <c r="Z727" s="97"/>
      <c r="AA727" s="97"/>
    </row>
    <row r="728" spans="1:27" ht="17">
      <c r="A728" s="97"/>
      <c r="B728" s="97"/>
      <c r="C728" s="302"/>
      <c r="D728" s="302"/>
      <c r="E728" s="302"/>
      <c r="F728" s="302"/>
      <c r="G728" s="97"/>
      <c r="H728" s="97"/>
      <c r="I728" s="97"/>
      <c r="J728" s="97"/>
      <c r="K728" s="97"/>
      <c r="L728" s="97"/>
      <c r="M728" s="97"/>
      <c r="N728" s="97"/>
      <c r="O728" s="97"/>
      <c r="P728" s="97"/>
      <c r="Q728" s="97"/>
      <c r="R728" s="97"/>
      <c r="S728" s="97"/>
      <c r="T728" s="97"/>
      <c r="U728" s="97"/>
      <c r="V728" s="97"/>
      <c r="W728" s="97"/>
      <c r="X728" s="97"/>
      <c r="Y728" s="97"/>
      <c r="Z728" s="97"/>
      <c r="AA728" s="97"/>
    </row>
    <row r="729" spans="1:27" ht="17">
      <c r="A729" s="97"/>
      <c r="B729" s="97"/>
      <c r="C729" s="302"/>
      <c r="D729" s="302"/>
      <c r="E729" s="302"/>
      <c r="F729" s="302"/>
      <c r="G729" s="97"/>
      <c r="H729" s="97"/>
      <c r="I729" s="97"/>
      <c r="J729" s="97"/>
      <c r="K729" s="97"/>
      <c r="L729" s="97"/>
      <c r="M729" s="97"/>
      <c r="N729" s="97"/>
      <c r="O729" s="97"/>
      <c r="P729" s="97"/>
      <c r="Q729" s="97"/>
      <c r="R729" s="97"/>
      <c r="S729" s="97"/>
      <c r="T729" s="97"/>
      <c r="U729" s="97"/>
      <c r="V729" s="97"/>
      <c r="W729" s="97"/>
      <c r="X729" s="97"/>
      <c r="Y729" s="97"/>
      <c r="Z729" s="97"/>
      <c r="AA729" s="97"/>
    </row>
    <row r="730" spans="1:27" ht="17">
      <c r="A730" s="97"/>
      <c r="B730" s="97"/>
      <c r="C730" s="302"/>
      <c r="D730" s="302"/>
      <c r="E730" s="302"/>
      <c r="F730" s="302"/>
      <c r="G730" s="97"/>
      <c r="H730" s="97"/>
      <c r="I730" s="97"/>
      <c r="J730" s="97"/>
      <c r="K730" s="97"/>
      <c r="L730" s="97"/>
      <c r="M730" s="97"/>
      <c r="N730" s="97"/>
      <c r="O730" s="97"/>
      <c r="P730" s="97"/>
      <c r="Q730" s="97"/>
      <c r="R730" s="97"/>
      <c r="S730" s="97"/>
      <c r="T730" s="97"/>
      <c r="U730" s="97"/>
      <c r="V730" s="97"/>
      <c r="W730" s="97"/>
      <c r="X730" s="97"/>
      <c r="Y730" s="97"/>
      <c r="Z730" s="97"/>
      <c r="AA730" s="97"/>
    </row>
    <row r="731" spans="1:27" ht="17">
      <c r="A731" s="97"/>
      <c r="B731" s="97"/>
      <c r="C731" s="302"/>
      <c r="D731" s="302"/>
      <c r="E731" s="302"/>
      <c r="F731" s="302"/>
      <c r="G731" s="97"/>
      <c r="H731" s="97"/>
      <c r="I731" s="97"/>
      <c r="J731" s="97"/>
      <c r="K731" s="97"/>
      <c r="L731" s="97"/>
      <c r="M731" s="97"/>
      <c r="N731" s="97"/>
      <c r="O731" s="97"/>
      <c r="P731" s="97"/>
      <c r="Q731" s="97"/>
      <c r="R731" s="97"/>
      <c r="S731" s="97"/>
      <c r="T731" s="97"/>
      <c r="U731" s="97"/>
      <c r="V731" s="97"/>
      <c r="W731" s="97"/>
      <c r="X731" s="97"/>
      <c r="Y731" s="97"/>
      <c r="Z731" s="97"/>
      <c r="AA731" s="97"/>
    </row>
    <row r="732" spans="1:27" ht="17">
      <c r="A732" s="97"/>
      <c r="B732" s="97"/>
      <c r="C732" s="302"/>
      <c r="D732" s="302"/>
      <c r="E732" s="302"/>
      <c r="F732" s="302"/>
      <c r="G732" s="97"/>
      <c r="H732" s="97"/>
      <c r="I732" s="97"/>
      <c r="J732" s="97"/>
      <c r="K732" s="97"/>
      <c r="L732" s="97"/>
      <c r="M732" s="97"/>
      <c r="N732" s="97"/>
      <c r="O732" s="97"/>
      <c r="P732" s="97"/>
      <c r="Q732" s="97"/>
      <c r="R732" s="97"/>
      <c r="S732" s="97"/>
      <c r="T732" s="97"/>
      <c r="U732" s="97"/>
      <c r="V732" s="97"/>
      <c r="W732" s="97"/>
      <c r="X732" s="97"/>
      <c r="Y732" s="97"/>
      <c r="Z732" s="97"/>
      <c r="AA732" s="97"/>
    </row>
    <row r="733" spans="1:27" ht="17">
      <c r="A733" s="97"/>
      <c r="B733" s="97"/>
      <c r="C733" s="302"/>
      <c r="D733" s="302"/>
      <c r="E733" s="302"/>
      <c r="F733" s="302"/>
      <c r="G733" s="97"/>
      <c r="H733" s="97"/>
      <c r="I733" s="97"/>
      <c r="J733" s="97"/>
      <c r="K733" s="97"/>
      <c r="L733" s="97"/>
      <c r="M733" s="97"/>
      <c r="N733" s="97"/>
      <c r="O733" s="97"/>
      <c r="P733" s="97"/>
      <c r="Q733" s="97"/>
      <c r="R733" s="97"/>
      <c r="S733" s="97"/>
      <c r="T733" s="97"/>
      <c r="U733" s="97"/>
      <c r="V733" s="97"/>
      <c r="W733" s="97"/>
      <c r="X733" s="97"/>
      <c r="Y733" s="97"/>
      <c r="Z733" s="97"/>
      <c r="AA733" s="97"/>
    </row>
    <row r="734" spans="1:27" ht="17">
      <c r="A734" s="97"/>
      <c r="B734" s="97"/>
      <c r="C734" s="302"/>
      <c r="D734" s="302"/>
      <c r="E734" s="302"/>
      <c r="F734" s="302"/>
      <c r="G734" s="97"/>
      <c r="H734" s="97"/>
      <c r="I734" s="97"/>
      <c r="J734" s="97"/>
      <c r="K734" s="97"/>
      <c r="L734" s="97"/>
      <c r="M734" s="97"/>
      <c r="N734" s="97"/>
      <c r="O734" s="97"/>
      <c r="P734" s="97"/>
      <c r="Q734" s="97"/>
      <c r="R734" s="97"/>
      <c r="S734" s="97"/>
      <c r="T734" s="97"/>
      <c r="U734" s="97"/>
      <c r="V734" s="97"/>
      <c r="W734" s="97"/>
      <c r="X734" s="97"/>
      <c r="Y734" s="97"/>
      <c r="Z734" s="97"/>
      <c r="AA734" s="97"/>
    </row>
    <row r="735" spans="1:27" ht="17">
      <c r="A735" s="97"/>
      <c r="B735" s="97"/>
      <c r="C735" s="302"/>
      <c r="D735" s="302"/>
      <c r="E735" s="302"/>
      <c r="F735" s="302"/>
      <c r="G735" s="97"/>
      <c r="H735" s="97"/>
      <c r="I735" s="97"/>
      <c r="J735" s="97"/>
      <c r="K735" s="97"/>
      <c r="L735" s="97"/>
      <c r="M735" s="97"/>
      <c r="N735" s="97"/>
      <c r="O735" s="97"/>
      <c r="P735" s="97"/>
      <c r="Q735" s="97"/>
      <c r="R735" s="97"/>
      <c r="S735" s="97"/>
      <c r="T735" s="97"/>
      <c r="U735" s="97"/>
      <c r="V735" s="97"/>
      <c r="W735" s="97"/>
      <c r="X735" s="97"/>
      <c r="Y735" s="97"/>
      <c r="Z735" s="97"/>
      <c r="AA735" s="97"/>
    </row>
    <row r="736" spans="1:27" ht="17">
      <c r="A736" s="97"/>
      <c r="B736" s="97"/>
      <c r="C736" s="302"/>
      <c r="D736" s="302"/>
      <c r="E736" s="302"/>
      <c r="F736" s="302"/>
      <c r="G736" s="97"/>
      <c r="H736" s="97"/>
      <c r="I736" s="97"/>
      <c r="J736" s="97"/>
      <c r="K736" s="97"/>
      <c r="L736" s="97"/>
      <c r="M736" s="97"/>
      <c r="N736" s="97"/>
      <c r="O736" s="97"/>
      <c r="P736" s="97"/>
      <c r="Q736" s="97"/>
      <c r="R736" s="97"/>
      <c r="S736" s="97"/>
      <c r="T736" s="97"/>
      <c r="U736" s="97"/>
      <c r="V736" s="97"/>
      <c r="W736" s="97"/>
      <c r="X736" s="97"/>
      <c r="Y736" s="97"/>
      <c r="Z736" s="97"/>
      <c r="AA736" s="97"/>
    </row>
    <row r="737" spans="1:27" ht="17">
      <c r="A737" s="97"/>
      <c r="B737" s="97"/>
      <c r="C737" s="302"/>
      <c r="D737" s="302"/>
      <c r="E737" s="302"/>
      <c r="F737" s="302"/>
      <c r="G737" s="97"/>
      <c r="H737" s="97"/>
      <c r="I737" s="97"/>
      <c r="J737" s="97"/>
      <c r="K737" s="97"/>
      <c r="L737" s="97"/>
      <c r="M737" s="97"/>
      <c r="N737" s="97"/>
      <c r="O737" s="97"/>
      <c r="P737" s="97"/>
      <c r="Q737" s="97"/>
      <c r="R737" s="97"/>
      <c r="S737" s="97"/>
      <c r="T737" s="97"/>
      <c r="U737" s="97"/>
      <c r="V737" s="97"/>
      <c r="W737" s="97"/>
      <c r="X737" s="97"/>
      <c r="Y737" s="97"/>
      <c r="Z737" s="97"/>
      <c r="AA737" s="97"/>
    </row>
    <row r="738" spans="1:27" ht="17">
      <c r="A738" s="97"/>
      <c r="B738" s="97"/>
      <c r="C738" s="302"/>
      <c r="D738" s="302"/>
      <c r="E738" s="302"/>
      <c r="F738" s="302"/>
      <c r="G738" s="97"/>
      <c r="H738" s="97"/>
      <c r="I738" s="97"/>
      <c r="J738" s="97"/>
      <c r="K738" s="97"/>
      <c r="L738" s="97"/>
      <c r="M738" s="97"/>
      <c r="N738" s="97"/>
      <c r="O738" s="97"/>
      <c r="P738" s="97"/>
      <c r="Q738" s="97"/>
      <c r="R738" s="97"/>
      <c r="S738" s="97"/>
      <c r="T738" s="97"/>
      <c r="U738" s="97"/>
      <c r="V738" s="97"/>
      <c r="W738" s="97"/>
      <c r="X738" s="97"/>
      <c r="Y738" s="97"/>
      <c r="Z738" s="97"/>
      <c r="AA738" s="97"/>
    </row>
    <row r="739" spans="1:27" ht="17">
      <c r="A739" s="97"/>
      <c r="B739" s="97"/>
      <c r="C739" s="302"/>
      <c r="D739" s="302"/>
      <c r="E739" s="302"/>
      <c r="F739" s="302"/>
      <c r="G739" s="97"/>
      <c r="H739" s="97"/>
      <c r="I739" s="97"/>
      <c r="J739" s="97"/>
      <c r="K739" s="97"/>
      <c r="L739" s="97"/>
      <c r="M739" s="97"/>
      <c r="N739" s="97"/>
      <c r="O739" s="97"/>
      <c r="P739" s="97"/>
      <c r="Q739" s="97"/>
      <c r="R739" s="97"/>
      <c r="S739" s="97"/>
      <c r="T739" s="97"/>
      <c r="U739" s="97"/>
      <c r="V739" s="97"/>
      <c r="W739" s="97"/>
      <c r="X739" s="97"/>
      <c r="Y739" s="97"/>
      <c r="Z739" s="97"/>
      <c r="AA739" s="97"/>
    </row>
    <row r="740" spans="1:27" ht="17">
      <c r="A740" s="97"/>
      <c r="B740" s="97"/>
      <c r="C740" s="302"/>
      <c r="D740" s="302"/>
      <c r="E740" s="302"/>
      <c r="F740" s="302"/>
      <c r="G740" s="97"/>
      <c r="H740" s="97"/>
      <c r="I740" s="97"/>
      <c r="J740" s="97"/>
      <c r="K740" s="97"/>
      <c r="L740" s="97"/>
      <c r="M740" s="97"/>
      <c r="N740" s="97"/>
      <c r="O740" s="97"/>
      <c r="P740" s="97"/>
      <c r="Q740" s="97"/>
      <c r="R740" s="97"/>
      <c r="S740" s="97"/>
      <c r="T740" s="97"/>
      <c r="U740" s="97"/>
      <c r="V740" s="97"/>
      <c r="W740" s="97"/>
      <c r="X740" s="97"/>
      <c r="Y740" s="97"/>
      <c r="Z740" s="97"/>
      <c r="AA740" s="97"/>
    </row>
    <row r="741" spans="1:27" ht="17">
      <c r="A741" s="97"/>
      <c r="B741" s="97"/>
      <c r="C741" s="302"/>
      <c r="D741" s="302"/>
      <c r="E741" s="302"/>
      <c r="F741" s="302"/>
      <c r="G741" s="97"/>
      <c r="H741" s="97"/>
      <c r="I741" s="97"/>
      <c r="J741" s="97"/>
      <c r="K741" s="97"/>
      <c r="L741" s="97"/>
      <c r="M741" s="97"/>
      <c r="N741" s="97"/>
      <c r="O741" s="97"/>
      <c r="P741" s="97"/>
      <c r="Q741" s="97"/>
      <c r="R741" s="97"/>
      <c r="S741" s="97"/>
      <c r="T741" s="97"/>
      <c r="U741" s="97"/>
      <c r="V741" s="97"/>
      <c r="W741" s="97"/>
      <c r="X741" s="97"/>
      <c r="Y741" s="97"/>
      <c r="Z741" s="97"/>
      <c r="AA741" s="97"/>
    </row>
    <row r="742" spans="1:27" ht="17">
      <c r="A742" s="97"/>
      <c r="B742" s="97"/>
      <c r="C742" s="302"/>
      <c r="D742" s="302"/>
      <c r="E742" s="302"/>
      <c r="F742" s="302"/>
      <c r="G742" s="97"/>
      <c r="H742" s="97"/>
      <c r="I742" s="97"/>
      <c r="J742" s="97"/>
      <c r="K742" s="97"/>
      <c r="L742" s="97"/>
      <c r="M742" s="97"/>
      <c r="N742" s="97"/>
      <c r="O742" s="97"/>
      <c r="P742" s="97"/>
      <c r="Q742" s="97"/>
      <c r="R742" s="97"/>
      <c r="S742" s="97"/>
      <c r="T742" s="97"/>
      <c r="U742" s="97"/>
      <c r="V742" s="97"/>
      <c r="W742" s="97"/>
      <c r="X742" s="97"/>
      <c r="Y742" s="97"/>
      <c r="Z742" s="97"/>
      <c r="AA742" s="97"/>
    </row>
    <row r="743" spans="1:27" ht="17">
      <c r="A743" s="97"/>
      <c r="B743" s="97"/>
      <c r="C743" s="302"/>
      <c r="D743" s="302"/>
      <c r="E743" s="302"/>
      <c r="F743" s="302"/>
      <c r="G743" s="97"/>
      <c r="H743" s="97"/>
      <c r="I743" s="97"/>
      <c r="J743" s="97"/>
      <c r="K743" s="97"/>
      <c r="L743" s="97"/>
      <c r="M743" s="97"/>
      <c r="N743" s="97"/>
      <c r="O743" s="97"/>
      <c r="P743" s="97"/>
      <c r="Q743" s="97"/>
      <c r="R743" s="97"/>
      <c r="S743" s="97"/>
      <c r="T743" s="97"/>
      <c r="U743" s="97"/>
      <c r="V743" s="97"/>
      <c r="W743" s="97"/>
      <c r="X743" s="97"/>
      <c r="Y743" s="97"/>
      <c r="Z743" s="97"/>
      <c r="AA743" s="97"/>
    </row>
    <row r="744" spans="1:27" ht="17">
      <c r="A744" s="97"/>
      <c r="B744" s="97"/>
      <c r="C744" s="302"/>
      <c r="D744" s="302"/>
      <c r="E744" s="302"/>
      <c r="F744" s="302"/>
      <c r="G744" s="97"/>
      <c r="H744" s="97"/>
      <c r="I744" s="97"/>
      <c r="J744" s="97"/>
      <c r="K744" s="97"/>
      <c r="L744" s="97"/>
      <c r="M744" s="97"/>
      <c r="N744" s="97"/>
      <c r="O744" s="97"/>
      <c r="P744" s="97"/>
      <c r="Q744" s="97"/>
      <c r="R744" s="97"/>
      <c r="S744" s="97"/>
      <c r="T744" s="97"/>
      <c r="U744" s="97"/>
      <c r="V744" s="97"/>
      <c r="W744" s="97"/>
      <c r="X744" s="97"/>
      <c r="Y744" s="97"/>
      <c r="Z744" s="97"/>
      <c r="AA744" s="97"/>
    </row>
    <row r="745" spans="1:27" ht="17">
      <c r="A745" s="97"/>
      <c r="B745" s="97"/>
      <c r="C745" s="302"/>
      <c r="D745" s="302"/>
      <c r="E745" s="302"/>
      <c r="F745" s="302"/>
      <c r="G745" s="97"/>
      <c r="H745" s="97"/>
      <c r="I745" s="97"/>
      <c r="J745" s="97"/>
      <c r="K745" s="97"/>
      <c r="L745" s="97"/>
      <c r="M745" s="97"/>
      <c r="N745" s="97"/>
      <c r="O745" s="97"/>
      <c r="P745" s="97"/>
      <c r="Q745" s="97"/>
      <c r="R745" s="97"/>
      <c r="S745" s="97"/>
      <c r="T745" s="97"/>
      <c r="U745" s="97"/>
      <c r="V745" s="97"/>
      <c r="W745" s="97"/>
      <c r="X745" s="97"/>
      <c r="Y745" s="97"/>
      <c r="Z745" s="97"/>
      <c r="AA745" s="97"/>
    </row>
    <row r="746" spans="1:27" ht="17">
      <c r="A746" s="97"/>
      <c r="B746" s="97"/>
      <c r="C746" s="302"/>
      <c r="D746" s="302"/>
      <c r="E746" s="302"/>
      <c r="F746" s="302"/>
      <c r="G746" s="97"/>
      <c r="H746" s="97"/>
      <c r="I746" s="97"/>
      <c r="J746" s="97"/>
      <c r="K746" s="97"/>
      <c r="L746" s="97"/>
      <c r="M746" s="97"/>
      <c r="N746" s="97"/>
      <c r="O746" s="97"/>
      <c r="P746" s="97"/>
      <c r="Q746" s="97"/>
      <c r="R746" s="97"/>
      <c r="S746" s="97"/>
      <c r="T746" s="97"/>
      <c r="U746" s="97"/>
      <c r="V746" s="97"/>
      <c r="W746" s="97"/>
      <c r="X746" s="97"/>
      <c r="Y746" s="97"/>
      <c r="Z746" s="97"/>
      <c r="AA746" s="97"/>
    </row>
    <row r="747" spans="1:27" ht="17">
      <c r="A747" s="97"/>
      <c r="B747" s="97"/>
      <c r="C747" s="302"/>
      <c r="D747" s="302"/>
      <c r="E747" s="302"/>
      <c r="F747" s="302"/>
      <c r="G747" s="97"/>
      <c r="H747" s="97"/>
      <c r="I747" s="97"/>
      <c r="J747" s="97"/>
      <c r="K747" s="97"/>
      <c r="L747" s="97"/>
      <c r="M747" s="97"/>
      <c r="N747" s="97"/>
      <c r="O747" s="97"/>
      <c r="P747" s="97"/>
      <c r="Q747" s="97"/>
      <c r="R747" s="97"/>
      <c r="S747" s="97"/>
      <c r="T747" s="97"/>
      <c r="U747" s="97"/>
      <c r="V747" s="97"/>
      <c r="W747" s="97"/>
      <c r="X747" s="97"/>
      <c r="Y747" s="97"/>
      <c r="Z747" s="97"/>
      <c r="AA747" s="97"/>
    </row>
    <row r="748" spans="1:27" ht="17">
      <c r="A748" s="97"/>
      <c r="B748" s="97"/>
      <c r="C748" s="302"/>
      <c r="D748" s="302"/>
      <c r="E748" s="302"/>
      <c r="F748" s="302"/>
      <c r="G748" s="97"/>
      <c r="H748" s="97"/>
      <c r="I748" s="97"/>
      <c r="J748" s="97"/>
      <c r="K748" s="97"/>
      <c r="L748" s="97"/>
      <c r="M748" s="97"/>
      <c r="N748" s="97"/>
      <c r="O748" s="97"/>
      <c r="P748" s="97"/>
      <c r="Q748" s="97"/>
      <c r="R748" s="97"/>
      <c r="S748" s="97"/>
      <c r="T748" s="97"/>
      <c r="U748" s="97"/>
      <c r="V748" s="97"/>
      <c r="W748" s="97"/>
      <c r="X748" s="97"/>
      <c r="Y748" s="97"/>
      <c r="Z748" s="97"/>
      <c r="AA748" s="97"/>
    </row>
    <row r="749" spans="1:27" ht="17">
      <c r="A749" s="97"/>
      <c r="B749" s="97"/>
      <c r="C749" s="302"/>
      <c r="D749" s="302"/>
      <c r="E749" s="302"/>
      <c r="F749" s="302"/>
      <c r="G749" s="97"/>
      <c r="H749" s="97"/>
      <c r="I749" s="97"/>
      <c r="J749" s="97"/>
      <c r="K749" s="97"/>
      <c r="L749" s="97"/>
      <c r="M749" s="97"/>
      <c r="N749" s="97"/>
      <c r="O749" s="97"/>
      <c r="P749" s="97"/>
      <c r="Q749" s="97"/>
      <c r="R749" s="97"/>
      <c r="S749" s="97"/>
      <c r="T749" s="97"/>
      <c r="U749" s="97"/>
      <c r="V749" s="97"/>
      <c r="W749" s="97"/>
      <c r="X749" s="97"/>
      <c r="Y749" s="97"/>
      <c r="Z749" s="97"/>
      <c r="AA749" s="97"/>
    </row>
    <row r="750" spans="1:27" ht="17">
      <c r="A750" s="97"/>
      <c r="B750" s="97"/>
      <c r="C750" s="302"/>
      <c r="D750" s="302"/>
      <c r="E750" s="302"/>
      <c r="F750" s="302"/>
      <c r="G750" s="97"/>
      <c r="H750" s="97"/>
      <c r="I750" s="97"/>
      <c r="J750" s="97"/>
      <c r="K750" s="97"/>
      <c r="L750" s="97"/>
      <c r="M750" s="97"/>
      <c r="N750" s="97"/>
      <c r="O750" s="97"/>
      <c r="P750" s="97"/>
      <c r="Q750" s="97"/>
      <c r="R750" s="97"/>
      <c r="S750" s="97"/>
      <c r="T750" s="97"/>
      <c r="U750" s="97"/>
      <c r="V750" s="97"/>
      <c r="W750" s="97"/>
      <c r="X750" s="97"/>
      <c r="Y750" s="97"/>
      <c r="Z750" s="97"/>
      <c r="AA750" s="97"/>
    </row>
    <row r="751" spans="1:27" ht="17">
      <c r="A751" s="97"/>
      <c r="B751" s="97"/>
      <c r="C751" s="302"/>
      <c r="D751" s="302"/>
      <c r="E751" s="302"/>
      <c r="F751" s="302"/>
      <c r="G751" s="97"/>
      <c r="H751" s="97"/>
      <c r="I751" s="97"/>
      <c r="J751" s="97"/>
      <c r="K751" s="97"/>
      <c r="L751" s="97"/>
      <c r="M751" s="97"/>
      <c r="N751" s="97"/>
      <c r="O751" s="97"/>
      <c r="P751" s="97"/>
      <c r="Q751" s="97"/>
      <c r="R751" s="97"/>
      <c r="S751" s="97"/>
      <c r="T751" s="97"/>
      <c r="U751" s="97"/>
      <c r="V751" s="97"/>
      <c r="W751" s="97"/>
      <c r="X751" s="97"/>
      <c r="Y751" s="97"/>
      <c r="Z751" s="97"/>
      <c r="AA751" s="97"/>
    </row>
    <row r="752" spans="1:27" ht="17">
      <c r="A752" s="97"/>
      <c r="B752" s="97"/>
      <c r="C752" s="302"/>
      <c r="D752" s="302"/>
      <c r="E752" s="302"/>
      <c r="F752" s="302"/>
      <c r="G752" s="97"/>
      <c r="H752" s="97"/>
      <c r="I752" s="97"/>
      <c r="J752" s="97"/>
      <c r="K752" s="97"/>
      <c r="L752" s="97"/>
      <c r="M752" s="97"/>
      <c r="N752" s="97"/>
      <c r="O752" s="97"/>
      <c r="P752" s="97"/>
      <c r="Q752" s="97"/>
      <c r="R752" s="97"/>
      <c r="S752" s="97"/>
      <c r="T752" s="97"/>
      <c r="U752" s="97"/>
      <c r="V752" s="97"/>
      <c r="W752" s="97"/>
      <c r="X752" s="97"/>
      <c r="Y752" s="97"/>
      <c r="Z752" s="97"/>
      <c r="AA752" s="97"/>
    </row>
    <row r="753" spans="1:27" ht="17">
      <c r="A753" s="97"/>
      <c r="B753" s="97"/>
      <c r="C753" s="302"/>
      <c r="D753" s="302"/>
      <c r="E753" s="302"/>
      <c r="F753" s="302"/>
      <c r="G753" s="97"/>
      <c r="H753" s="97"/>
      <c r="I753" s="97"/>
      <c r="J753" s="97"/>
      <c r="K753" s="97"/>
      <c r="L753" s="97"/>
      <c r="M753" s="97"/>
      <c r="N753" s="97"/>
      <c r="O753" s="97"/>
      <c r="P753" s="97"/>
      <c r="Q753" s="97"/>
      <c r="R753" s="97"/>
      <c r="S753" s="97"/>
      <c r="T753" s="97"/>
      <c r="U753" s="97"/>
      <c r="V753" s="97"/>
      <c r="W753" s="97"/>
      <c r="X753" s="97"/>
      <c r="Y753" s="97"/>
      <c r="Z753" s="97"/>
      <c r="AA753" s="97"/>
    </row>
    <row r="754" spans="1:27" ht="17">
      <c r="A754" s="97"/>
      <c r="B754" s="97"/>
      <c r="C754" s="302"/>
      <c r="D754" s="302"/>
      <c r="E754" s="302"/>
      <c r="F754" s="302"/>
      <c r="G754" s="97"/>
      <c r="H754" s="97"/>
      <c r="I754" s="97"/>
      <c r="J754" s="97"/>
      <c r="K754" s="97"/>
      <c r="L754" s="97"/>
      <c r="M754" s="97"/>
      <c r="N754" s="97"/>
      <c r="O754" s="97"/>
      <c r="P754" s="97"/>
      <c r="Q754" s="97"/>
      <c r="R754" s="97"/>
      <c r="S754" s="97"/>
      <c r="T754" s="97"/>
      <c r="U754" s="97"/>
      <c r="V754" s="97"/>
      <c r="W754" s="97"/>
      <c r="X754" s="97"/>
      <c r="Y754" s="97"/>
      <c r="Z754" s="97"/>
      <c r="AA754" s="97"/>
    </row>
    <row r="755" spans="1:27" ht="17">
      <c r="A755" s="97"/>
      <c r="B755" s="97"/>
      <c r="C755" s="302"/>
      <c r="D755" s="302"/>
      <c r="E755" s="302"/>
      <c r="F755" s="302"/>
      <c r="G755" s="97"/>
      <c r="H755" s="97"/>
      <c r="I755" s="97"/>
      <c r="J755" s="97"/>
      <c r="K755" s="97"/>
      <c r="L755" s="97"/>
      <c r="M755" s="97"/>
      <c r="N755" s="97"/>
      <c r="O755" s="97"/>
      <c r="P755" s="97"/>
      <c r="Q755" s="97"/>
      <c r="R755" s="97"/>
      <c r="S755" s="97"/>
      <c r="T755" s="97"/>
      <c r="U755" s="97"/>
      <c r="V755" s="97"/>
      <c r="W755" s="97"/>
      <c r="X755" s="97"/>
      <c r="Y755" s="97"/>
      <c r="Z755" s="97"/>
      <c r="AA755" s="97"/>
    </row>
    <row r="756" spans="1:27" ht="17">
      <c r="A756" s="97"/>
      <c r="B756" s="97"/>
      <c r="C756" s="302"/>
      <c r="D756" s="302"/>
      <c r="E756" s="302"/>
      <c r="F756" s="302"/>
      <c r="G756" s="97"/>
      <c r="H756" s="97"/>
      <c r="I756" s="97"/>
      <c r="J756" s="97"/>
      <c r="K756" s="97"/>
      <c r="L756" s="97"/>
      <c r="M756" s="97"/>
      <c r="N756" s="97"/>
      <c r="O756" s="97"/>
      <c r="P756" s="97"/>
      <c r="Q756" s="97"/>
      <c r="R756" s="97"/>
      <c r="S756" s="97"/>
      <c r="T756" s="97"/>
      <c r="U756" s="97"/>
      <c r="V756" s="97"/>
      <c r="W756" s="97"/>
      <c r="X756" s="97"/>
      <c r="Y756" s="97"/>
      <c r="Z756" s="97"/>
      <c r="AA756" s="97"/>
    </row>
    <row r="757" spans="1:27" ht="17">
      <c r="A757" s="97"/>
      <c r="B757" s="97"/>
      <c r="C757" s="302"/>
      <c r="D757" s="302"/>
      <c r="E757" s="302"/>
      <c r="F757" s="302"/>
      <c r="G757" s="97"/>
      <c r="H757" s="97"/>
      <c r="I757" s="97"/>
      <c r="J757" s="97"/>
      <c r="K757" s="97"/>
      <c r="L757" s="97"/>
      <c r="M757" s="97"/>
      <c r="N757" s="97"/>
      <c r="O757" s="97"/>
      <c r="P757" s="97"/>
      <c r="Q757" s="97"/>
      <c r="R757" s="97"/>
      <c r="S757" s="97"/>
      <c r="T757" s="97"/>
      <c r="U757" s="97"/>
      <c r="V757" s="97"/>
      <c r="W757" s="97"/>
      <c r="X757" s="97"/>
      <c r="Y757" s="97"/>
      <c r="Z757" s="97"/>
      <c r="AA757" s="97"/>
    </row>
    <row r="758" spans="1:27" ht="17">
      <c r="A758" s="97"/>
      <c r="B758" s="97"/>
      <c r="C758" s="302"/>
      <c r="D758" s="302"/>
      <c r="E758" s="302"/>
      <c r="F758" s="302"/>
      <c r="G758" s="97"/>
      <c r="H758" s="97"/>
      <c r="I758" s="97"/>
      <c r="J758" s="97"/>
      <c r="K758" s="97"/>
      <c r="L758" s="97"/>
      <c r="M758" s="97"/>
      <c r="N758" s="97"/>
      <c r="O758" s="97"/>
      <c r="P758" s="97"/>
      <c r="Q758" s="97"/>
      <c r="R758" s="97"/>
      <c r="S758" s="97"/>
      <c r="T758" s="97"/>
      <c r="U758" s="97"/>
      <c r="V758" s="97"/>
      <c r="W758" s="97"/>
      <c r="X758" s="97"/>
      <c r="Y758" s="97"/>
      <c r="Z758" s="97"/>
      <c r="AA758" s="97"/>
    </row>
    <row r="759" spans="1:27" ht="17">
      <c r="A759" s="97"/>
      <c r="B759" s="97"/>
      <c r="C759" s="302"/>
      <c r="D759" s="302"/>
      <c r="E759" s="302"/>
      <c r="F759" s="302"/>
      <c r="G759" s="97"/>
      <c r="H759" s="97"/>
      <c r="I759" s="97"/>
      <c r="J759" s="97"/>
      <c r="K759" s="97"/>
      <c r="L759" s="97"/>
      <c r="M759" s="97"/>
      <c r="N759" s="97"/>
      <c r="O759" s="97"/>
      <c r="P759" s="97"/>
      <c r="Q759" s="97"/>
      <c r="R759" s="97"/>
      <c r="S759" s="97"/>
      <c r="T759" s="97"/>
      <c r="U759" s="97"/>
      <c r="V759" s="97"/>
      <c r="W759" s="97"/>
      <c r="X759" s="97"/>
      <c r="Y759" s="97"/>
      <c r="Z759" s="97"/>
      <c r="AA759" s="97"/>
    </row>
    <row r="760" spans="1:27" ht="17">
      <c r="A760" s="97"/>
      <c r="B760" s="97"/>
      <c r="C760" s="302"/>
      <c r="D760" s="302"/>
      <c r="E760" s="302"/>
      <c r="F760" s="302"/>
      <c r="G760" s="97"/>
      <c r="H760" s="97"/>
      <c r="I760" s="97"/>
      <c r="J760" s="97"/>
      <c r="K760" s="97"/>
      <c r="L760" s="97"/>
      <c r="M760" s="97"/>
      <c r="N760" s="97"/>
      <c r="O760" s="97"/>
      <c r="P760" s="97"/>
      <c r="Q760" s="97"/>
      <c r="R760" s="97"/>
      <c r="S760" s="97"/>
      <c r="T760" s="97"/>
      <c r="U760" s="97"/>
      <c r="V760" s="97"/>
      <c r="W760" s="97"/>
      <c r="X760" s="97"/>
      <c r="Y760" s="97"/>
      <c r="Z760" s="97"/>
      <c r="AA760" s="97"/>
    </row>
    <row r="761" spans="1:27" ht="17">
      <c r="A761" s="97"/>
      <c r="B761" s="97"/>
      <c r="C761" s="302"/>
      <c r="D761" s="302"/>
      <c r="E761" s="302"/>
      <c r="F761" s="302"/>
      <c r="G761" s="97"/>
      <c r="H761" s="97"/>
      <c r="I761" s="97"/>
      <c r="J761" s="97"/>
      <c r="K761" s="97"/>
      <c r="L761" s="97"/>
      <c r="M761" s="97"/>
      <c r="N761" s="97"/>
      <c r="O761" s="97"/>
      <c r="P761" s="97"/>
      <c r="Q761" s="97"/>
      <c r="R761" s="97"/>
      <c r="S761" s="97"/>
      <c r="T761" s="97"/>
      <c r="U761" s="97"/>
      <c r="V761" s="97"/>
      <c r="W761" s="97"/>
      <c r="X761" s="97"/>
      <c r="Y761" s="97"/>
      <c r="Z761" s="97"/>
      <c r="AA761" s="97"/>
    </row>
    <row r="762" spans="1:27" ht="17">
      <c r="A762" s="97"/>
      <c r="B762" s="97"/>
      <c r="C762" s="302"/>
      <c r="D762" s="302"/>
      <c r="E762" s="302"/>
      <c r="F762" s="302"/>
      <c r="G762" s="97"/>
      <c r="H762" s="97"/>
      <c r="I762" s="97"/>
      <c r="J762" s="97"/>
      <c r="K762" s="97"/>
      <c r="L762" s="97"/>
      <c r="M762" s="97"/>
      <c r="N762" s="97"/>
      <c r="O762" s="97"/>
      <c r="P762" s="97"/>
      <c r="Q762" s="97"/>
      <c r="R762" s="97"/>
      <c r="S762" s="97"/>
      <c r="T762" s="97"/>
      <c r="U762" s="97"/>
      <c r="V762" s="97"/>
      <c r="W762" s="97"/>
      <c r="X762" s="97"/>
      <c r="Y762" s="97"/>
      <c r="Z762" s="97"/>
      <c r="AA762" s="97"/>
    </row>
    <row r="763" spans="1:27" ht="17">
      <c r="A763" s="97"/>
      <c r="B763" s="97"/>
      <c r="C763" s="302"/>
      <c r="D763" s="302"/>
      <c r="E763" s="302"/>
      <c r="F763" s="302"/>
      <c r="G763" s="97"/>
      <c r="H763" s="97"/>
      <c r="I763" s="97"/>
      <c r="J763" s="97"/>
      <c r="K763" s="97"/>
      <c r="L763" s="97"/>
      <c r="M763" s="97"/>
      <c r="N763" s="97"/>
      <c r="O763" s="97"/>
      <c r="P763" s="97"/>
      <c r="Q763" s="97"/>
      <c r="R763" s="97"/>
      <c r="S763" s="97"/>
      <c r="T763" s="97"/>
      <c r="U763" s="97"/>
      <c r="V763" s="97"/>
      <c r="W763" s="97"/>
      <c r="X763" s="97"/>
      <c r="Y763" s="97"/>
      <c r="Z763" s="97"/>
      <c r="AA763" s="97"/>
    </row>
    <row r="764" spans="1:27" ht="17">
      <c r="A764" s="97"/>
      <c r="B764" s="97"/>
      <c r="C764" s="302"/>
      <c r="D764" s="302"/>
      <c r="E764" s="302"/>
      <c r="F764" s="302"/>
      <c r="G764" s="97"/>
      <c r="H764" s="97"/>
      <c r="I764" s="97"/>
      <c r="J764" s="97"/>
      <c r="K764" s="97"/>
      <c r="L764" s="97"/>
      <c r="M764" s="97"/>
      <c r="N764" s="97"/>
      <c r="O764" s="97"/>
      <c r="P764" s="97"/>
      <c r="Q764" s="97"/>
      <c r="R764" s="97"/>
      <c r="S764" s="97"/>
      <c r="T764" s="97"/>
      <c r="U764" s="97"/>
      <c r="V764" s="97"/>
      <c r="W764" s="97"/>
      <c r="X764" s="97"/>
      <c r="Y764" s="97"/>
      <c r="Z764" s="97"/>
      <c r="AA764" s="97"/>
    </row>
    <row r="765" spans="1:27" ht="17">
      <c r="A765" s="97"/>
      <c r="B765" s="97"/>
      <c r="C765" s="302"/>
      <c r="D765" s="302"/>
      <c r="E765" s="302"/>
      <c r="F765" s="302"/>
      <c r="G765" s="97"/>
      <c r="H765" s="97"/>
      <c r="I765" s="97"/>
      <c r="J765" s="97"/>
      <c r="K765" s="97"/>
      <c r="L765" s="97"/>
      <c r="M765" s="97"/>
      <c r="N765" s="97"/>
      <c r="O765" s="97"/>
      <c r="P765" s="97"/>
      <c r="Q765" s="97"/>
      <c r="R765" s="97"/>
      <c r="S765" s="97"/>
      <c r="T765" s="97"/>
      <c r="U765" s="97"/>
      <c r="V765" s="97"/>
      <c r="W765" s="97"/>
      <c r="X765" s="97"/>
      <c r="Y765" s="97"/>
      <c r="Z765" s="97"/>
      <c r="AA765" s="97"/>
    </row>
    <row r="766" spans="1:27" ht="17">
      <c r="A766" s="97"/>
      <c r="B766" s="97"/>
      <c r="C766" s="302"/>
      <c r="D766" s="302"/>
      <c r="E766" s="302"/>
      <c r="F766" s="302"/>
      <c r="G766" s="97"/>
      <c r="H766" s="97"/>
      <c r="I766" s="97"/>
      <c r="J766" s="97"/>
      <c r="K766" s="97"/>
      <c r="L766" s="97"/>
      <c r="M766" s="97"/>
      <c r="N766" s="97"/>
      <c r="O766" s="97"/>
      <c r="P766" s="97"/>
      <c r="Q766" s="97"/>
      <c r="R766" s="97"/>
      <c r="S766" s="97"/>
      <c r="T766" s="97"/>
      <c r="U766" s="97"/>
      <c r="V766" s="97"/>
      <c r="W766" s="97"/>
      <c r="X766" s="97"/>
      <c r="Y766" s="97"/>
      <c r="Z766" s="97"/>
      <c r="AA766" s="97"/>
    </row>
    <row r="767" spans="1:27" ht="17">
      <c r="A767" s="97"/>
      <c r="B767" s="97"/>
      <c r="C767" s="302"/>
      <c r="D767" s="302"/>
      <c r="E767" s="302"/>
      <c r="F767" s="302"/>
      <c r="G767" s="97"/>
      <c r="H767" s="97"/>
      <c r="I767" s="97"/>
      <c r="J767" s="97"/>
      <c r="K767" s="97"/>
      <c r="L767" s="97"/>
      <c r="M767" s="97"/>
      <c r="N767" s="97"/>
      <c r="O767" s="97"/>
      <c r="P767" s="97"/>
      <c r="Q767" s="97"/>
      <c r="R767" s="97"/>
      <c r="S767" s="97"/>
      <c r="T767" s="97"/>
      <c r="U767" s="97"/>
      <c r="V767" s="97"/>
      <c r="W767" s="97"/>
      <c r="X767" s="97"/>
      <c r="Y767" s="97"/>
      <c r="Z767" s="97"/>
      <c r="AA767" s="97"/>
    </row>
    <row r="768" spans="1:27" ht="17">
      <c r="A768" s="97"/>
      <c r="B768" s="97"/>
      <c r="C768" s="302"/>
      <c r="D768" s="302"/>
      <c r="E768" s="302"/>
      <c r="F768" s="302"/>
      <c r="G768" s="97"/>
      <c r="H768" s="97"/>
      <c r="I768" s="97"/>
      <c r="J768" s="97"/>
      <c r="K768" s="97"/>
      <c r="L768" s="97"/>
      <c r="M768" s="97"/>
      <c r="N768" s="97"/>
      <c r="O768" s="97"/>
      <c r="P768" s="97"/>
      <c r="Q768" s="97"/>
      <c r="R768" s="97"/>
      <c r="S768" s="97"/>
      <c r="T768" s="97"/>
      <c r="U768" s="97"/>
      <c r="V768" s="97"/>
      <c r="W768" s="97"/>
      <c r="X768" s="97"/>
      <c r="Y768" s="97"/>
      <c r="Z768" s="97"/>
      <c r="AA768" s="97"/>
    </row>
    <row r="769" spans="1:27" ht="17">
      <c r="A769" s="97"/>
      <c r="B769" s="97"/>
      <c r="C769" s="302"/>
      <c r="D769" s="302"/>
      <c r="E769" s="302"/>
      <c r="F769" s="302"/>
      <c r="G769" s="97"/>
      <c r="H769" s="97"/>
      <c r="I769" s="97"/>
      <c r="J769" s="97"/>
      <c r="K769" s="97"/>
      <c r="L769" s="97"/>
      <c r="M769" s="97"/>
      <c r="N769" s="97"/>
      <c r="O769" s="97"/>
      <c r="P769" s="97"/>
      <c r="Q769" s="97"/>
      <c r="R769" s="97"/>
      <c r="S769" s="97"/>
      <c r="T769" s="97"/>
      <c r="U769" s="97"/>
      <c r="V769" s="97"/>
      <c r="W769" s="97"/>
      <c r="X769" s="97"/>
      <c r="Y769" s="97"/>
      <c r="Z769" s="97"/>
      <c r="AA769" s="97"/>
    </row>
    <row r="770" spans="1:27" ht="17">
      <c r="A770" s="97"/>
      <c r="B770" s="97"/>
      <c r="C770" s="302"/>
      <c r="D770" s="302"/>
      <c r="E770" s="302"/>
      <c r="F770" s="302"/>
      <c r="G770" s="97"/>
      <c r="H770" s="97"/>
      <c r="I770" s="97"/>
      <c r="J770" s="97"/>
      <c r="K770" s="97"/>
      <c r="L770" s="97"/>
      <c r="M770" s="97"/>
      <c r="N770" s="97"/>
      <c r="O770" s="97"/>
      <c r="P770" s="97"/>
      <c r="Q770" s="97"/>
      <c r="R770" s="97"/>
      <c r="S770" s="97"/>
      <c r="T770" s="97"/>
      <c r="U770" s="97"/>
      <c r="V770" s="97"/>
      <c r="W770" s="97"/>
      <c r="X770" s="97"/>
      <c r="Y770" s="97"/>
      <c r="Z770" s="97"/>
      <c r="AA770" s="97"/>
    </row>
    <row r="771" spans="1:27" ht="17">
      <c r="A771" s="97"/>
      <c r="B771" s="97"/>
      <c r="C771" s="302"/>
      <c r="D771" s="302"/>
      <c r="E771" s="302"/>
      <c r="F771" s="302"/>
      <c r="G771" s="97"/>
      <c r="H771" s="97"/>
      <c r="I771" s="97"/>
      <c r="J771" s="97"/>
      <c r="K771" s="97"/>
      <c r="L771" s="97"/>
      <c r="M771" s="97"/>
      <c r="N771" s="97"/>
      <c r="O771" s="97"/>
      <c r="P771" s="97"/>
      <c r="Q771" s="97"/>
      <c r="R771" s="97"/>
      <c r="S771" s="97"/>
      <c r="T771" s="97"/>
      <c r="U771" s="97"/>
      <c r="V771" s="97"/>
      <c r="W771" s="97"/>
      <c r="X771" s="97"/>
      <c r="Y771" s="97"/>
      <c r="Z771" s="97"/>
      <c r="AA771" s="97"/>
    </row>
    <row r="772" spans="1:27" ht="17">
      <c r="A772" s="97"/>
      <c r="B772" s="97"/>
      <c r="C772" s="302"/>
      <c r="D772" s="302"/>
      <c r="E772" s="302"/>
      <c r="F772" s="302"/>
      <c r="G772" s="97"/>
      <c r="H772" s="97"/>
      <c r="I772" s="97"/>
      <c r="J772" s="97"/>
      <c r="K772" s="97"/>
      <c r="L772" s="97"/>
      <c r="M772" s="97"/>
      <c r="N772" s="97"/>
      <c r="O772" s="97"/>
      <c r="P772" s="97"/>
      <c r="Q772" s="97"/>
      <c r="R772" s="97"/>
      <c r="S772" s="97"/>
      <c r="T772" s="97"/>
      <c r="U772" s="97"/>
      <c r="V772" s="97"/>
      <c r="W772" s="97"/>
      <c r="X772" s="97"/>
      <c r="Y772" s="97"/>
      <c r="Z772" s="97"/>
      <c r="AA772" s="97"/>
    </row>
    <row r="773" spans="1:27" ht="17">
      <c r="A773" s="97"/>
      <c r="B773" s="97"/>
      <c r="C773" s="302"/>
      <c r="D773" s="302"/>
      <c r="E773" s="302"/>
      <c r="F773" s="302"/>
      <c r="G773" s="97"/>
      <c r="H773" s="97"/>
      <c r="I773" s="97"/>
      <c r="J773" s="97"/>
      <c r="K773" s="97"/>
      <c r="L773" s="97"/>
      <c r="M773" s="97"/>
      <c r="N773" s="97"/>
      <c r="O773" s="97"/>
      <c r="P773" s="97"/>
      <c r="Q773" s="97"/>
      <c r="R773" s="97"/>
      <c r="S773" s="97"/>
      <c r="T773" s="97"/>
      <c r="U773" s="97"/>
      <c r="V773" s="97"/>
      <c r="W773" s="97"/>
      <c r="X773" s="97"/>
      <c r="Y773" s="97"/>
      <c r="Z773" s="97"/>
      <c r="AA773" s="97"/>
    </row>
    <row r="774" spans="1:27" ht="17">
      <c r="A774" s="97"/>
      <c r="B774" s="97"/>
      <c r="C774" s="302"/>
      <c r="D774" s="302"/>
      <c r="E774" s="302"/>
      <c r="F774" s="302"/>
      <c r="G774" s="97"/>
      <c r="H774" s="97"/>
      <c r="I774" s="97"/>
      <c r="J774" s="97"/>
      <c r="K774" s="97"/>
      <c r="L774" s="97"/>
      <c r="M774" s="97"/>
      <c r="N774" s="97"/>
      <c r="O774" s="97"/>
      <c r="P774" s="97"/>
      <c r="Q774" s="97"/>
      <c r="R774" s="97"/>
      <c r="S774" s="97"/>
      <c r="T774" s="97"/>
      <c r="U774" s="97"/>
      <c r="V774" s="97"/>
      <c r="W774" s="97"/>
      <c r="X774" s="97"/>
      <c r="Y774" s="97"/>
      <c r="Z774" s="97"/>
      <c r="AA774" s="97"/>
    </row>
    <row r="775" spans="1:27" ht="17">
      <c r="A775" s="97"/>
      <c r="B775" s="97"/>
      <c r="C775" s="302"/>
      <c r="D775" s="302"/>
      <c r="E775" s="302"/>
      <c r="F775" s="302"/>
      <c r="G775" s="97"/>
      <c r="H775" s="97"/>
      <c r="I775" s="97"/>
      <c r="J775" s="97"/>
      <c r="K775" s="97"/>
      <c r="L775" s="97"/>
      <c r="M775" s="97"/>
      <c r="N775" s="97"/>
      <c r="O775" s="97"/>
      <c r="P775" s="97"/>
      <c r="Q775" s="97"/>
      <c r="R775" s="97"/>
      <c r="S775" s="97"/>
      <c r="T775" s="97"/>
      <c r="U775" s="97"/>
      <c r="V775" s="97"/>
      <c r="W775" s="97"/>
      <c r="X775" s="97"/>
      <c r="Y775" s="97"/>
      <c r="Z775" s="97"/>
      <c r="AA775" s="97"/>
    </row>
    <row r="776" spans="1:27" ht="17">
      <c r="A776" s="97"/>
      <c r="B776" s="97"/>
      <c r="C776" s="302"/>
      <c r="D776" s="302"/>
      <c r="E776" s="302"/>
      <c r="F776" s="302"/>
      <c r="G776" s="97"/>
      <c r="H776" s="97"/>
      <c r="I776" s="97"/>
      <c r="J776" s="97"/>
      <c r="K776" s="97"/>
      <c r="L776" s="97"/>
      <c r="M776" s="97"/>
      <c r="N776" s="97"/>
      <c r="O776" s="97"/>
      <c r="P776" s="97"/>
      <c r="Q776" s="97"/>
      <c r="R776" s="97"/>
      <c r="S776" s="97"/>
      <c r="T776" s="97"/>
      <c r="U776" s="97"/>
      <c r="V776" s="97"/>
      <c r="W776" s="97"/>
      <c r="X776" s="97"/>
      <c r="Y776" s="97"/>
      <c r="Z776" s="97"/>
      <c r="AA776" s="97"/>
    </row>
    <row r="777" spans="1:27" ht="17">
      <c r="A777" s="97"/>
      <c r="B777" s="97"/>
      <c r="C777" s="302"/>
      <c r="D777" s="302"/>
      <c r="E777" s="302"/>
      <c r="F777" s="302"/>
      <c r="G777" s="97"/>
      <c r="H777" s="97"/>
      <c r="I777" s="97"/>
      <c r="J777" s="97"/>
      <c r="K777" s="97"/>
      <c r="L777" s="97"/>
      <c r="M777" s="97"/>
      <c r="N777" s="97"/>
      <c r="O777" s="97"/>
      <c r="P777" s="97"/>
      <c r="Q777" s="97"/>
      <c r="R777" s="97"/>
      <c r="S777" s="97"/>
      <c r="T777" s="97"/>
      <c r="U777" s="97"/>
      <c r="V777" s="97"/>
      <c r="W777" s="97"/>
      <c r="X777" s="97"/>
      <c r="Y777" s="97"/>
      <c r="Z777" s="97"/>
      <c r="AA777" s="97"/>
    </row>
    <row r="778" spans="1:27" ht="17">
      <c r="A778" s="97"/>
      <c r="B778" s="97"/>
      <c r="C778" s="302"/>
      <c r="D778" s="302"/>
      <c r="E778" s="302"/>
      <c r="F778" s="302"/>
      <c r="G778" s="97"/>
      <c r="H778" s="97"/>
      <c r="I778" s="97"/>
      <c r="J778" s="97"/>
      <c r="K778" s="97"/>
      <c r="L778" s="97"/>
      <c r="M778" s="97"/>
      <c r="N778" s="97"/>
      <c r="O778" s="97"/>
      <c r="P778" s="97"/>
      <c r="Q778" s="97"/>
      <c r="R778" s="97"/>
      <c r="S778" s="97"/>
      <c r="T778" s="97"/>
      <c r="U778" s="97"/>
      <c r="V778" s="97"/>
      <c r="W778" s="97"/>
      <c r="X778" s="97"/>
      <c r="Y778" s="97"/>
      <c r="Z778" s="97"/>
      <c r="AA778" s="97"/>
    </row>
    <row r="779" spans="1:27" ht="17">
      <c r="A779" s="97"/>
      <c r="B779" s="97"/>
      <c r="C779" s="302"/>
      <c r="D779" s="302"/>
      <c r="E779" s="302"/>
      <c r="F779" s="302"/>
      <c r="G779" s="97"/>
      <c r="H779" s="97"/>
      <c r="I779" s="97"/>
      <c r="J779" s="97"/>
      <c r="K779" s="97"/>
      <c r="L779" s="97"/>
      <c r="M779" s="97"/>
      <c r="N779" s="97"/>
      <c r="O779" s="97"/>
      <c r="P779" s="97"/>
      <c r="Q779" s="97"/>
      <c r="R779" s="97"/>
      <c r="S779" s="97"/>
      <c r="T779" s="97"/>
      <c r="U779" s="97"/>
      <c r="V779" s="97"/>
      <c r="W779" s="97"/>
      <c r="X779" s="97"/>
      <c r="Y779" s="97"/>
      <c r="Z779" s="97"/>
      <c r="AA779" s="97"/>
    </row>
    <row r="780" spans="1:27" ht="17">
      <c r="A780" s="97"/>
      <c r="B780" s="97"/>
      <c r="C780" s="302"/>
      <c r="D780" s="302"/>
      <c r="E780" s="302"/>
      <c r="F780" s="302"/>
      <c r="G780" s="97"/>
      <c r="H780" s="97"/>
      <c r="I780" s="97"/>
      <c r="J780" s="97"/>
      <c r="K780" s="97"/>
      <c r="L780" s="97"/>
      <c r="M780" s="97"/>
      <c r="N780" s="97"/>
      <c r="O780" s="97"/>
      <c r="P780" s="97"/>
      <c r="Q780" s="97"/>
      <c r="R780" s="97"/>
      <c r="S780" s="97"/>
      <c r="T780" s="97"/>
      <c r="U780" s="97"/>
      <c r="V780" s="97"/>
      <c r="W780" s="97"/>
      <c r="X780" s="97"/>
      <c r="Y780" s="97"/>
      <c r="Z780" s="97"/>
      <c r="AA780" s="97"/>
    </row>
    <row r="781" spans="1:27" ht="17">
      <c r="A781" s="97"/>
      <c r="B781" s="97"/>
      <c r="C781" s="302"/>
      <c r="D781" s="302"/>
      <c r="E781" s="302"/>
      <c r="F781" s="302"/>
      <c r="G781" s="97"/>
      <c r="H781" s="97"/>
      <c r="I781" s="97"/>
      <c r="J781" s="97"/>
      <c r="K781" s="97"/>
      <c r="L781" s="97"/>
      <c r="M781" s="97"/>
      <c r="N781" s="97"/>
      <c r="O781" s="97"/>
      <c r="P781" s="97"/>
      <c r="Q781" s="97"/>
      <c r="R781" s="97"/>
      <c r="S781" s="97"/>
      <c r="T781" s="97"/>
      <c r="U781" s="97"/>
      <c r="V781" s="97"/>
      <c r="W781" s="97"/>
      <c r="X781" s="97"/>
      <c r="Y781" s="97"/>
      <c r="Z781" s="97"/>
      <c r="AA781" s="97"/>
    </row>
    <row r="782" spans="1:27" ht="17">
      <c r="A782" s="97"/>
      <c r="B782" s="97"/>
      <c r="C782" s="302"/>
      <c r="D782" s="302"/>
      <c r="E782" s="302"/>
      <c r="F782" s="302"/>
      <c r="G782" s="97"/>
      <c r="H782" s="97"/>
      <c r="I782" s="97"/>
      <c r="J782" s="97"/>
      <c r="K782" s="97"/>
      <c r="L782" s="97"/>
      <c r="M782" s="97"/>
      <c r="N782" s="97"/>
      <c r="O782" s="97"/>
      <c r="P782" s="97"/>
      <c r="Q782" s="97"/>
      <c r="R782" s="97"/>
      <c r="S782" s="97"/>
      <c r="T782" s="97"/>
      <c r="U782" s="97"/>
      <c r="V782" s="97"/>
      <c r="W782" s="97"/>
      <c r="X782" s="97"/>
      <c r="Y782" s="97"/>
      <c r="Z782" s="97"/>
      <c r="AA782" s="97"/>
    </row>
    <row r="783" spans="1:27" ht="17">
      <c r="A783" s="97"/>
      <c r="B783" s="97"/>
      <c r="C783" s="302"/>
      <c r="D783" s="302"/>
      <c r="E783" s="302"/>
      <c r="F783" s="302"/>
      <c r="G783" s="97"/>
      <c r="H783" s="97"/>
      <c r="I783" s="97"/>
      <c r="J783" s="97"/>
      <c r="K783" s="97"/>
      <c r="L783" s="97"/>
      <c r="M783" s="97"/>
      <c r="N783" s="97"/>
      <c r="O783" s="97"/>
      <c r="P783" s="97"/>
      <c r="Q783" s="97"/>
      <c r="R783" s="97"/>
      <c r="S783" s="97"/>
      <c r="T783" s="97"/>
      <c r="U783" s="97"/>
      <c r="V783" s="97"/>
      <c r="W783" s="97"/>
      <c r="X783" s="97"/>
      <c r="Y783" s="97"/>
      <c r="Z783" s="97"/>
      <c r="AA783" s="97"/>
    </row>
    <row r="784" spans="1:27" ht="17">
      <c r="A784" s="97"/>
      <c r="B784" s="97"/>
      <c r="C784" s="302"/>
      <c r="D784" s="302"/>
      <c r="E784" s="302"/>
      <c r="F784" s="302"/>
      <c r="G784" s="97"/>
      <c r="H784" s="97"/>
      <c r="I784" s="97"/>
      <c r="J784" s="97"/>
      <c r="K784" s="97"/>
      <c r="L784" s="97"/>
      <c r="M784" s="97"/>
      <c r="N784" s="97"/>
      <c r="O784" s="97"/>
      <c r="P784" s="97"/>
      <c r="Q784" s="97"/>
      <c r="R784" s="97"/>
      <c r="S784" s="97"/>
      <c r="T784" s="97"/>
      <c r="U784" s="97"/>
      <c r="V784" s="97"/>
      <c r="W784" s="97"/>
      <c r="X784" s="97"/>
      <c r="Y784" s="97"/>
      <c r="Z784" s="97"/>
      <c r="AA784" s="97"/>
    </row>
    <row r="785" spans="1:27" ht="17">
      <c r="A785" s="97"/>
      <c r="B785" s="97"/>
      <c r="C785" s="302"/>
      <c r="D785" s="302"/>
      <c r="E785" s="302"/>
      <c r="F785" s="302"/>
      <c r="G785" s="97"/>
      <c r="H785" s="97"/>
      <c r="I785" s="97"/>
      <c r="J785" s="97"/>
      <c r="K785" s="97"/>
      <c r="L785" s="97"/>
      <c r="M785" s="97"/>
      <c r="N785" s="97"/>
      <c r="O785" s="97"/>
      <c r="P785" s="97"/>
      <c r="Q785" s="97"/>
      <c r="R785" s="97"/>
      <c r="S785" s="97"/>
      <c r="T785" s="97"/>
      <c r="U785" s="97"/>
      <c r="V785" s="97"/>
      <c r="W785" s="97"/>
      <c r="X785" s="97"/>
      <c r="Y785" s="97"/>
      <c r="Z785" s="97"/>
      <c r="AA785" s="97"/>
    </row>
    <row r="786" spans="1:27" ht="17">
      <c r="A786" s="97"/>
      <c r="B786" s="97"/>
      <c r="C786" s="302"/>
      <c r="D786" s="302"/>
      <c r="E786" s="302"/>
      <c r="F786" s="302"/>
      <c r="G786" s="97"/>
      <c r="H786" s="97"/>
      <c r="I786" s="97"/>
      <c r="J786" s="97"/>
      <c r="K786" s="97"/>
      <c r="L786" s="97"/>
      <c r="M786" s="97"/>
      <c r="N786" s="97"/>
      <c r="O786" s="97"/>
      <c r="P786" s="97"/>
      <c r="Q786" s="97"/>
      <c r="R786" s="97"/>
      <c r="S786" s="97"/>
      <c r="T786" s="97"/>
      <c r="U786" s="97"/>
      <c r="V786" s="97"/>
      <c r="W786" s="97"/>
      <c r="X786" s="97"/>
      <c r="Y786" s="97"/>
      <c r="Z786" s="97"/>
      <c r="AA786" s="97"/>
    </row>
    <row r="787" spans="1:27" ht="17">
      <c r="A787" s="97"/>
      <c r="B787" s="97"/>
      <c r="C787" s="302"/>
      <c r="D787" s="302"/>
      <c r="E787" s="302"/>
      <c r="F787" s="302"/>
      <c r="G787" s="97"/>
      <c r="H787" s="97"/>
      <c r="I787" s="97"/>
      <c r="J787" s="97"/>
      <c r="K787" s="97"/>
      <c r="L787" s="97"/>
      <c r="M787" s="97"/>
      <c r="N787" s="97"/>
      <c r="O787" s="97"/>
      <c r="P787" s="97"/>
      <c r="Q787" s="97"/>
      <c r="R787" s="97"/>
      <c r="S787" s="97"/>
      <c r="T787" s="97"/>
      <c r="U787" s="97"/>
      <c r="V787" s="97"/>
      <c r="W787" s="97"/>
      <c r="X787" s="97"/>
      <c r="Y787" s="97"/>
      <c r="Z787" s="97"/>
      <c r="AA787" s="97"/>
    </row>
    <row r="788" spans="1:27" ht="17">
      <c r="A788" s="97"/>
      <c r="B788" s="97"/>
      <c r="C788" s="302"/>
      <c r="D788" s="302"/>
      <c r="E788" s="302"/>
      <c r="F788" s="302"/>
      <c r="G788" s="97"/>
      <c r="H788" s="97"/>
      <c r="I788" s="97"/>
      <c r="J788" s="97"/>
      <c r="K788" s="97"/>
      <c r="L788" s="97"/>
      <c r="M788" s="97"/>
      <c r="N788" s="97"/>
      <c r="O788" s="97"/>
      <c r="P788" s="97"/>
      <c r="Q788" s="97"/>
      <c r="R788" s="97"/>
      <c r="S788" s="97"/>
      <c r="T788" s="97"/>
      <c r="U788" s="97"/>
      <c r="V788" s="97"/>
      <c r="W788" s="97"/>
      <c r="X788" s="97"/>
      <c r="Y788" s="97"/>
      <c r="Z788" s="97"/>
      <c r="AA788" s="97"/>
    </row>
    <row r="789" spans="1:27" ht="17">
      <c r="A789" s="97"/>
      <c r="B789" s="97"/>
      <c r="C789" s="302"/>
      <c r="D789" s="302"/>
      <c r="E789" s="302"/>
      <c r="F789" s="302"/>
      <c r="G789" s="97"/>
      <c r="H789" s="97"/>
      <c r="I789" s="97"/>
      <c r="J789" s="97"/>
      <c r="K789" s="97"/>
      <c r="L789" s="97"/>
      <c r="M789" s="97"/>
      <c r="N789" s="97"/>
      <c r="O789" s="97"/>
      <c r="P789" s="97"/>
      <c r="Q789" s="97"/>
      <c r="R789" s="97"/>
      <c r="S789" s="97"/>
      <c r="T789" s="97"/>
      <c r="U789" s="97"/>
      <c r="V789" s="97"/>
      <c r="W789" s="97"/>
      <c r="X789" s="97"/>
      <c r="Y789" s="97"/>
      <c r="Z789" s="97"/>
      <c r="AA789" s="97"/>
    </row>
    <row r="790" spans="1:27" ht="17">
      <c r="A790" s="97"/>
      <c r="B790" s="97"/>
      <c r="C790" s="302"/>
      <c r="D790" s="302"/>
      <c r="E790" s="302"/>
      <c r="F790" s="302"/>
      <c r="G790" s="97"/>
      <c r="H790" s="97"/>
      <c r="I790" s="97"/>
      <c r="J790" s="97"/>
      <c r="K790" s="97"/>
      <c r="L790" s="97"/>
      <c r="M790" s="97"/>
      <c r="N790" s="97"/>
      <c r="O790" s="97"/>
      <c r="P790" s="97"/>
      <c r="Q790" s="97"/>
      <c r="R790" s="97"/>
      <c r="S790" s="97"/>
      <c r="T790" s="97"/>
      <c r="U790" s="97"/>
      <c r="V790" s="97"/>
      <c r="W790" s="97"/>
      <c r="X790" s="97"/>
      <c r="Y790" s="97"/>
      <c r="Z790" s="97"/>
      <c r="AA790" s="97"/>
    </row>
    <row r="791" spans="1:27" ht="17">
      <c r="A791" s="97"/>
      <c r="B791" s="97"/>
      <c r="C791" s="302"/>
      <c r="D791" s="302"/>
      <c r="E791" s="302"/>
      <c r="F791" s="302"/>
      <c r="G791" s="97"/>
      <c r="H791" s="97"/>
      <c r="I791" s="97"/>
      <c r="J791" s="97"/>
      <c r="K791" s="97"/>
      <c r="L791" s="97"/>
      <c r="M791" s="97"/>
      <c r="N791" s="97"/>
      <c r="O791" s="97"/>
      <c r="P791" s="97"/>
      <c r="Q791" s="97"/>
      <c r="R791" s="97"/>
      <c r="S791" s="97"/>
      <c r="T791" s="97"/>
      <c r="U791" s="97"/>
      <c r="V791" s="97"/>
      <c r="W791" s="97"/>
      <c r="X791" s="97"/>
      <c r="Y791" s="97"/>
      <c r="Z791" s="97"/>
      <c r="AA791" s="97"/>
    </row>
    <row r="792" spans="1:27" ht="17">
      <c r="A792" s="97"/>
      <c r="B792" s="97"/>
      <c r="C792" s="302"/>
      <c r="D792" s="302"/>
      <c r="E792" s="302"/>
      <c r="F792" s="302"/>
      <c r="G792" s="97"/>
      <c r="H792" s="97"/>
      <c r="I792" s="97"/>
      <c r="J792" s="97"/>
      <c r="K792" s="97"/>
      <c r="L792" s="97"/>
      <c r="M792" s="97"/>
      <c r="N792" s="97"/>
      <c r="O792" s="97"/>
      <c r="P792" s="97"/>
      <c r="Q792" s="97"/>
      <c r="R792" s="97"/>
      <c r="S792" s="97"/>
      <c r="T792" s="97"/>
      <c r="U792" s="97"/>
      <c r="V792" s="97"/>
      <c r="W792" s="97"/>
      <c r="X792" s="97"/>
      <c r="Y792" s="97"/>
      <c r="Z792" s="97"/>
      <c r="AA792" s="97"/>
    </row>
    <row r="793" spans="1:27" ht="17">
      <c r="A793" s="97"/>
      <c r="B793" s="97"/>
      <c r="C793" s="302"/>
      <c r="D793" s="302"/>
      <c r="E793" s="302"/>
      <c r="F793" s="302"/>
      <c r="G793" s="97"/>
      <c r="H793" s="97"/>
      <c r="I793" s="97"/>
      <c r="J793" s="97"/>
      <c r="K793" s="97"/>
      <c r="L793" s="97"/>
      <c r="M793" s="97"/>
      <c r="N793" s="97"/>
      <c r="O793" s="97"/>
      <c r="P793" s="97"/>
      <c r="Q793" s="97"/>
      <c r="R793" s="97"/>
      <c r="S793" s="97"/>
      <c r="T793" s="97"/>
      <c r="U793" s="97"/>
      <c r="V793" s="97"/>
      <c r="W793" s="97"/>
      <c r="X793" s="97"/>
      <c r="Y793" s="97"/>
      <c r="Z793" s="97"/>
      <c r="AA793" s="97"/>
    </row>
    <row r="794" spans="1:27" ht="17">
      <c r="A794" s="97"/>
      <c r="B794" s="97"/>
      <c r="C794" s="302"/>
      <c r="D794" s="302"/>
      <c r="E794" s="302"/>
      <c r="F794" s="302"/>
      <c r="G794" s="97"/>
      <c r="H794" s="97"/>
      <c r="I794" s="97"/>
      <c r="J794" s="97"/>
      <c r="K794" s="97"/>
      <c r="L794" s="97"/>
      <c r="M794" s="97"/>
      <c r="N794" s="97"/>
      <c r="O794" s="97"/>
      <c r="P794" s="97"/>
      <c r="Q794" s="97"/>
      <c r="R794" s="97"/>
      <c r="S794" s="97"/>
      <c r="T794" s="97"/>
      <c r="U794" s="97"/>
      <c r="V794" s="97"/>
      <c r="W794" s="97"/>
      <c r="X794" s="97"/>
      <c r="Y794" s="97"/>
      <c r="Z794" s="97"/>
      <c r="AA794" s="97"/>
    </row>
    <row r="795" spans="1:27" ht="17">
      <c r="A795" s="97"/>
      <c r="B795" s="97"/>
      <c r="C795" s="302"/>
      <c r="D795" s="302"/>
      <c r="E795" s="302"/>
      <c r="F795" s="302"/>
      <c r="G795" s="97"/>
      <c r="H795" s="97"/>
      <c r="I795" s="97"/>
      <c r="J795" s="97"/>
      <c r="K795" s="97"/>
      <c r="L795" s="97"/>
      <c r="M795" s="97"/>
      <c r="N795" s="97"/>
      <c r="O795" s="97"/>
      <c r="P795" s="97"/>
      <c r="Q795" s="97"/>
      <c r="R795" s="97"/>
      <c r="S795" s="97"/>
      <c r="T795" s="97"/>
      <c r="U795" s="97"/>
      <c r="V795" s="97"/>
      <c r="W795" s="97"/>
      <c r="X795" s="97"/>
      <c r="Y795" s="97"/>
      <c r="Z795" s="97"/>
      <c r="AA795" s="97"/>
    </row>
    <row r="796" spans="1:27" ht="17">
      <c r="A796" s="97"/>
      <c r="B796" s="97"/>
      <c r="C796" s="302"/>
      <c r="D796" s="302"/>
      <c r="E796" s="302"/>
      <c r="F796" s="302"/>
      <c r="G796" s="97"/>
      <c r="H796" s="97"/>
      <c r="I796" s="97"/>
      <c r="J796" s="97"/>
      <c r="K796" s="97"/>
      <c r="L796" s="97"/>
      <c r="M796" s="97"/>
      <c r="N796" s="97"/>
      <c r="O796" s="97"/>
      <c r="P796" s="97"/>
      <c r="Q796" s="97"/>
      <c r="R796" s="97"/>
      <c r="S796" s="97"/>
      <c r="T796" s="97"/>
      <c r="U796" s="97"/>
      <c r="V796" s="97"/>
      <c r="W796" s="97"/>
      <c r="X796" s="97"/>
      <c r="Y796" s="97"/>
      <c r="Z796" s="97"/>
      <c r="AA796" s="97"/>
    </row>
    <row r="797" spans="1:27" ht="17">
      <c r="A797" s="97"/>
      <c r="B797" s="97"/>
      <c r="C797" s="302"/>
      <c r="D797" s="302"/>
      <c r="E797" s="302"/>
      <c r="F797" s="302"/>
      <c r="G797" s="97"/>
      <c r="H797" s="97"/>
      <c r="I797" s="97"/>
      <c r="J797" s="97"/>
      <c r="K797" s="97"/>
      <c r="L797" s="97"/>
      <c r="M797" s="97"/>
      <c r="N797" s="97"/>
      <c r="O797" s="97"/>
      <c r="P797" s="97"/>
      <c r="Q797" s="97"/>
      <c r="R797" s="97"/>
      <c r="S797" s="97"/>
      <c r="T797" s="97"/>
      <c r="U797" s="97"/>
      <c r="V797" s="97"/>
      <c r="W797" s="97"/>
      <c r="X797" s="97"/>
      <c r="Y797" s="97"/>
      <c r="Z797" s="97"/>
      <c r="AA797" s="97"/>
    </row>
    <row r="798" spans="1:27" ht="17">
      <c r="A798" s="97"/>
      <c r="B798" s="97"/>
      <c r="C798" s="302"/>
      <c r="D798" s="302"/>
      <c r="E798" s="302"/>
      <c r="F798" s="302"/>
      <c r="G798" s="97"/>
      <c r="H798" s="97"/>
      <c r="I798" s="97"/>
      <c r="J798" s="97"/>
      <c r="K798" s="97"/>
      <c r="L798" s="97"/>
      <c r="M798" s="97"/>
      <c r="N798" s="97"/>
      <c r="O798" s="97"/>
      <c r="P798" s="97"/>
      <c r="Q798" s="97"/>
      <c r="R798" s="97"/>
      <c r="S798" s="97"/>
      <c r="T798" s="97"/>
      <c r="U798" s="97"/>
      <c r="V798" s="97"/>
      <c r="W798" s="97"/>
      <c r="X798" s="97"/>
      <c r="Y798" s="97"/>
      <c r="Z798" s="97"/>
      <c r="AA798" s="97"/>
    </row>
    <row r="799" spans="1:27" ht="17">
      <c r="A799" s="97"/>
      <c r="B799" s="97"/>
      <c r="C799" s="302"/>
      <c r="D799" s="302"/>
      <c r="E799" s="302"/>
      <c r="F799" s="302"/>
      <c r="G799" s="97"/>
      <c r="H799" s="97"/>
      <c r="I799" s="97"/>
      <c r="J799" s="97"/>
      <c r="K799" s="97"/>
      <c r="L799" s="97"/>
      <c r="M799" s="97"/>
      <c r="N799" s="97"/>
      <c r="O799" s="97"/>
      <c r="P799" s="97"/>
      <c r="Q799" s="97"/>
      <c r="R799" s="97"/>
      <c r="S799" s="97"/>
      <c r="T799" s="97"/>
      <c r="U799" s="97"/>
      <c r="V799" s="97"/>
      <c r="W799" s="97"/>
      <c r="X799" s="97"/>
      <c r="Y799" s="97"/>
      <c r="Z799" s="97"/>
      <c r="AA799" s="97"/>
    </row>
    <row r="800" spans="1:27" ht="17">
      <c r="A800" s="97"/>
      <c r="B800" s="97"/>
      <c r="C800" s="302"/>
      <c r="D800" s="302"/>
      <c r="E800" s="302"/>
      <c r="F800" s="302"/>
      <c r="G800" s="97"/>
      <c r="H800" s="97"/>
      <c r="I800" s="97"/>
      <c r="J800" s="97"/>
      <c r="K800" s="97"/>
      <c r="L800" s="97"/>
      <c r="M800" s="97"/>
      <c r="N800" s="97"/>
      <c r="O800" s="97"/>
      <c r="P800" s="97"/>
      <c r="Q800" s="97"/>
      <c r="R800" s="97"/>
      <c r="S800" s="97"/>
      <c r="T800" s="97"/>
      <c r="U800" s="97"/>
      <c r="V800" s="97"/>
      <c r="W800" s="97"/>
      <c r="X800" s="97"/>
      <c r="Y800" s="97"/>
      <c r="Z800" s="97"/>
      <c r="AA800" s="97"/>
    </row>
    <row r="801" spans="1:27" ht="17">
      <c r="A801" s="97"/>
      <c r="B801" s="97"/>
      <c r="C801" s="302"/>
      <c r="D801" s="302"/>
      <c r="E801" s="302"/>
      <c r="F801" s="302"/>
      <c r="G801" s="97"/>
      <c r="H801" s="97"/>
      <c r="I801" s="97"/>
      <c r="J801" s="97"/>
      <c r="K801" s="97"/>
      <c r="L801" s="97"/>
      <c r="M801" s="97"/>
      <c r="N801" s="97"/>
      <c r="O801" s="97"/>
      <c r="P801" s="97"/>
      <c r="Q801" s="97"/>
      <c r="R801" s="97"/>
      <c r="S801" s="97"/>
      <c r="T801" s="97"/>
      <c r="U801" s="97"/>
      <c r="V801" s="97"/>
      <c r="W801" s="97"/>
      <c r="X801" s="97"/>
      <c r="Y801" s="97"/>
      <c r="Z801" s="97"/>
      <c r="AA801" s="97"/>
    </row>
    <row r="802" spans="1:27" ht="17">
      <c r="A802" s="97"/>
      <c r="B802" s="97"/>
      <c r="C802" s="302"/>
      <c r="D802" s="302"/>
      <c r="E802" s="302"/>
      <c r="F802" s="302"/>
      <c r="G802" s="97"/>
      <c r="H802" s="97"/>
      <c r="I802" s="97"/>
      <c r="J802" s="97"/>
      <c r="K802" s="97"/>
      <c r="L802" s="97"/>
      <c r="M802" s="97"/>
      <c r="N802" s="97"/>
      <c r="O802" s="97"/>
      <c r="P802" s="97"/>
      <c r="Q802" s="97"/>
      <c r="R802" s="97"/>
      <c r="S802" s="97"/>
      <c r="T802" s="97"/>
      <c r="U802" s="97"/>
      <c r="V802" s="97"/>
      <c r="W802" s="97"/>
      <c r="X802" s="97"/>
      <c r="Y802" s="97"/>
      <c r="Z802" s="97"/>
      <c r="AA802" s="97"/>
    </row>
    <row r="803" spans="1:27" ht="17">
      <c r="A803" s="97"/>
      <c r="B803" s="97"/>
      <c r="C803" s="302"/>
      <c r="D803" s="302"/>
      <c r="E803" s="302"/>
      <c r="F803" s="302"/>
      <c r="G803" s="97"/>
      <c r="H803" s="97"/>
      <c r="I803" s="97"/>
      <c r="J803" s="97"/>
      <c r="K803" s="97"/>
      <c r="L803" s="97"/>
      <c r="M803" s="97"/>
      <c r="N803" s="97"/>
      <c r="O803" s="97"/>
      <c r="P803" s="97"/>
      <c r="Q803" s="97"/>
      <c r="R803" s="97"/>
      <c r="S803" s="97"/>
      <c r="T803" s="97"/>
      <c r="U803" s="97"/>
      <c r="V803" s="97"/>
      <c r="W803" s="97"/>
      <c r="X803" s="97"/>
      <c r="Y803" s="97"/>
      <c r="Z803" s="97"/>
      <c r="AA803" s="97"/>
    </row>
    <row r="804" spans="1:27" ht="17">
      <c r="A804" s="97"/>
      <c r="B804" s="97"/>
      <c r="C804" s="302"/>
      <c r="D804" s="302"/>
      <c r="E804" s="302"/>
      <c r="F804" s="302"/>
      <c r="G804" s="97"/>
      <c r="H804" s="97"/>
      <c r="I804" s="97"/>
      <c r="J804" s="97"/>
      <c r="K804" s="97"/>
      <c r="L804" s="97"/>
      <c r="M804" s="97"/>
      <c r="N804" s="97"/>
      <c r="O804" s="97"/>
      <c r="P804" s="97"/>
      <c r="Q804" s="97"/>
      <c r="R804" s="97"/>
      <c r="S804" s="97"/>
      <c r="T804" s="97"/>
      <c r="U804" s="97"/>
      <c r="V804" s="97"/>
      <c r="W804" s="97"/>
      <c r="X804" s="97"/>
      <c r="Y804" s="97"/>
      <c r="Z804" s="97"/>
      <c r="AA804" s="97"/>
    </row>
    <row r="805" spans="1:27" ht="17">
      <c r="A805" s="97"/>
      <c r="B805" s="97"/>
      <c r="C805" s="302"/>
      <c r="D805" s="302"/>
      <c r="E805" s="302"/>
      <c r="F805" s="302"/>
      <c r="G805" s="97"/>
      <c r="H805" s="97"/>
      <c r="I805" s="97"/>
      <c r="J805" s="97"/>
      <c r="K805" s="97"/>
      <c r="L805" s="97"/>
      <c r="M805" s="97"/>
      <c r="N805" s="97"/>
      <c r="O805" s="97"/>
      <c r="P805" s="97"/>
      <c r="Q805" s="97"/>
      <c r="R805" s="97"/>
      <c r="S805" s="97"/>
      <c r="T805" s="97"/>
      <c r="U805" s="97"/>
      <c r="V805" s="97"/>
      <c r="W805" s="97"/>
      <c r="X805" s="97"/>
      <c r="Y805" s="97"/>
      <c r="Z805" s="97"/>
      <c r="AA805" s="97"/>
    </row>
    <row r="806" spans="1:27" ht="17">
      <c r="A806" s="97"/>
      <c r="B806" s="97"/>
      <c r="C806" s="302"/>
      <c r="D806" s="302"/>
      <c r="E806" s="302"/>
      <c r="F806" s="302"/>
      <c r="G806" s="97"/>
      <c r="H806" s="97"/>
      <c r="I806" s="97"/>
      <c r="J806" s="97"/>
      <c r="K806" s="97"/>
      <c r="L806" s="97"/>
      <c r="M806" s="97"/>
      <c r="N806" s="97"/>
      <c r="O806" s="97"/>
      <c r="P806" s="97"/>
      <c r="Q806" s="97"/>
      <c r="R806" s="97"/>
      <c r="S806" s="97"/>
      <c r="T806" s="97"/>
      <c r="U806" s="97"/>
      <c r="V806" s="97"/>
      <c r="W806" s="97"/>
      <c r="X806" s="97"/>
      <c r="Y806" s="97"/>
      <c r="Z806" s="97"/>
      <c r="AA806" s="97"/>
    </row>
    <row r="807" spans="1:27" ht="17">
      <c r="A807" s="97"/>
      <c r="B807" s="97"/>
      <c r="C807" s="302"/>
      <c r="D807" s="302"/>
      <c r="E807" s="302"/>
      <c r="F807" s="302"/>
      <c r="G807" s="97"/>
      <c r="H807" s="97"/>
      <c r="I807" s="97"/>
      <c r="J807" s="97"/>
      <c r="K807" s="97"/>
      <c r="L807" s="97"/>
      <c r="M807" s="97"/>
      <c r="N807" s="97"/>
      <c r="O807" s="97"/>
      <c r="P807" s="97"/>
      <c r="Q807" s="97"/>
      <c r="R807" s="97"/>
      <c r="S807" s="97"/>
      <c r="T807" s="97"/>
      <c r="U807" s="97"/>
      <c r="V807" s="97"/>
      <c r="W807" s="97"/>
      <c r="X807" s="97"/>
      <c r="Y807" s="97"/>
      <c r="Z807" s="97"/>
      <c r="AA807" s="97"/>
    </row>
    <row r="808" spans="1:27" ht="17">
      <c r="A808" s="97"/>
      <c r="B808" s="97"/>
      <c r="C808" s="302"/>
      <c r="D808" s="302"/>
      <c r="E808" s="302"/>
      <c r="F808" s="302"/>
      <c r="G808" s="97"/>
      <c r="H808" s="97"/>
      <c r="I808" s="97"/>
      <c r="J808" s="97"/>
      <c r="K808" s="97"/>
      <c r="L808" s="97"/>
      <c r="M808" s="97"/>
      <c r="N808" s="97"/>
      <c r="O808" s="97"/>
      <c r="P808" s="97"/>
      <c r="Q808" s="97"/>
      <c r="R808" s="97"/>
      <c r="S808" s="97"/>
      <c r="T808" s="97"/>
      <c r="U808" s="97"/>
      <c r="V808" s="97"/>
      <c r="W808" s="97"/>
      <c r="X808" s="97"/>
      <c r="Y808" s="97"/>
      <c r="Z808" s="97"/>
      <c r="AA808" s="97"/>
    </row>
    <row r="809" spans="1:27" ht="17">
      <c r="A809" s="97"/>
      <c r="B809" s="97"/>
      <c r="C809" s="302"/>
      <c r="D809" s="302"/>
      <c r="E809" s="302"/>
      <c r="F809" s="302"/>
      <c r="G809" s="97"/>
      <c r="H809" s="97"/>
      <c r="I809" s="97"/>
      <c r="J809" s="97"/>
      <c r="K809" s="97"/>
      <c r="L809" s="97"/>
      <c r="M809" s="97"/>
      <c r="N809" s="97"/>
      <c r="O809" s="97"/>
      <c r="P809" s="97"/>
      <c r="Q809" s="97"/>
      <c r="R809" s="97"/>
      <c r="S809" s="97"/>
      <c r="T809" s="97"/>
      <c r="U809" s="97"/>
      <c r="V809" s="97"/>
      <c r="W809" s="97"/>
      <c r="X809" s="97"/>
      <c r="Y809" s="97"/>
      <c r="Z809" s="97"/>
      <c r="AA809" s="97"/>
    </row>
    <row r="810" spans="1:27" ht="17">
      <c r="A810" s="97"/>
      <c r="B810" s="97"/>
      <c r="C810" s="302"/>
      <c r="D810" s="302"/>
      <c r="E810" s="302"/>
      <c r="F810" s="302"/>
      <c r="G810" s="97"/>
      <c r="H810" s="97"/>
      <c r="I810" s="97"/>
      <c r="J810" s="97"/>
      <c r="K810" s="97"/>
      <c r="L810" s="97"/>
      <c r="M810" s="97"/>
      <c r="N810" s="97"/>
      <c r="O810" s="97"/>
      <c r="P810" s="97"/>
      <c r="Q810" s="97"/>
      <c r="R810" s="97"/>
      <c r="S810" s="97"/>
      <c r="T810" s="97"/>
      <c r="U810" s="97"/>
      <c r="V810" s="97"/>
      <c r="W810" s="97"/>
      <c r="X810" s="97"/>
      <c r="Y810" s="97"/>
      <c r="Z810" s="97"/>
      <c r="AA810" s="97"/>
    </row>
    <row r="811" spans="1:27" ht="17">
      <c r="A811" s="97"/>
      <c r="B811" s="97"/>
      <c r="C811" s="302"/>
      <c r="D811" s="302"/>
      <c r="E811" s="302"/>
      <c r="F811" s="302"/>
      <c r="G811" s="97"/>
      <c r="H811" s="97"/>
      <c r="I811" s="97"/>
      <c r="J811" s="97"/>
      <c r="K811" s="97"/>
      <c r="L811" s="97"/>
      <c r="M811" s="97"/>
      <c r="N811" s="97"/>
      <c r="O811" s="97"/>
      <c r="P811" s="97"/>
      <c r="Q811" s="97"/>
      <c r="R811" s="97"/>
      <c r="S811" s="97"/>
      <c r="T811" s="97"/>
      <c r="U811" s="97"/>
      <c r="V811" s="97"/>
      <c r="W811" s="97"/>
      <c r="X811" s="97"/>
      <c r="Y811" s="97"/>
      <c r="Z811" s="97"/>
      <c r="AA811" s="97"/>
    </row>
    <row r="812" spans="1:27" ht="17">
      <c r="A812" s="97"/>
      <c r="B812" s="97"/>
      <c r="C812" s="302"/>
      <c r="D812" s="302"/>
      <c r="E812" s="302"/>
      <c r="F812" s="302"/>
      <c r="G812" s="97"/>
      <c r="H812" s="97"/>
      <c r="I812" s="97"/>
      <c r="J812" s="97"/>
      <c r="K812" s="97"/>
      <c r="L812" s="97"/>
      <c r="M812" s="97"/>
      <c r="N812" s="97"/>
      <c r="O812" s="97"/>
      <c r="P812" s="97"/>
      <c r="Q812" s="97"/>
      <c r="R812" s="97"/>
      <c r="S812" s="97"/>
      <c r="T812" s="97"/>
      <c r="U812" s="97"/>
      <c r="V812" s="97"/>
      <c r="W812" s="97"/>
      <c r="X812" s="97"/>
      <c r="Y812" s="97"/>
      <c r="Z812" s="97"/>
      <c r="AA812" s="97"/>
    </row>
    <row r="813" spans="1:27" ht="17">
      <c r="A813" s="97"/>
      <c r="B813" s="97"/>
      <c r="C813" s="302"/>
      <c r="D813" s="302"/>
      <c r="E813" s="302"/>
      <c r="F813" s="302"/>
      <c r="G813" s="97"/>
      <c r="H813" s="97"/>
      <c r="I813" s="97"/>
      <c r="J813" s="97"/>
      <c r="K813" s="97"/>
      <c r="L813" s="97"/>
      <c r="M813" s="97"/>
      <c r="N813" s="97"/>
      <c r="O813" s="97"/>
      <c r="P813" s="97"/>
      <c r="Q813" s="97"/>
      <c r="R813" s="97"/>
      <c r="S813" s="97"/>
      <c r="T813" s="97"/>
      <c r="U813" s="97"/>
      <c r="V813" s="97"/>
      <c r="W813" s="97"/>
      <c r="X813" s="97"/>
      <c r="Y813" s="97"/>
      <c r="Z813" s="97"/>
      <c r="AA813" s="97"/>
    </row>
    <row r="814" spans="1:27" ht="17">
      <c r="A814" s="97"/>
      <c r="B814" s="97"/>
      <c r="C814" s="302"/>
      <c r="D814" s="302"/>
      <c r="E814" s="302"/>
      <c r="F814" s="302"/>
      <c r="G814" s="97"/>
      <c r="H814" s="97"/>
      <c r="I814" s="97"/>
      <c r="J814" s="97"/>
      <c r="K814" s="97"/>
      <c r="L814" s="97"/>
      <c r="M814" s="97"/>
      <c r="N814" s="97"/>
      <c r="O814" s="97"/>
      <c r="P814" s="97"/>
      <c r="Q814" s="97"/>
      <c r="R814" s="97"/>
      <c r="S814" s="97"/>
      <c r="T814" s="97"/>
      <c r="U814" s="97"/>
      <c r="V814" s="97"/>
      <c r="W814" s="97"/>
      <c r="X814" s="97"/>
      <c r="Y814" s="97"/>
      <c r="Z814" s="97"/>
      <c r="AA814" s="97"/>
    </row>
    <row r="815" spans="1:27" ht="17">
      <c r="A815" s="97"/>
      <c r="B815" s="97"/>
      <c r="C815" s="302"/>
      <c r="D815" s="302"/>
      <c r="E815" s="302"/>
      <c r="F815" s="302"/>
      <c r="G815" s="97"/>
      <c r="H815" s="97"/>
      <c r="I815" s="97"/>
      <c r="J815" s="97"/>
      <c r="K815" s="97"/>
      <c r="L815" s="97"/>
      <c r="M815" s="97"/>
      <c r="N815" s="97"/>
      <c r="O815" s="97"/>
      <c r="P815" s="97"/>
      <c r="Q815" s="97"/>
      <c r="R815" s="97"/>
      <c r="S815" s="97"/>
      <c r="T815" s="97"/>
      <c r="U815" s="97"/>
      <c r="V815" s="97"/>
      <c r="W815" s="97"/>
      <c r="X815" s="97"/>
      <c r="Y815" s="97"/>
      <c r="Z815" s="97"/>
      <c r="AA815" s="97"/>
    </row>
    <row r="816" spans="1:27" ht="17">
      <c r="A816" s="97"/>
      <c r="B816" s="97"/>
      <c r="C816" s="302"/>
      <c r="D816" s="302"/>
      <c r="E816" s="302"/>
      <c r="F816" s="302"/>
      <c r="G816" s="97"/>
      <c r="H816" s="97"/>
      <c r="I816" s="97"/>
      <c r="J816" s="97"/>
      <c r="K816" s="97"/>
      <c r="L816" s="97"/>
      <c r="M816" s="97"/>
      <c r="N816" s="97"/>
      <c r="O816" s="97"/>
      <c r="P816" s="97"/>
      <c r="Q816" s="97"/>
      <c r="R816" s="97"/>
      <c r="S816" s="97"/>
      <c r="T816" s="97"/>
      <c r="U816" s="97"/>
      <c r="V816" s="97"/>
      <c r="W816" s="97"/>
      <c r="X816" s="97"/>
      <c r="Y816" s="97"/>
      <c r="Z816" s="97"/>
      <c r="AA816" s="97"/>
    </row>
    <row r="817" spans="1:27" ht="17">
      <c r="A817" s="97"/>
      <c r="B817" s="97"/>
      <c r="C817" s="302"/>
      <c r="D817" s="302"/>
      <c r="E817" s="302"/>
      <c r="F817" s="302"/>
      <c r="G817" s="97"/>
      <c r="H817" s="97"/>
      <c r="I817" s="97"/>
      <c r="J817" s="97"/>
      <c r="K817" s="97"/>
      <c r="L817" s="97"/>
      <c r="M817" s="97"/>
      <c r="N817" s="97"/>
      <c r="O817" s="97"/>
      <c r="P817" s="97"/>
      <c r="Q817" s="97"/>
      <c r="R817" s="97"/>
      <c r="S817" s="97"/>
      <c r="T817" s="97"/>
      <c r="U817" s="97"/>
      <c r="V817" s="97"/>
      <c r="W817" s="97"/>
      <c r="X817" s="97"/>
      <c r="Y817" s="97"/>
      <c r="Z817" s="97"/>
      <c r="AA817" s="97"/>
    </row>
    <row r="818" spans="1:27" ht="17">
      <c r="A818" s="97"/>
      <c r="B818" s="97"/>
      <c r="C818" s="302"/>
      <c r="D818" s="302"/>
      <c r="E818" s="302"/>
      <c r="F818" s="302"/>
      <c r="G818" s="97"/>
      <c r="H818" s="97"/>
      <c r="I818" s="97"/>
      <c r="J818" s="97"/>
      <c r="K818" s="97"/>
      <c r="L818" s="97"/>
      <c r="M818" s="97"/>
      <c r="N818" s="97"/>
      <c r="O818" s="97"/>
      <c r="P818" s="97"/>
      <c r="Q818" s="97"/>
      <c r="R818" s="97"/>
      <c r="S818" s="97"/>
      <c r="T818" s="97"/>
      <c r="U818" s="97"/>
      <c r="V818" s="97"/>
      <c r="W818" s="97"/>
      <c r="X818" s="97"/>
      <c r="Y818" s="97"/>
      <c r="Z818" s="97"/>
      <c r="AA818" s="97"/>
    </row>
    <row r="819" spans="1:27" ht="17">
      <c r="A819" s="97"/>
      <c r="B819" s="97"/>
      <c r="C819" s="302"/>
      <c r="D819" s="302"/>
      <c r="E819" s="302"/>
      <c r="F819" s="302"/>
      <c r="G819" s="97"/>
      <c r="H819" s="97"/>
      <c r="I819" s="97"/>
      <c r="J819" s="97"/>
      <c r="K819" s="97"/>
      <c r="L819" s="97"/>
      <c r="M819" s="97"/>
      <c r="N819" s="97"/>
      <c r="O819" s="97"/>
      <c r="P819" s="97"/>
      <c r="Q819" s="97"/>
      <c r="R819" s="97"/>
      <c r="S819" s="97"/>
      <c r="T819" s="97"/>
      <c r="U819" s="97"/>
      <c r="V819" s="97"/>
      <c r="W819" s="97"/>
      <c r="X819" s="97"/>
      <c r="Y819" s="97"/>
      <c r="Z819" s="97"/>
      <c r="AA819" s="97"/>
    </row>
    <row r="820" spans="1:27" ht="17">
      <c r="A820" s="97"/>
      <c r="B820" s="97"/>
      <c r="C820" s="302"/>
      <c r="D820" s="302"/>
      <c r="E820" s="302"/>
      <c r="F820" s="302"/>
      <c r="G820" s="97"/>
      <c r="H820" s="97"/>
      <c r="I820" s="97"/>
      <c r="J820" s="97"/>
      <c r="K820" s="97"/>
      <c r="L820" s="97"/>
      <c r="M820" s="97"/>
      <c r="N820" s="97"/>
      <c r="O820" s="97"/>
      <c r="P820" s="97"/>
      <c r="Q820" s="97"/>
      <c r="R820" s="97"/>
      <c r="S820" s="97"/>
      <c r="T820" s="97"/>
      <c r="U820" s="97"/>
      <c r="V820" s="97"/>
      <c r="W820" s="97"/>
      <c r="X820" s="97"/>
      <c r="Y820" s="97"/>
      <c r="Z820" s="97"/>
      <c r="AA820" s="97"/>
    </row>
    <row r="821" spans="1:27" ht="17">
      <c r="A821" s="97"/>
      <c r="B821" s="97"/>
      <c r="C821" s="302"/>
      <c r="D821" s="302"/>
      <c r="E821" s="302"/>
      <c r="F821" s="302"/>
      <c r="G821" s="97"/>
      <c r="H821" s="97"/>
      <c r="I821" s="97"/>
      <c r="J821" s="97"/>
      <c r="K821" s="97"/>
      <c r="L821" s="97"/>
      <c r="M821" s="97"/>
      <c r="N821" s="97"/>
      <c r="O821" s="97"/>
      <c r="P821" s="97"/>
      <c r="Q821" s="97"/>
      <c r="R821" s="97"/>
      <c r="S821" s="97"/>
      <c r="T821" s="97"/>
      <c r="U821" s="97"/>
      <c r="V821" s="97"/>
      <c r="W821" s="97"/>
      <c r="X821" s="97"/>
      <c r="Y821" s="97"/>
      <c r="Z821" s="97"/>
      <c r="AA821" s="97"/>
    </row>
    <row r="822" spans="1:27" ht="17">
      <c r="A822" s="97"/>
      <c r="B822" s="97"/>
      <c r="C822" s="302"/>
      <c r="D822" s="302"/>
      <c r="E822" s="302"/>
      <c r="F822" s="302"/>
      <c r="G822" s="97"/>
      <c r="H822" s="97"/>
      <c r="I822" s="97"/>
      <c r="J822" s="97"/>
      <c r="K822" s="97"/>
      <c r="L822" s="97"/>
      <c r="M822" s="97"/>
      <c r="N822" s="97"/>
      <c r="O822" s="97"/>
      <c r="P822" s="97"/>
      <c r="Q822" s="97"/>
      <c r="R822" s="97"/>
      <c r="S822" s="97"/>
      <c r="T822" s="97"/>
      <c r="U822" s="97"/>
      <c r="V822" s="97"/>
      <c r="W822" s="97"/>
      <c r="X822" s="97"/>
      <c r="Y822" s="97"/>
      <c r="Z822" s="97"/>
      <c r="AA822" s="97"/>
    </row>
    <row r="823" spans="1:27" ht="17">
      <c r="A823" s="97"/>
      <c r="B823" s="97"/>
      <c r="C823" s="302"/>
      <c r="D823" s="302"/>
      <c r="E823" s="302"/>
      <c r="F823" s="302"/>
      <c r="G823" s="97"/>
      <c r="H823" s="97"/>
      <c r="I823" s="97"/>
      <c r="J823" s="97"/>
      <c r="K823" s="97"/>
      <c r="L823" s="97"/>
      <c r="M823" s="97"/>
      <c r="N823" s="97"/>
      <c r="O823" s="97"/>
      <c r="P823" s="97"/>
      <c r="Q823" s="97"/>
      <c r="R823" s="97"/>
      <c r="S823" s="97"/>
      <c r="T823" s="97"/>
      <c r="U823" s="97"/>
      <c r="V823" s="97"/>
      <c r="W823" s="97"/>
      <c r="X823" s="97"/>
      <c r="Y823" s="97"/>
      <c r="Z823" s="97"/>
      <c r="AA823" s="97"/>
    </row>
    <row r="824" spans="1:27" ht="17">
      <c r="A824" s="97"/>
      <c r="B824" s="97"/>
      <c r="C824" s="302"/>
      <c r="D824" s="302"/>
      <c r="E824" s="302"/>
      <c r="F824" s="302"/>
      <c r="G824" s="97"/>
      <c r="H824" s="97"/>
      <c r="I824" s="97"/>
      <c r="J824" s="97"/>
      <c r="K824" s="97"/>
      <c r="L824" s="97"/>
      <c r="M824" s="97"/>
      <c r="N824" s="97"/>
      <c r="O824" s="97"/>
      <c r="P824" s="97"/>
      <c r="Q824" s="97"/>
      <c r="R824" s="97"/>
      <c r="S824" s="97"/>
      <c r="T824" s="97"/>
      <c r="U824" s="97"/>
      <c r="V824" s="97"/>
      <c r="W824" s="97"/>
      <c r="X824" s="97"/>
      <c r="Y824" s="97"/>
      <c r="Z824" s="97"/>
      <c r="AA824" s="97"/>
    </row>
    <row r="825" spans="1:27" ht="17">
      <c r="A825" s="97"/>
      <c r="B825" s="97"/>
      <c r="C825" s="302"/>
      <c r="D825" s="302"/>
      <c r="E825" s="302"/>
      <c r="F825" s="302"/>
      <c r="G825" s="97"/>
      <c r="H825" s="97"/>
      <c r="I825" s="97"/>
      <c r="J825" s="97"/>
      <c r="K825" s="97"/>
      <c r="L825" s="97"/>
      <c r="M825" s="97"/>
      <c r="N825" s="97"/>
      <c r="O825" s="97"/>
      <c r="P825" s="97"/>
      <c r="Q825" s="97"/>
      <c r="R825" s="97"/>
      <c r="S825" s="97"/>
      <c r="T825" s="97"/>
      <c r="U825" s="97"/>
      <c r="V825" s="97"/>
      <c r="W825" s="97"/>
      <c r="X825" s="97"/>
      <c r="Y825" s="97"/>
      <c r="Z825" s="97"/>
      <c r="AA825" s="97"/>
    </row>
    <row r="826" spans="1:27" ht="17">
      <c r="A826" s="97"/>
      <c r="B826" s="97"/>
      <c r="C826" s="302"/>
      <c r="D826" s="302"/>
      <c r="E826" s="302"/>
      <c r="F826" s="302"/>
      <c r="G826" s="97"/>
      <c r="H826" s="97"/>
      <c r="I826" s="97"/>
      <c r="J826" s="97"/>
      <c r="K826" s="97"/>
      <c r="L826" s="97"/>
      <c r="M826" s="97"/>
      <c r="N826" s="97"/>
      <c r="O826" s="97"/>
      <c r="P826" s="97"/>
      <c r="Q826" s="97"/>
      <c r="R826" s="97"/>
      <c r="S826" s="97"/>
      <c r="T826" s="97"/>
      <c r="U826" s="97"/>
      <c r="V826" s="97"/>
      <c r="W826" s="97"/>
      <c r="X826" s="97"/>
      <c r="Y826" s="97"/>
      <c r="Z826" s="97"/>
      <c r="AA826" s="97"/>
    </row>
    <row r="827" spans="1:27" ht="17">
      <c r="A827" s="97"/>
      <c r="B827" s="97"/>
      <c r="C827" s="302"/>
      <c r="D827" s="302"/>
      <c r="E827" s="302"/>
      <c r="F827" s="302"/>
      <c r="G827" s="97"/>
      <c r="H827" s="97"/>
      <c r="I827" s="97"/>
      <c r="J827" s="97"/>
      <c r="K827" s="97"/>
      <c r="L827" s="97"/>
      <c r="M827" s="97"/>
      <c r="N827" s="97"/>
      <c r="O827" s="97"/>
      <c r="P827" s="97"/>
      <c r="Q827" s="97"/>
      <c r="R827" s="97"/>
      <c r="S827" s="97"/>
      <c r="T827" s="97"/>
      <c r="U827" s="97"/>
      <c r="V827" s="97"/>
      <c r="W827" s="97"/>
      <c r="X827" s="97"/>
      <c r="Y827" s="97"/>
      <c r="Z827" s="97"/>
      <c r="AA827" s="97"/>
    </row>
    <row r="828" spans="1:27" ht="17">
      <c r="A828" s="97"/>
      <c r="B828" s="97"/>
      <c r="C828" s="302"/>
      <c r="D828" s="302"/>
      <c r="E828" s="302"/>
      <c r="F828" s="302"/>
      <c r="G828" s="97"/>
      <c r="H828" s="97"/>
      <c r="I828" s="97"/>
      <c r="J828" s="97"/>
      <c r="K828" s="97"/>
      <c r="L828" s="97"/>
      <c r="M828" s="97"/>
      <c r="N828" s="97"/>
      <c r="O828" s="97"/>
      <c r="P828" s="97"/>
      <c r="Q828" s="97"/>
      <c r="R828" s="97"/>
      <c r="S828" s="97"/>
      <c r="T828" s="97"/>
      <c r="U828" s="97"/>
      <c r="V828" s="97"/>
      <c r="W828" s="97"/>
      <c r="X828" s="97"/>
      <c r="Y828" s="97"/>
      <c r="Z828" s="97"/>
      <c r="AA828" s="97"/>
    </row>
    <row r="829" spans="1:27" ht="17">
      <c r="A829" s="97"/>
      <c r="B829" s="97"/>
      <c r="C829" s="302"/>
      <c r="D829" s="302"/>
      <c r="E829" s="302"/>
      <c r="F829" s="302"/>
      <c r="G829" s="97"/>
      <c r="H829" s="97"/>
      <c r="I829" s="97"/>
      <c r="J829" s="97"/>
      <c r="K829" s="97"/>
      <c r="L829" s="97"/>
      <c r="M829" s="97"/>
      <c r="N829" s="97"/>
      <c r="O829" s="97"/>
      <c r="P829" s="97"/>
      <c r="Q829" s="97"/>
      <c r="R829" s="97"/>
      <c r="S829" s="97"/>
      <c r="T829" s="97"/>
      <c r="U829" s="97"/>
      <c r="V829" s="97"/>
      <c r="W829" s="97"/>
      <c r="X829" s="97"/>
      <c r="Y829" s="97"/>
      <c r="Z829" s="97"/>
      <c r="AA829" s="97"/>
    </row>
    <row r="830" spans="1:27" ht="17">
      <c r="A830" s="97"/>
      <c r="B830" s="97"/>
      <c r="C830" s="302"/>
      <c r="D830" s="302"/>
      <c r="E830" s="302"/>
      <c r="F830" s="302"/>
      <c r="G830" s="97"/>
      <c r="H830" s="97"/>
      <c r="I830" s="97"/>
      <c r="J830" s="97"/>
      <c r="K830" s="97"/>
      <c r="L830" s="97"/>
      <c r="M830" s="97"/>
      <c r="N830" s="97"/>
      <c r="O830" s="97"/>
      <c r="P830" s="97"/>
      <c r="Q830" s="97"/>
      <c r="R830" s="97"/>
      <c r="S830" s="97"/>
      <c r="T830" s="97"/>
      <c r="U830" s="97"/>
      <c r="V830" s="97"/>
      <c r="W830" s="97"/>
      <c r="X830" s="97"/>
      <c r="Y830" s="97"/>
      <c r="Z830" s="97"/>
      <c r="AA830" s="97"/>
    </row>
    <row r="831" spans="1:27" ht="17">
      <c r="A831" s="97"/>
      <c r="B831" s="97"/>
      <c r="C831" s="302"/>
      <c r="D831" s="302"/>
      <c r="E831" s="302"/>
      <c r="F831" s="302"/>
      <c r="G831" s="97"/>
      <c r="H831" s="97"/>
      <c r="I831" s="97"/>
      <c r="J831" s="97"/>
      <c r="K831" s="97"/>
      <c r="L831" s="97"/>
      <c r="M831" s="97"/>
      <c r="N831" s="97"/>
      <c r="O831" s="97"/>
      <c r="P831" s="97"/>
      <c r="Q831" s="97"/>
      <c r="R831" s="97"/>
      <c r="S831" s="97"/>
      <c r="T831" s="97"/>
      <c r="U831" s="97"/>
      <c r="V831" s="97"/>
      <c r="W831" s="97"/>
      <c r="X831" s="97"/>
      <c r="Y831" s="97"/>
      <c r="Z831" s="97"/>
      <c r="AA831" s="97"/>
    </row>
    <row r="832" spans="1:27" ht="17">
      <c r="A832" s="97"/>
      <c r="B832" s="97"/>
      <c r="C832" s="302"/>
      <c r="D832" s="302"/>
      <c r="E832" s="302"/>
      <c r="F832" s="302"/>
      <c r="G832" s="97"/>
      <c r="H832" s="97"/>
      <c r="I832" s="97"/>
      <c r="J832" s="97"/>
      <c r="K832" s="97"/>
      <c r="L832" s="97"/>
      <c r="M832" s="97"/>
      <c r="N832" s="97"/>
      <c r="O832" s="97"/>
      <c r="P832" s="97"/>
      <c r="Q832" s="97"/>
      <c r="R832" s="97"/>
      <c r="S832" s="97"/>
      <c r="T832" s="97"/>
      <c r="U832" s="97"/>
      <c r="V832" s="97"/>
      <c r="W832" s="97"/>
      <c r="X832" s="97"/>
      <c r="Y832" s="97"/>
      <c r="Z832" s="97"/>
      <c r="AA832" s="97"/>
    </row>
    <row r="833" spans="1:27" ht="17">
      <c r="A833" s="97"/>
      <c r="B833" s="97"/>
      <c r="C833" s="302"/>
      <c r="D833" s="302"/>
      <c r="E833" s="302"/>
      <c r="F833" s="302"/>
      <c r="G833" s="97"/>
      <c r="H833" s="97"/>
      <c r="I833" s="97"/>
      <c r="J833" s="97"/>
      <c r="K833" s="97"/>
      <c r="L833" s="97"/>
      <c r="M833" s="97"/>
      <c r="N833" s="97"/>
      <c r="O833" s="97"/>
      <c r="P833" s="97"/>
      <c r="Q833" s="97"/>
      <c r="R833" s="97"/>
      <c r="S833" s="97"/>
      <c r="T833" s="97"/>
      <c r="U833" s="97"/>
      <c r="V833" s="97"/>
      <c r="W833" s="97"/>
      <c r="X833" s="97"/>
      <c r="Y833" s="97"/>
      <c r="Z833" s="97"/>
      <c r="AA833" s="97"/>
    </row>
    <row r="834" spans="1:27" ht="17">
      <c r="A834" s="97"/>
      <c r="B834" s="97"/>
      <c r="C834" s="302"/>
      <c r="D834" s="302"/>
      <c r="E834" s="302"/>
      <c r="F834" s="302"/>
      <c r="G834" s="97"/>
      <c r="H834" s="97"/>
      <c r="I834" s="97"/>
      <c r="J834" s="97"/>
      <c r="K834" s="97"/>
      <c r="L834" s="97"/>
      <c r="M834" s="97"/>
      <c r="N834" s="97"/>
      <c r="O834" s="97"/>
      <c r="P834" s="97"/>
      <c r="Q834" s="97"/>
      <c r="R834" s="97"/>
      <c r="S834" s="97"/>
      <c r="T834" s="97"/>
      <c r="U834" s="97"/>
      <c r="V834" s="97"/>
      <c r="W834" s="97"/>
      <c r="X834" s="97"/>
      <c r="Y834" s="97"/>
      <c r="Z834" s="97"/>
      <c r="AA834" s="97"/>
    </row>
    <row r="835" spans="1:27" ht="17">
      <c r="A835" s="97"/>
      <c r="B835" s="97"/>
      <c r="C835" s="302"/>
      <c r="D835" s="302"/>
      <c r="E835" s="302"/>
      <c r="F835" s="302"/>
      <c r="G835" s="97"/>
      <c r="H835" s="97"/>
      <c r="I835" s="97"/>
      <c r="J835" s="97"/>
      <c r="K835" s="97"/>
      <c r="L835" s="97"/>
      <c r="M835" s="97"/>
      <c r="N835" s="97"/>
      <c r="O835" s="97"/>
      <c r="P835" s="97"/>
      <c r="Q835" s="97"/>
      <c r="R835" s="97"/>
      <c r="S835" s="97"/>
      <c r="T835" s="97"/>
      <c r="U835" s="97"/>
      <c r="V835" s="97"/>
      <c r="W835" s="97"/>
      <c r="X835" s="97"/>
      <c r="Y835" s="97"/>
      <c r="Z835" s="97"/>
      <c r="AA835" s="97"/>
    </row>
    <row r="836" spans="1:27" ht="17">
      <c r="A836" s="97"/>
      <c r="B836" s="97"/>
      <c r="C836" s="302"/>
      <c r="D836" s="302"/>
      <c r="E836" s="302"/>
      <c r="F836" s="302"/>
      <c r="G836" s="97"/>
      <c r="H836" s="97"/>
      <c r="I836" s="97"/>
      <c r="J836" s="97"/>
      <c r="K836" s="97"/>
      <c r="L836" s="97"/>
      <c r="M836" s="97"/>
      <c r="N836" s="97"/>
      <c r="O836" s="97"/>
      <c r="P836" s="97"/>
      <c r="Q836" s="97"/>
      <c r="R836" s="97"/>
      <c r="S836" s="97"/>
      <c r="T836" s="97"/>
      <c r="U836" s="97"/>
      <c r="V836" s="97"/>
      <c r="W836" s="97"/>
      <c r="X836" s="97"/>
      <c r="Y836" s="97"/>
      <c r="Z836" s="97"/>
      <c r="AA836" s="97"/>
    </row>
    <row r="837" spans="1:27" ht="17">
      <c r="A837" s="97"/>
      <c r="B837" s="97"/>
      <c r="C837" s="302"/>
      <c r="D837" s="302"/>
      <c r="E837" s="302"/>
      <c r="F837" s="302"/>
      <c r="G837" s="97"/>
      <c r="H837" s="97"/>
      <c r="I837" s="97"/>
      <c r="J837" s="97"/>
      <c r="K837" s="97"/>
      <c r="L837" s="97"/>
      <c r="M837" s="97"/>
      <c r="N837" s="97"/>
      <c r="O837" s="97"/>
      <c r="P837" s="97"/>
      <c r="Q837" s="97"/>
      <c r="R837" s="97"/>
      <c r="S837" s="97"/>
      <c r="T837" s="97"/>
      <c r="U837" s="97"/>
      <c r="V837" s="97"/>
      <c r="W837" s="97"/>
      <c r="X837" s="97"/>
      <c r="Y837" s="97"/>
      <c r="Z837" s="97"/>
      <c r="AA837" s="97"/>
    </row>
    <row r="838" spans="1:27" ht="17">
      <c r="A838" s="97"/>
      <c r="B838" s="97"/>
      <c r="C838" s="302"/>
      <c r="D838" s="302"/>
      <c r="E838" s="302"/>
      <c r="F838" s="302"/>
      <c r="G838" s="97"/>
      <c r="H838" s="97"/>
      <c r="I838" s="97"/>
      <c r="J838" s="97"/>
      <c r="K838" s="97"/>
      <c r="L838" s="97"/>
      <c r="M838" s="97"/>
      <c r="N838" s="97"/>
      <c r="O838" s="97"/>
      <c r="P838" s="97"/>
      <c r="Q838" s="97"/>
      <c r="R838" s="97"/>
      <c r="S838" s="97"/>
      <c r="T838" s="97"/>
      <c r="U838" s="97"/>
      <c r="V838" s="97"/>
      <c r="W838" s="97"/>
      <c r="X838" s="97"/>
      <c r="Y838" s="97"/>
      <c r="Z838" s="97"/>
      <c r="AA838" s="97"/>
    </row>
    <row r="839" spans="1:27" ht="17">
      <c r="A839" s="97"/>
      <c r="B839" s="97"/>
      <c r="C839" s="302"/>
      <c r="D839" s="302"/>
      <c r="E839" s="302"/>
      <c r="F839" s="302"/>
      <c r="G839" s="97"/>
      <c r="H839" s="97"/>
      <c r="I839" s="97"/>
      <c r="J839" s="97"/>
      <c r="K839" s="97"/>
      <c r="L839" s="97"/>
      <c r="M839" s="97"/>
      <c r="N839" s="97"/>
      <c r="O839" s="97"/>
      <c r="P839" s="97"/>
      <c r="Q839" s="97"/>
      <c r="R839" s="97"/>
      <c r="S839" s="97"/>
      <c r="T839" s="97"/>
      <c r="U839" s="97"/>
      <c r="V839" s="97"/>
      <c r="W839" s="97"/>
      <c r="X839" s="97"/>
      <c r="Y839" s="97"/>
      <c r="Z839" s="97"/>
      <c r="AA839" s="97"/>
    </row>
    <row r="840" spans="1:27" ht="17">
      <c r="A840" s="97"/>
      <c r="B840" s="97"/>
      <c r="C840" s="302"/>
      <c r="D840" s="302"/>
      <c r="E840" s="302"/>
      <c r="F840" s="302"/>
      <c r="G840" s="97"/>
      <c r="H840" s="97"/>
      <c r="I840" s="97"/>
      <c r="J840" s="97"/>
      <c r="K840" s="97"/>
      <c r="L840" s="97"/>
      <c r="M840" s="97"/>
      <c r="N840" s="97"/>
      <c r="O840" s="97"/>
      <c r="P840" s="97"/>
      <c r="Q840" s="97"/>
      <c r="R840" s="97"/>
      <c r="S840" s="97"/>
      <c r="T840" s="97"/>
      <c r="U840" s="97"/>
      <c r="V840" s="97"/>
      <c r="W840" s="97"/>
      <c r="X840" s="97"/>
      <c r="Y840" s="97"/>
      <c r="Z840" s="97"/>
      <c r="AA840" s="97"/>
    </row>
    <row r="841" spans="1:27" ht="17">
      <c r="A841" s="97"/>
      <c r="B841" s="97"/>
      <c r="C841" s="302"/>
      <c r="D841" s="302"/>
      <c r="E841" s="302"/>
      <c r="F841" s="302"/>
      <c r="G841" s="97"/>
      <c r="H841" s="97"/>
      <c r="I841" s="97"/>
      <c r="J841" s="97"/>
      <c r="K841" s="97"/>
      <c r="L841" s="97"/>
      <c r="M841" s="97"/>
      <c r="N841" s="97"/>
      <c r="O841" s="97"/>
      <c r="P841" s="97"/>
      <c r="Q841" s="97"/>
      <c r="R841" s="97"/>
      <c r="S841" s="97"/>
      <c r="T841" s="97"/>
      <c r="U841" s="97"/>
      <c r="V841" s="97"/>
      <c r="W841" s="97"/>
      <c r="X841" s="97"/>
      <c r="Y841" s="97"/>
      <c r="Z841" s="97"/>
      <c r="AA841" s="97"/>
    </row>
    <row r="842" spans="1:27" ht="17">
      <c r="A842" s="97"/>
      <c r="B842" s="97"/>
      <c r="C842" s="302"/>
      <c r="D842" s="302"/>
      <c r="E842" s="302"/>
      <c r="F842" s="302"/>
      <c r="G842" s="97"/>
      <c r="H842" s="97"/>
      <c r="I842" s="97"/>
      <c r="J842" s="97"/>
      <c r="K842" s="97"/>
      <c r="L842" s="97"/>
      <c r="M842" s="97"/>
      <c r="N842" s="97"/>
      <c r="O842" s="97"/>
      <c r="P842" s="97"/>
      <c r="Q842" s="97"/>
      <c r="R842" s="97"/>
      <c r="S842" s="97"/>
      <c r="T842" s="97"/>
      <c r="U842" s="97"/>
      <c r="V842" s="97"/>
      <c r="W842" s="97"/>
      <c r="X842" s="97"/>
      <c r="Y842" s="97"/>
      <c r="Z842" s="97"/>
      <c r="AA842" s="97"/>
    </row>
    <row r="843" spans="1:27" ht="17">
      <c r="A843" s="97"/>
      <c r="B843" s="97"/>
      <c r="C843" s="302"/>
      <c r="D843" s="302"/>
      <c r="E843" s="302"/>
      <c r="F843" s="302"/>
      <c r="G843" s="97"/>
      <c r="H843" s="97"/>
      <c r="I843" s="97"/>
      <c r="J843" s="97"/>
      <c r="K843" s="97"/>
      <c r="L843" s="97"/>
      <c r="M843" s="97"/>
      <c r="N843" s="97"/>
      <c r="O843" s="97"/>
      <c r="P843" s="97"/>
      <c r="Q843" s="97"/>
      <c r="R843" s="97"/>
      <c r="S843" s="97"/>
      <c r="T843" s="97"/>
      <c r="U843" s="97"/>
      <c r="V843" s="97"/>
      <c r="W843" s="97"/>
      <c r="X843" s="97"/>
      <c r="Y843" s="97"/>
      <c r="Z843" s="97"/>
      <c r="AA843" s="97"/>
    </row>
    <row r="844" spans="1:27" ht="17">
      <c r="A844" s="97"/>
      <c r="B844" s="97"/>
      <c r="C844" s="302"/>
      <c r="D844" s="302"/>
      <c r="E844" s="302"/>
      <c r="F844" s="302"/>
      <c r="G844" s="97"/>
      <c r="H844" s="97"/>
      <c r="I844" s="97"/>
      <c r="J844" s="97"/>
      <c r="K844" s="97"/>
      <c r="L844" s="97"/>
      <c r="M844" s="97"/>
      <c r="N844" s="97"/>
      <c r="O844" s="97"/>
      <c r="P844" s="97"/>
      <c r="Q844" s="97"/>
      <c r="R844" s="97"/>
      <c r="S844" s="97"/>
      <c r="T844" s="97"/>
      <c r="U844" s="97"/>
      <c r="V844" s="97"/>
      <c r="W844" s="97"/>
      <c r="X844" s="97"/>
      <c r="Y844" s="97"/>
      <c r="Z844" s="97"/>
      <c r="AA844" s="97"/>
    </row>
    <row r="845" spans="1:27" ht="17">
      <c r="A845" s="97"/>
      <c r="B845" s="97"/>
      <c r="C845" s="302"/>
      <c r="D845" s="302"/>
      <c r="E845" s="302"/>
      <c r="F845" s="302"/>
      <c r="G845" s="97"/>
      <c r="H845" s="97"/>
      <c r="I845" s="97"/>
      <c r="J845" s="97"/>
      <c r="K845" s="97"/>
      <c r="L845" s="97"/>
      <c r="M845" s="97"/>
      <c r="N845" s="97"/>
      <c r="O845" s="97"/>
      <c r="P845" s="97"/>
      <c r="Q845" s="97"/>
      <c r="R845" s="97"/>
      <c r="S845" s="97"/>
      <c r="T845" s="97"/>
      <c r="U845" s="97"/>
      <c r="V845" s="97"/>
      <c r="W845" s="97"/>
      <c r="X845" s="97"/>
      <c r="Y845" s="97"/>
      <c r="Z845" s="97"/>
      <c r="AA845" s="97"/>
    </row>
    <row r="846" spans="1:27" ht="17">
      <c r="A846" s="97"/>
      <c r="B846" s="97"/>
      <c r="C846" s="302"/>
      <c r="D846" s="302"/>
      <c r="E846" s="302"/>
      <c r="F846" s="302"/>
      <c r="G846" s="97"/>
      <c r="H846" s="97"/>
      <c r="I846" s="97"/>
      <c r="J846" s="97"/>
      <c r="K846" s="97"/>
      <c r="L846" s="97"/>
      <c r="M846" s="97"/>
      <c r="N846" s="97"/>
      <c r="O846" s="97"/>
      <c r="P846" s="97"/>
      <c r="Q846" s="97"/>
      <c r="R846" s="97"/>
      <c r="S846" s="97"/>
      <c r="T846" s="97"/>
      <c r="U846" s="97"/>
      <c r="V846" s="97"/>
      <c r="W846" s="97"/>
      <c r="X846" s="97"/>
      <c r="Y846" s="97"/>
      <c r="Z846" s="97"/>
      <c r="AA846" s="97"/>
    </row>
    <row r="847" spans="1:27" ht="17">
      <c r="A847" s="97"/>
      <c r="B847" s="97"/>
      <c r="C847" s="302"/>
      <c r="D847" s="302"/>
      <c r="E847" s="302"/>
      <c r="F847" s="302"/>
      <c r="G847" s="97"/>
      <c r="H847" s="97"/>
      <c r="I847" s="97"/>
      <c r="J847" s="97"/>
      <c r="K847" s="97"/>
      <c r="L847" s="97"/>
      <c r="M847" s="97"/>
      <c r="N847" s="97"/>
      <c r="O847" s="97"/>
      <c r="P847" s="97"/>
      <c r="Q847" s="97"/>
      <c r="R847" s="97"/>
      <c r="S847" s="97"/>
      <c r="T847" s="97"/>
      <c r="U847" s="97"/>
      <c r="V847" s="97"/>
      <c r="W847" s="97"/>
      <c r="X847" s="97"/>
      <c r="Y847" s="97"/>
      <c r="Z847" s="97"/>
      <c r="AA847" s="97"/>
    </row>
    <row r="848" spans="1:27" ht="17">
      <c r="A848" s="97"/>
      <c r="B848" s="97"/>
      <c r="C848" s="302"/>
      <c r="D848" s="302"/>
      <c r="E848" s="302"/>
      <c r="F848" s="302"/>
      <c r="G848" s="97"/>
      <c r="H848" s="97"/>
      <c r="I848" s="97"/>
      <c r="J848" s="97"/>
      <c r="K848" s="97"/>
      <c r="L848" s="97"/>
      <c r="M848" s="97"/>
      <c r="N848" s="97"/>
      <c r="O848" s="97"/>
      <c r="P848" s="97"/>
      <c r="Q848" s="97"/>
      <c r="R848" s="97"/>
      <c r="S848" s="97"/>
      <c r="T848" s="97"/>
      <c r="U848" s="97"/>
      <c r="V848" s="97"/>
      <c r="W848" s="97"/>
      <c r="X848" s="97"/>
      <c r="Y848" s="97"/>
      <c r="Z848" s="97"/>
      <c r="AA848" s="97"/>
    </row>
    <row r="849" spans="1:27" ht="17">
      <c r="A849" s="97"/>
      <c r="B849" s="97"/>
      <c r="C849" s="302"/>
      <c r="D849" s="302"/>
      <c r="E849" s="302"/>
      <c r="F849" s="302"/>
      <c r="G849" s="97"/>
      <c r="H849" s="97"/>
      <c r="I849" s="97"/>
      <c r="J849" s="97"/>
      <c r="K849" s="97"/>
      <c r="L849" s="97"/>
      <c r="M849" s="97"/>
      <c r="N849" s="97"/>
      <c r="O849" s="97"/>
      <c r="P849" s="97"/>
      <c r="Q849" s="97"/>
      <c r="R849" s="97"/>
      <c r="S849" s="97"/>
      <c r="T849" s="97"/>
      <c r="U849" s="97"/>
      <c r="V849" s="97"/>
      <c r="W849" s="97"/>
      <c r="X849" s="97"/>
      <c r="Y849" s="97"/>
      <c r="Z849" s="97"/>
      <c r="AA849" s="97"/>
    </row>
    <row r="850" spans="1:27" ht="17">
      <c r="A850" s="97"/>
      <c r="B850" s="97"/>
      <c r="C850" s="302"/>
      <c r="D850" s="302"/>
      <c r="E850" s="302"/>
      <c r="F850" s="302"/>
      <c r="G850" s="97"/>
      <c r="H850" s="97"/>
      <c r="I850" s="97"/>
      <c r="J850" s="97"/>
      <c r="K850" s="97"/>
      <c r="L850" s="97"/>
      <c r="M850" s="97"/>
      <c r="N850" s="97"/>
      <c r="O850" s="97"/>
      <c r="P850" s="97"/>
      <c r="Q850" s="97"/>
      <c r="R850" s="97"/>
      <c r="S850" s="97"/>
      <c r="T850" s="97"/>
      <c r="U850" s="97"/>
      <c r="V850" s="97"/>
      <c r="W850" s="97"/>
      <c r="X850" s="97"/>
      <c r="Y850" s="97"/>
      <c r="Z850" s="97"/>
      <c r="AA850" s="97"/>
    </row>
    <row r="851" spans="1:27" ht="17">
      <c r="A851" s="97"/>
      <c r="B851" s="97"/>
      <c r="C851" s="302"/>
      <c r="D851" s="302"/>
      <c r="E851" s="302"/>
      <c r="F851" s="302"/>
      <c r="G851" s="97"/>
      <c r="H851" s="97"/>
      <c r="I851" s="97"/>
      <c r="J851" s="97"/>
      <c r="K851" s="97"/>
      <c r="L851" s="97"/>
      <c r="M851" s="97"/>
      <c r="N851" s="97"/>
      <c r="O851" s="97"/>
      <c r="P851" s="97"/>
      <c r="Q851" s="97"/>
      <c r="R851" s="97"/>
      <c r="S851" s="97"/>
      <c r="T851" s="97"/>
      <c r="U851" s="97"/>
      <c r="V851" s="97"/>
      <c r="W851" s="97"/>
      <c r="X851" s="97"/>
      <c r="Y851" s="97"/>
      <c r="Z851" s="97"/>
      <c r="AA851" s="97"/>
    </row>
    <row r="852" spans="1:27" ht="17">
      <c r="A852" s="97"/>
      <c r="B852" s="97"/>
      <c r="C852" s="302"/>
      <c r="D852" s="302"/>
      <c r="E852" s="302"/>
      <c r="F852" s="302"/>
      <c r="G852" s="97"/>
      <c r="H852" s="97"/>
      <c r="I852" s="97"/>
      <c r="J852" s="97"/>
      <c r="K852" s="97"/>
      <c r="L852" s="97"/>
      <c r="M852" s="97"/>
      <c r="N852" s="97"/>
      <c r="O852" s="97"/>
      <c r="P852" s="97"/>
      <c r="Q852" s="97"/>
      <c r="R852" s="97"/>
      <c r="S852" s="97"/>
      <c r="T852" s="97"/>
      <c r="U852" s="97"/>
      <c r="V852" s="97"/>
      <c r="W852" s="97"/>
      <c r="X852" s="97"/>
      <c r="Y852" s="97"/>
      <c r="Z852" s="97"/>
      <c r="AA852" s="97"/>
    </row>
    <row r="853" spans="1:27" ht="17">
      <c r="A853" s="97"/>
      <c r="B853" s="97"/>
      <c r="C853" s="302"/>
      <c r="D853" s="302"/>
      <c r="E853" s="302"/>
      <c r="F853" s="302"/>
      <c r="G853" s="97"/>
      <c r="H853" s="97"/>
      <c r="I853" s="97"/>
      <c r="J853" s="97"/>
      <c r="K853" s="97"/>
      <c r="L853" s="97"/>
      <c r="M853" s="97"/>
      <c r="N853" s="97"/>
      <c r="O853" s="97"/>
      <c r="P853" s="97"/>
      <c r="Q853" s="97"/>
      <c r="R853" s="97"/>
      <c r="S853" s="97"/>
      <c r="T853" s="97"/>
      <c r="U853" s="97"/>
      <c r="V853" s="97"/>
      <c r="W853" s="97"/>
      <c r="X853" s="97"/>
      <c r="Y853" s="97"/>
      <c r="Z853" s="97"/>
      <c r="AA853" s="97"/>
    </row>
    <row r="854" spans="1:27" ht="17">
      <c r="A854" s="97"/>
      <c r="B854" s="97"/>
      <c r="C854" s="302"/>
      <c r="D854" s="302"/>
      <c r="E854" s="302"/>
      <c r="F854" s="302"/>
      <c r="G854" s="97"/>
      <c r="H854" s="97"/>
      <c r="I854" s="97"/>
      <c r="J854" s="97"/>
      <c r="K854" s="97"/>
      <c r="L854" s="97"/>
      <c r="M854" s="97"/>
      <c r="N854" s="97"/>
      <c r="O854" s="97"/>
      <c r="P854" s="97"/>
      <c r="Q854" s="97"/>
      <c r="R854" s="97"/>
      <c r="S854" s="97"/>
      <c r="T854" s="97"/>
      <c r="U854" s="97"/>
      <c r="V854" s="97"/>
      <c r="W854" s="97"/>
      <c r="X854" s="97"/>
      <c r="Y854" s="97"/>
      <c r="Z854" s="97"/>
      <c r="AA854" s="97"/>
    </row>
    <row r="855" spans="1:27" ht="17">
      <c r="A855" s="97"/>
      <c r="B855" s="97"/>
      <c r="C855" s="302"/>
      <c r="D855" s="302"/>
      <c r="E855" s="302"/>
      <c r="F855" s="302"/>
      <c r="G855" s="97"/>
      <c r="H855" s="97"/>
      <c r="I855" s="97"/>
      <c r="J855" s="97"/>
      <c r="K855" s="97"/>
      <c r="L855" s="97"/>
      <c r="M855" s="97"/>
      <c r="N855" s="97"/>
      <c r="O855" s="97"/>
      <c r="P855" s="97"/>
      <c r="Q855" s="97"/>
      <c r="R855" s="97"/>
      <c r="S855" s="97"/>
      <c r="T855" s="97"/>
      <c r="U855" s="97"/>
      <c r="V855" s="97"/>
      <c r="W855" s="97"/>
      <c r="X855" s="97"/>
      <c r="Y855" s="97"/>
      <c r="Z855" s="97"/>
      <c r="AA855" s="97"/>
    </row>
    <row r="856" spans="1:27" ht="17">
      <c r="A856" s="97"/>
      <c r="B856" s="97"/>
      <c r="C856" s="302"/>
      <c r="D856" s="302"/>
      <c r="E856" s="302"/>
      <c r="F856" s="302"/>
      <c r="G856" s="97"/>
      <c r="H856" s="97"/>
      <c r="I856" s="97"/>
      <c r="J856" s="97"/>
      <c r="K856" s="97"/>
      <c r="L856" s="97"/>
      <c r="M856" s="97"/>
      <c r="N856" s="97"/>
      <c r="O856" s="97"/>
      <c r="P856" s="97"/>
      <c r="Q856" s="97"/>
      <c r="R856" s="97"/>
      <c r="S856" s="97"/>
      <c r="T856" s="97"/>
      <c r="U856" s="97"/>
      <c r="V856" s="97"/>
      <c r="W856" s="97"/>
      <c r="X856" s="97"/>
      <c r="Y856" s="97"/>
      <c r="Z856" s="97"/>
      <c r="AA856" s="97"/>
    </row>
    <row r="857" spans="1:27" ht="17">
      <c r="A857" s="97"/>
      <c r="B857" s="97"/>
      <c r="C857" s="302"/>
      <c r="D857" s="302"/>
      <c r="E857" s="302"/>
      <c r="F857" s="302"/>
      <c r="G857" s="97"/>
      <c r="H857" s="97"/>
      <c r="I857" s="97"/>
      <c r="J857" s="97"/>
      <c r="K857" s="97"/>
      <c r="L857" s="97"/>
      <c r="M857" s="97"/>
      <c r="N857" s="97"/>
      <c r="O857" s="97"/>
      <c r="P857" s="97"/>
      <c r="Q857" s="97"/>
      <c r="R857" s="97"/>
      <c r="S857" s="97"/>
      <c r="T857" s="97"/>
      <c r="U857" s="97"/>
      <c r="V857" s="97"/>
      <c r="W857" s="97"/>
      <c r="X857" s="97"/>
      <c r="Y857" s="97"/>
      <c r="Z857" s="97"/>
      <c r="AA857" s="97"/>
    </row>
    <row r="858" spans="1:27" ht="17">
      <c r="A858" s="97"/>
      <c r="B858" s="97"/>
      <c r="C858" s="302"/>
      <c r="D858" s="302"/>
      <c r="E858" s="302"/>
      <c r="F858" s="302"/>
      <c r="G858" s="97"/>
      <c r="H858" s="97"/>
      <c r="I858" s="97"/>
      <c r="J858" s="97"/>
      <c r="K858" s="97"/>
      <c r="L858" s="97"/>
      <c r="M858" s="97"/>
      <c r="N858" s="97"/>
      <c r="O858" s="97"/>
      <c r="P858" s="97"/>
      <c r="Q858" s="97"/>
      <c r="R858" s="97"/>
      <c r="S858" s="97"/>
      <c r="T858" s="97"/>
      <c r="U858" s="97"/>
      <c r="V858" s="97"/>
      <c r="W858" s="97"/>
      <c r="X858" s="97"/>
      <c r="Y858" s="97"/>
      <c r="Z858" s="97"/>
      <c r="AA858" s="97"/>
    </row>
    <row r="859" spans="1:27" ht="17">
      <c r="A859" s="97"/>
      <c r="B859" s="97"/>
      <c r="C859" s="302"/>
      <c r="D859" s="302"/>
      <c r="E859" s="302"/>
      <c r="F859" s="302"/>
      <c r="G859" s="97"/>
      <c r="H859" s="97"/>
      <c r="I859" s="97"/>
      <c r="J859" s="97"/>
      <c r="K859" s="97"/>
      <c r="L859" s="97"/>
      <c r="M859" s="97"/>
      <c r="N859" s="97"/>
      <c r="O859" s="97"/>
      <c r="P859" s="97"/>
      <c r="Q859" s="97"/>
      <c r="R859" s="97"/>
      <c r="S859" s="97"/>
      <c r="T859" s="97"/>
      <c r="U859" s="97"/>
      <c r="V859" s="97"/>
      <c r="W859" s="97"/>
      <c r="X859" s="97"/>
      <c r="Y859" s="97"/>
      <c r="Z859" s="97"/>
      <c r="AA859" s="97"/>
    </row>
    <row r="860" spans="1:27" ht="17">
      <c r="A860" s="97"/>
      <c r="B860" s="97"/>
      <c r="C860" s="302"/>
      <c r="D860" s="302"/>
      <c r="E860" s="302"/>
      <c r="F860" s="302"/>
      <c r="G860" s="97"/>
      <c r="H860" s="97"/>
      <c r="I860" s="97"/>
      <c r="J860" s="97"/>
      <c r="K860" s="97"/>
      <c r="L860" s="97"/>
      <c r="M860" s="97"/>
      <c r="N860" s="97"/>
      <c r="O860" s="97"/>
      <c r="P860" s="97"/>
      <c r="Q860" s="97"/>
      <c r="R860" s="97"/>
      <c r="S860" s="97"/>
      <c r="T860" s="97"/>
      <c r="U860" s="97"/>
      <c r="V860" s="97"/>
      <c r="W860" s="97"/>
      <c r="X860" s="97"/>
      <c r="Y860" s="97"/>
      <c r="Z860" s="97"/>
      <c r="AA860" s="97"/>
    </row>
    <row r="861" spans="1:27" ht="17">
      <c r="A861" s="97"/>
      <c r="B861" s="97"/>
      <c r="C861" s="302"/>
      <c r="D861" s="302"/>
      <c r="E861" s="302"/>
      <c r="F861" s="302"/>
      <c r="G861" s="97"/>
      <c r="H861" s="97"/>
      <c r="I861" s="97"/>
      <c r="J861" s="97"/>
      <c r="K861" s="97"/>
      <c r="L861" s="97"/>
      <c r="M861" s="97"/>
      <c r="N861" s="97"/>
      <c r="O861" s="97"/>
      <c r="P861" s="97"/>
      <c r="Q861" s="97"/>
      <c r="R861" s="97"/>
      <c r="S861" s="97"/>
      <c r="T861" s="97"/>
      <c r="U861" s="97"/>
      <c r="V861" s="97"/>
      <c r="W861" s="97"/>
      <c r="X861" s="97"/>
      <c r="Y861" s="97"/>
      <c r="Z861" s="97"/>
      <c r="AA861" s="97"/>
    </row>
    <row r="862" spans="1:27" ht="17">
      <c r="A862" s="97"/>
      <c r="B862" s="97"/>
      <c r="C862" s="302"/>
      <c r="D862" s="302"/>
      <c r="E862" s="302"/>
      <c r="F862" s="302"/>
      <c r="G862" s="97"/>
      <c r="H862" s="97"/>
      <c r="I862" s="97"/>
      <c r="J862" s="97"/>
      <c r="K862" s="97"/>
      <c r="L862" s="97"/>
      <c r="M862" s="97"/>
      <c r="N862" s="97"/>
      <c r="O862" s="97"/>
      <c r="P862" s="97"/>
      <c r="Q862" s="97"/>
      <c r="R862" s="97"/>
      <c r="S862" s="97"/>
      <c r="T862" s="97"/>
      <c r="U862" s="97"/>
      <c r="V862" s="97"/>
      <c r="W862" s="97"/>
      <c r="X862" s="97"/>
      <c r="Y862" s="97"/>
      <c r="Z862" s="97"/>
      <c r="AA862" s="97"/>
    </row>
    <row r="863" spans="1:27" ht="17">
      <c r="A863" s="97"/>
      <c r="B863" s="97"/>
      <c r="C863" s="302"/>
      <c r="D863" s="302"/>
      <c r="E863" s="302"/>
      <c r="F863" s="302"/>
      <c r="G863" s="97"/>
      <c r="H863" s="97"/>
      <c r="I863" s="97"/>
      <c r="J863" s="97"/>
      <c r="K863" s="97"/>
      <c r="L863" s="97"/>
      <c r="M863" s="97"/>
      <c r="N863" s="97"/>
      <c r="O863" s="97"/>
      <c r="P863" s="97"/>
      <c r="Q863" s="97"/>
      <c r="R863" s="97"/>
      <c r="S863" s="97"/>
      <c r="T863" s="97"/>
      <c r="U863" s="97"/>
      <c r="V863" s="97"/>
      <c r="W863" s="97"/>
      <c r="X863" s="97"/>
      <c r="Y863" s="97"/>
      <c r="Z863" s="97"/>
      <c r="AA863" s="97"/>
    </row>
    <row r="864" spans="1:27" ht="17">
      <c r="A864" s="97"/>
      <c r="B864" s="97"/>
      <c r="C864" s="302"/>
      <c r="D864" s="302"/>
      <c r="E864" s="302"/>
      <c r="F864" s="302"/>
      <c r="G864" s="97"/>
      <c r="H864" s="97"/>
      <c r="I864" s="97"/>
      <c r="J864" s="97"/>
      <c r="K864" s="97"/>
      <c r="L864" s="97"/>
      <c r="M864" s="97"/>
      <c r="N864" s="97"/>
      <c r="O864" s="97"/>
      <c r="P864" s="97"/>
      <c r="Q864" s="97"/>
      <c r="R864" s="97"/>
      <c r="S864" s="97"/>
      <c r="T864" s="97"/>
      <c r="U864" s="97"/>
      <c r="V864" s="97"/>
      <c r="W864" s="97"/>
      <c r="X864" s="97"/>
      <c r="Y864" s="97"/>
      <c r="Z864" s="97"/>
      <c r="AA864" s="97"/>
    </row>
    <row r="865" spans="1:27" ht="17">
      <c r="A865" s="97"/>
      <c r="B865" s="97"/>
      <c r="C865" s="302"/>
      <c r="D865" s="302"/>
      <c r="E865" s="302"/>
      <c r="F865" s="302"/>
      <c r="G865" s="97"/>
      <c r="H865" s="97"/>
      <c r="I865" s="97"/>
      <c r="J865" s="97"/>
      <c r="K865" s="97"/>
      <c r="L865" s="97"/>
      <c r="M865" s="97"/>
      <c r="N865" s="97"/>
      <c r="O865" s="97"/>
      <c r="P865" s="97"/>
      <c r="Q865" s="97"/>
      <c r="R865" s="97"/>
      <c r="S865" s="97"/>
      <c r="T865" s="97"/>
      <c r="U865" s="97"/>
      <c r="V865" s="97"/>
      <c r="W865" s="97"/>
      <c r="X865" s="97"/>
      <c r="Y865" s="97"/>
      <c r="Z865" s="97"/>
      <c r="AA865" s="97"/>
    </row>
    <row r="866" spans="1:27" ht="17">
      <c r="A866" s="97"/>
      <c r="B866" s="97"/>
      <c r="C866" s="302"/>
      <c r="D866" s="302"/>
      <c r="E866" s="302"/>
      <c r="F866" s="302"/>
      <c r="G866" s="97"/>
      <c r="H866" s="97"/>
      <c r="I866" s="97"/>
      <c r="J866" s="97"/>
      <c r="K866" s="97"/>
      <c r="L866" s="97"/>
      <c r="M866" s="97"/>
      <c r="N866" s="97"/>
      <c r="O866" s="97"/>
      <c r="P866" s="97"/>
      <c r="Q866" s="97"/>
      <c r="R866" s="97"/>
      <c r="S866" s="97"/>
      <c r="T866" s="97"/>
      <c r="U866" s="97"/>
      <c r="V866" s="97"/>
      <c r="W866" s="97"/>
      <c r="X866" s="97"/>
      <c r="Y866" s="97"/>
      <c r="Z866" s="97"/>
      <c r="AA866" s="97"/>
    </row>
    <row r="867" spans="1:27" ht="17">
      <c r="A867" s="97"/>
      <c r="B867" s="97"/>
      <c r="C867" s="302"/>
      <c r="D867" s="302"/>
      <c r="E867" s="302"/>
      <c r="F867" s="302"/>
      <c r="G867" s="97"/>
      <c r="H867" s="97"/>
      <c r="I867" s="97"/>
      <c r="J867" s="97"/>
      <c r="K867" s="97"/>
      <c r="L867" s="97"/>
      <c r="M867" s="97"/>
      <c r="N867" s="97"/>
      <c r="O867" s="97"/>
      <c r="P867" s="97"/>
      <c r="Q867" s="97"/>
      <c r="R867" s="97"/>
      <c r="S867" s="97"/>
      <c r="T867" s="97"/>
      <c r="U867" s="97"/>
      <c r="V867" s="97"/>
      <c r="W867" s="97"/>
      <c r="X867" s="97"/>
      <c r="Y867" s="97"/>
      <c r="Z867" s="97"/>
      <c r="AA867" s="97"/>
    </row>
    <row r="868" spans="1:27" ht="17">
      <c r="A868" s="97"/>
      <c r="B868" s="97"/>
      <c r="C868" s="302"/>
      <c r="D868" s="302"/>
      <c r="E868" s="302"/>
      <c r="F868" s="302"/>
      <c r="G868" s="97"/>
      <c r="H868" s="97"/>
      <c r="I868" s="97"/>
      <c r="J868" s="97"/>
      <c r="K868" s="97"/>
      <c r="L868" s="97"/>
      <c r="M868" s="97"/>
      <c r="N868" s="97"/>
      <c r="O868" s="97"/>
      <c r="P868" s="97"/>
      <c r="Q868" s="97"/>
      <c r="R868" s="97"/>
      <c r="S868" s="97"/>
      <c r="T868" s="97"/>
      <c r="U868" s="97"/>
      <c r="V868" s="97"/>
      <c r="W868" s="97"/>
      <c r="X868" s="97"/>
      <c r="Y868" s="97"/>
      <c r="Z868" s="97"/>
      <c r="AA868" s="97"/>
    </row>
    <row r="869" spans="1:27" ht="17">
      <c r="A869" s="97"/>
      <c r="B869" s="97"/>
      <c r="C869" s="302"/>
      <c r="D869" s="302"/>
      <c r="E869" s="302"/>
      <c r="F869" s="302"/>
      <c r="G869" s="97"/>
      <c r="H869" s="97"/>
      <c r="I869" s="97"/>
      <c r="J869" s="97"/>
      <c r="K869" s="97"/>
      <c r="L869" s="97"/>
      <c r="M869" s="97"/>
      <c r="N869" s="97"/>
      <c r="O869" s="97"/>
      <c r="P869" s="97"/>
      <c r="Q869" s="97"/>
      <c r="R869" s="97"/>
      <c r="S869" s="97"/>
      <c r="T869" s="97"/>
      <c r="U869" s="97"/>
      <c r="V869" s="97"/>
      <c r="W869" s="97"/>
      <c r="X869" s="97"/>
      <c r="Y869" s="97"/>
      <c r="Z869" s="97"/>
      <c r="AA869" s="97"/>
    </row>
    <row r="870" spans="1:27" ht="17">
      <c r="A870" s="97"/>
      <c r="B870" s="97"/>
      <c r="C870" s="302"/>
      <c r="D870" s="302"/>
      <c r="E870" s="302"/>
      <c r="F870" s="302"/>
      <c r="G870" s="97"/>
      <c r="H870" s="97"/>
      <c r="I870" s="97"/>
      <c r="J870" s="97"/>
      <c r="K870" s="97"/>
      <c r="L870" s="97"/>
      <c r="M870" s="97"/>
      <c r="N870" s="97"/>
      <c r="O870" s="97"/>
      <c r="P870" s="97"/>
      <c r="Q870" s="97"/>
      <c r="R870" s="97"/>
      <c r="S870" s="97"/>
      <c r="T870" s="97"/>
      <c r="U870" s="97"/>
      <c r="V870" s="97"/>
      <c r="W870" s="97"/>
      <c r="X870" s="97"/>
      <c r="Y870" s="97"/>
      <c r="Z870" s="97"/>
      <c r="AA870" s="97"/>
    </row>
    <row r="871" spans="1:27" ht="17">
      <c r="A871" s="97"/>
      <c r="B871" s="97"/>
      <c r="C871" s="302"/>
      <c r="D871" s="302"/>
      <c r="E871" s="302"/>
      <c r="F871" s="302"/>
      <c r="G871" s="97"/>
      <c r="H871" s="97"/>
      <c r="I871" s="97"/>
      <c r="J871" s="97"/>
      <c r="K871" s="97"/>
      <c r="L871" s="97"/>
      <c r="M871" s="97"/>
      <c r="N871" s="97"/>
      <c r="O871" s="97"/>
      <c r="P871" s="97"/>
      <c r="Q871" s="97"/>
      <c r="R871" s="97"/>
      <c r="S871" s="97"/>
      <c r="T871" s="97"/>
      <c r="U871" s="97"/>
      <c r="V871" s="97"/>
      <c r="W871" s="97"/>
      <c r="X871" s="97"/>
      <c r="Y871" s="97"/>
      <c r="Z871" s="97"/>
      <c r="AA871" s="97"/>
    </row>
    <row r="872" spans="1:27" ht="17">
      <c r="A872" s="97"/>
      <c r="B872" s="97"/>
      <c r="C872" s="302"/>
      <c r="D872" s="302"/>
      <c r="E872" s="302"/>
      <c r="F872" s="302"/>
      <c r="G872" s="97"/>
      <c r="H872" s="97"/>
      <c r="I872" s="97"/>
      <c r="J872" s="97"/>
      <c r="K872" s="97"/>
      <c r="L872" s="97"/>
      <c r="M872" s="97"/>
      <c r="N872" s="97"/>
      <c r="O872" s="97"/>
      <c r="P872" s="97"/>
      <c r="Q872" s="97"/>
      <c r="R872" s="97"/>
      <c r="S872" s="97"/>
      <c r="T872" s="97"/>
      <c r="U872" s="97"/>
      <c r="V872" s="97"/>
      <c r="W872" s="97"/>
      <c r="X872" s="97"/>
      <c r="Y872" s="97"/>
      <c r="Z872" s="97"/>
      <c r="AA872" s="97"/>
    </row>
    <row r="873" spans="1:27" ht="17">
      <c r="A873" s="97"/>
      <c r="B873" s="97"/>
      <c r="C873" s="302"/>
      <c r="D873" s="302"/>
      <c r="E873" s="302"/>
      <c r="F873" s="302"/>
      <c r="G873" s="97"/>
      <c r="H873" s="97"/>
      <c r="I873" s="97"/>
      <c r="J873" s="97"/>
      <c r="K873" s="97"/>
      <c r="L873" s="97"/>
      <c r="M873" s="97"/>
      <c r="N873" s="97"/>
      <c r="O873" s="97"/>
      <c r="P873" s="97"/>
      <c r="Q873" s="97"/>
      <c r="R873" s="97"/>
      <c r="S873" s="97"/>
      <c r="T873" s="97"/>
      <c r="U873" s="97"/>
      <c r="V873" s="97"/>
      <c r="W873" s="97"/>
      <c r="X873" s="97"/>
      <c r="Y873" s="97"/>
      <c r="Z873" s="97"/>
      <c r="AA873" s="97"/>
    </row>
    <row r="874" spans="1:27" ht="17">
      <c r="A874" s="97"/>
      <c r="B874" s="97"/>
      <c r="C874" s="302"/>
      <c r="D874" s="302"/>
      <c r="E874" s="302"/>
      <c r="F874" s="302"/>
      <c r="G874" s="97"/>
      <c r="H874" s="97"/>
      <c r="I874" s="97"/>
      <c r="J874" s="97"/>
      <c r="K874" s="97"/>
      <c r="L874" s="97"/>
      <c r="M874" s="97"/>
      <c r="N874" s="97"/>
      <c r="O874" s="97"/>
      <c r="P874" s="97"/>
      <c r="Q874" s="97"/>
      <c r="R874" s="97"/>
      <c r="S874" s="97"/>
      <c r="T874" s="97"/>
      <c r="U874" s="97"/>
      <c r="V874" s="97"/>
      <c r="W874" s="97"/>
      <c r="X874" s="97"/>
      <c r="Y874" s="97"/>
      <c r="Z874" s="97"/>
      <c r="AA874" s="97"/>
    </row>
    <row r="875" spans="1:27" ht="17">
      <c r="A875" s="97"/>
      <c r="B875" s="97"/>
      <c r="C875" s="302"/>
      <c r="D875" s="302"/>
      <c r="E875" s="302"/>
      <c r="F875" s="302"/>
      <c r="G875" s="97"/>
      <c r="H875" s="97"/>
      <c r="I875" s="97"/>
      <c r="J875" s="97"/>
      <c r="K875" s="97"/>
      <c r="L875" s="97"/>
      <c r="M875" s="97"/>
      <c r="N875" s="97"/>
      <c r="O875" s="97"/>
      <c r="P875" s="97"/>
      <c r="Q875" s="97"/>
      <c r="R875" s="97"/>
      <c r="S875" s="97"/>
      <c r="T875" s="97"/>
      <c r="U875" s="97"/>
      <c r="V875" s="97"/>
      <c r="W875" s="97"/>
      <c r="X875" s="97"/>
      <c r="Y875" s="97"/>
      <c r="Z875" s="97"/>
      <c r="AA875" s="97"/>
    </row>
    <row r="876" spans="1:27" ht="17">
      <c r="A876" s="97"/>
      <c r="B876" s="97"/>
      <c r="C876" s="302"/>
      <c r="D876" s="302"/>
      <c r="E876" s="302"/>
      <c r="F876" s="302"/>
      <c r="G876" s="97"/>
      <c r="H876" s="97"/>
      <c r="I876" s="97"/>
      <c r="J876" s="97"/>
      <c r="K876" s="97"/>
      <c r="L876" s="97"/>
      <c r="M876" s="97"/>
      <c r="N876" s="97"/>
      <c r="O876" s="97"/>
      <c r="P876" s="97"/>
      <c r="Q876" s="97"/>
      <c r="R876" s="97"/>
      <c r="S876" s="97"/>
      <c r="T876" s="97"/>
      <c r="U876" s="97"/>
      <c r="V876" s="97"/>
      <c r="W876" s="97"/>
      <c r="X876" s="97"/>
      <c r="Y876" s="97"/>
      <c r="Z876" s="97"/>
      <c r="AA876" s="97"/>
    </row>
    <row r="877" spans="1:27" ht="17">
      <c r="A877" s="97"/>
      <c r="B877" s="97"/>
      <c r="C877" s="302"/>
      <c r="D877" s="302"/>
      <c r="E877" s="302"/>
      <c r="F877" s="302"/>
      <c r="G877" s="97"/>
      <c r="H877" s="97"/>
      <c r="I877" s="97"/>
      <c r="J877" s="97"/>
      <c r="K877" s="97"/>
      <c r="L877" s="97"/>
      <c r="M877" s="97"/>
      <c r="N877" s="97"/>
      <c r="O877" s="97"/>
      <c r="P877" s="97"/>
      <c r="Q877" s="97"/>
      <c r="R877" s="97"/>
      <c r="S877" s="97"/>
      <c r="T877" s="97"/>
      <c r="U877" s="97"/>
      <c r="V877" s="97"/>
      <c r="W877" s="97"/>
      <c r="X877" s="97"/>
      <c r="Y877" s="97"/>
      <c r="Z877" s="97"/>
      <c r="AA877" s="97"/>
    </row>
    <row r="878" spans="1:27" ht="17">
      <c r="A878" s="97"/>
      <c r="B878" s="97"/>
      <c r="C878" s="302"/>
      <c r="D878" s="302"/>
      <c r="E878" s="302"/>
      <c r="F878" s="302"/>
      <c r="G878" s="97"/>
      <c r="H878" s="97"/>
      <c r="I878" s="97"/>
      <c r="J878" s="97"/>
      <c r="K878" s="97"/>
      <c r="L878" s="97"/>
      <c r="M878" s="97"/>
      <c r="N878" s="97"/>
      <c r="O878" s="97"/>
      <c r="P878" s="97"/>
      <c r="Q878" s="97"/>
      <c r="R878" s="97"/>
      <c r="S878" s="97"/>
      <c r="T878" s="97"/>
      <c r="U878" s="97"/>
      <c r="V878" s="97"/>
      <c r="W878" s="97"/>
      <c r="X878" s="97"/>
      <c r="Y878" s="97"/>
      <c r="Z878" s="97"/>
      <c r="AA878" s="97"/>
    </row>
    <row r="879" spans="1:27" ht="17">
      <c r="A879" s="97"/>
      <c r="B879" s="97"/>
      <c r="C879" s="302"/>
      <c r="D879" s="302"/>
      <c r="E879" s="302"/>
      <c r="F879" s="302"/>
      <c r="G879" s="97"/>
      <c r="H879" s="97"/>
      <c r="I879" s="97"/>
      <c r="J879" s="97"/>
      <c r="K879" s="97"/>
      <c r="L879" s="97"/>
      <c r="M879" s="97"/>
      <c r="N879" s="97"/>
      <c r="O879" s="97"/>
      <c r="P879" s="97"/>
      <c r="Q879" s="97"/>
      <c r="R879" s="97"/>
      <c r="S879" s="97"/>
      <c r="T879" s="97"/>
      <c r="U879" s="97"/>
      <c r="V879" s="97"/>
      <c r="W879" s="97"/>
      <c r="X879" s="97"/>
      <c r="Y879" s="97"/>
      <c r="Z879" s="97"/>
      <c r="AA879" s="97"/>
    </row>
    <row r="880" spans="1:27" ht="17">
      <c r="A880" s="97"/>
      <c r="B880" s="97"/>
      <c r="C880" s="302"/>
      <c r="D880" s="302"/>
      <c r="E880" s="302"/>
      <c r="F880" s="302"/>
      <c r="G880" s="97"/>
      <c r="H880" s="97"/>
      <c r="I880" s="97"/>
      <c r="J880" s="97"/>
      <c r="K880" s="97"/>
      <c r="L880" s="97"/>
      <c r="M880" s="97"/>
      <c r="N880" s="97"/>
      <c r="O880" s="97"/>
      <c r="P880" s="97"/>
      <c r="Q880" s="97"/>
      <c r="R880" s="97"/>
      <c r="S880" s="97"/>
      <c r="T880" s="97"/>
      <c r="U880" s="97"/>
      <c r="V880" s="97"/>
      <c r="W880" s="97"/>
      <c r="X880" s="97"/>
      <c r="Y880" s="97"/>
      <c r="Z880" s="97"/>
      <c r="AA880" s="97"/>
    </row>
    <row r="881" spans="1:27" ht="17">
      <c r="A881" s="97"/>
      <c r="B881" s="97"/>
      <c r="C881" s="302"/>
      <c r="D881" s="302"/>
      <c r="E881" s="302"/>
      <c r="F881" s="302"/>
      <c r="G881" s="97"/>
      <c r="H881" s="97"/>
      <c r="I881" s="97"/>
      <c r="J881" s="97"/>
      <c r="K881" s="97"/>
      <c r="L881" s="97"/>
      <c r="M881" s="97"/>
      <c r="N881" s="97"/>
      <c r="O881" s="97"/>
      <c r="P881" s="97"/>
      <c r="Q881" s="97"/>
      <c r="R881" s="97"/>
      <c r="S881" s="97"/>
      <c r="T881" s="97"/>
      <c r="U881" s="97"/>
      <c r="V881" s="97"/>
      <c r="W881" s="97"/>
      <c r="X881" s="97"/>
      <c r="Y881" s="97"/>
      <c r="Z881" s="97"/>
      <c r="AA881" s="97"/>
    </row>
    <row r="882" spans="1:27" ht="17">
      <c r="A882" s="97"/>
      <c r="B882" s="97"/>
      <c r="C882" s="302"/>
      <c r="D882" s="302"/>
      <c r="E882" s="302"/>
      <c r="F882" s="302"/>
      <c r="G882" s="97"/>
      <c r="H882" s="97"/>
      <c r="I882" s="97"/>
      <c r="J882" s="97"/>
      <c r="K882" s="97"/>
      <c r="L882" s="97"/>
      <c r="M882" s="97"/>
      <c r="N882" s="97"/>
      <c r="O882" s="97"/>
      <c r="P882" s="97"/>
      <c r="Q882" s="97"/>
      <c r="R882" s="97"/>
      <c r="S882" s="97"/>
      <c r="T882" s="97"/>
      <c r="U882" s="97"/>
      <c r="V882" s="97"/>
      <c r="W882" s="97"/>
      <c r="X882" s="97"/>
      <c r="Y882" s="97"/>
      <c r="Z882" s="97"/>
      <c r="AA882" s="97"/>
    </row>
    <row r="883" spans="1:27" ht="17">
      <c r="A883" s="97"/>
      <c r="B883" s="97"/>
      <c r="C883" s="302"/>
      <c r="D883" s="302"/>
      <c r="E883" s="302"/>
      <c r="F883" s="302"/>
      <c r="G883" s="97"/>
      <c r="H883" s="97"/>
      <c r="I883" s="97"/>
      <c r="J883" s="97"/>
      <c r="K883" s="97"/>
      <c r="L883" s="97"/>
      <c r="M883" s="97"/>
      <c r="N883" s="97"/>
      <c r="O883" s="97"/>
      <c r="P883" s="97"/>
      <c r="Q883" s="97"/>
      <c r="R883" s="97"/>
      <c r="S883" s="97"/>
      <c r="T883" s="97"/>
      <c r="U883" s="97"/>
      <c r="V883" s="97"/>
      <c r="W883" s="97"/>
      <c r="X883" s="97"/>
      <c r="Y883" s="97"/>
      <c r="Z883" s="97"/>
      <c r="AA883" s="97"/>
    </row>
    <row r="884" spans="1:27" ht="17">
      <c r="A884" s="97"/>
      <c r="B884" s="97"/>
      <c r="C884" s="302"/>
      <c r="D884" s="302"/>
      <c r="E884" s="302"/>
      <c r="F884" s="302"/>
      <c r="G884" s="97"/>
      <c r="H884" s="97"/>
      <c r="I884" s="97"/>
      <c r="J884" s="97"/>
      <c r="K884" s="97"/>
      <c r="L884" s="97"/>
      <c r="M884" s="97"/>
      <c r="N884" s="97"/>
      <c r="O884" s="97"/>
      <c r="P884" s="97"/>
      <c r="Q884" s="97"/>
      <c r="R884" s="97"/>
      <c r="S884" s="97"/>
      <c r="T884" s="97"/>
      <c r="U884" s="97"/>
      <c r="V884" s="97"/>
      <c r="W884" s="97"/>
      <c r="X884" s="97"/>
      <c r="Y884" s="97"/>
      <c r="Z884" s="97"/>
      <c r="AA884" s="97"/>
    </row>
    <row r="885" spans="1:27" ht="17">
      <c r="A885" s="97"/>
      <c r="B885" s="97"/>
      <c r="C885" s="302"/>
      <c r="D885" s="302"/>
      <c r="E885" s="302"/>
      <c r="F885" s="302"/>
      <c r="G885" s="97"/>
      <c r="H885" s="97"/>
      <c r="I885" s="97"/>
      <c r="J885" s="97"/>
      <c r="K885" s="97"/>
      <c r="L885" s="97"/>
      <c r="M885" s="97"/>
      <c r="N885" s="97"/>
      <c r="O885" s="97"/>
      <c r="P885" s="97"/>
      <c r="Q885" s="97"/>
      <c r="R885" s="97"/>
      <c r="S885" s="97"/>
      <c r="T885" s="97"/>
      <c r="U885" s="97"/>
      <c r="V885" s="97"/>
      <c r="W885" s="97"/>
      <c r="X885" s="97"/>
      <c r="Y885" s="97"/>
      <c r="Z885" s="97"/>
      <c r="AA885" s="97"/>
    </row>
    <row r="886" spans="1:27" ht="17">
      <c r="A886" s="97"/>
      <c r="B886" s="97"/>
      <c r="C886" s="302"/>
      <c r="D886" s="302"/>
      <c r="E886" s="302"/>
      <c r="F886" s="302"/>
      <c r="G886" s="97"/>
      <c r="H886" s="97"/>
      <c r="I886" s="97"/>
      <c r="J886" s="97"/>
      <c r="K886" s="97"/>
      <c r="L886" s="97"/>
      <c r="M886" s="97"/>
      <c r="N886" s="97"/>
      <c r="O886" s="97"/>
      <c r="P886" s="97"/>
      <c r="Q886" s="97"/>
      <c r="R886" s="97"/>
      <c r="S886" s="97"/>
      <c r="T886" s="97"/>
      <c r="U886" s="97"/>
      <c r="V886" s="97"/>
      <c r="W886" s="97"/>
      <c r="X886" s="97"/>
      <c r="Y886" s="97"/>
      <c r="Z886" s="97"/>
      <c r="AA886" s="97"/>
    </row>
    <row r="887" spans="1:27" ht="17">
      <c r="A887" s="97"/>
      <c r="B887" s="97"/>
      <c r="C887" s="302"/>
      <c r="D887" s="302"/>
      <c r="E887" s="302"/>
      <c r="F887" s="302"/>
      <c r="G887" s="97"/>
      <c r="H887" s="97"/>
      <c r="I887" s="97"/>
      <c r="J887" s="97"/>
      <c r="K887" s="97"/>
      <c r="L887" s="97"/>
      <c r="M887" s="97"/>
      <c r="N887" s="97"/>
      <c r="O887" s="97"/>
      <c r="P887" s="97"/>
      <c r="Q887" s="97"/>
      <c r="R887" s="97"/>
      <c r="S887" s="97"/>
      <c r="T887" s="97"/>
      <c r="U887" s="97"/>
      <c r="V887" s="97"/>
      <c r="W887" s="97"/>
      <c r="X887" s="97"/>
      <c r="Y887" s="97"/>
      <c r="Z887" s="97"/>
      <c r="AA887" s="97"/>
    </row>
    <row r="888" spans="1:27" ht="17">
      <c r="A888" s="97"/>
      <c r="B888" s="97"/>
      <c r="C888" s="302"/>
      <c r="D888" s="302"/>
      <c r="E888" s="302"/>
      <c r="F888" s="302"/>
      <c r="G888" s="97"/>
      <c r="H888" s="97"/>
      <c r="I888" s="97"/>
      <c r="J888" s="97"/>
      <c r="K888" s="97"/>
      <c r="L888" s="97"/>
      <c r="M888" s="97"/>
      <c r="N888" s="97"/>
      <c r="O888" s="97"/>
      <c r="P888" s="97"/>
      <c r="Q888" s="97"/>
      <c r="R888" s="97"/>
      <c r="S888" s="97"/>
      <c r="T888" s="97"/>
      <c r="U888" s="97"/>
      <c r="V888" s="97"/>
      <c r="W888" s="97"/>
      <c r="X888" s="97"/>
      <c r="Y888" s="97"/>
      <c r="Z888" s="97"/>
      <c r="AA888" s="97"/>
    </row>
    <row r="889" spans="1:27" ht="17">
      <c r="A889" s="97"/>
      <c r="B889" s="97"/>
      <c r="C889" s="302"/>
      <c r="D889" s="302"/>
      <c r="E889" s="302"/>
      <c r="F889" s="302"/>
      <c r="G889" s="97"/>
      <c r="H889" s="97"/>
      <c r="I889" s="97"/>
      <c r="J889" s="97"/>
      <c r="K889" s="97"/>
      <c r="L889" s="97"/>
      <c r="M889" s="97"/>
      <c r="N889" s="97"/>
      <c r="O889" s="97"/>
      <c r="P889" s="97"/>
      <c r="Q889" s="97"/>
      <c r="R889" s="97"/>
      <c r="S889" s="97"/>
      <c r="T889" s="97"/>
      <c r="U889" s="97"/>
      <c r="V889" s="97"/>
      <c r="W889" s="97"/>
      <c r="X889" s="97"/>
      <c r="Y889" s="97"/>
      <c r="Z889" s="97"/>
      <c r="AA889" s="97"/>
    </row>
    <row r="890" spans="1:27" ht="17">
      <c r="A890" s="97"/>
      <c r="B890" s="97"/>
      <c r="C890" s="302"/>
      <c r="D890" s="302"/>
      <c r="E890" s="302"/>
      <c r="F890" s="302"/>
      <c r="G890" s="97"/>
      <c r="H890" s="97"/>
      <c r="I890" s="97"/>
      <c r="J890" s="97"/>
      <c r="K890" s="97"/>
      <c r="L890" s="97"/>
      <c r="M890" s="97"/>
      <c r="N890" s="97"/>
      <c r="O890" s="97"/>
      <c r="P890" s="97"/>
      <c r="Q890" s="97"/>
      <c r="R890" s="97"/>
      <c r="S890" s="97"/>
      <c r="T890" s="97"/>
      <c r="U890" s="97"/>
      <c r="V890" s="97"/>
      <c r="W890" s="97"/>
      <c r="X890" s="97"/>
      <c r="Y890" s="97"/>
      <c r="Z890" s="97"/>
      <c r="AA890" s="97"/>
    </row>
    <row r="891" spans="1:27" ht="17">
      <c r="A891" s="97"/>
      <c r="B891" s="97"/>
      <c r="C891" s="302"/>
      <c r="D891" s="302"/>
      <c r="E891" s="302"/>
      <c r="F891" s="302"/>
      <c r="G891" s="97"/>
      <c r="H891" s="97"/>
      <c r="I891" s="97"/>
      <c r="J891" s="97"/>
      <c r="K891" s="97"/>
      <c r="L891" s="97"/>
      <c r="M891" s="97"/>
      <c r="N891" s="97"/>
      <c r="O891" s="97"/>
      <c r="P891" s="97"/>
      <c r="Q891" s="97"/>
      <c r="R891" s="97"/>
      <c r="S891" s="97"/>
      <c r="T891" s="97"/>
      <c r="U891" s="97"/>
      <c r="V891" s="97"/>
      <c r="W891" s="97"/>
      <c r="X891" s="97"/>
      <c r="Y891" s="97"/>
      <c r="Z891" s="97"/>
      <c r="AA891" s="97"/>
    </row>
    <row r="892" spans="1:27" ht="17">
      <c r="A892" s="97"/>
      <c r="B892" s="97"/>
      <c r="C892" s="302"/>
      <c r="D892" s="302"/>
      <c r="E892" s="302"/>
      <c r="F892" s="302"/>
      <c r="G892" s="97"/>
      <c r="H892" s="97"/>
      <c r="I892" s="97"/>
      <c r="J892" s="97"/>
      <c r="K892" s="97"/>
      <c r="L892" s="97"/>
      <c r="M892" s="97"/>
      <c r="N892" s="97"/>
      <c r="O892" s="97"/>
      <c r="P892" s="97"/>
      <c r="Q892" s="97"/>
      <c r="R892" s="97"/>
      <c r="S892" s="97"/>
      <c r="T892" s="97"/>
      <c r="U892" s="97"/>
      <c r="V892" s="97"/>
      <c r="W892" s="97"/>
      <c r="X892" s="97"/>
      <c r="Y892" s="97"/>
      <c r="Z892" s="97"/>
      <c r="AA892" s="97"/>
    </row>
    <row r="893" spans="1:27" ht="17">
      <c r="A893" s="97"/>
      <c r="B893" s="97"/>
      <c r="C893" s="302"/>
      <c r="D893" s="302"/>
      <c r="E893" s="302"/>
      <c r="F893" s="302"/>
      <c r="G893" s="97"/>
      <c r="H893" s="97"/>
      <c r="I893" s="97"/>
      <c r="J893" s="97"/>
      <c r="K893" s="97"/>
      <c r="L893" s="97"/>
      <c r="M893" s="97"/>
      <c r="N893" s="97"/>
      <c r="O893" s="97"/>
      <c r="P893" s="97"/>
      <c r="Q893" s="97"/>
      <c r="R893" s="97"/>
      <c r="S893" s="97"/>
      <c r="T893" s="97"/>
      <c r="U893" s="97"/>
      <c r="V893" s="97"/>
      <c r="W893" s="97"/>
      <c r="X893" s="97"/>
      <c r="Y893" s="97"/>
      <c r="Z893" s="97"/>
      <c r="AA893" s="97"/>
    </row>
    <row r="894" spans="1:27" ht="17">
      <c r="A894" s="97"/>
      <c r="B894" s="97"/>
      <c r="C894" s="302"/>
      <c r="D894" s="302"/>
      <c r="E894" s="302"/>
      <c r="F894" s="302"/>
      <c r="G894" s="97"/>
      <c r="H894" s="97"/>
      <c r="I894" s="97"/>
      <c r="J894" s="97"/>
      <c r="K894" s="97"/>
      <c r="L894" s="97"/>
      <c r="M894" s="97"/>
      <c r="N894" s="97"/>
      <c r="O894" s="97"/>
      <c r="P894" s="97"/>
      <c r="Q894" s="97"/>
      <c r="R894" s="97"/>
      <c r="S894" s="97"/>
      <c r="T894" s="97"/>
      <c r="U894" s="97"/>
      <c r="V894" s="97"/>
      <c r="W894" s="97"/>
      <c r="X894" s="97"/>
      <c r="Y894" s="97"/>
      <c r="Z894" s="97"/>
      <c r="AA894" s="97"/>
    </row>
    <row r="895" spans="1:27" ht="17">
      <c r="A895" s="97"/>
      <c r="B895" s="97"/>
      <c r="C895" s="302"/>
      <c r="D895" s="302"/>
      <c r="E895" s="302"/>
      <c r="F895" s="302"/>
      <c r="G895" s="97"/>
      <c r="H895" s="97"/>
      <c r="I895" s="97"/>
      <c r="J895" s="97"/>
      <c r="K895" s="97"/>
      <c r="L895" s="97"/>
      <c r="M895" s="97"/>
      <c r="N895" s="97"/>
      <c r="O895" s="97"/>
      <c r="P895" s="97"/>
      <c r="Q895" s="97"/>
      <c r="R895" s="97"/>
      <c r="S895" s="97"/>
      <c r="T895" s="97"/>
      <c r="U895" s="97"/>
      <c r="V895" s="97"/>
      <c r="W895" s="97"/>
      <c r="X895" s="97"/>
      <c r="Y895" s="97"/>
      <c r="Z895" s="97"/>
      <c r="AA895" s="97"/>
    </row>
    <row r="896" spans="1:27" ht="17">
      <c r="A896" s="97"/>
      <c r="B896" s="97"/>
      <c r="C896" s="302"/>
      <c r="D896" s="302"/>
      <c r="E896" s="302"/>
      <c r="F896" s="302"/>
      <c r="G896" s="97"/>
      <c r="H896" s="97"/>
      <c r="I896" s="97"/>
      <c r="J896" s="97"/>
      <c r="K896" s="97"/>
      <c r="L896" s="97"/>
      <c r="M896" s="97"/>
      <c r="N896" s="97"/>
      <c r="O896" s="97"/>
      <c r="P896" s="97"/>
      <c r="Q896" s="97"/>
      <c r="R896" s="97"/>
      <c r="S896" s="97"/>
      <c r="T896" s="97"/>
      <c r="U896" s="97"/>
      <c r="V896" s="97"/>
      <c r="W896" s="97"/>
      <c r="X896" s="97"/>
      <c r="Y896" s="97"/>
      <c r="Z896" s="97"/>
      <c r="AA896" s="97"/>
    </row>
    <row r="897" spans="1:27" ht="17">
      <c r="A897" s="97"/>
      <c r="B897" s="97"/>
      <c r="C897" s="302"/>
      <c r="D897" s="302"/>
      <c r="E897" s="302"/>
      <c r="F897" s="302"/>
      <c r="G897" s="97"/>
      <c r="H897" s="97"/>
      <c r="I897" s="97"/>
      <c r="J897" s="97"/>
      <c r="K897" s="97"/>
      <c r="L897" s="97"/>
      <c r="M897" s="97"/>
      <c r="N897" s="97"/>
      <c r="O897" s="97"/>
      <c r="P897" s="97"/>
      <c r="Q897" s="97"/>
      <c r="R897" s="97"/>
      <c r="S897" s="97"/>
      <c r="T897" s="97"/>
      <c r="U897" s="97"/>
      <c r="V897" s="97"/>
      <c r="W897" s="97"/>
      <c r="X897" s="97"/>
      <c r="Y897" s="97"/>
      <c r="Z897" s="97"/>
      <c r="AA897" s="97"/>
    </row>
    <row r="898" spans="1:27" ht="17">
      <c r="A898" s="97"/>
      <c r="B898" s="97"/>
      <c r="C898" s="302"/>
      <c r="D898" s="302"/>
      <c r="E898" s="302"/>
      <c r="F898" s="302"/>
      <c r="G898" s="97"/>
      <c r="H898" s="97"/>
      <c r="I898" s="97"/>
      <c r="J898" s="97"/>
      <c r="K898" s="97"/>
      <c r="L898" s="97"/>
      <c r="M898" s="97"/>
      <c r="N898" s="97"/>
      <c r="O898" s="97"/>
      <c r="P898" s="97"/>
      <c r="Q898" s="97"/>
      <c r="R898" s="97"/>
      <c r="S898" s="97"/>
      <c r="T898" s="97"/>
      <c r="U898" s="97"/>
      <c r="V898" s="97"/>
      <c r="W898" s="97"/>
      <c r="X898" s="97"/>
      <c r="Y898" s="97"/>
      <c r="Z898" s="97"/>
      <c r="AA898" s="97"/>
    </row>
    <row r="899" spans="1:27" ht="17">
      <c r="A899" s="97"/>
      <c r="B899" s="97"/>
      <c r="C899" s="302"/>
      <c r="D899" s="302"/>
      <c r="E899" s="302"/>
      <c r="F899" s="302"/>
      <c r="G899" s="97"/>
      <c r="H899" s="97"/>
      <c r="I899" s="97"/>
      <c r="J899" s="97"/>
      <c r="K899" s="97"/>
      <c r="L899" s="97"/>
      <c r="M899" s="97"/>
      <c r="N899" s="97"/>
      <c r="O899" s="97"/>
      <c r="P899" s="97"/>
      <c r="Q899" s="97"/>
      <c r="R899" s="97"/>
      <c r="S899" s="97"/>
      <c r="T899" s="97"/>
      <c r="U899" s="97"/>
      <c r="V899" s="97"/>
      <c r="W899" s="97"/>
      <c r="X899" s="97"/>
      <c r="Y899" s="97"/>
      <c r="Z899" s="97"/>
      <c r="AA899" s="97"/>
    </row>
    <row r="900" spans="1:27" ht="17">
      <c r="A900" s="97"/>
      <c r="B900" s="97"/>
      <c r="C900" s="302"/>
      <c r="D900" s="302"/>
      <c r="E900" s="302"/>
      <c r="F900" s="302"/>
      <c r="G900" s="97"/>
      <c r="H900" s="97"/>
      <c r="I900" s="97"/>
      <c r="J900" s="97"/>
      <c r="K900" s="97"/>
      <c r="L900" s="97"/>
      <c r="M900" s="97"/>
      <c r="N900" s="97"/>
      <c r="O900" s="97"/>
      <c r="P900" s="97"/>
      <c r="Q900" s="97"/>
      <c r="R900" s="97"/>
      <c r="S900" s="97"/>
      <c r="T900" s="97"/>
      <c r="U900" s="97"/>
      <c r="V900" s="97"/>
      <c r="W900" s="97"/>
      <c r="X900" s="97"/>
      <c r="Y900" s="97"/>
      <c r="Z900" s="97"/>
      <c r="AA900" s="97"/>
    </row>
    <row r="901" spans="1:27" ht="17">
      <c r="A901" s="97"/>
      <c r="B901" s="97"/>
      <c r="C901" s="302"/>
      <c r="D901" s="302"/>
      <c r="E901" s="302"/>
      <c r="F901" s="302"/>
      <c r="G901" s="97"/>
      <c r="H901" s="97"/>
      <c r="I901" s="97"/>
      <c r="J901" s="97"/>
      <c r="K901" s="97"/>
      <c r="L901" s="97"/>
      <c r="M901" s="97"/>
      <c r="N901" s="97"/>
      <c r="O901" s="97"/>
      <c r="P901" s="97"/>
      <c r="Q901" s="97"/>
      <c r="R901" s="97"/>
      <c r="S901" s="97"/>
      <c r="T901" s="97"/>
      <c r="U901" s="97"/>
      <c r="V901" s="97"/>
      <c r="W901" s="97"/>
      <c r="X901" s="97"/>
      <c r="Y901" s="97"/>
      <c r="Z901" s="97"/>
      <c r="AA901" s="97"/>
    </row>
    <row r="902" spans="1:27" ht="17">
      <c r="A902" s="97"/>
      <c r="B902" s="97"/>
      <c r="C902" s="302"/>
      <c r="D902" s="302"/>
      <c r="E902" s="302"/>
      <c r="F902" s="302"/>
      <c r="G902" s="97"/>
      <c r="H902" s="97"/>
      <c r="I902" s="97"/>
      <c r="J902" s="97"/>
      <c r="K902" s="97"/>
      <c r="L902" s="97"/>
      <c r="M902" s="97"/>
      <c r="N902" s="97"/>
      <c r="O902" s="97"/>
      <c r="P902" s="97"/>
      <c r="Q902" s="97"/>
      <c r="R902" s="97"/>
      <c r="S902" s="97"/>
      <c r="T902" s="97"/>
      <c r="U902" s="97"/>
      <c r="V902" s="97"/>
      <c r="W902" s="97"/>
      <c r="X902" s="97"/>
      <c r="Y902" s="97"/>
      <c r="Z902" s="97"/>
      <c r="AA902" s="97"/>
    </row>
    <row r="903" spans="1:27" ht="17">
      <c r="A903" s="97"/>
      <c r="B903" s="97"/>
      <c r="C903" s="302"/>
      <c r="D903" s="302"/>
      <c r="E903" s="302"/>
      <c r="F903" s="302"/>
      <c r="G903" s="97"/>
      <c r="H903" s="97"/>
      <c r="I903" s="97"/>
      <c r="J903" s="97"/>
      <c r="K903" s="97"/>
      <c r="L903" s="97"/>
      <c r="M903" s="97"/>
      <c r="N903" s="97"/>
      <c r="O903" s="97"/>
      <c r="P903" s="97"/>
      <c r="Q903" s="97"/>
      <c r="R903" s="97"/>
      <c r="S903" s="97"/>
      <c r="T903" s="97"/>
      <c r="U903" s="97"/>
      <c r="V903" s="97"/>
      <c r="W903" s="97"/>
      <c r="X903" s="97"/>
      <c r="Y903" s="97"/>
      <c r="Z903" s="97"/>
      <c r="AA903" s="97"/>
    </row>
    <row r="904" spans="1:27" ht="17">
      <c r="A904" s="97"/>
      <c r="B904" s="97"/>
      <c r="C904" s="302"/>
      <c r="D904" s="302"/>
      <c r="E904" s="302"/>
      <c r="F904" s="302"/>
      <c r="G904" s="97"/>
      <c r="H904" s="97"/>
      <c r="I904" s="97"/>
      <c r="J904" s="97"/>
      <c r="K904" s="97"/>
      <c r="L904" s="97"/>
      <c r="M904" s="97"/>
      <c r="N904" s="97"/>
      <c r="O904" s="97"/>
      <c r="P904" s="97"/>
      <c r="Q904" s="97"/>
      <c r="R904" s="97"/>
      <c r="S904" s="97"/>
      <c r="T904" s="97"/>
      <c r="U904" s="97"/>
      <c r="V904" s="97"/>
      <c r="W904" s="97"/>
      <c r="X904" s="97"/>
      <c r="Y904" s="97"/>
      <c r="Z904" s="97"/>
      <c r="AA904" s="97"/>
    </row>
    <row r="905" spans="1:27" ht="17">
      <c r="A905" s="97"/>
      <c r="B905" s="97"/>
      <c r="C905" s="302"/>
      <c r="D905" s="302"/>
      <c r="E905" s="302"/>
      <c r="F905" s="302"/>
      <c r="G905" s="97"/>
      <c r="H905" s="97"/>
      <c r="I905" s="97"/>
      <c r="J905" s="97"/>
      <c r="K905" s="97"/>
      <c r="L905" s="97"/>
      <c r="M905" s="97"/>
      <c r="N905" s="97"/>
      <c r="O905" s="97"/>
      <c r="P905" s="97"/>
      <c r="Q905" s="97"/>
      <c r="R905" s="97"/>
      <c r="S905" s="97"/>
      <c r="T905" s="97"/>
      <c r="U905" s="97"/>
      <c r="V905" s="97"/>
      <c r="W905" s="97"/>
      <c r="X905" s="97"/>
      <c r="Y905" s="97"/>
      <c r="Z905" s="97"/>
      <c r="AA905" s="97"/>
    </row>
    <row r="906" spans="1:27" ht="17">
      <c r="A906" s="97"/>
      <c r="B906" s="97"/>
      <c r="C906" s="302"/>
      <c r="D906" s="302"/>
      <c r="E906" s="302"/>
      <c r="F906" s="302"/>
      <c r="G906" s="97"/>
      <c r="H906" s="97"/>
      <c r="I906" s="97"/>
      <c r="J906" s="97"/>
      <c r="K906" s="97"/>
      <c r="L906" s="97"/>
      <c r="M906" s="97"/>
      <c r="N906" s="97"/>
      <c r="O906" s="97"/>
      <c r="P906" s="97"/>
      <c r="Q906" s="97"/>
      <c r="R906" s="97"/>
      <c r="S906" s="97"/>
      <c r="T906" s="97"/>
      <c r="U906" s="97"/>
      <c r="V906" s="97"/>
      <c r="W906" s="97"/>
      <c r="X906" s="97"/>
      <c r="Y906" s="97"/>
      <c r="Z906" s="97"/>
      <c r="AA906" s="97"/>
    </row>
    <row r="907" spans="1:27" ht="17">
      <c r="A907" s="97"/>
      <c r="B907" s="97"/>
      <c r="C907" s="302"/>
      <c r="D907" s="302"/>
      <c r="E907" s="302"/>
      <c r="F907" s="302"/>
      <c r="G907" s="97"/>
      <c r="H907" s="97"/>
      <c r="I907" s="97"/>
      <c r="J907" s="97"/>
      <c r="K907" s="97"/>
      <c r="L907" s="97"/>
      <c r="M907" s="97"/>
      <c r="N907" s="97"/>
      <c r="O907" s="97"/>
      <c r="P907" s="97"/>
      <c r="Q907" s="97"/>
      <c r="R907" s="97"/>
      <c r="S907" s="97"/>
      <c r="T907" s="97"/>
      <c r="U907" s="97"/>
      <c r="V907" s="97"/>
      <c r="W907" s="97"/>
      <c r="X907" s="97"/>
      <c r="Y907" s="97"/>
      <c r="Z907" s="97"/>
      <c r="AA907" s="97"/>
    </row>
    <row r="908" spans="1:27" ht="17">
      <c r="A908" s="97"/>
      <c r="B908" s="97"/>
      <c r="C908" s="302"/>
      <c r="D908" s="302"/>
      <c r="E908" s="302"/>
      <c r="F908" s="302"/>
      <c r="G908" s="97"/>
      <c r="H908" s="97"/>
      <c r="I908" s="97"/>
      <c r="J908" s="97"/>
      <c r="K908" s="97"/>
      <c r="L908" s="97"/>
      <c r="M908" s="97"/>
      <c r="N908" s="97"/>
      <c r="O908" s="97"/>
      <c r="P908" s="97"/>
      <c r="Q908" s="97"/>
      <c r="R908" s="97"/>
      <c r="S908" s="97"/>
      <c r="T908" s="97"/>
      <c r="U908" s="97"/>
      <c r="V908" s="97"/>
      <c r="W908" s="97"/>
      <c r="X908" s="97"/>
      <c r="Y908" s="97"/>
      <c r="Z908" s="97"/>
      <c r="AA908" s="97"/>
    </row>
    <row r="909" spans="1:27" ht="17">
      <c r="A909" s="97"/>
      <c r="B909" s="97"/>
      <c r="C909" s="302"/>
      <c r="D909" s="302"/>
      <c r="E909" s="302"/>
      <c r="F909" s="302"/>
      <c r="G909" s="97"/>
      <c r="H909" s="97"/>
      <c r="I909" s="97"/>
      <c r="J909" s="97"/>
      <c r="K909" s="97"/>
      <c r="L909" s="97"/>
      <c r="M909" s="97"/>
      <c r="N909" s="97"/>
      <c r="O909" s="97"/>
      <c r="P909" s="97"/>
      <c r="Q909" s="97"/>
      <c r="R909" s="97"/>
      <c r="S909" s="97"/>
      <c r="T909" s="97"/>
      <c r="U909" s="97"/>
      <c r="V909" s="97"/>
      <c r="W909" s="97"/>
      <c r="X909" s="97"/>
      <c r="Y909" s="97"/>
      <c r="Z909" s="97"/>
      <c r="AA909" s="97"/>
    </row>
    <row r="910" spans="1:27" ht="17">
      <c r="A910" s="97"/>
      <c r="B910" s="97"/>
      <c r="C910" s="302"/>
      <c r="D910" s="302"/>
      <c r="E910" s="302"/>
      <c r="F910" s="302"/>
      <c r="G910" s="97"/>
      <c r="H910" s="97"/>
      <c r="I910" s="97"/>
      <c r="J910" s="97"/>
      <c r="K910" s="97"/>
      <c r="L910" s="97"/>
      <c r="M910" s="97"/>
      <c r="N910" s="97"/>
      <c r="O910" s="97"/>
      <c r="P910" s="97"/>
      <c r="Q910" s="97"/>
      <c r="R910" s="97"/>
      <c r="S910" s="97"/>
      <c r="T910" s="97"/>
      <c r="U910" s="97"/>
      <c r="V910" s="97"/>
      <c r="W910" s="97"/>
      <c r="X910" s="97"/>
      <c r="Y910" s="97"/>
      <c r="Z910" s="97"/>
      <c r="AA910" s="97"/>
    </row>
    <row r="911" spans="1:27" ht="17">
      <c r="A911" s="97"/>
      <c r="B911" s="97"/>
      <c r="C911" s="302"/>
      <c r="D911" s="302"/>
      <c r="E911" s="302"/>
      <c r="F911" s="302"/>
      <c r="G911" s="97"/>
      <c r="H911" s="97"/>
      <c r="I911" s="97"/>
      <c r="J911" s="97"/>
      <c r="K911" s="97"/>
      <c r="L911" s="97"/>
      <c r="M911" s="97"/>
      <c r="N911" s="97"/>
      <c r="O911" s="97"/>
      <c r="P911" s="97"/>
      <c r="Q911" s="97"/>
      <c r="R911" s="97"/>
      <c r="S911" s="97"/>
      <c r="T911" s="97"/>
      <c r="U911" s="97"/>
      <c r="V911" s="97"/>
      <c r="W911" s="97"/>
      <c r="X911" s="97"/>
      <c r="Y911" s="97"/>
      <c r="Z911" s="97"/>
      <c r="AA911" s="97"/>
    </row>
    <row r="912" spans="1:27" ht="17">
      <c r="A912" s="97"/>
      <c r="B912" s="97"/>
      <c r="C912" s="302"/>
      <c r="D912" s="302"/>
      <c r="E912" s="302"/>
      <c r="F912" s="302"/>
      <c r="G912" s="97"/>
      <c r="H912" s="97"/>
      <c r="I912" s="97"/>
      <c r="J912" s="97"/>
      <c r="K912" s="97"/>
      <c r="L912" s="97"/>
      <c r="M912" s="97"/>
      <c r="N912" s="97"/>
      <c r="O912" s="97"/>
      <c r="P912" s="97"/>
      <c r="Q912" s="97"/>
      <c r="R912" s="97"/>
      <c r="S912" s="97"/>
      <c r="T912" s="97"/>
      <c r="U912" s="97"/>
      <c r="V912" s="97"/>
      <c r="W912" s="97"/>
      <c r="X912" s="97"/>
      <c r="Y912" s="97"/>
      <c r="Z912" s="97"/>
      <c r="AA912" s="97"/>
    </row>
    <row r="913" spans="1:27" ht="17">
      <c r="A913" s="97"/>
      <c r="B913" s="97"/>
      <c r="C913" s="302"/>
      <c r="D913" s="302"/>
      <c r="E913" s="302"/>
      <c r="F913" s="302"/>
      <c r="G913" s="97"/>
      <c r="H913" s="97"/>
      <c r="I913" s="97"/>
      <c r="J913" s="97"/>
      <c r="K913" s="97"/>
      <c r="L913" s="97"/>
      <c r="M913" s="97"/>
      <c r="N913" s="97"/>
      <c r="O913" s="97"/>
      <c r="P913" s="97"/>
      <c r="Q913" s="97"/>
      <c r="R913" s="97"/>
      <c r="S913" s="97"/>
      <c r="T913" s="97"/>
      <c r="U913" s="97"/>
      <c r="V913" s="97"/>
      <c r="W913" s="97"/>
      <c r="X913" s="97"/>
      <c r="Y913" s="97"/>
      <c r="Z913" s="97"/>
      <c r="AA913" s="97"/>
    </row>
    <row r="914" spans="1:27" ht="17">
      <c r="A914" s="97"/>
      <c r="B914" s="97"/>
      <c r="C914" s="302"/>
      <c r="D914" s="302"/>
      <c r="E914" s="302"/>
      <c r="F914" s="302"/>
      <c r="G914" s="97"/>
      <c r="H914" s="97"/>
      <c r="I914" s="97"/>
      <c r="J914" s="97"/>
      <c r="K914" s="97"/>
      <c r="L914" s="97"/>
      <c r="M914" s="97"/>
      <c r="N914" s="97"/>
      <c r="O914" s="97"/>
      <c r="P914" s="97"/>
      <c r="Q914" s="97"/>
      <c r="R914" s="97"/>
      <c r="S914" s="97"/>
      <c r="T914" s="97"/>
      <c r="U914" s="97"/>
      <c r="V914" s="97"/>
      <c r="W914" s="97"/>
      <c r="X914" s="97"/>
      <c r="Y914" s="97"/>
      <c r="Z914" s="97"/>
      <c r="AA914" s="97"/>
    </row>
    <row r="915" spans="1:27" ht="17">
      <c r="A915" s="97"/>
      <c r="B915" s="97"/>
      <c r="C915" s="302"/>
      <c r="D915" s="302"/>
      <c r="E915" s="302"/>
      <c r="F915" s="302"/>
      <c r="G915" s="97"/>
      <c r="H915" s="97"/>
      <c r="I915" s="97"/>
      <c r="J915" s="97"/>
      <c r="K915" s="97"/>
      <c r="L915" s="97"/>
      <c r="M915" s="97"/>
      <c r="N915" s="97"/>
      <c r="O915" s="97"/>
      <c r="P915" s="97"/>
      <c r="Q915" s="97"/>
      <c r="R915" s="97"/>
      <c r="S915" s="97"/>
      <c r="T915" s="97"/>
      <c r="U915" s="97"/>
      <c r="V915" s="97"/>
      <c r="W915" s="97"/>
      <c r="X915" s="97"/>
      <c r="Y915" s="97"/>
      <c r="Z915" s="97"/>
      <c r="AA915" s="97"/>
    </row>
    <row r="916" spans="1:27" ht="17">
      <c r="A916" s="97"/>
      <c r="B916" s="97"/>
      <c r="C916" s="302"/>
      <c r="D916" s="302"/>
      <c r="E916" s="302"/>
      <c r="F916" s="302"/>
      <c r="G916" s="97"/>
      <c r="H916" s="97"/>
      <c r="I916" s="97"/>
      <c r="J916" s="97"/>
      <c r="K916" s="97"/>
      <c r="L916" s="97"/>
      <c r="M916" s="97"/>
      <c r="N916" s="97"/>
      <c r="O916" s="97"/>
      <c r="P916" s="97"/>
      <c r="Q916" s="97"/>
      <c r="R916" s="97"/>
      <c r="S916" s="97"/>
      <c r="T916" s="97"/>
      <c r="U916" s="97"/>
      <c r="V916" s="97"/>
      <c r="W916" s="97"/>
      <c r="X916" s="97"/>
      <c r="Y916" s="97"/>
      <c r="Z916" s="97"/>
      <c r="AA916" s="97"/>
    </row>
    <row r="917" spans="1:27" ht="17">
      <c r="A917" s="97"/>
      <c r="B917" s="97"/>
      <c r="C917" s="302"/>
      <c r="D917" s="302"/>
      <c r="E917" s="302"/>
      <c r="F917" s="302"/>
      <c r="G917" s="97"/>
      <c r="H917" s="97"/>
      <c r="I917" s="97"/>
      <c r="J917" s="97"/>
      <c r="K917" s="97"/>
      <c r="L917" s="97"/>
      <c r="M917" s="97"/>
      <c r="N917" s="97"/>
      <c r="O917" s="97"/>
      <c r="P917" s="97"/>
      <c r="Q917" s="97"/>
      <c r="R917" s="97"/>
      <c r="S917" s="97"/>
      <c r="T917" s="97"/>
      <c r="U917" s="97"/>
      <c r="V917" s="97"/>
      <c r="W917" s="97"/>
      <c r="X917" s="97"/>
      <c r="Y917" s="97"/>
      <c r="Z917" s="97"/>
      <c r="AA917" s="97"/>
    </row>
    <row r="918" spans="1:27" ht="17">
      <c r="A918" s="97"/>
      <c r="B918" s="97"/>
      <c r="C918" s="302"/>
      <c r="D918" s="302"/>
      <c r="E918" s="302"/>
      <c r="F918" s="302"/>
      <c r="G918" s="97"/>
      <c r="H918" s="97"/>
      <c r="I918" s="97"/>
      <c r="J918" s="97"/>
      <c r="K918" s="97"/>
      <c r="L918" s="97"/>
      <c r="M918" s="97"/>
      <c r="N918" s="97"/>
      <c r="O918" s="97"/>
      <c r="P918" s="97"/>
      <c r="Q918" s="97"/>
      <c r="R918" s="97"/>
      <c r="S918" s="97"/>
      <c r="T918" s="97"/>
      <c r="U918" s="97"/>
      <c r="V918" s="97"/>
      <c r="W918" s="97"/>
      <c r="X918" s="97"/>
      <c r="Y918" s="97"/>
      <c r="Z918" s="97"/>
      <c r="AA918" s="97"/>
    </row>
    <row r="919" spans="1:27" ht="17">
      <c r="A919" s="97"/>
      <c r="B919" s="97"/>
      <c r="C919" s="302"/>
      <c r="D919" s="302"/>
      <c r="E919" s="302"/>
      <c r="F919" s="302"/>
      <c r="G919" s="97"/>
      <c r="H919" s="97"/>
      <c r="I919" s="97"/>
      <c r="J919" s="97"/>
      <c r="K919" s="97"/>
      <c r="L919" s="97"/>
      <c r="M919" s="97"/>
      <c r="N919" s="97"/>
      <c r="O919" s="97"/>
      <c r="P919" s="97"/>
      <c r="Q919" s="97"/>
      <c r="R919" s="97"/>
      <c r="S919" s="97"/>
      <c r="T919" s="97"/>
      <c r="U919" s="97"/>
      <c r="V919" s="97"/>
      <c r="W919" s="97"/>
      <c r="X919" s="97"/>
      <c r="Y919" s="97"/>
      <c r="Z919" s="97"/>
      <c r="AA919" s="97"/>
    </row>
    <row r="920" spans="1:27" ht="17">
      <c r="A920" s="97"/>
      <c r="B920" s="97"/>
      <c r="C920" s="302"/>
      <c r="D920" s="302"/>
      <c r="E920" s="302"/>
      <c r="F920" s="302"/>
      <c r="G920" s="97"/>
      <c r="H920" s="97"/>
      <c r="I920" s="97"/>
      <c r="J920" s="97"/>
      <c r="K920" s="97"/>
      <c r="L920" s="97"/>
      <c r="M920" s="97"/>
      <c r="N920" s="97"/>
      <c r="O920" s="97"/>
      <c r="P920" s="97"/>
      <c r="Q920" s="97"/>
      <c r="R920" s="97"/>
      <c r="S920" s="97"/>
      <c r="T920" s="97"/>
      <c r="U920" s="97"/>
      <c r="V920" s="97"/>
      <c r="W920" s="97"/>
      <c r="X920" s="97"/>
      <c r="Y920" s="97"/>
      <c r="Z920" s="97"/>
      <c r="AA920" s="97"/>
    </row>
    <row r="921" spans="1:27" ht="17">
      <c r="A921" s="97"/>
      <c r="B921" s="97"/>
      <c r="C921" s="302"/>
      <c r="D921" s="302"/>
      <c r="E921" s="302"/>
      <c r="F921" s="302"/>
      <c r="G921" s="97"/>
      <c r="H921" s="97"/>
      <c r="I921" s="97"/>
      <c r="J921" s="97"/>
      <c r="K921" s="97"/>
      <c r="L921" s="97"/>
      <c r="M921" s="97"/>
      <c r="N921" s="97"/>
      <c r="O921" s="97"/>
      <c r="P921" s="97"/>
      <c r="Q921" s="97"/>
      <c r="R921" s="97"/>
      <c r="S921" s="97"/>
      <c r="T921" s="97"/>
      <c r="U921" s="97"/>
      <c r="V921" s="97"/>
      <c r="W921" s="97"/>
      <c r="X921" s="97"/>
      <c r="Y921" s="97"/>
      <c r="Z921" s="97"/>
      <c r="AA921" s="97"/>
    </row>
    <row r="922" spans="1:27" ht="17">
      <c r="A922" s="97"/>
      <c r="B922" s="97"/>
      <c r="C922" s="302"/>
      <c r="D922" s="302"/>
      <c r="E922" s="302"/>
      <c r="F922" s="302"/>
      <c r="G922" s="97"/>
      <c r="H922" s="97"/>
      <c r="I922" s="97"/>
      <c r="J922" s="97"/>
      <c r="K922" s="97"/>
      <c r="L922" s="97"/>
      <c r="M922" s="97"/>
      <c r="N922" s="97"/>
      <c r="O922" s="97"/>
      <c r="P922" s="97"/>
      <c r="Q922" s="97"/>
      <c r="R922" s="97"/>
      <c r="S922" s="97"/>
      <c r="T922" s="97"/>
      <c r="U922" s="97"/>
      <c r="V922" s="97"/>
      <c r="W922" s="97"/>
      <c r="X922" s="97"/>
      <c r="Y922" s="97"/>
      <c r="Z922" s="97"/>
      <c r="AA922" s="97"/>
    </row>
    <row r="923" spans="1:27" ht="17">
      <c r="A923" s="97"/>
      <c r="B923" s="97"/>
      <c r="C923" s="302"/>
      <c r="D923" s="302"/>
      <c r="E923" s="302"/>
      <c r="F923" s="302"/>
      <c r="G923" s="97"/>
      <c r="H923" s="97"/>
      <c r="I923" s="97"/>
      <c r="J923" s="97"/>
      <c r="K923" s="97"/>
      <c r="L923" s="97"/>
      <c r="M923" s="97"/>
      <c r="N923" s="97"/>
      <c r="O923" s="97"/>
      <c r="P923" s="97"/>
      <c r="Q923" s="97"/>
      <c r="R923" s="97"/>
      <c r="S923" s="97"/>
      <c r="T923" s="97"/>
      <c r="U923" s="97"/>
      <c r="V923" s="97"/>
      <c r="W923" s="97"/>
      <c r="X923" s="97"/>
      <c r="Y923" s="97"/>
      <c r="Z923" s="97"/>
      <c r="AA923" s="97"/>
    </row>
    <row r="924" spans="1:27" ht="17">
      <c r="A924" s="97"/>
      <c r="B924" s="97"/>
      <c r="C924" s="302"/>
      <c r="D924" s="302"/>
      <c r="E924" s="302"/>
      <c r="F924" s="302"/>
      <c r="G924" s="97"/>
      <c r="H924" s="97"/>
      <c r="I924" s="97"/>
      <c r="J924" s="97"/>
      <c r="K924" s="97"/>
      <c r="L924" s="97"/>
      <c r="M924" s="97"/>
      <c r="N924" s="97"/>
      <c r="O924" s="97"/>
      <c r="P924" s="97"/>
      <c r="Q924" s="97"/>
      <c r="R924" s="97"/>
      <c r="S924" s="97"/>
      <c r="T924" s="97"/>
      <c r="U924" s="97"/>
      <c r="V924" s="97"/>
      <c r="W924" s="97"/>
      <c r="X924" s="97"/>
      <c r="Y924" s="97"/>
      <c r="Z924" s="97"/>
      <c r="AA924" s="97"/>
    </row>
    <row r="925" spans="1:27" ht="17">
      <c r="A925" s="97"/>
      <c r="B925" s="97"/>
      <c r="C925" s="302"/>
      <c r="D925" s="302"/>
      <c r="E925" s="302"/>
      <c r="F925" s="302"/>
      <c r="G925" s="97"/>
      <c r="H925" s="97"/>
      <c r="I925" s="97"/>
      <c r="J925" s="97"/>
      <c r="K925" s="97"/>
      <c r="L925" s="97"/>
      <c r="M925" s="97"/>
      <c r="N925" s="97"/>
      <c r="O925" s="97"/>
      <c r="P925" s="97"/>
      <c r="Q925" s="97"/>
      <c r="R925" s="97"/>
      <c r="S925" s="97"/>
      <c r="T925" s="97"/>
      <c r="U925" s="97"/>
      <c r="V925" s="97"/>
      <c r="W925" s="97"/>
      <c r="X925" s="97"/>
      <c r="Y925" s="97"/>
      <c r="Z925" s="97"/>
      <c r="AA925" s="97"/>
    </row>
    <row r="926" spans="1:27" ht="17">
      <c r="A926" s="97"/>
      <c r="B926" s="97"/>
      <c r="C926" s="302"/>
      <c r="D926" s="302"/>
      <c r="E926" s="302"/>
      <c r="F926" s="302"/>
      <c r="G926" s="97"/>
      <c r="H926" s="97"/>
      <c r="I926" s="97"/>
      <c r="J926" s="97"/>
      <c r="K926" s="97"/>
      <c r="L926" s="97"/>
      <c r="M926" s="97"/>
      <c r="N926" s="97"/>
      <c r="O926" s="97"/>
      <c r="P926" s="97"/>
      <c r="Q926" s="97"/>
      <c r="R926" s="97"/>
      <c r="S926" s="97"/>
      <c r="T926" s="97"/>
      <c r="U926" s="97"/>
      <c r="V926" s="97"/>
      <c r="W926" s="97"/>
      <c r="X926" s="97"/>
      <c r="Y926" s="97"/>
      <c r="Z926" s="97"/>
      <c r="AA926" s="97"/>
    </row>
    <row r="927" spans="1:27" ht="17">
      <c r="A927" s="97"/>
      <c r="B927" s="97"/>
      <c r="C927" s="302"/>
      <c r="D927" s="302"/>
      <c r="E927" s="302"/>
      <c r="F927" s="302"/>
      <c r="G927" s="97"/>
      <c r="H927" s="97"/>
      <c r="I927" s="97"/>
      <c r="J927" s="97"/>
      <c r="K927" s="97"/>
      <c r="L927" s="97"/>
      <c r="M927" s="97"/>
      <c r="N927" s="97"/>
      <c r="O927" s="97"/>
      <c r="P927" s="97"/>
      <c r="Q927" s="97"/>
      <c r="R927" s="97"/>
      <c r="S927" s="97"/>
      <c r="T927" s="97"/>
      <c r="U927" s="97"/>
      <c r="V927" s="97"/>
      <c r="W927" s="97"/>
      <c r="X927" s="97"/>
      <c r="Y927" s="97"/>
      <c r="Z927" s="97"/>
      <c r="AA927" s="97"/>
    </row>
    <row r="928" spans="1:27" ht="17">
      <c r="A928" s="97"/>
      <c r="B928" s="97"/>
      <c r="C928" s="302"/>
      <c r="D928" s="302"/>
      <c r="E928" s="302"/>
      <c r="F928" s="302"/>
      <c r="G928" s="97"/>
      <c r="H928" s="97"/>
      <c r="I928" s="97"/>
      <c r="J928" s="97"/>
      <c r="K928" s="97"/>
      <c r="L928" s="97"/>
      <c r="M928" s="97"/>
      <c r="N928" s="97"/>
      <c r="O928" s="97"/>
      <c r="P928" s="97"/>
      <c r="Q928" s="97"/>
      <c r="R928" s="97"/>
      <c r="S928" s="97"/>
      <c r="T928" s="97"/>
      <c r="U928" s="97"/>
      <c r="V928" s="97"/>
      <c r="W928" s="97"/>
      <c r="X928" s="97"/>
      <c r="Y928" s="97"/>
      <c r="Z928" s="97"/>
      <c r="AA928" s="97"/>
    </row>
    <row r="929" spans="1:27" ht="17">
      <c r="A929" s="97"/>
      <c r="B929" s="97"/>
      <c r="C929" s="302"/>
      <c r="D929" s="302"/>
      <c r="E929" s="302"/>
      <c r="F929" s="302"/>
      <c r="G929" s="97"/>
      <c r="H929" s="97"/>
      <c r="I929" s="97"/>
      <c r="J929" s="97"/>
      <c r="K929" s="97"/>
      <c r="L929" s="97"/>
      <c r="M929" s="97"/>
      <c r="N929" s="97"/>
      <c r="O929" s="97"/>
      <c r="P929" s="97"/>
      <c r="Q929" s="97"/>
      <c r="R929" s="97"/>
      <c r="S929" s="97"/>
      <c r="T929" s="97"/>
      <c r="U929" s="97"/>
      <c r="V929" s="97"/>
      <c r="W929" s="97"/>
      <c r="X929" s="97"/>
      <c r="Y929" s="97"/>
      <c r="Z929" s="97"/>
      <c r="AA929" s="97"/>
    </row>
    <row r="930" spans="1:27" ht="17">
      <c r="A930" s="97"/>
      <c r="B930" s="97"/>
      <c r="C930" s="302"/>
      <c r="D930" s="302"/>
      <c r="E930" s="302"/>
      <c r="F930" s="302"/>
      <c r="G930" s="97"/>
      <c r="H930" s="97"/>
      <c r="I930" s="97"/>
      <c r="J930" s="97"/>
      <c r="K930" s="97"/>
      <c r="L930" s="97"/>
      <c r="M930" s="97"/>
      <c r="N930" s="97"/>
      <c r="O930" s="97"/>
      <c r="P930" s="97"/>
      <c r="Q930" s="97"/>
      <c r="R930" s="97"/>
      <c r="S930" s="97"/>
      <c r="T930" s="97"/>
      <c r="U930" s="97"/>
      <c r="V930" s="97"/>
      <c r="W930" s="97"/>
      <c r="X930" s="97"/>
      <c r="Y930" s="97"/>
      <c r="Z930" s="97"/>
      <c r="AA930" s="97"/>
    </row>
    <row r="931" spans="1:27" ht="17">
      <c r="A931" s="97"/>
      <c r="B931" s="97"/>
      <c r="C931" s="302"/>
      <c r="D931" s="302"/>
      <c r="E931" s="302"/>
      <c r="F931" s="302"/>
      <c r="G931" s="97"/>
      <c r="H931" s="97"/>
      <c r="I931" s="97"/>
      <c r="J931" s="97"/>
      <c r="K931" s="97"/>
      <c r="L931" s="97"/>
      <c r="M931" s="97"/>
      <c r="N931" s="97"/>
      <c r="O931" s="97"/>
      <c r="P931" s="97"/>
      <c r="Q931" s="97"/>
      <c r="R931" s="97"/>
      <c r="S931" s="97"/>
      <c r="T931" s="97"/>
      <c r="U931" s="97"/>
      <c r="V931" s="97"/>
      <c r="W931" s="97"/>
      <c r="X931" s="97"/>
      <c r="Y931" s="97"/>
      <c r="Z931" s="97"/>
      <c r="AA931" s="97"/>
    </row>
    <row r="932" spans="1:27" ht="17">
      <c r="A932" s="97"/>
      <c r="B932" s="97"/>
      <c r="C932" s="302"/>
      <c r="D932" s="302"/>
      <c r="E932" s="302"/>
      <c r="F932" s="302"/>
      <c r="G932" s="97"/>
      <c r="H932" s="97"/>
      <c r="I932" s="97"/>
      <c r="J932" s="97"/>
      <c r="K932" s="97"/>
      <c r="L932" s="97"/>
      <c r="M932" s="97"/>
      <c r="N932" s="97"/>
      <c r="O932" s="97"/>
      <c r="P932" s="97"/>
      <c r="Q932" s="97"/>
      <c r="R932" s="97"/>
      <c r="S932" s="97"/>
      <c r="T932" s="97"/>
      <c r="U932" s="97"/>
      <c r="V932" s="97"/>
      <c r="W932" s="97"/>
      <c r="X932" s="97"/>
      <c r="Y932" s="97"/>
      <c r="Z932" s="97"/>
      <c r="AA932" s="97"/>
    </row>
    <row r="933" spans="1:27" ht="17">
      <c r="A933" s="97"/>
      <c r="B933" s="97"/>
      <c r="C933" s="302"/>
      <c r="D933" s="302"/>
      <c r="E933" s="302"/>
      <c r="F933" s="302"/>
      <c r="G933" s="97"/>
      <c r="H933" s="97"/>
      <c r="I933" s="97"/>
      <c r="J933" s="97"/>
      <c r="K933" s="97"/>
      <c r="L933" s="97"/>
      <c r="M933" s="97"/>
      <c r="N933" s="97"/>
      <c r="O933" s="97"/>
      <c r="P933" s="97"/>
      <c r="Q933" s="97"/>
      <c r="R933" s="97"/>
      <c r="S933" s="97"/>
      <c r="T933" s="97"/>
      <c r="U933" s="97"/>
      <c r="V933" s="97"/>
      <c r="W933" s="97"/>
      <c r="X933" s="97"/>
      <c r="Y933" s="97"/>
      <c r="Z933" s="97"/>
      <c r="AA933" s="97"/>
    </row>
    <row r="934" spans="1:27" ht="17">
      <c r="A934" s="97"/>
      <c r="B934" s="97"/>
      <c r="C934" s="302"/>
      <c r="D934" s="302"/>
      <c r="E934" s="302"/>
      <c r="F934" s="302"/>
      <c r="G934" s="97"/>
      <c r="H934" s="97"/>
      <c r="I934" s="97"/>
      <c r="J934" s="97"/>
      <c r="K934" s="97"/>
      <c r="L934" s="97"/>
      <c r="M934" s="97"/>
      <c r="N934" s="97"/>
      <c r="O934" s="97"/>
      <c r="P934" s="97"/>
      <c r="Q934" s="97"/>
      <c r="R934" s="97"/>
      <c r="S934" s="97"/>
      <c r="T934" s="97"/>
      <c r="U934" s="97"/>
      <c r="V934" s="97"/>
      <c r="W934" s="97"/>
      <c r="X934" s="97"/>
      <c r="Y934" s="97"/>
      <c r="Z934" s="97"/>
      <c r="AA934" s="97"/>
    </row>
    <row r="935" spans="1:27" ht="17">
      <c r="A935" s="97"/>
      <c r="B935" s="97"/>
      <c r="C935" s="302"/>
      <c r="D935" s="302"/>
      <c r="E935" s="302"/>
      <c r="F935" s="302"/>
      <c r="G935" s="97"/>
      <c r="H935" s="97"/>
      <c r="I935" s="97"/>
      <c r="J935" s="97"/>
      <c r="K935" s="97"/>
      <c r="L935" s="97"/>
      <c r="M935" s="97"/>
      <c r="N935" s="97"/>
      <c r="O935" s="97"/>
      <c r="P935" s="97"/>
      <c r="Q935" s="97"/>
      <c r="R935" s="97"/>
      <c r="S935" s="97"/>
      <c r="T935" s="97"/>
      <c r="U935" s="97"/>
      <c r="V935" s="97"/>
      <c r="W935" s="97"/>
      <c r="X935" s="97"/>
      <c r="Y935" s="97"/>
      <c r="Z935" s="97"/>
      <c r="AA935" s="97"/>
    </row>
    <row r="936" spans="1:27" ht="17">
      <c r="A936" s="97"/>
      <c r="B936" s="97"/>
      <c r="C936" s="302"/>
      <c r="D936" s="302"/>
      <c r="E936" s="302"/>
      <c r="F936" s="302"/>
      <c r="G936" s="97"/>
      <c r="H936" s="97"/>
      <c r="I936" s="97"/>
      <c r="J936" s="97"/>
      <c r="K936" s="97"/>
      <c r="L936" s="97"/>
      <c r="M936" s="97"/>
      <c r="N936" s="97"/>
      <c r="O936" s="97"/>
      <c r="P936" s="97"/>
      <c r="Q936" s="97"/>
      <c r="R936" s="97"/>
      <c r="S936" s="97"/>
      <c r="T936" s="97"/>
      <c r="U936" s="97"/>
      <c r="V936" s="97"/>
      <c r="W936" s="97"/>
      <c r="X936" s="97"/>
      <c r="Y936" s="97"/>
      <c r="Z936" s="97"/>
      <c r="AA936" s="97"/>
    </row>
    <row r="937" spans="1:27" ht="17">
      <c r="A937" s="97"/>
      <c r="B937" s="97"/>
      <c r="C937" s="302"/>
      <c r="D937" s="302"/>
      <c r="E937" s="302"/>
      <c r="F937" s="302"/>
      <c r="G937" s="97"/>
      <c r="H937" s="97"/>
      <c r="I937" s="97"/>
      <c r="J937" s="97"/>
      <c r="K937" s="97"/>
      <c r="L937" s="97"/>
      <c r="M937" s="97"/>
      <c r="N937" s="97"/>
      <c r="O937" s="97"/>
      <c r="P937" s="97"/>
      <c r="Q937" s="97"/>
      <c r="R937" s="97"/>
      <c r="S937" s="97"/>
      <c r="T937" s="97"/>
      <c r="U937" s="97"/>
      <c r="V937" s="97"/>
      <c r="W937" s="97"/>
      <c r="X937" s="97"/>
      <c r="Y937" s="97"/>
      <c r="Z937" s="97"/>
      <c r="AA937" s="97"/>
    </row>
    <row r="938" spans="1:27" ht="17">
      <c r="A938" s="97"/>
      <c r="B938" s="97"/>
      <c r="C938" s="302"/>
      <c r="D938" s="302"/>
      <c r="E938" s="302"/>
      <c r="F938" s="302"/>
      <c r="G938" s="97"/>
      <c r="H938" s="97"/>
      <c r="I938" s="97"/>
      <c r="J938" s="97"/>
      <c r="K938" s="97"/>
      <c r="L938" s="97"/>
      <c r="M938" s="97"/>
      <c r="N938" s="97"/>
      <c r="O938" s="97"/>
      <c r="P938" s="97"/>
      <c r="Q938" s="97"/>
      <c r="R938" s="97"/>
      <c r="S938" s="97"/>
      <c r="T938" s="97"/>
      <c r="U938" s="97"/>
      <c r="V938" s="97"/>
      <c r="W938" s="97"/>
      <c r="X938" s="97"/>
      <c r="Y938" s="97"/>
      <c r="Z938" s="97"/>
      <c r="AA938" s="97"/>
    </row>
    <row r="939" spans="1:27" ht="17">
      <c r="A939" s="97"/>
      <c r="B939" s="97"/>
      <c r="C939" s="302"/>
      <c r="D939" s="302"/>
      <c r="E939" s="302"/>
      <c r="F939" s="302"/>
      <c r="G939" s="97"/>
      <c r="H939" s="97"/>
      <c r="I939" s="97"/>
      <c r="J939" s="97"/>
      <c r="K939" s="97"/>
      <c r="L939" s="97"/>
      <c r="M939" s="97"/>
      <c r="N939" s="97"/>
      <c r="O939" s="97"/>
      <c r="P939" s="97"/>
      <c r="Q939" s="97"/>
      <c r="R939" s="97"/>
      <c r="S939" s="97"/>
      <c r="T939" s="97"/>
      <c r="U939" s="97"/>
      <c r="V939" s="97"/>
      <c r="W939" s="97"/>
      <c r="X939" s="97"/>
      <c r="Y939" s="97"/>
      <c r="Z939" s="97"/>
      <c r="AA939" s="97"/>
    </row>
    <row r="940" spans="1:27" ht="17">
      <c r="A940" s="97"/>
      <c r="B940" s="97"/>
      <c r="C940" s="302"/>
      <c r="D940" s="302"/>
      <c r="E940" s="302"/>
      <c r="F940" s="302"/>
      <c r="G940" s="97"/>
      <c r="H940" s="97"/>
      <c r="I940" s="97"/>
      <c r="J940" s="97"/>
      <c r="K940" s="97"/>
      <c r="L940" s="97"/>
      <c r="M940" s="97"/>
      <c r="N940" s="97"/>
      <c r="O940" s="97"/>
      <c r="P940" s="97"/>
      <c r="Q940" s="97"/>
      <c r="R940" s="97"/>
      <c r="S940" s="97"/>
      <c r="T940" s="97"/>
      <c r="U940" s="97"/>
      <c r="V940" s="97"/>
      <c r="W940" s="97"/>
      <c r="X940" s="97"/>
      <c r="Y940" s="97"/>
      <c r="Z940" s="97"/>
      <c r="AA940" s="97"/>
    </row>
    <row r="941" spans="1:27" ht="17">
      <c r="A941" s="97"/>
      <c r="B941" s="97"/>
      <c r="C941" s="302"/>
      <c r="D941" s="302"/>
      <c r="E941" s="302"/>
      <c r="F941" s="302"/>
      <c r="G941" s="97"/>
      <c r="H941" s="97"/>
      <c r="I941" s="97"/>
      <c r="J941" s="97"/>
      <c r="K941" s="97"/>
      <c r="L941" s="97"/>
      <c r="M941" s="97"/>
      <c r="N941" s="97"/>
      <c r="O941" s="97"/>
      <c r="P941" s="97"/>
      <c r="Q941" s="97"/>
      <c r="R941" s="97"/>
      <c r="S941" s="97"/>
      <c r="T941" s="97"/>
      <c r="U941" s="97"/>
      <c r="V941" s="97"/>
      <c r="W941" s="97"/>
      <c r="X941" s="97"/>
      <c r="Y941" s="97"/>
      <c r="Z941" s="97"/>
      <c r="AA941" s="97"/>
    </row>
    <row r="942" spans="1:27" ht="17">
      <c r="A942" s="97"/>
      <c r="B942" s="97"/>
      <c r="C942" s="302"/>
      <c r="D942" s="302"/>
      <c r="E942" s="302"/>
      <c r="F942" s="302"/>
      <c r="G942" s="97"/>
      <c r="H942" s="97"/>
      <c r="I942" s="97"/>
      <c r="J942" s="97"/>
      <c r="K942" s="97"/>
      <c r="L942" s="97"/>
      <c r="M942" s="97"/>
      <c r="N942" s="97"/>
      <c r="O942" s="97"/>
      <c r="P942" s="97"/>
      <c r="Q942" s="97"/>
      <c r="R942" s="97"/>
      <c r="S942" s="97"/>
      <c r="T942" s="97"/>
      <c r="U942" s="97"/>
      <c r="V942" s="97"/>
      <c r="W942" s="97"/>
      <c r="X942" s="97"/>
      <c r="Y942" s="97"/>
      <c r="Z942" s="97"/>
      <c r="AA942" s="97"/>
    </row>
    <row r="943" spans="1:27" ht="17">
      <c r="A943" s="97"/>
      <c r="B943" s="97"/>
      <c r="C943" s="302"/>
      <c r="D943" s="302"/>
      <c r="E943" s="302"/>
      <c r="F943" s="302"/>
      <c r="G943" s="97"/>
      <c r="H943" s="97"/>
      <c r="I943" s="97"/>
      <c r="J943" s="97"/>
      <c r="K943" s="97"/>
      <c r="L943" s="97"/>
      <c r="M943" s="97"/>
      <c r="N943" s="97"/>
      <c r="O943" s="97"/>
      <c r="P943" s="97"/>
      <c r="Q943" s="97"/>
      <c r="R943" s="97"/>
      <c r="S943" s="97"/>
      <c r="T943" s="97"/>
      <c r="U943" s="97"/>
      <c r="V943" s="97"/>
      <c r="W943" s="97"/>
      <c r="X943" s="97"/>
      <c r="Y943" s="97"/>
      <c r="Z943" s="97"/>
      <c r="AA943" s="97"/>
    </row>
    <row r="944" spans="1:27" ht="17">
      <c r="A944" s="97"/>
      <c r="B944" s="97"/>
      <c r="C944" s="302"/>
      <c r="D944" s="302"/>
      <c r="E944" s="302"/>
      <c r="F944" s="302"/>
      <c r="G944" s="97"/>
      <c r="H944" s="97"/>
      <c r="I944" s="97"/>
      <c r="J944" s="97"/>
      <c r="K944" s="97"/>
      <c r="L944" s="97"/>
      <c r="M944" s="97"/>
      <c r="N944" s="97"/>
      <c r="O944" s="97"/>
      <c r="P944" s="97"/>
      <c r="Q944" s="97"/>
      <c r="R944" s="97"/>
      <c r="S944" s="97"/>
      <c r="T944" s="97"/>
      <c r="U944" s="97"/>
      <c r="V944" s="97"/>
      <c r="W944" s="97"/>
      <c r="X944" s="97"/>
      <c r="Y944" s="97"/>
      <c r="Z944" s="97"/>
      <c r="AA944" s="97"/>
    </row>
    <row r="945" spans="1:27" ht="17">
      <c r="A945" s="97"/>
      <c r="B945" s="97"/>
      <c r="C945" s="302"/>
      <c r="D945" s="302"/>
      <c r="E945" s="302"/>
      <c r="F945" s="302"/>
      <c r="G945" s="97"/>
      <c r="H945" s="97"/>
      <c r="I945" s="97"/>
      <c r="J945" s="97"/>
      <c r="K945" s="97"/>
      <c r="L945" s="97"/>
      <c r="M945" s="97"/>
      <c r="N945" s="97"/>
      <c r="O945" s="97"/>
      <c r="P945" s="97"/>
      <c r="Q945" s="97"/>
      <c r="R945" s="97"/>
      <c r="S945" s="97"/>
      <c r="T945" s="97"/>
      <c r="U945" s="97"/>
      <c r="V945" s="97"/>
      <c r="W945" s="97"/>
      <c r="X945" s="97"/>
      <c r="Y945" s="97"/>
      <c r="Z945" s="97"/>
      <c r="AA945" s="97"/>
    </row>
    <row r="946" spans="1:27" ht="17">
      <c r="A946" s="97"/>
      <c r="B946" s="97"/>
      <c r="C946" s="302"/>
      <c r="D946" s="302"/>
      <c r="E946" s="302"/>
      <c r="F946" s="302"/>
      <c r="G946" s="97"/>
      <c r="H946" s="97"/>
      <c r="I946" s="97"/>
      <c r="J946" s="97"/>
      <c r="K946" s="97"/>
      <c r="L946" s="97"/>
      <c r="M946" s="97"/>
      <c r="N946" s="97"/>
      <c r="O946" s="97"/>
      <c r="P946" s="97"/>
      <c r="Q946" s="97"/>
      <c r="R946" s="97"/>
      <c r="S946" s="97"/>
      <c r="T946" s="97"/>
      <c r="U946" s="97"/>
      <c r="V946" s="97"/>
      <c r="W946" s="97"/>
      <c r="X946" s="97"/>
      <c r="Y946" s="97"/>
      <c r="Z946" s="97"/>
      <c r="AA946" s="97"/>
    </row>
    <row r="947" spans="1:27" ht="17">
      <c r="A947" s="97"/>
      <c r="B947" s="97"/>
      <c r="C947" s="302"/>
      <c r="D947" s="302"/>
      <c r="E947" s="302"/>
      <c r="F947" s="302"/>
      <c r="G947" s="97"/>
      <c r="H947" s="97"/>
      <c r="I947" s="97"/>
      <c r="J947" s="97"/>
      <c r="K947" s="97"/>
      <c r="L947" s="97"/>
      <c r="M947" s="97"/>
      <c r="N947" s="97"/>
      <c r="O947" s="97"/>
      <c r="P947" s="97"/>
      <c r="Q947" s="97"/>
      <c r="R947" s="97"/>
      <c r="S947" s="97"/>
      <c r="T947" s="97"/>
      <c r="U947" s="97"/>
      <c r="V947" s="97"/>
      <c r="W947" s="97"/>
      <c r="X947" s="97"/>
      <c r="Y947" s="97"/>
      <c r="Z947" s="97"/>
      <c r="AA947" s="97"/>
    </row>
    <row r="948" spans="1:27" ht="17">
      <c r="A948" s="97"/>
      <c r="B948" s="97"/>
      <c r="C948" s="302"/>
      <c r="D948" s="302"/>
      <c r="E948" s="302"/>
      <c r="F948" s="302"/>
      <c r="G948" s="97"/>
      <c r="H948" s="97"/>
      <c r="I948" s="97"/>
      <c r="J948" s="97"/>
      <c r="K948" s="97"/>
      <c r="L948" s="97"/>
      <c r="M948" s="97"/>
      <c r="N948" s="97"/>
      <c r="O948" s="97"/>
      <c r="P948" s="97"/>
      <c r="Q948" s="97"/>
      <c r="R948" s="97"/>
      <c r="S948" s="97"/>
      <c r="T948" s="97"/>
      <c r="U948" s="97"/>
      <c r="V948" s="97"/>
      <c r="W948" s="97"/>
      <c r="X948" s="97"/>
      <c r="Y948" s="97"/>
      <c r="Z948" s="97"/>
      <c r="AA948" s="97"/>
    </row>
    <row r="949" spans="1:27" ht="17">
      <c r="A949" s="97"/>
      <c r="B949" s="97"/>
      <c r="C949" s="302"/>
      <c r="D949" s="302"/>
      <c r="E949" s="302"/>
      <c r="F949" s="302"/>
      <c r="G949" s="97"/>
      <c r="H949" s="97"/>
      <c r="I949" s="97"/>
      <c r="J949" s="97"/>
      <c r="K949" s="97"/>
      <c r="L949" s="97"/>
      <c r="M949" s="97"/>
      <c r="N949" s="97"/>
      <c r="O949" s="97"/>
      <c r="P949" s="97"/>
      <c r="Q949" s="97"/>
      <c r="R949" s="97"/>
      <c r="S949" s="97"/>
      <c r="T949" s="97"/>
      <c r="U949" s="97"/>
      <c r="V949" s="97"/>
      <c r="W949" s="97"/>
      <c r="X949" s="97"/>
      <c r="Y949" s="97"/>
      <c r="Z949" s="97"/>
      <c r="AA949" s="97"/>
    </row>
    <row r="950" spans="1:27" ht="17">
      <c r="A950" s="97"/>
      <c r="B950" s="97"/>
      <c r="C950" s="302"/>
      <c r="D950" s="302"/>
      <c r="E950" s="302"/>
      <c r="F950" s="302"/>
      <c r="G950" s="97"/>
      <c r="H950" s="97"/>
      <c r="I950" s="97"/>
      <c r="J950" s="97"/>
      <c r="K950" s="97"/>
      <c r="L950" s="97"/>
      <c r="M950" s="97"/>
      <c r="N950" s="97"/>
      <c r="O950" s="97"/>
      <c r="P950" s="97"/>
      <c r="Q950" s="97"/>
      <c r="R950" s="97"/>
      <c r="S950" s="97"/>
      <c r="T950" s="97"/>
      <c r="U950" s="97"/>
      <c r="V950" s="97"/>
      <c r="W950" s="97"/>
      <c r="X950" s="97"/>
      <c r="Y950" s="97"/>
      <c r="Z950" s="97"/>
      <c r="AA950" s="97"/>
    </row>
    <row r="951" spans="1:27" ht="17">
      <c r="A951" s="97"/>
      <c r="B951" s="97"/>
      <c r="C951" s="302"/>
      <c r="D951" s="302"/>
      <c r="E951" s="302"/>
      <c r="F951" s="302"/>
      <c r="G951" s="97"/>
      <c r="H951" s="97"/>
      <c r="I951" s="97"/>
      <c r="J951" s="97"/>
      <c r="K951" s="97"/>
      <c r="L951" s="97"/>
      <c r="M951" s="97"/>
      <c r="N951" s="97"/>
      <c r="O951" s="97"/>
      <c r="P951" s="97"/>
      <c r="Q951" s="97"/>
      <c r="R951" s="97"/>
      <c r="S951" s="97"/>
      <c r="T951" s="97"/>
      <c r="U951" s="97"/>
      <c r="V951" s="97"/>
      <c r="W951" s="97"/>
      <c r="X951" s="97"/>
      <c r="Y951" s="97"/>
      <c r="Z951" s="97"/>
      <c r="AA951" s="97"/>
    </row>
    <row r="952" spans="1:27" ht="17">
      <c r="A952" s="97"/>
      <c r="B952" s="97"/>
      <c r="C952" s="302"/>
      <c r="D952" s="302"/>
      <c r="E952" s="302"/>
      <c r="F952" s="302"/>
      <c r="G952" s="97"/>
      <c r="H952" s="97"/>
      <c r="I952" s="97"/>
      <c r="J952" s="97"/>
      <c r="K952" s="97"/>
      <c r="L952" s="97"/>
      <c r="M952" s="97"/>
      <c r="N952" s="97"/>
      <c r="O952" s="97"/>
      <c r="P952" s="97"/>
      <c r="Q952" s="97"/>
      <c r="R952" s="97"/>
      <c r="S952" s="97"/>
      <c r="T952" s="97"/>
      <c r="U952" s="97"/>
      <c r="V952" s="97"/>
      <c r="W952" s="97"/>
      <c r="X952" s="97"/>
      <c r="Y952" s="97"/>
      <c r="Z952" s="97"/>
      <c r="AA952" s="97"/>
    </row>
    <row r="953" spans="1:27" ht="17">
      <c r="A953" s="97"/>
      <c r="B953" s="97"/>
      <c r="C953" s="302"/>
      <c r="D953" s="302"/>
      <c r="E953" s="302"/>
      <c r="F953" s="302"/>
      <c r="G953" s="97"/>
      <c r="H953" s="97"/>
      <c r="I953" s="97"/>
      <c r="J953" s="97"/>
      <c r="K953" s="97"/>
      <c r="L953" s="97"/>
      <c r="M953" s="97"/>
      <c r="N953" s="97"/>
      <c r="O953" s="97"/>
      <c r="P953" s="97"/>
      <c r="Q953" s="97"/>
      <c r="R953" s="97"/>
      <c r="S953" s="97"/>
      <c r="T953" s="97"/>
      <c r="U953" s="97"/>
      <c r="V953" s="97"/>
      <c r="W953" s="97"/>
      <c r="X953" s="97"/>
      <c r="Y953" s="97"/>
      <c r="Z953" s="97"/>
      <c r="AA953" s="97"/>
    </row>
    <row r="954" spans="1:27" ht="17">
      <c r="A954" s="97"/>
      <c r="B954" s="97"/>
      <c r="C954" s="302"/>
      <c r="D954" s="302"/>
      <c r="E954" s="302"/>
      <c r="F954" s="302"/>
      <c r="G954" s="97"/>
      <c r="H954" s="97"/>
      <c r="I954" s="97"/>
      <c r="J954" s="97"/>
      <c r="K954" s="97"/>
      <c r="L954" s="97"/>
      <c r="M954" s="97"/>
      <c r="N954" s="97"/>
      <c r="O954" s="97"/>
      <c r="P954" s="97"/>
      <c r="Q954" s="97"/>
      <c r="R954" s="97"/>
      <c r="S954" s="97"/>
      <c r="T954" s="97"/>
      <c r="U954" s="97"/>
      <c r="V954" s="97"/>
      <c r="W954" s="97"/>
      <c r="X954" s="97"/>
      <c r="Y954" s="97"/>
      <c r="Z954" s="97"/>
      <c r="AA954" s="97"/>
    </row>
    <row r="955" spans="1:27" ht="17">
      <c r="A955" s="97"/>
      <c r="B955" s="97"/>
      <c r="C955" s="302"/>
      <c r="D955" s="302"/>
      <c r="E955" s="302"/>
      <c r="F955" s="302"/>
      <c r="G955" s="97"/>
      <c r="H955" s="97"/>
      <c r="I955" s="97"/>
      <c r="J955" s="97"/>
      <c r="K955" s="97"/>
      <c r="L955" s="97"/>
      <c r="M955" s="97"/>
      <c r="N955" s="97"/>
      <c r="O955" s="97"/>
      <c r="P955" s="97"/>
      <c r="Q955" s="97"/>
      <c r="R955" s="97"/>
      <c r="S955" s="97"/>
      <c r="T955" s="97"/>
      <c r="U955" s="97"/>
      <c r="V955" s="97"/>
      <c r="W955" s="97"/>
      <c r="X955" s="97"/>
      <c r="Y955" s="97"/>
      <c r="Z955" s="97"/>
      <c r="AA955" s="97"/>
    </row>
    <row r="956" spans="1:27" ht="17">
      <c r="A956" s="97"/>
      <c r="B956" s="97"/>
      <c r="C956" s="302"/>
      <c r="D956" s="302"/>
      <c r="E956" s="302"/>
      <c r="F956" s="302"/>
      <c r="G956" s="97"/>
      <c r="H956" s="97"/>
      <c r="I956" s="97"/>
      <c r="J956" s="97"/>
      <c r="K956" s="97"/>
      <c r="L956" s="97"/>
      <c r="M956" s="97"/>
      <c r="N956" s="97"/>
      <c r="O956" s="97"/>
      <c r="P956" s="97"/>
      <c r="Q956" s="97"/>
      <c r="R956" s="97"/>
      <c r="S956" s="97"/>
      <c r="T956" s="97"/>
      <c r="U956" s="97"/>
      <c r="V956" s="97"/>
      <c r="W956" s="97"/>
      <c r="X956" s="97"/>
      <c r="Y956" s="97"/>
      <c r="Z956" s="97"/>
      <c r="AA956" s="97"/>
    </row>
    <row r="957" spans="1:27" ht="17">
      <c r="A957" s="97"/>
      <c r="B957" s="97"/>
      <c r="C957" s="302"/>
      <c r="D957" s="302"/>
      <c r="E957" s="302"/>
      <c r="F957" s="302"/>
      <c r="G957" s="97"/>
      <c r="H957" s="97"/>
      <c r="I957" s="97"/>
      <c r="J957" s="97"/>
      <c r="K957" s="97"/>
      <c r="L957" s="97"/>
      <c r="M957" s="97"/>
      <c r="N957" s="97"/>
      <c r="O957" s="97"/>
      <c r="P957" s="97"/>
      <c r="Q957" s="97"/>
      <c r="R957" s="97"/>
      <c r="S957" s="97"/>
      <c r="T957" s="97"/>
      <c r="U957" s="97"/>
      <c r="V957" s="97"/>
      <c r="W957" s="97"/>
      <c r="X957" s="97"/>
      <c r="Y957" s="97"/>
      <c r="Z957" s="97"/>
      <c r="AA957" s="97"/>
    </row>
    <row r="958" spans="1:27" ht="17">
      <c r="A958" s="97"/>
      <c r="B958" s="97"/>
      <c r="C958" s="302"/>
      <c r="D958" s="302"/>
      <c r="E958" s="302"/>
      <c r="F958" s="302"/>
      <c r="G958" s="97"/>
      <c r="H958" s="97"/>
      <c r="I958" s="97"/>
      <c r="J958" s="97"/>
      <c r="K958" s="97"/>
      <c r="L958" s="97"/>
      <c r="M958" s="97"/>
      <c r="N958" s="97"/>
      <c r="O958" s="97"/>
      <c r="P958" s="97"/>
      <c r="Q958" s="97"/>
      <c r="R958" s="97"/>
      <c r="S958" s="97"/>
      <c r="T958" s="97"/>
      <c r="U958" s="97"/>
      <c r="V958" s="97"/>
      <c r="W958" s="97"/>
      <c r="X958" s="97"/>
      <c r="Y958" s="97"/>
      <c r="Z958" s="97"/>
      <c r="AA958" s="97"/>
    </row>
    <row r="959" spans="1:27" ht="17">
      <c r="A959" s="97"/>
      <c r="B959" s="97"/>
      <c r="C959" s="302"/>
      <c r="D959" s="302"/>
      <c r="E959" s="302"/>
      <c r="F959" s="302"/>
      <c r="G959" s="97"/>
      <c r="H959" s="97"/>
      <c r="I959" s="97"/>
      <c r="J959" s="97"/>
      <c r="K959" s="97"/>
      <c r="L959" s="97"/>
      <c r="M959" s="97"/>
      <c r="N959" s="97"/>
      <c r="O959" s="97"/>
      <c r="P959" s="97"/>
      <c r="Q959" s="97"/>
      <c r="R959" s="97"/>
      <c r="S959" s="97"/>
      <c r="T959" s="97"/>
      <c r="U959" s="97"/>
      <c r="V959" s="97"/>
      <c r="W959" s="97"/>
      <c r="X959" s="97"/>
      <c r="Y959" s="97"/>
      <c r="Z959" s="97"/>
      <c r="AA959" s="97"/>
    </row>
    <row r="960" spans="1:27" ht="17">
      <c r="A960" s="97"/>
      <c r="B960" s="97"/>
      <c r="C960" s="302"/>
      <c r="D960" s="302"/>
      <c r="E960" s="302"/>
      <c r="F960" s="302"/>
      <c r="G960" s="97"/>
      <c r="H960" s="97"/>
      <c r="I960" s="97"/>
      <c r="J960" s="97"/>
      <c r="K960" s="97"/>
      <c r="L960" s="97"/>
      <c r="M960" s="97"/>
      <c r="N960" s="97"/>
      <c r="O960" s="97"/>
      <c r="P960" s="97"/>
      <c r="Q960" s="97"/>
      <c r="R960" s="97"/>
      <c r="S960" s="97"/>
      <c r="T960" s="97"/>
      <c r="U960" s="97"/>
      <c r="V960" s="97"/>
      <c r="W960" s="97"/>
      <c r="X960" s="97"/>
      <c r="Y960" s="97"/>
      <c r="Z960" s="97"/>
      <c r="AA960" s="97"/>
    </row>
    <row r="961" spans="1:27" ht="17">
      <c r="A961" s="97"/>
      <c r="B961" s="97"/>
      <c r="C961" s="302"/>
      <c r="D961" s="302"/>
      <c r="E961" s="302"/>
      <c r="F961" s="302"/>
      <c r="G961" s="97"/>
      <c r="H961" s="97"/>
      <c r="I961" s="97"/>
      <c r="J961" s="97"/>
      <c r="K961" s="97"/>
      <c r="L961" s="97"/>
      <c r="M961" s="97"/>
      <c r="N961" s="97"/>
      <c r="O961" s="97"/>
      <c r="P961" s="97"/>
      <c r="Q961" s="97"/>
      <c r="R961" s="97"/>
      <c r="S961" s="97"/>
      <c r="T961" s="97"/>
      <c r="U961" s="97"/>
      <c r="V961" s="97"/>
      <c r="W961" s="97"/>
      <c r="X961" s="97"/>
      <c r="Y961" s="97"/>
      <c r="Z961" s="97"/>
      <c r="AA961" s="97"/>
    </row>
    <row r="962" spans="1:27" ht="17">
      <c r="A962" s="97"/>
      <c r="B962" s="97"/>
      <c r="C962" s="302"/>
      <c r="D962" s="302"/>
      <c r="E962" s="302"/>
      <c r="F962" s="302"/>
      <c r="G962" s="97"/>
      <c r="H962" s="97"/>
      <c r="I962" s="97"/>
      <c r="J962" s="97"/>
      <c r="K962" s="97"/>
      <c r="L962" s="97"/>
      <c r="M962" s="97"/>
      <c r="N962" s="97"/>
      <c r="O962" s="97"/>
      <c r="P962" s="97"/>
      <c r="Q962" s="97"/>
      <c r="R962" s="97"/>
      <c r="S962" s="97"/>
      <c r="T962" s="97"/>
      <c r="U962" s="97"/>
      <c r="V962" s="97"/>
      <c r="W962" s="97"/>
      <c r="X962" s="97"/>
      <c r="Y962" s="97"/>
      <c r="Z962" s="97"/>
      <c r="AA962" s="97"/>
    </row>
    <row r="963" spans="1:27" ht="17">
      <c r="A963" s="97"/>
      <c r="B963" s="97"/>
      <c r="C963" s="302"/>
      <c r="D963" s="302"/>
      <c r="E963" s="302"/>
      <c r="F963" s="302"/>
      <c r="G963" s="97"/>
      <c r="H963" s="97"/>
      <c r="I963" s="97"/>
      <c r="J963" s="97"/>
      <c r="K963" s="97"/>
      <c r="L963" s="97"/>
      <c r="M963" s="97"/>
      <c r="N963" s="97"/>
      <c r="O963" s="97"/>
      <c r="P963" s="97"/>
      <c r="Q963" s="97"/>
      <c r="R963" s="97"/>
      <c r="S963" s="97"/>
      <c r="T963" s="97"/>
      <c r="U963" s="97"/>
      <c r="V963" s="97"/>
      <c r="W963" s="97"/>
      <c r="X963" s="97"/>
      <c r="Y963" s="97"/>
      <c r="Z963" s="97"/>
      <c r="AA963" s="97"/>
    </row>
    <row r="964" spans="1:27" ht="17">
      <c r="A964" s="97"/>
      <c r="B964" s="97"/>
      <c r="C964" s="302"/>
      <c r="D964" s="302"/>
      <c r="E964" s="302"/>
      <c r="F964" s="302"/>
      <c r="G964" s="97"/>
      <c r="H964" s="97"/>
      <c r="I964" s="97"/>
      <c r="J964" s="97"/>
      <c r="K964" s="97"/>
      <c r="L964" s="97"/>
      <c r="M964" s="97"/>
      <c r="N964" s="97"/>
      <c r="O964" s="97"/>
      <c r="P964" s="97"/>
      <c r="Q964" s="97"/>
      <c r="R964" s="97"/>
      <c r="S964" s="97"/>
      <c r="T964" s="97"/>
      <c r="U964" s="97"/>
      <c r="V964" s="97"/>
      <c r="W964" s="97"/>
      <c r="X964" s="97"/>
      <c r="Y964" s="97"/>
      <c r="Z964" s="97"/>
      <c r="AA964" s="97"/>
    </row>
    <row r="965" spans="1:27" ht="17">
      <c r="A965" s="97"/>
      <c r="B965" s="97"/>
      <c r="C965" s="302"/>
      <c r="D965" s="302"/>
      <c r="E965" s="302"/>
      <c r="F965" s="302"/>
      <c r="G965" s="97"/>
      <c r="H965" s="97"/>
      <c r="I965" s="97"/>
      <c r="J965" s="97"/>
      <c r="K965" s="97"/>
      <c r="L965" s="97"/>
      <c r="M965" s="97"/>
      <c r="N965" s="97"/>
      <c r="O965" s="97"/>
      <c r="P965" s="97"/>
      <c r="Q965" s="97"/>
      <c r="R965" s="97"/>
      <c r="S965" s="97"/>
      <c r="T965" s="97"/>
      <c r="U965" s="97"/>
      <c r="V965" s="97"/>
      <c r="W965" s="97"/>
      <c r="X965" s="97"/>
      <c r="Y965" s="97"/>
      <c r="Z965" s="97"/>
      <c r="AA965" s="97"/>
    </row>
    <row r="966" spans="1:27" ht="17">
      <c r="A966" s="97"/>
      <c r="B966" s="97"/>
      <c r="C966" s="302"/>
      <c r="D966" s="302"/>
      <c r="E966" s="302"/>
      <c r="F966" s="302"/>
      <c r="G966" s="97"/>
      <c r="H966" s="97"/>
      <c r="I966" s="97"/>
      <c r="J966" s="97"/>
      <c r="K966" s="97"/>
      <c r="L966" s="97"/>
      <c r="M966" s="97"/>
      <c r="N966" s="97"/>
      <c r="O966" s="97"/>
      <c r="P966" s="97"/>
      <c r="Q966" s="97"/>
      <c r="R966" s="97"/>
      <c r="S966" s="97"/>
      <c r="T966" s="97"/>
      <c r="U966" s="97"/>
      <c r="V966" s="97"/>
      <c r="W966" s="97"/>
      <c r="X966" s="97"/>
      <c r="Y966" s="97"/>
      <c r="Z966" s="97"/>
      <c r="AA966" s="97"/>
    </row>
    <row r="967" spans="1:27" ht="17">
      <c r="A967" s="97"/>
      <c r="B967" s="97"/>
      <c r="C967" s="302"/>
      <c r="D967" s="302"/>
      <c r="E967" s="302"/>
      <c r="F967" s="302"/>
      <c r="G967" s="97"/>
      <c r="H967" s="97"/>
      <c r="I967" s="97"/>
      <c r="J967" s="97"/>
      <c r="K967" s="97"/>
      <c r="L967" s="97"/>
      <c r="M967" s="97"/>
      <c r="N967" s="97"/>
      <c r="O967" s="97"/>
      <c r="P967" s="97"/>
      <c r="Q967" s="97"/>
      <c r="R967" s="97"/>
      <c r="S967" s="97"/>
      <c r="T967" s="97"/>
      <c r="U967" s="97"/>
      <c r="V967" s="97"/>
      <c r="W967" s="97"/>
      <c r="X967" s="97"/>
      <c r="Y967" s="97"/>
      <c r="Z967" s="97"/>
      <c r="AA967" s="97"/>
    </row>
    <row r="968" spans="1:27" ht="17">
      <c r="A968" s="97"/>
      <c r="B968" s="97"/>
      <c r="C968" s="302"/>
      <c r="D968" s="302"/>
      <c r="E968" s="302"/>
      <c r="F968" s="302"/>
      <c r="G968" s="97"/>
      <c r="H968" s="97"/>
      <c r="I968" s="97"/>
      <c r="J968" s="97"/>
      <c r="K968" s="97"/>
      <c r="L968" s="97"/>
      <c r="M968" s="97"/>
      <c r="N968" s="97"/>
      <c r="O968" s="97"/>
      <c r="P968" s="97"/>
      <c r="Q968" s="97"/>
      <c r="R968" s="97"/>
      <c r="S968" s="97"/>
      <c r="T968" s="97"/>
      <c r="U968" s="97"/>
      <c r="V968" s="97"/>
      <c r="W968" s="97"/>
      <c r="X968" s="97"/>
      <c r="Y968" s="97"/>
      <c r="Z968" s="97"/>
      <c r="AA968" s="97"/>
    </row>
    <row r="969" spans="1:27" ht="17">
      <c r="A969" s="97"/>
      <c r="B969" s="97"/>
      <c r="C969" s="302"/>
      <c r="D969" s="302"/>
      <c r="E969" s="302"/>
      <c r="F969" s="302"/>
      <c r="G969" s="97"/>
      <c r="H969" s="97"/>
      <c r="I969" s="97"/>
      <c r="J969" s="97"/>
      <c r="K969" s="97"/>
      <c r="L969" s="97"/>
      <c r="M969" s="97"/>
      <c r="N969" s="97"/>
      <c r="O969" s="97"/>
      <c r="P969" s="97"/>
      <c r="Q969" s="97"/>
      <c r="R969" s="97"/>
      <c r="S969" s="97"/>
      <c r="T969" s="97"/>
      <c r="U969" s="97"/>
      <c r="V969" s="97"/>
      <c r="W969" s="97"/>
      <c r="X969" s="97"/>
      <c r="Y969" s="97"/>
      <c r="Z969" s="97"/>
      <c r="AA969" s="97"/>
    </row>
    <row r="970" spans="1:27" ht="17">
      <c r="A970" s="97"/>
      <c r="B970" s="97"/>
      <c r="C970" s="302"/>
      <c r="D970" s="302"/>
      <c r="E970" s="302"/>
      <c r="F970" s="302"/>
      <c r="G970" s="97"/>
      <c r="H970" s="97"/>
      <c r="I970" s="97"/>
      <c r="J970" s="97"/>
      <c r="K970" s="97"/>
      <c r="L970" s="97"/>
      <c r="M970" s="97"/>
      <c r="N970" s="97"/>
      <c r="O970" s="97"/>
      <c r="P970" s="97"/>
      <c r="Q970" s="97"/>
      <c r="R970" s="97"/>
      <c r="S970" s="97"/>
      <c r="T970" s="97"/>
      <c r="U970" s="97"/>
      <c r="V970" s="97"/>
      <c r="W970" s="97"/>
      <c r="X970" s="97"/>
      <c r="Y970" s="97"/>
      <c r="Z970" s="97"/>
      <c r="AA970" s="97"/>
    </row>
    <row r="971" spans="1:27" ht="17">
      <c r="A971" s="97"/>
      <c r="B971" s="97"/>
      <c r="C971" s="302"/>
      <c r="D971" s="302"/>
      <c r="E971" s="302"/>
      <c r="F971" s="302"/>
      <c r="G971" s="97"/>
      <c r="H971" s="97"/>
      <c r="I971" s="97"/>
      <c r="J971" s="97"/>
      <c r="K971" s="97"/>
      <c r="L971" s="97"/>
      <c r="M971" s="97"/>
      <c r="N971" s="97"/>
      <c r="O971" s="97"/>
      <c r="P971" s="97"/>
      <c r="Q971" s="97"/>
      <c r="R971" s="97"/>
      <c r="S971" s="97"/>
      <c r="T971" s="97"/>
      <c r="U971" s="97"/>
      <c r="V971" s="97"/>
      <c r="W971" s="97"/>
      <c r="X971" s="97"/>
      <c r="Y971" s="97"/>
      <c r="Z971" s="97"/>
      <c r="AA971" s="97"/>
    </row>
    <row r="972" spans="1:27" ht="17">
      <c r="A972" s="97"/>
      <c r="B972" s="97"/>
      <c r="C972" s="302"/>
      <c r="D972" s="302"/>
      <c r="E972" s="302"/>
      <c r="F972" s="302"/>
      <c r="G972" s="97"/>
      <c r="H972" s="97"/>
      <c r="I972" s="97"/>
      <c r="J972" s="97"/>
      <c r="K972" s="97"/>
      <c r="L972" s="97"/>
      <c r="M972" s="97"/>
      <c r="N972" s="97"/>
      <c r="O972" s="97"/>
      <c r="P972" s="97"/>
      <c r="Q972" s="97"/>
      <c r="R972" s="97"/>
      <c r="S972" s="97"/>
      <c r="T972" s="97"/>
      <c r="U972" s="97"/>
      <c r="V972" s="97"/>
      <c r="W972" s="97"/>
      <c r="X972" s="97"/>
      <c r="Y972" s="97"/>
      <c r="Z972" s="97"/>
      <c r="AA972" s="97"/>
    </row>
    <row r="973" spans="1:27" ht="17">
      <c r="A973" s="97"/>
      <c r="B973" s="97"/>
      <c r="C973" s="302"/>
      <c r="D973" s="302"/>
      <c r="E973" s="302"/>
      <c r="F973" s="302"/>
      <c r="G973" s="97"/>
      <c r="H973" s="97"/>
      <c r="I973" s="97"/>
      <c r="J973" s="97"/>
      <c r="K973" s="97"/>
      <c r="L973" s="97"/>
      <c r="M973" s="97"/>
      <c r="N973" s="97"/>
      <c r="O973" s="97"/>
      <c r="P973" s="97"/>
      <c r="Q973" s="97"/>
      <c r="R973" s="97"/>
      <c r="S973" s="97"/>
      <c r="T973" s="97"/>
      <c r="U973" s="97"/>
      <c r="V973" s="97"/>
      <c r="W973" s="97"/>
      <c r="X973" s="97"/>
      <c r="Y973" s="97"/>
      <c r="Z973" s="97"/>
      <c r="AA973" s="97"/>
    </row>
    <row r="974" spans="1:27" ht="17">
      <c r="A974" s="97"/>
      <c r="B974" s="97"/>
      <c r="C974" s="302"/>
      <c r="D974" s="302"/>
      <c r="E974" s="302"/>
      <c r="F974" s="302"/>
      <c r="G974" s="97"/>
      <c r="H974" s="97"/>
      <c r="I974" s="97"/>
      <c r="J974" s="97"/>
      <c r="K974" s="97"/>
      <c r="L974" s="97"/>
      <c r="M974" s="97"/>
      <c r="N974" s="97"/>
      <c r="O974" s="97"/>
      <c r="P974" s="97"/>
      <c r="Q974" s="97"/>
      <c r="R974" s="97"/>
      <c r="S974" s="97"/>
      <c r="T974" s="97"/>
      <c r="U974" s="97"/>
      <c r="V974" s="97"/>
      <c r="W974" s="97"/>
      <c r="X974" s="97"/>
      <c r="Y974" s="97"/>
      <c r="Z974" s="97"/>
      <c r="AA974" s="97"/>
    </row>
    <row r="975" spans="1:27" ht="17">
      <c r="A975" s="97"/>
      <c r="B975" s="97"/>
      <c r="C975" s="302"/>
      <c r="D975" s="302"/>
      <c r="E975" s="302"/>
      <c r="F975" s="302"/>
      <c r="G975" s="97"/>
      <c r="H975" s="97"/>
      <c r="I975" s="97"/>
      <c r="J975" s="97"/>
      <c r="K975" s="97"/>
      <c r="L975" s="97"/>
      <c r="M975" s="97"/>
      <c r="N975" s="97"/>
      <c r="O975" s="97"/>
      <c r="P975" s="97"/>
      <c r="Q975" s="97"/>
      <c r="R975" s="97"/>
      <c r="S975" s="97"/>
      <c r="T975" s="97"/>
      <c r="U975" s="97"/>
      <c r="V975" s="97"/>
      <c r="W975" s="97"/>
      <c r="X975" s="97"/>
      <c r="Y975" s="97"/>
      <c r="Z975" s="97"/>
      <c r="AA975" s="97"/>
    </row>
    <row r="976" spans="1:27" ht="17">
      <c r="A976" s="97"/>
      <c r="B976" s="97"/>
      <c r="C976" s="302"/>
      <c r="D976" s="302"/>
      <c r="E976" s="302"/>
      <c r="F976" s="302"/>
      <c r="G976" s="97"/>
      <c r="H976" s="97"/>
      <c r="I976" s="97"/>
      <c r="J976" s="97"/>
      <c r="K976" s="97"/>
      <c r="L976" s="97"/>
      <c r="M976" s="97"/>
      <c r="N976" s="97"/>
      <c r="O976" s="97"/>
      <c r="P976" s="97"/>
      <c r="Q976" s="97"/>
      <c r="R976" s="97"/>
      <c r="S976" s="97"/>
      <c r="T976" s="97"/>
      <c r="U976" s="97"/>
      <c r="V976" s="97"/>
      <c r="W976" s="97"/>
      <c r="X976" s="97"/>
      <c r="Y976" s="97"/>
      <c r="Z976" s="97"/>
      <c r="AA976" s="97"/>
    </row>
    <row r="977" spans="1:27" ht="17">
      <c r="A977" s="97"/>
      <c r="B977" s="97"/>
      <c r="C977" s="302"/>
      <c r="D977" s="302"/>
      <c r="E977" s="302"/>
      <c r="F977" s="302"/>
      <c r="G977" s="97"/>
      <c r="H977" s="97"/>
      <c r="I977" s="97"/>
      <c r="J977" s="97"/>
      <c r="K977" s="97"/>
      <c r="L977" s="97"/>
      <c r="M977" s="97"/>
      <c r="N977" s="97"/>
      <c r="O977" s="97"/>
      <c r="P977" s="97"/>
      <c r="Q977" s="97"/>
      <c r="R977" s="97"/>
      <c r="S977" s="97"/>
      <c r="T977" s="97"/>
      <c r="U977" s="97"/>
      <c r="V977" s="97"/>
      <c r="W977" s="97"/>
      <c r="X977" s="97"/>
      <c r="Y977" s="97"/>
      <c r="Z977" s="97"/>
      <c r="AA977" s="97"/>
    </row>
    <row r="978" spans="1:27" ht="17">
      <c r="A978" s="97"/>
      <c r="B978" s="97"/>
      <c r="C978" s="302"/>
      <c r="D978" s="302"/>
      <c r="E978" s="302"/>
      <c r="F978" s="302"/>
      <c r="G978" s="97"/>
      <c r="H978" s="97"/>
      <c r="I978" s="97"/>
      <c r="J978" s="97"/>
      <c r="K978" s="97"/>
      <c r="L978" s="97"/>
      <c r="M978" s="97"/>
      <c r="N978" s="97"/>
      <c r="O978" s="97"/>
      <c r="P978" s="97"/>
      <c r="Q978" s="97"/>
      <c r="R978" s="97"/>
      <c r="S978" s="97"/>
      <c r="T978" s="97"/>
      <c r="U978" s="97"/>
      <c r="V978" s="97"/>
      <c r="W978" s="97"/>
      <c r="X978" s="97"/>
      <c r="Y978" s="97"/>
      <c r="Z978" s="97"/>
      <c r="AA978" s="97"/>
    </row>
    <row r="979" spans="1:27" ht="17">
      <c r="A979" s="97"/>
      <c r="B979" s="97"/>
      <c r="C979" s="302"/>
      <c r="D979" s="302"/>
      <c r="E979" s="302"/>
      <c r="F979" s="302"/>
      <c r="G979" s="97"/>
      <c r="H979" s="97"/>
      <c r="I979" s="97"/>
      <c r="J979" s="97"/>
      <c r="K979" s="97"/>
      <c r="L979" s="97"/>
      <c r="M979" s="97"/>
      <c r="N979" s="97"/>
      <c r="O979" s="97"/>
      <c r="P979" s="97"/>
      <c r="Q979" s="97"/>
      <c r="R979" s="97"/>
      <c r="S979" s="97"/>
      <c r="T979" s="97"/>
      <c r="U979" s="97"/>
      <c r="V979" s="97"/>
      <c r="W979" s="97"/>
      <c r="X979" s="97"/>
      <c r="Y979" s="97"/>
      <c r="Z979" s="97"/>
      <c r="AA979" s="97"/>
    </row>
    <row r="980" spans="1:27" ht="17">
      <c r="A980" s="97"/>
      <c r="B980" s="97"/>
      <c r="C980" s="302"/>
      <c r="D980" s="302"/>
      <c r="E980" s="302"/>
      <c r="F980" s="302"/>
      <c r="G980" s="97"/>
      <c r="H980" s="97"/>
      <c r="I980" s="97"/>
      <c r="J980" s="97"/>
      <c r="K980" s="97"/>
      <c r="L980" s="97"/>
      <c r="M980" s="97"/>
      <c r="N980" s="97"/>
      <c r="O980" s="97"/>
      <c r="P980" s="97"/>
      <c r="Q980" s="97"/>
      <c r="R980" s="97"/>
      <c r="S980" s="97"/>
      <c r="T980" s="97"/>
      <c r="U980" s="97"/>
      <c r="V980" s="97"/>
      <c r="W980" s="97"/>
      <c r="X980" s="97"/>
      <c r="Y980" s="97"/>
      <c r="Z980" s="97"/>
      <c r="AA980" s="97"/>
    </row>
    <row r="981" spans="1:27" ht="17">
      <c r="A981" s="97"/>
      <c r="B981" s="97"/>
      <c r="C981" s="302"/>
      <c r="D981" s="302"/>
      <c r="E981" s="302"/>
      <c r="F981" s="302"/>
      <c r="G981" s="97"/>
      <c r="H981" s="97"/>
      <c r="I981" s="97"/>
      <c r="J981" s="97"/>
      <c r="K981" s="97"/>
      <c r="L981" s="97"/>
      <c r="M981" s="97"/>
      <c r="N981" s="97"/>
      <c r="O981" s="97"/>
      <c r="P981" s="97"/>
      <c r="Q981" s="97"/>
      <c r="R981" s="97"/>
      <c r="S981" s="97"/>
      <c r="T981" s="97"/>
      <c r="U981" s="97"/>
      <c r="V981" s="97"/>
      <c r="W981" s="97"/>
      <c r="X981" s="97"/>
      <c r="Y981" s="97"/>
      <c r="Z981" s="97"/>
      <c r="AA981" s="97"/>
    </row>
    <row r="982" spans="1:27" ht="17">
      <c r="A982" s="97"/>
      <c r="B982" s="97"/>
      <c r="C982" s="302"/>
      <c r="D982" s="302"/>
      <c r="E982" s="302"/>
      <c r="F982" s="302"/>
      <c r="G982" s="97"/>
      <c r="H982" s="97"/>
      <c r="I982" s="97"/>
      <c r="J982" s="97"/>
      <c r="K982" s="97"/>
      <c r="L982" s="97"/>
      <c r="M982" s="97"/>
      <c r="N982" s="97"/>
      <c r="O982" s="97"/>
      <c r="P982" s="97"/>
      <c r="Q982" s="97"/>
      <c r="R982" s="97"/>
      <c r="S982" s="97"/>
      <c r="T982" s="97"/>
      <c r="U982" s="97"/>
      <c r="V982" s="97"/>
      <c r="W982" s="97"/>
      <c r="X982" s="97"/>
      <c r="Y982" s="97"/>
      <c r="Z982" s="97"/>
      <c r="AA982" s="97"/>
    </row>
    <row r="983" spans="1:27" ht="17">
      <c r="A983" s="97"/>
      <c r="B983" s="97"/>
      <c r="C983" s="302"/>
      <c r="D983" s="302"/>
      <c r="E983" s="302"/>
      <c r="F983" s="302"/>
      <c r="G983" s="97"/>
      <c r="H983" s="97"/>
      <c r="I983" s="97"/>
      <c r="J983" s="97"/>
      <c r="K983" s="97"/>
      <c r="L983" s="97"/>
      <c r="M983" s="97"/>
      <c r="N983" s="97"/>
      <c r="O983" s="97"/>
      <c r="P983" s="97"/>
      <c r="Q983" s="97"/>
      <c r="R983" s="97"/>
      <c r="S983" s="97"/>
      <c r="T983" s="97"/>
      <c r="U983" s="97"/>
      <c r="V983" s="97"/>
      <c r="W983" s="97"/>
      <c r="X983" s="97"/>
      <c r="Y983" s="97"/>
      <c r="Z983" s="97"/>
      <c r="AA983" s="97"/>
    </row>
    <row r="984" spans="1:27" ht="17">
      <c r="A984" s="97"/>
      <c r="B984" s="97"/>
      <c r="C984" s="302"/>
      <c r="D984" s="302"/>
      <c r="E984" s="302"/>
      <c r="F984" s="302"/>
      <c r="G984" s="97"/>
      <c r="H984" s="97"/>
      <c r="I984" s="97"/>
      <c r="J984" s="97"/>
      <c r="K984" s="97"/>
      <c r="L984" s="97"/>
      <c r="M984" s="97"/>
      <c r="N984" s="97"/>
      <c r="O984" s="97"/>
      <c r="P984" s="97"/>
      <c r="Q984" s="97"/>
      <c r="R984" s="97"/>
      <c r="S984" s="97"/>
      <c r="T984" s="97"/>
      <c r="U984" s="97"/>
      <c r="V984" s="97"/>
      <c r="W984" s="97"/>
      <c r="X984" s="97"/>
      <c r="Y984" s="97"/>
      <c r="Z984" s="97"/>
      <c r="AA984" s="97"/>
    </row>
    <row r="985" spans="1:27" ht="17">
      <c r="A985" s="97"/>
      <c r="B985" s="97"/>
      <c r="C985" s="302"/>
      <c r="D985" s="302"/>
      <c r="E985" s="302"/>
      <c r="F985" s="302"/>
      <c r="G985" s="97"/>
      <c r="H985" s="97"/>
      <c r="I985" s="97"/>
      <c r="J985" s="97"/>
      <c r="K985" s="97"/>
      <c r="L985" s="97"/>
      <c r="M985" s="97"/>
      <c r="N985" s="97"/>
      <c r="O985" s="97"/>
      <c r="P985" s="97"/>
      <c r="Q985" s="97"/>
      <c r="R985" s="97"/>
      <c r="S985" s="97"/>
      <c r="T985" s="97"/>
      <c r="U985" s="97"/>
      <c r="V985" s="97"/>
      <c r="W985" s="97"/>
      <c r="X985" s="97"/>
      <c r="Y985" s="97"/>
      <c r="Z985" s="97"/>
      <c r="AA985" s="97"/>
    </row>
    <row r="986" spans="1:27" ht="17">
      <c r="A986" s="97"/>
      <c r="B986" s="97"/>
      <c r="C986" s="302"/>
      <c r="D986" s="302"/>
      <c r="E986" s="302"/>
      <c r="F986" s="302"/>
      <c r="G986" s="97"/>
      <c r="H986" s="97"/>
      <c r="I986" s="97"/>
      <c r="J986" s="97"/>
      <c r="K986" s="97"/>
      <c r="L986" s="97"/>
      <c r="M986" s="97"/>
      <c r="N986" s="97"/>
      <c r="O986" s="97"/>
      <c r="P986" s="97"/>
      <c r="Q986" s="97"/>
      <c r="R986" s="97"/>
      <c r="S986" s="97"/>
      <c r="T986" s="97"/>
      <c r="U986" s="97"/>
      <c r="V986" s="97"/>
      <c r="W986" s="97"/>
      <c r="X986" s="97"/>
      <c r="Y986" s="97"/>
      <c r="Z986" s="97"/>
      <c r="AA986" s="97"/>
    </row>
    <row r="987" spans="1:27" ht="17">
      <c r="A987" s="97"/>
      <c r="B987" s="97"/>
      <c r="C987" s="302"/>
      <c r="D987" s="302"/>
      <c r="E987" s="302"/>
      <c r="F987" s="302"/>
      <c r="G987" s="97"/>
      <c r="H987" s="97"/>
      <c r="I987" s="97"/>
      <c r="J987" s="97"/>
      <c r="K987" s="97"/>
      <c r="L987" s="97"/>
      <c r="M987" s="97"/>
      <c r="N987" s="97"/>
      <c r="O987" s="97"/>
      <c r="P987" s="97"/>
      <c r="Q987" s="97"/>
      <c r="R987" s="97"/>
      <c r="S987" s="97"/>
      <c r="T987" s="97"/>
      <c r="U987" s="97"/>
      <c r="V987" s="97"/>
      <c r="W987" s="97"/>
      <c r="X987" s="97"/>
      <c r="Y987" s="97"/>
      <c r="Z987" s="97"/>
      <c r="AA987" s="97"/>
    </row>
    <row r="988" spans="1:27" ht="17">
      <c r="A988" s="97"/>
      <c r="B988" s="97"/>
      <c r="C988" s="302"/>
      <c r="D988" s="302"/>
      <c r="E988" s="302"/>
      <c r="F988" s="302"/>
      <c r="G988" s="97"/>
      <c r="H988" s="97"/>
      <c r="I988" s="97"/>
      <c r="J988" s="97"/>
      <c r="K988" s="97"/>
      <c r="L988" s="97"/>
      <c r="M988" s="97"/>
      <c r="N988" s="97"/>
      <c r="O988" s="97"/>
      <c r="P988" s="97"/>
      <c r="Q988" s="97"/>
      <c r="R988" s="97"/>
      <c r="S988" s="97"/>
      <c r="T988" s="97"/>
      <c r="U988" s="97"/>
      <c r="V988" s="97"/>
      <c r="W988" s="97"/>
      <c r="X988" s="97"/>
      <c r="Y988" s="97"/>
      <c r="Z988" s="97"/>
      <c r="AA988" s="97"/>
    </row>
    <row r="989" spans="1:27" ht="17">
      <c r="A989" s="97"/>
      <c r="B989" s="97"/>
      <c r="C989" s="302"/>
      <c r="D989" s="302"/>
      <c r="E989" s="302"/>
      <c r="F989" s="302"/>
      <c r="G989" s="97"/>
      <c r="H989" s="97"/>
      <c r="I989" s="97"/>
      <c r="J989" s="97"/>
      <c r="K989" s="97"/>
      <c r="L989" s="97"/>
      <c r="M989" s="97"/>
      <c r="N989" s="97"/>
      <c r="O989" s="97"/>
      <c r="P989" s="97"/>
      <c r="Q989" s="97"/>
      <c r="R989" s="97"/>
      <c r="S989" s="97"/>
      <c r="T989" s="97"/>
      <c r="U989" s="97"/>
      <c r="V989" s="97"/>
      <c r="W989" s="97"/>
      <c r="X989" s="97"/>
      <c r="Y989" s="97"/>
      <c r="Z989" s="97"/>
      <c r="AA989" s="97"/>
    </row>
    <row r="990" spans="1:27" ht="17">
      <c r="A990" s="97"/>
      <c r="B990" s="97"/>
      <c r="C990" s="302"/>
      <c r="D990" s="302"/>
      <c r="E990" s="302"/>
      <c r="F990" s="302"/>
      <c r="G990" s="97"/>
      <c r="H990" s="97"/>
      <c r="I990" s="97"/>
      <c r="J990" s="97"/>
      <c r="K990" s="97"/>
      <c r="L990" s="97"/>
      <c r="M990" s="97"/>
      <c r="N990" s="97"/>
      <c r="O990" s="97"/>
      <c r="P990" s="97"/>
      <c r="Q990" s="97"/>
      <c r="R990" s="97"/>
      <c r="S990" s="97"/>
      <c r="T990" s="97"/>
      <c r="U990" s="97"/>
      <c r="V990" s="97"/>
      <c r="W990" s="97"/>
      <c r="X990" s="97"/>
      <c r="Y990" s="97"/>
      <c r="Z990" s="97"/>
      <c r="AA990" s="97"/>
    </row>
    <row r="991" spans="1:27" ht="17">
      <c r="A991" s="97"/>
      <c r="B991" s="97"/>
      <c r="C991" s="302"/>
      <c r="D991" s="302"/>
      <c r="E991" s="302"/>
      <c r="F991" s="302"/>
      <c r="G991" s="97"/>
      <c r="H991" s="97"/>
      <c r="I991" s="97"/>
      <c r="J991" s="97"/>
      <c r="K991" s="97"/>
      <c r="L991" s="97"/>
      <c r="M991" s="97"/>
      <c r="N991" s="97"/>
      <c r="O991" s="97"/>
      <c r="P991" s="97"/>
      <c r="Q991" s="97"/>
      <c r="R991" s="97"/>
      <c r="S991" s="97"/>
      <c r="T991" s="97"/>
      <c r="U991" s="97"/>
      <c r="V991" s="97"/>
      <c r="W991" s="97"/>
      <c r="X991" s="97"/>
      <c r="Y991" s="97"/>
      <c r="Z991" s="97"/>
      <c r="AA991" s="97"/>
    </row>
    <row r="992" spans="1:27" ht="17">
      <c r="A992" s="97"/>
      <c r="B992" s="97"/>
      <c r="C992" s="302"/>
      <c r="D992" s="302"/>
      <c r="E992" s="302"/>
      <c r="F992" s="302"/>
      <c r="G992" s="97"/>
      <c r="H992" s="97"/>
      <c r="I992" s="97"/>
      <c r="J992" s="97"/>
      <c r="K992" s="97"/>
      <c r="L992" s="97"/>
      <c r="M992" s="97"/>
      <c r="N992" s="97"/>
      <c r="O992" s="97"/>
      <c r="P992" s="97"/>
      <c r="Q992" s="97"/>
      <c r="R992" s="97"/>
      <c r="S992" s="97"/>
      <c r="T992" s="97"/>
      <c r="U992" s="97"/>
      <c r="V992" s="97"/>
      <c r="W992" s="97"/>
      <c r="X992" s="97"/>
      <c r="Y992" s="97"/>
      <c r="Z992" s="97"/>
      <c r="AA992" s="97"/>
    </row>
    <row r="993" spans="1:27" ht="17">
      <c r="A993" s="97"/>
      <c r="B993" s="97"/>
      <c r="C993" s="302"/>
      <c r="D993" s="302"/>
      <c r="E993" s="302"/>
      <c r="F993" s="302"/>
      <c r="G993" s="97"/>
      <c r="H993" s="97"/>
      <c r="I993" s="97"/>
      <c r="J993" s="97"/>
      <c r="K993" s="97"/>
      <c r="L993" s="97"/>
      <c r="M993" s="97"/>
      <c r="N993" s="97"/>
      <c r="O993" s="97"/>
      <c r="P993" s="97"/>
      <c r="Q993" s="97"/>
      <c r="R993" s="97"/>
      <c r="S993" s="97"/>
      <c r="T993" s="97"/>
      <c r="U993" s="97"/>
      <c r="V993" s="97"/>
      <c r="W993" s="97"/>
      <c r="X993" s="97"/>
      <c r="Y993" s="97"/>
      <c r="Z993" s="97"/>
      <c r="AA993" s="97"/>
    </row>
    <row r="994" spans="1:27" ht="17">
      <c r="A994" s="97"/>
      <c r="B994" s="97"/>
      <c r="C994" s="302"/>
      <c r="D994" s="302"/>
      <c r="E994" s="302"/>
      <c r="F994" s="302"/>
      <c r="G994" s="97"/>
      <c r="H994" s="97"/>
      <c r="I994" s="97"/>
      <c r="J994" s="97"/>
      <c r="K994" s="97"/>
      <c r="L994" s="97"/>
      <c r="M994" s="97"/>
      <c r="N994" s="97"/>
      <c r="O994" s="97"/>
      <c r="P994" s="97"/>
      <c r="Q994" s="97"/>
      <c r="R994" s="97"/>
      <c r="S994" s="97"/>
      <c r="T994" s="97"/>
      <c r="U994" s="97"/>
      <c r="V994" s="97"/>
      <c r="W994" s="97"/>
      <c r="X994" s="97"/>
      <c r="Y994" s="97"/>
      <c r="Z994" s="97"/>
      <c r="AA994" s="97"/>
    </row>
    <row r="995" spans="1:27" ht="17">
      <c r="A995" s="97"/>
      <c r="B995" s="97"/>
      <c r="C995" s="302"/>
      <c r="D995" s="302"/>
      <c r="E995" s="302"/>
      <c r="F995" s="302"/>
      <c r="G995" s="97"/>
      <c r="H995" s="97"/>
      <c r="I995" s="97"/>
      <c r="J995" s="97"/>
      <c r="K995" s="97"/>
      <c r="L995" s="97"/>
      <c r="M995" s="97"/>
      <c r="N995" s="97"/>
      <c r="O995" s="97"/>
      <c r="P995" s="97"/>
      <c r="Q995" s="97"/>
      <c r="R995" s="97"/>
      <c r="S995" s="97"/>
      <c r="T995" s="97"/>
      <c r="U995" s="97"/>
      <c r="V995" s="97"/>
      <c r="W995" s="97"/>
      <c r="X995" s="97"/>
      <c r="Y995" s="97"/>
      <c r="Z995" s="97"/>
      <c r="AA995" s="97"/>
    </row>
    <row r="996" spans="1:27" ht="17">
      <c r="A996" s="97"/>
      <c r="B996" s="97"/>
      <c r="C996" s="302"/>
      <c r="D996" s="302"/>
      <c r="E996" s="302"/>
      <c r="F996" s="302"/>
      <c r="G996" s="97"/>
      <c r="H996" s="97"/>
      <c r="I996" s="97"/>
      <c r="J996" s="97"/>
      <c r="K996" s="97"/>
      <c r="L996" s="97"/>
      <c r="M996" s="97"/>
      <c r="N996" s="97"/>
      <c r="O996" s="97"/>
      <c r="P996" s="97"/>
      <c r="Q996" s="97"/>
      <c r="R996" s="97"/>
      <c r="S996" s="97"/>
      <c r="T996" s="97"/>
      <c r="U996" s="97"/>
      <c r="V996" s="97"/>
      <c r="W996" s="97"/>
      <c r="X996" s="97"/>
      <c r="Y996" s="97"/>
      <c r="Z996" s="97"/>
      <c r="AA996" s="97"/>
    </row>
    <row r="997" spans="1:27" ht="17">
      <c r="A997" s="97"/>
      <c r="B997" s="97"/>
      <c r="C997" s="302"/>
      <c r="D997" s="302"/>
      <c r="E997" s="302"/>
      <c r="F997" s="302"/>
      <c r="G997" s="97"/>
      <c r="H997" s="97"/>
      <c r="I997" s="97"/>
      <c r="J997" s="97"/>
      <c r="K997" s="97"/>
      <c r="L997" s="97"/>
      <c r="M997" s="97"/>
      <c r="N997" s="97"/>
      <c r="O997" s="97"/>
      <c r="P997" s="97"/>
      <c r="Q997" s="97"/>
      <c r="R997" s="97"/>
      <c r="S997" s="97"/>
      <c r="T997" s="97"/>
      <c r="U997" s="97"/>
      <c r="V997" s="97"/>
      <c r="W997" s="97"/>
      <c r="X997" s="97"/>
      <c r="Y997" s="97"/>
      <c r="Z997" s="97"/>
      <c r="AA997" s="97"/>
    </row>
    <row r="998" spans="1:27" ht="17">
      <c r="A998" s="97"/>
      <c r="B998" s="97"/>
      <c r="C998" s="302"/>
      <c r="D998" s="302"/>
      <c r="E998" s="302"/>
      <c r="F998" s="302"/>
      <c r="G998" s="97"/>
      <c r="H998" s="97"/>
      <c r="I998" s="97"/>
      <c r="J998" s="97"/>
      <c r="K998" s="97"/>
      <c r="L998" s="97"/>
      <c r="M998" s="97"/>
      <c r="N998" s="97"/>
      <c r="O998" s="97"/>
      <c r="P998" s="97"/>
      <c r="Q998" s="97"/>
      <c r="R998" s="97"/>
      <c r="S998" s="97"/>
      <c r="T998" s="97"/>
      <c r="U998" s="97"/>
      <c r="V998" s="97"/>
      <c r="W998" s="97"/>
      <c r="X998" s="97"/>
      <c r="Y998" s="97"/>
      <c r="Z998" s="97"/>
      <c r="AA998" s="97"/>
    </row>
    <row r="999" spans="1:27" ht="17">
      <c r="A999" s="97"/>
      <c r="B999" s="97"/>
      <c r="C999" s="302"/>
      <c r="D999" s="302"/>
      <c r="E999" s="302"/>
      <c r="F999" s="302"/>
      <c r="G999" s="97"/>
      <c r="H999" s="97"/>
      <c r="I999" s="97"/>
      <c r="J999" s="97"/>
      <c r="K999" s="97"/>
      <c r="L999" s="97"/>
      <c r="M999" s="97"/>
      <c r="N999" s="97"/>
      <c r="O999" s="97"/>
      <c r="P999" s="97"/>
      <c r="Q999" s="97"/>
      <c r="R999" s="97"/>
      <c r="S999" s="97"/>
      <c r="T999" s="97"/>
      <c r="U999" s="97"/>
      <c r="V999" s="97"/>
      <c r="W999" s="97"/>
      <c r="X999" s="97"/>
      <c r="Y999" s="97"/>
      <c r="Z999" s="97"/>
      <c r="AA999" s="97"/>
    </row>
    <row r="1000" spans="1:27" ht="17">
      <c r="A1000" s="97"/>
      <c r="B1000" s="97"/>
      <c r="C1000" s="302"/>
      <c r="D1000" s="302"/>
      <c r="E1000" s="302"/>
      <c r="F1000" s="302"/>
      <c r="G1000" s="97"/>
      <c r="H1000" s="97"/>
      <c r="I1000" s="97"/>
      <c r="J1000" s="97"/>
      <c r="K1000" s="97"/>
      <c r="L1000" s="97"/>
      <c r="M1000" s="97"/>
      <c r="N1000" s="97"/>
      <c r="O1000" s="97"/>
      <c r="P1000" s="97"/>
      <c r="Q1000" s="97"/>
      <c r="R1000" s="97"/>
      <c r="S1000" s="97"/>
      <c r="T1000" s="97"/>
      <c r="U1000" s="97"/>
      <c r="V1000" s="97"/>
      <c r="W1000" s="97"/>
      <c r="X1000" s="97"/>
      <c r="Y1000" s="97"/>
      <c r="Z1000" s="97"/>
      <c r="AA1000" s="97"/>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001"/>
  <sheetViews>
    <sheetView showGridLines="0" workbookViewId="0">
      <selection activeCell="G20" sqref="G20"/>
    </sheetView>
  </sheetViews>
  <sheetFormatPr baseColWidth="10" defaultColWidth="12.6640625" defaultRowHeight="15.75" customHeight="1"/>
  <cols>
    <col min="1" max="1" width="12.6640625" style="63"/>
    <col min="2" max="2" width="15.1640625" style="63" customWidth="1"/>
    <col min="3" max="3" width="26" style="63" customWidth="1"/>
    <col min="4" max="4" width="7.5" style="63" customWidth="1"/>
    <col min="5" max="5" width="16.6640625" style="63" customWidth="1"/>
    <col min="6" max="6" width="12.6640625" style="63"/>
    <col min="7" max="7" width="25.5" style="63" customWidth="1"/>
    <col min="8" max="8" width="6" style="63" customWidth="1"/>
    <col min="9" max="16384" width="12.6640625" style="63"/>
  </cols>
  <sheetData>
    <row r="1" spans="1:26" ht="15.75" customHeight="1">
      <c r="B1" s="97"/>
      <c r="C1" s="97"/>
    </row>
    <row r="2" spans="1:26" ht="45" customHeight="1">
      <c r="A2" s="104"/>
      <c r="B2" s="402" t="s">
        <v>152</v>
      </c>
      <c r="C2" s="402" t="s">
        <v>529</v>
      </c>
      <c r="D2" s="318" t="s">
        <v>78</v>
      </c>
      <c r="E2" s="402" t="s">
        <v>530</v>
      </c>
      <c r="F2" s="402" t="s">
        <v>531</v>
      </c>
      <c r="G2" s="403" t="s">
        <v>532</v>
      </c>
      <c r="H2" s="404" t="s">
        <v>78</v>
      </c>
      <c r="I2" s="405"/>
      <c r="J2" s="371"/>
      <c r="K2" s="371"/>
      <c r="L2" s="371"/>
      <c r="M2" s="104"/>
      <c r="N2" s="104"/>
      <c r="O2" s="104"/>
      <c r="P2" s="104"/>
      <c r="Q2" s="104"/>
      <c r="R2" s="104"/>
      <c r="S2" s="104"/>
      <c r="T2" s="104"/>
      <c r="U2" s="104"/>
      <c r="V2" s="104"/>
      <c r="W2" s="104"/>
      <c r="X2" s="104"/>
      <c r="Y2" s="104"/>
      <c r="Z2" s="104"/>
    </row>
    <row r="3" spans="1:26" ht="15.75" customHeight="1">
      <c r="B3" s="183">
        <v>2014</v>
      </c>
      <c r="C3" s="184">
        <v>8.1199999999999994E-2</v>
      </c>
      <c r="E3" s="406">
        <v>44000</v>
      </c>
      <c r="F3" s="407">
        <v>20036</v>
      </c>
      <c r="G3" s="184"/>
      <c r="H3" s="408"/>
      <c r="I3" s="301"/>
      <c r="J3" s="97"/>
      <c r="K3" s="97"/>
      <c r="L3" s="97"/>
    </row>
    <row r="4" spans="1:26" ht="15.75" customHeight="1">
      <c r="B4" s="183">
        <v>2015</v>
      </c>
      <c r="C4" s="184">
        <v>6.1199999999999997E-2</v>
      </c>
      <c r="E4" s="406">
        <v>44196</v>
      </c>
      <c r="F4" s="407">
        <v>20756</v>
      </c>
      <c r="G4" s="184">
        <f t="shared" ref="G4:G12" si="0">(F4-F3)/F3</f>
        <v>3.5935316430425232E-2</v>
      </c>
      <c r="H4" s="409"/>
      <c r="I4" s="301"/>
      <c r="J4" s="97"/>
      <c r="K4" s="97"/>
      <c r="L4" s="97"/>
    </row>
    <row r="5" spans="1:26" ht="15.75" customHeight="1">
      <c r="B5" s="183">
        <v>2016</v>
      </c>
      <c r="C5" s="184">
        <v>0.1482</v>
      </c>
      <c r="E5" s="406">
        <v>44350</v>
      </c>
      <c r="F5" s="407">
        <v>21388</v>
      </c>
      <c r="G5" s="184">
        <f t="shared" si="0"/>
        <v>3.0449026787434958E-2</v>
      </c>
      <c r="H5" s="409"/>
      <c r="I5" s="409"/>
      <c r="J5" s="97"/>
      <c r="K5" s="97"/>
      <c r="L5" s="97"/>
    </row>
    <row r="6" spans="1:26" ht="15.75" customHeight="1">
      <c r="B6" s="183">
        <v>2017</v>
      </c>
      <c r="C6" s="184">
        <v>0.4803</v>
      </c>
      <c r="E6" s="406">
        <v>44560</v>
      </c>
      <c r="F6" s="407">
        <v>22270</v>
      </c>
      <c r="G6" s="184">
        <f t="shared" si="0"/>
        <v>4.1238077426594355E-2</v>
      </c>
      <c r="H6" s="409"/>
      <c r="I6" s="409"/>
      <c r="J6" s="97"/>
      <c r="K6" s="97"/>
      <c r="L6" s="97"/>
    </row>
    <row r="7" spans="1:26" ht="15.75" customHeight="1">
      <c r="B7" s="183">
        <v>2018</v>
      </c>
      <c r="C7" s="184">
        <v>-9.3200000000000005E-2</v>
      </c>
      <c r="E7" s="406">
        <v>44714</v>
      </c>
      <c r="F7" s="407">
        <v>22971</v>
      </c>
      <c r="G7" s="184">
        <f t="shared" si="0"/>
        <v>3.1477323753929053E-2</v>
      </c>
      <c r="H7" s="409"/>
      <c r="I7" s="409"/>
      <c r="J7" s="97"/>
      <c r="K7" s="97"/>
      <c r="L7" s="97"/>
    </row>
    <row r="8" spans="1:26" ht="15.75" customHeight="1">
      <c r="B8" s="183">
        <v>2019</v>
      </c>
      <c r="C8" s="184">
        <v>7.6700000000000004E-2</v>
      </c>
      <c r="E8" s="406">
        <v>44923</v>
      </c>
      <c r="F8" s="407">
        <v>23257</v>
      </c>
      <c r="G8" s="184">
        <f t="shared" si="0"/>
        <v>1.2450481041312959E-2</v>
      </c>
      <c r="H8" s="409"/>
      <c r="I8" s="409"/>
      <c r="J8" s="97"/>
      <c r="K8" s="97"/>
      <c r="L8" s="97"/>
    </row>
    <row r="9" spans="1:26" ht="15.75" customHeight="1">
      <c r="B9" s="183">
        <v>2020</v>
      </c>
      <c r="C9" s="184">
        <v>0.1487</v>
      </c>
      <c r="E9" s="406">
        <v>45084</v>
      </c>
      <c r="F9" s="407">
        <v>24073</v>
      </c>
      <c r="G9" s="184">
        <f t="shared" si="0"/>
        <v>3.5086210603259234E-2</v>
      </c>
      <c r="H9" s="409"/>
      <c r="I9" s="409"/>
      <c r="J9" s="97"/>
      <c r="K9" s="97"/>
      <c r="L9" s="97"/>
    </row>
    <row r="10" spans="1:26" ht="15.75" customHeight="1">
      <c r="B10" s="183">
        <v>2021</v>
      </c>
      <c r="C10" s="184">
        <v>0.35730000000000001</v>
      </c>
      <c r="E10" s="406">
        <v>45291</v>
      </c>
      <c r="F10" s="407">
        <v>25390</v>
      </c>
      <c r="G10" s="184">
        <f t="shared" si="0"/>
        <v>5.4708594691147756E-2</v>
      </c>
      <c r="H10" s="409"/>
      <c r="I10" s="409"/>
      <c r="J10" s="97"/>
      <c r="K10" s="97"/>
      <c r="L10" s="97"/>
    </row>
    <row r="11" spans="1:26" ht="15.75" customHeight="1">
      <c r="B11" s="183">
        <v>2022</v>
      </c>
      <c r="C11" s="184">
        <v>-0.32779999999999998</v>
      </c>
      <c r="E11" s="406">
        <v>45449</v>
      </c>
      <c r="F11" s="407">
        <v>26153</v>
      </c>
      <c r="G11" s="184">
        <f t="shared" si="0"/>
        <v>3.0051201260338715E-2</v>
      </c>
      <c r="H11" s="409"/>
      <c r="I11" s="409"/>
      <c r="J11" s="97"/>
      <c r="K11" s="97"/>
      <c r="L11" s="97"/>
    </row>
    <row r="12" spans="1:26" ht="15.75" customHeight="1">
      <c r="B12" s="183">
        <v>2023</v>
      </c>
      <c r="C12" s="184">
        <v>0.122</v>
      </c>
      <c r="E12" s="406">
        <v>45610</v>
      </c>
      <c r="F12" s="407">
        <v>26863</v>
      </c>
      <c r="G12" s="184">
        <f t="shared" si="0"/>
        <v>2.7147937139142736E-2</v>
      </c>
      <c r="H12" s="409"/>
      <c r="I12" s="409"/>
      <c r="J12" s="97"/>
      <c r="K12" s="97"/>
      <c r="L12" s="97"/>
    </row>
    <row r="13" spans="1:26" ht="15.75" customHeight="1">
      <c r="B13" s="183">
        <v>2024</v>
      </c>
      <c r="C13" s="184">
        <v>0.1211</v>
      </c>
    </row>
    <row r="14" spans="1:26" ht="15.75" customHeight="1">
      <c r="B14" s="410"/>
      <c r="F14" s="411"/>
    </row>
    <row r="15" spans="1:26" ht="15.75" customHeight="1">
      <c r="B15" s="398" t="s">
        <v>533</v>
      </c>
      <c r="C15" s="184">
        <f>STDEV(C3:C13)</f>
        <v>0.2094457964160743</v>
      </c>
      <c r="E15" s="412" t="s">
        <v>533</v>
      </c>
      <c r="F15" s="413">
        <f>STDEV(G4:G12)</f>
        <v>1.1324107089611238E-2</v>
      </c>
    </row>
    <row r="16" spans="1:26" ht="15.75" customHeight="1">
      <c r="B16" s="398" t="s">
        <v>534</v>
      </c>
      <c r="C16" s="184">
        <f>AVERAGE(C3:C13)</f>
        <v>0.10688181818181818</v>
      </c>
      <c r="E16" s="414" t="s">
        <v>534</v>
      </c>
      <c r="F16" s="413">
        <f>AVERAGE(G4:G12)</f>
        <v>3.3171574348176108E-2</v>
      </c>
    </row>
    <row r="22" spans="2:3" ht="15.75" customHeight="1">
      <c r="B22" s="97"/>
      <c r="C22" s="97"/>
    </row>
    <row r="35" spans="2:3" ht="15.75" customHeight="1">
      <c r="B35" s="97"/>
      <c r="C35" s="97"/>
    </row>
    <row r="36" spans="2:3" ht="15.75" customHeight="1">
      <c r="B36" s="97"/>
      <c r="C36" s="97"/>
    </row>
    <row r="37" spans="2:3" ht="15.75" customHeight="1">
      <c r="B37" s="97"/>
      <c r="C37" s="97"/>
    </row>
    <row r="38" spans="2:3" ht="15.75" customHeight="1">
      <c r="B38" s="97"/>
      <c r="C38" s="97"/>
    </row>
    <row r="39" spans="2:3" ht="15.75" customHeight="1">
      <c r="B39" s="97"/>
      <c r="C39" s="97"/>
    </row>
    <row r="40" spans="2:3" ht="15.75" customHeight="1">
      <c r="B40" s="97"/>
      <c r="C40" s="97"/>
    </row>
    <row r="41" spans="2:3" ht="15.75" customHeight="1">
      <c r="B41" s="97"/>
      <c r="C41" s="97"/>
    </row>
    <row r="42" spans="2:3" ht="15.75" customHeight="1">
      <c r="B42" s="97"/>
      <c r="C42" s="97"/>
    </row>
    <row r="43" spans="2:3" ht="15.75" customHeight="1">
      <c r="B43" s="97"/>
      <c r="C43" s="97"/>
    </row>
    <row r="44" spans="2:3" ht="15.75" customHeight="1">
      <c r="B44" s="97"/>
      <c r="C44" s="97"/>
    </row>
    <row r="45" spans="2:3" ht="15.75" customHeight="1">
      <c r="B45" s="97"/>
      <c r="C45" s="97"/>
    </row>
    <row r="46" spans="2:3" ht="15.75" customHeight="1">
      <c r="B46" s="97"/>
      <c r="C46" s="97"/>
    </row>
    <row r="47" spans="2:3" ht="15.75" customHeight="1">
      <c r="B47" s="97"/>
      <c r="C47" s="97"/>
    </row>
    <row r="48" spans="2:3" ht="15.75" customHeight="1">
      <c r="B48" s="97"/>
      <c r="C48" s="97"/>
    </row>
    <row r="49" spans="2:3" ht="15.75" customHeight="1">
      <c r="B49" s="97"/>
      <c r="C49" s="97"/>
    </row>
    <row r="50" spans="2:3" ht="15.75" customHeight="1">
      <c r="B50" s="97"/>
      <c r="C50" s="97"/>
    </row>
    <row r="51" spans="2:3" ht="17">
      <c r="B51" s="97"/>
      <c r="C51" s="97"/>
    </row>
    <row r="52" spans="2:3" ht="17">
      <c r="B52" s="97"/>
      <c r="C52" s="97"/>
    </row>
    <row r="53" spans="2:3" ht="17">
      <c r="B53" s="97"/>
      <c r="C53" s="97"/>
    </row>
    <row r="54" spans="2:3" ht="17">
      <c r="B54" s="97"/>
      <c r="C54" s="97"/>
    </row>
    <row r="55" spans="2:3" ht="17">
      <c r="B55" s="97"/>
      <c r="C55" s="97"/>
    </row>
    <row r="56" spans="2:3" ht="17">
      <c r="B56" s="97"/>
      <c r="C56" s="97"/>
    </row>
    <row r="57" spans="2:3" ht="17">
      <c r="B57" s="97"/>
      <c r="C57" s="97"/>
    </row>
    <row r="58" spans="2:3" ht="17">
      <c r="B58" s="97"/>
      <c r="C58" s="97"/>
    </row>
    <row r="59" spans="2:3" ht="17">
      <c r="B59" s="97"/>
      <c r="C59" s="97"/>
    </row>
    <row r="60" spans="2:3" ht="17">
      <c r="B60" s="97"/>
      <c r="C60" s="97"/>
    </row>
    <row r="61" spans="2:3" ht="17">
      <c r="B61" s="97"/>
      <c r="C61" s="97"/>
    </row>
    <row r="62" spans="2:3" ht="17">
      <c r="B62" s="97"/>
      <c r="C62" s="97"/>
    </row>
    <row r="63" spans="2:3" ht="17">
      <c r="B63" s="97"/>
      <c r="C63" s="97"/>
    </row>
    <row r="64" spans="2:3" ht="17">
      <c r="B64" s="97"/>
      <c r="C64" s="97"/>
    </row>
    <row r="65" spans="2:3" ht="17">
      <c r="B65" s="97"/>
      <c r="C65" s="97"/>
    </row>
    <row r="66" spans="2:3" ht="17">
      <c r="B66" s="97"/>
      <c r="C66" s="97"/>
    </row>
    <row r="67" spans="2:3" ht="17">
      <c r="B67" s="97"/>
      <c r="C67" s="97"/>
    </row>
    <row r="68" spans="2:3" ht="17">
      <c r="B68" s="97"/>
      <c r="C68" s="97"/>
    </row>
    <row r="69" spans="2:3" ht="17">
      <c r="B69" s="97"/>
      <c r="C69" s="97"/>
    </row>
    <row r="70" spans="2:3" ht="17">
      <c r="B70" s="97"/>
      <c r="C70" s="97"/>
    </row>
    <row r="71" spans="2:3" ht="17">
      <c r="B71" s="97"/>
      <c r="C71" s="97"/>
    </row>
    <row r="72" spans="2:3" ht="17">
      <c r="B72" s="97"/>
      <c r="C72" s="97"/>
    </row>
    <row r="73" spans="2:3" ht="17">
      <c r="B73" s="97"/>
      <c r="C73" s="97"/>
    </row>
    <row r="74" spans="2:3" ht="17">
      <c r="B74" s="97"/>
      <c r="C74" s="97"/>
    </row>
    <row r="75" spans="2:3" ht="17">
      <c r="B75" s="97"/>
      <c r="C75" s="97"/>
    </row>
    <row r="76" spans="2:3" ht="17">
      <c r="B76" s="97"/>
      <c r="C76" s="97"/>
    </row>
    <row r="77" spans="2:3" ht="17">
      <c r="B77" s="97"/>
      <c r="C77" s="97"/>
    </row>
    <row r="78" spans="2:3" ht="17">
      <c r="B78" s="97"/>
      <c r="C78" s="97"/>
    </row>
    <row r="79" spans="2:3" ht="17">
      <c r="B79" s="97"/>
      <c r="C79" s="97"/>
    </row>
    <row r="80" spans="2:3" ht="17">
      <c r="B80" s="97"/>
      <c r="C80" s="97"/>
    </row>
    <row r="81" spans="2:3" ht="17">
      <c r="B81" s="97"/>
      <c r="C81" s="97"/>
    </row>
    <row r="82" spans="2:3" ht="17">
      <c r="B82" s="97"/>
      <c r="C82" s="97"/>
    </row>
    <row r="83" spans="2:3" ht="17">
      <c r="B83" s="97"/>
      <c r="C83" s="97"/>
    </row>
    <row r="84" spans="2:3" ht="17">
      <c r="B84" s="97"/>
      <c r="C84" s="97"/>
    </row>
    <row r="85" spans="2:3" ht="17">
      <c r="B85" s="97"/>
      <c r="C85" s="97"/>
    </row>
    <row r="86" spans="2:3" ht="17">
      <c r="B86" s="97"/>
      <c r="C86" s="97"/>
    </row>
    <row r="87" spans="2:3" ht="17">
      <c r="B87" s="97"/>
      <c r="C87" s="97"/>
    </row>
    <row r="88" spans="2:3" ht="17">
      <c r="B88" s="97"/>
      <c r="C88" s="97"/>
    </row>
    <row r="89" spans="2:3" ht="17">
      <c r="B89" s="97"/>
      <c r="C89" s="97"/>
    </row>
    <row r="90" spans="2:3" ht="17">
      <c r="B90" s="97"/>
      <c r="C90" s="97"/>
    </row>
    <row r="91" spans="2:3" ht="17">
      <c r="B91" s="97"/>
      <c r="C91" s="97"/>
    </row>
    <row r="92" spans="2:3" ht="17">
      <c r="B92" s="97"/>
      <c r="C92" s="97"/>
    </row>
    <row r="93" spans="2:3" ht="17">
      <c r="B93" s="97"/>
      <c r="C93" s="97"/>
    </row>
    <row r="94" spans="2:3" ht="17">
      <c r="B94" s="97"/>
      <c r="C94" s="97"/>
    </row>
    <row r="95" spans="2:3" ht="17">
      <c r="B95" s="97"/>
      <c r="C95" s="97"/>
    </row>
    <row r="96" spans="2:3" ht="17">
      <c r="B96" s="97"/>
      <c r="C96" s="97"/>
    </row>
    <row r="97" spans="2:3" ht="17">
      <c r="B97" s="97"/>
      <c r="C97" s="97"/>
    </row>
    <row r="98" spans="2:3" ht="17">
      <c r="B98" s="97"/>
      <c r="C98" s="97"/>
    </row>
    <row r="99" spans="2:3" ht="17">
      <c r="B99" s="97"/>
      <c r="C99" s="97"/>
    </row>
    <row r="100" spans="2:3" ht="17">
      <c r="B100" s="97"/>
      <c r="C100" s="97"/>
    </row>
    <row r="101" spans="2:3" ht="17">
      <c r="B101" s="97"/>
      <c r="C101" s="97"/>
    </row>
    <row r="102" spans="2:3" ht="17">
      <c r="B102" s="97"/>
      <c r="C102" s="97"/>
    </row>
    <row r="103" spans="2:3" ht="17">
      <c r="B103" s="97"/>
      <c r="C103" s="97"/>
    </row>
    <row r="104" spans="2:3" ht="17">
      <c r="B104" s="97"/>
      <c r="C104" s="97"/>
    </row>
    <row r="105" spans="2:3" ht="17">
      <c r="B105" s="97"/>
      <c r="C105" s="97"/>
    </row>
    <row r="106" spans="2:3" ht="17">
      <c r="B106" s="97"/>
      <c r="C106" s="97"/>
    </row>
    <row r="107" spans="2:3" ht="17">
      <c r="B107" s="97"/>
      <c r="C107" s="97"/>
    </row>
    <row r="108" spans="2:3" ht="17">
      <c r="B108" s="97"/>
      <c r="C108" s="97"/>
    </row>
    <row r="109" spans="2:3" ht="17">
      <c r="B109" s="97"/>
      <c r="C109" s="97"/>
    </row>
    <row r="110" spans="2:3" ht="17">
      <c r="B110" s="97"/>
      <c r="C110" s="97"/>
    </row>
    <row r="111" spans="2:3" ht="17">
      <c r="B111" s="97"/>
      <c r="C111" s="97"/>
    </row>
    <row r="112" spans="2:3" ht="17">
      <c r="B112" s="97"/>
      <c r="C112" s="97"/>
    </row>
    <row r="113" spans="2:3" ht="17">
      <c r="B113" s="97"/>
      <c r="C113" s="97"/>
    </row>
    <row r="114" spans="2:3" ht="17">
      <c r="B114" s="97"/>
      <c r="C114" s="97"/>
    </row>
    <row r="115" spans="2:3" ht="17">
      <c r="B115" s="97"/>
      <c r="C115" s="97"/>
    </row>
    <row r="116" spans="2:3" ht="17">
      <c r="B116" s="97"/>
      <c r="C116" s="97"/>
    </row>
    <row r="117" spans="2:3" ht="17">
      <c r="B117" s="97"/>
      <c r="C117" s="97"/>
    </row>
    <row r="118" spans="2:3" ht="17">
      <c r="B118" s="97"/>
      <c r="C118" s="97"/>
    </row>
    <row r="119" spans="2:3" ht="17">
      <c r="B119" s="97"/>
      <c r="C119" s="97"/>
    </row>
    <row r="120" spans="2:3" ht="17">
      <c r="B120" s="97"/>
      <c r="C120" s="97"/>
    </row>
    <row r="121" spans="2:3" ht="17">
      <c r="B121" s="97"/>
      <c r="C121" s="97"/>
    </row>
    <row r="122" spans="2:3" ht="17">
      <c r="B122" s="97"/>
      <c r="C122" s="97"/>
    </row>
    <row r="123" spans="2:3" ht="17">
      <c r="B123" s="97"/>
      <c r="C123" s="97"/>
    </row>
    <row r="124" spans="2:3" ht="17">
      <c r="B124" s="97"/>
      <c r="C124" s="97"/>
    </row>
    <row r="125" spans="2:3" ht="17">
      <c r="B125" s="97"/>
      <c r="C125" s="97"/>
    </row>
    <row r="126" spans="2:3" ht="17">
      <c r="B126" s="97"/>
      <c r="C126" s="97"/>
    </row>
    <row r="127" spans="2:3" ht="17">
      <c r="B127" s="97"/>
      <c r="C127" s="97"/>
    </row>
    <row r="128" spans="2:3" ht="17">
      <c r="B128" s="97"/>
      <c r="C128" s="97"/>
    </row>
    <row r="129" spans="2:3" ht="17">
      <c r="B129" s="97"/>
      <c r="C129" s="97"/>
    </row>
    <row r="130" spans="2:3" ht="17">
      <c r="B130" s="97"/>
      <c r="C130" s="97"/>
    </row>
    <row r="131" spans="2:3" ht="17">
      <c r="B131" s="97"/>
      <c r="C131" s="97"/>
    </row>
    <row r="132" spans="2:3" ht="17">
      <c r="B132" s="97"/>
      <c r="C132" s="97"/>
    </row>
    <row r="133" spans="2:3" ht="17">
      <c r="B133" s="97"/>
      <c r="C133" s="97"/>
    </row>
    <row r="134" spans="2:3" ht="17">
      <c r="B134" s="97"/>
      <c r="C134" s="97"/>
    </row>
    <row r="135" spans="2:3" ht="17">
      <c r="B135" s="97"/>
      <c r="C135" s="97"/>
    </row>
    <row r="136" spans="2:3" ht="17">
      <c r="B136" s="97"/>
      <c r="C136" s="97"/>
    </row>
    <row r="137" spans="2:3" ht="17">
      <c r="B137" s="97"/>
      <c r="C137" s="97"/>
    </row>
    <row r="138" spans="2:3" ht="17">
      <c r="B138" s="97"/>
      <c r="C138" s="97"/>
    </row>
    <row r="139" spans="2:3" ht="17">
      <c r="B139" s="97"/>
      <c r="C139" s="97"/>
    </row>
    <row r="140" spans="2:3" ht="17">
      <c r="B140" s="97"/>
      <c r="C140" s="97"/>
    </row>
    <row r="141" spans="2:3" ht="17">
      <c r="B141" s="97"/>
      <c r="C141" s="97"/>
    </row>
    <row r="142" spans="2:3" ht="17">
      <c r="B142" s="97"/>
      <c r="C142" s="97"/>
    </row>
    <row r="143" spans="2:3" ht="17">
      <c r="B143" s="97"/>
      <c r="C143" s="97"/>
    </row>
    <row r="144" spans="2:3" ht="17">
      <c r="B144" s="97"/>
      <c r="C144" s="97"/>
    </row>
    <row r="145" spans="2:3" ht="17">
      <c r="B145" s="97"/>
      <c r="C145" s="97"/>
    </row>
    <row r="146" spans="2:3" ht="17">
      <c r="B146" s="97"/>
      <c r="C146" s="97"/>
    </row>
    <row r="147" spans="2:3" ht="17">
      <c r="B147" s="97"/>
      <c r="C147" s="97"/>
    </row>
    <row r="148" spans="2:3" ht="17">
      <c r="B148" s="97"/>
      <c r="C148" s="97"/>
    </row>
    <row r="149" spans="2:3" ht="17">
      <c r="B149" s="97"/>
      <c r="C149" s="97"/>
    </row>
    <row r="150" spans="2:3" ht="17">
      <c r="B150" s="97"/>
      <c r="C150" s="97"/>
    </row>
    <row r="151" spans="2:3" ht="17">
      <c r="B151" s="97"/>
      <c r="C151" s="97"/>
    </row>
    <row r="152" spans="2:3" ht="17">
      <c r="B152" s="97"/>
      <c r="C152" s="97"/>
    </row>
    <row r="153" spans="2:3" ht="17">
      <c r="B153" s="97"/>
      <c r="C153" s="97"/>
    </row>
    <row r="154" spans="2:3" ht="17">
      <c r="B154" s="97"/>
      <c r="C154" s="97"/>
    </row>
    <row r="155" spans="2:3" ht="17">
      <c r="B155" s="97"/>
      <c r="C155" s="97"/>
    </row>
    <row r="156" spans="2:3" ht="17">
      <c r="B156" s="97"/>
      <c r="C156" s="97"/>
    </row>
    <row r="157" spans="2:3" ht="17">
      <c r="B157" s="97"/>
      <c r="C157" s="97"/>
    </row>
    <row r="158" spans="2:3" ht="17">
      <c r="B158" s="97"/>
      <c r="C158" s="97"/>
    </row>
    <row r="159" spans="2:3" ht="17">
      <c r="B159" s="97"/>
      <c r="C159" s="97"/>
    </row>
    <row r="160" spans="2:3" ht="17">
      <c r="B160" s="97"/>
      <c r="C160" s="97"/>
    </row>
    <row r="161" spans="2:3" ht="17">
      <c r="B161" s="97"/>
      <c r="C161" s="97"/>
    </row>
    <row r="162" spans="2:3" ht="17">
      <c r="B162" s="97"/>
      <c r="C162" s="97"/>
    </row>
    <row r="163" spans="2:3" ht="17">
      <c r="B163" s="97"/>
      <c r="C163" s="97"/>
    </row>
    <row r="164" spans="2:3" ht="17">
      <c r="B164" s="97"/>
      <c r="C164" s="97"/>
    </row>
    <row r="165" spans="2:3" ht="17">
      <c r="B165" s="97"/>
      <c r="C165" s="97"/>
    </row>
    <row r="166" spans="2:3" ht="17">
      <c r="B166" s="97"/>
      <c r="C166" s="97"/>
    </row>
    <row r="167" spans="2:3" ht="17">
      <c r="B167" s="97"/>
      <c r="C167" s="97"/>
    </row>
    <row r="168" spans="2:3" ht="17">
      <c r="B168" s="97"/>
      <c r="C168" s="97"/>
    </row>
    <row r="169" spans="2:3" ht="17">
      <c r="B169" s="97"/>
      <c r="C169" s="97"/>
    </row>
    <row r="170" spans="2:3" ht="17">
      <c r="B170" s="97"/>
      <c r="C170" s="97"/>
    </row>
    <row r="171" spans="2:3" ht="17">
      <c r="B171" s="97"/>
      <c r="C171" s="97"/>
    </row>
    <row r="172" spans="2:3" ht="17">
      <c r="B172" s="97"/>
      <c r="C172" s="97"/>
    </row>
    <row r="173" spans="2:3" ht="17">
      <c r="B173" s="97"/>
      <c r="C173" s="97"/>
    </row>
    <row r="174" spans="2:3" ht="17">
      <c r="B174" s="97"/>
      <c r="C174" s="97"/>
    </row>
    <row r="175" spans="2:3" ht="17">
      <c r="B175" s="97"/>
      <c r="C175" s="97"/>
    </row>
    <row r="176" spans="2:3" ht="17">
      <c r="B176" s="97"/>
      <c r="C176" s="97"/>
    </row>
    <row r="177" spans="2:3" ht="17">
      <c r="B177" s="97"/>
      <c r="C177" s="97"/>
    </row>
    <row r="178" spans="2:3" ht="17">
      <c r="B178" s="97"/>
      <c r="C178" s="97"/>
    </row>
    <row r="179" spans="2:3" ht="17">
      <c r="B179" s="97"/>
      <c r="C179" s="97"/>
    </row>
    <row r="180" spans="2:3" ht="17">
      <c r="B180" s="97"/>
      <c r="C180" s="97"/>
    </row>
    <row r="181" spans="2:3" ht="17">
      <c r="B181" s="97"/>
      <c r="C181" s="97"/>
    </row>
    <row r="182" spans="2:3" ht="17">
      <c r="B182" s="97"/>
      <c r="C182" s="97"/>
    </row>
    <row r="183" spans="2:3" ht="17">
      <c r="B183" s="97"/>
      <c r="C183" s="97"/>
    </row>
    <row r="184" spans="2:3" ht="17">
      <c r="B184" s="97"/>
      <c r="C184" s="97"/>
    </row>
    <row r="185" spans="2:3" ht="17">
      <c r="B185" s="97"/>
      <c r="C185" s="97"/>
    </row>
    <row r="186" spans="2:3" ht="17">
      <c r="B186" s="97"/>
      <c r="C186" s="97"/>
    </row>
    <row r="187" spans="2:3" ht="17">
      <c r="B187" s="97"/>
      <c r="C187" s="97"/>
    </row>
    <row r="188" spans="2:3" ht="17">
      <c r="B188" s="97"/>
      <c r="C188" s="97"/>
    </row>
    <row r="189" spans="2:3" ht="17">
      <c r="B189" s="97"/>
      <c r="C189" s="97"/>
    </row>
    <row r="190" spans="2:3" ht="17">
      <c r="B190" s="97"/>
      <c r="C190" s="97"/>
    </row>
    <row r="191" spans="2:3" ht="17">
      <c r="B191" s="97"/>
      <c r="C191" s="97"/>
    </row>
    <row r="192" spans="2:3" ht="17">
      <c r="B192" s="97"/>
      <c r="C192" s="97"/>
    </row>
    <row r="193" spans="2:3" ht="17">
      <c r="B193" s="97"/>
      <c r="C193" s="97"/>
    </row>
    <row r="194" spans="2:3" ht="17">
      <c r="B194" s="97"/>
      <c r="C194" s="97"/>
    </row>
    <row r="195" spans="2:3" ht="17">
      <c r="B195" s="97"/>
      <c r="C195" s="97"/>
    </row>
    <row r="196" spans="2:3" ht="17">
      <c r="B196" s="97"/>
      <c r="C196" s="97"/>
    </row>
    <row r="197" spans="2:3" ht="17">
      <c r="B197" s="97"/>
      <c r="C197" s="97"/>
    </row>
    <row r="198" spans="2:3" ht="17">
      <c r="B198" s="97"/>
      <c r="C198" s="97"/>
    </row>
    <row r="199" spans="2:3" ht="17">
      <c r="B199" s="97"/>
      <c r="C199" s="97"/>
    </row>
    <row r="200" spans="2:3" ht="17">
      <c r="B200" s="97"/>
      <c r="C200" s="97"/>
    </row>
    <row r="201" spans="2:3" ht="17">
      <c r="B201" s="97"/>
      <c r="C201" s="97"/>
    </row>
    <row r="202" spans="2:3" ht="17">
      <c r="B202" s="97"/>
      <c r="C202" s="97"/>
    </row>
    <row r="203" spans="2:3" ht="17">
      <c r="B203" s="97"/>
      <c r="C203" s="97"/>
    </row>
    <row r="204" spans="2:3" ht="17">
      <c r="B204" s="97"/>
      <c r="C204" s="97"/>
    </row>
    <row r="205" spans="2:3" ht="17">
      <c r="B205" s="97"/>
      <c r="C205" s="97"/>
    </row>
    <row r="206" spans="2:3" ht="17">
      <c r="B206" s="97"/>
      <c r="C206" s="97"/>
    </row>
    <row r="207" spans="2:3" ht="17">
      <c r="B207" s="97"/>
      <c r="C207" s="97"/>
    </row>
    <row r="208" spans="2:3" ht="17">
      <c r="B208" s="97"/>
      <c r="C208" s="97"/>
    </row>
    <row r="209" spans="2:3" ht="17">
      <c r="B209" s="97"/>
      <c r="C209" s="97"/>
    </row>
    <row r="210" spans="2:3" ht="17">
      <c r="B210" s="97"/>
      <c r="C210" s="97"/>
    </row>
    <row r="211" spans="2:3" ht="17">
      <c r="B211" s="97"/>
      <c r="C211" s="97"/>
    </row>
    <row r="212" spans="2:3" ht="17">
      <c r="B212" s="97"/>
      <c r="C212" s="97"/>
    </row>
    <row r="213" spans="2:3" ht="17">
      <c r="B213" s="97"/>
      <c r="C213" s="97"/>
    </row>
    <row r="214" spans="2:3" ht="17">
      <c r="B214" s="97"/>
      <c r="C214" s="97"/>
    </row>
    <row r="215" spans="2:3" ht="17">
      <c r="B215" s="97"/>
      <c r="C215" s="97"/>
    </row>
    <row r="216" spans="2:3" ht="17">
      <c r="B216" s="97"/>
      <c r="C216" s="97"/>
    </row>
    <row r="217" spans="2:3" ht="17">
      <c r="B217" s="97"/>
      <c r="C217" s="97"/>
    </row>
    <row r="218" spans="2:3" ht="17">
      <c r="B218" s="97"/>
      <c r="C218" s="97"/>
    </row>
    <row r="219" spans="2:3" ht="17">
      <c r="B219" s="97"/>
      <c r="C219" s="97"/>
    </row>
    <row r="220" spans="2:3" ht="17">
      <c r="B220" s="97"/>
      <c r="C220" s="97"/>
    </row>
    <row r="221" spans="2:3" ht="17">
      <c r="B221" s="97"/>
      <c r="C221" s="97"/>
    </row>
    <row r="222" spans="2:3" ht="17">
      <c r="B222" s="97"/>
      <c r="C222" s="97"/>
    </row>
    <row r="223" spans="2:3" ht="17">
      <c r="B223" s="97"/>
      <c r="C223" s="97"/>
    </row>
    <row r="224" spans="2:3" ht="17">
      <c r="B224" s="97"/>
      <c r="C224" s="97"/>
    </row>
    <row r="225" spans="2:3" ht="17">
      <c r="B225" s="97"/>
      <c r="C225" s="97"/>
    </row>
    <row r="226" spans="2:3" ht="17">
      <c r="B226" s="97"/>
      <c r="C226" s="97"/>
    </row>
    <row r="227" spans="2:3" ht="17">
      <c r="B227" s="97"/>
      <c r="C227" s="97"/>
    </row>
    <row r="228" spans="2:3" ht="17">
      <c r="B228" s="97"/>
      <c r="C228" s="97"/>
    </row>
    <row r="229" spans="2:3" ht="17">
      <c r="B229" s="97"/>
      <c r="C229" s="97"/>
    </row>
    <row r="230" spans="2:3" ht="17">
      <c r="B230" s="97"/>
      <c r="C230" s="97"/>
    </row>
    <row r="231" spans="2:3" ht="17">
      <c r="B231" s="97"/>
      <c r="C231" s="97"/>
    </row>
    <row r="232" spans="2:3" ht="17">
      <c r="B232" s="97"/>
      <c r="C232" s="97"/>
    </row>
    <row r="233" spans="2:3" ht="17">
      <c r="B233" s="97"/>
      <c r="C233" s="97"/>
    </row>
    <row r="234" spans="2:3" ht="17">
      <c r="B234" s="97"/>
      <c r="C234" s="97"/>
    </row>
    <row r="235" spans="2:3" ht="17">
      <c r="B235" s="97"/>
      <c r="C235" s="97"/>
    </row>
    <row r="236" spans="2:3" ht="17">
      <c r="B236" s="97"/>
      <c r="C236" s="97"/>
    </row>
    <row r="237" spans="2:3" ht="17">
      <c r="B237" s="97"/>
      <c r="C237" s="97"/>
    </row>
    <row r="238" spans="2:3" ht="17">
      <c r="B238" s="97"/>
      <c r="C238" s="97"/>
    </row>
    <row r="239" spans="2:3" ht="17">
      <c r="B239" s="97"/>
      <c r="C239" s="97"/>
    </row>
    <row r="240" spans="2:3" ht="17">
      <c r="B240" s="97"/>
      <c r="C240" s="97"/>
    </row>
    <row r="241" spans="2:3" ht="17">
      <c r="B241" s="97"/>
      <c r="C241" s="97"/>
    </row>
    <row r="242" spans="2:3" ht="17">
      <c r="B242" s="97"/>
      <c r="C242" s="97"/>
    </row>
    <row r="243" spans="2:3" ht="17">
      <c r="B243" s="97"/>
      <c r="C243" s="97"/>
    </row>
    <row r="244" spans="2:3" ht="17">
      <c r="B244" s="97"/>
      <c r="C244" s="97"/>
    </row>
    <row r="245" spans="2:3" ht="17">
      <c r="B245" s="97"/>
      <c r="C245" s="97"/>
    </row>
    <row r="246" spans="2:3" ht="17">
      <c r="B246" s="97"/>
      <c r="C246" s="97"/>
    </row>
    <row r="247" spans="2:3" ht="17">
      <c r="B247" s="97"/>
      <c r="C247" s="97"/>
    </row>
    <row r="248" spans="2:3" ht="17">
      <c r="B248" s="97"/>
      <c r="C248" s="97"/>
    </row>
    <row r="249" spans="2:3" ht="17">
      <c r="B249" s="97"/>
      <c r="C249" s="97"/>
    </row>
    <row r="250" spans="2:3" ht="17">
      <c r="B250" s="97"/>
      <c r="C250" s="97"/>
    </row>
    <row r="251" spans="2:3" ht="17">
      <c r="B251" s="97"/>
      <c r="C251" s="97"/>
    </row>
    <row r="252" spans="2:3" ht="17">
      <c r="B252" s="97"/>
      <c r="C252" s="97"/>
    </row>
    <row r="253" spans="2:3" ht="17">
      <c r="B253" s="97"/>
      <c r="C253" s="97"/>
    </row>
    <row r="254" spans="2:3" ht="17">
      <c r="B254" s="97"/>
      <c r="C254" s="97"/>
    </row>
    <row r="255" spans="2:3" ht="17">
      <c r="B255" s="97"/>
      <c r="C255" s="97"/>
    </row>
    <row r="256" spans="2:3" ht="17">
      <c r="B256" s="97"/>
      <c r="C256" s="97"/>
    </row>
    <row r="257" spans="2:3" ht="17">
      <c r="B257" s="97"/>
      <c r="C257" s="97"/>
    </row>
    <row r="258" spans="2:3" ht="17">
      <c r="B258" s="97"/>
      <c r="C258" s="97"/>
    </row>
    <row r="259" spans="2:3" ht="17">
      <c r="B259" s="97"/>
      <c r="C259" s="97"/>
    </row>
    <row r="260" spans="2:3" ht="17">
      <c r="B260" s="97"/>
      <c r="C260" s="97"/>
    </row>
    <row r="261" spans="2:3" ht="17">
      <c r="B261" s="97"/>
      <c r="C261" s="97"/>
    </row>
    <row r="262" spans="2:3" ht="17">
      <c r="B262" s="97"/>
      <c r="C262" s="97"/>
    </row>
    <row r="263" spans="2:3" ht="17">
      <c r="B263" s="97"/>
      <c r="C263" s="97"/>
    </row>
    <row r="264" spans="2:3" ht="17">
      <c r="B264" s="97"/>
      <c r="C264" s="97"/>
    </row>
    <row r="265" spans="2:3" ht="17">
      <c r="B265" s="97"/>
      <c r="C265" s="97"/>
    </row>
    <row r="266" spans="2:3" ht="17">
      <c r="B266" s="97"/>
      <c r="C266" s="97"/>
    </row>
    <row r="267" spans="2:3" ht="17">
      <c r="B267" s="97"/>
      <c r="C267" s="97"/>
    </row>
    <row r="268" spans="2:3" ht="17">
      <c r="B268" s="97"/>
      <c r="C268" s="97"/>
    </row>
    <row r="269" spans="2:3" ht="17">
      <c r="B269" s="97"/>
      <c r="C269" s="97"/>
    </row>
    <row r="270" spans="2:3" ht="17">
      <c r="B270" s="97"/>
      <c r="C270" s="97"/>
    </row>
    <row r="271" spans="2:3" ht="17">
      <c r="B271" s="97"/>
      <c r="C271" s="97"/>
    </row>
    <row r="272" spans="2:3" ht="17">
      <c r="B272" s="97"/>
      <c r="C272" s="97"/>
    </row>
    <row r="273" spans="2:3" ht="17">
      <c r="B273" s="97"/>
      <c r="C273" s="97"/>
    </row>
    <row r="274" spans="2:3" ht="17">
      <c r="B274" s="97"/>
      <c r="C274" s="97"/>
    </row>
    <row r="275" spans="2:3" ht="17">
      <c r="B275" s="97"/>
      <c r="C275" s="97"/>
    </row>
    <row r="276" spans="2:3" ht="17">
      <c r="B276" s="97"/>
      <c r="C276" s="97"/>
    </row>
    <row r="277" spans="2:3" ht="17">
      <c r="B277" s="97"/>
      <c r="C277" s="97"/>
    </row>
    <row r="278" spans="2:3" ht="17">
      <c r="B278" s="97"/>
      <c r="C278" s="97"/>
    </row>
    <row r="279" spans="2:3" ht="17">
      <c r="B279" s="97"/>
      <c r="C279" s="97"/>
    </row>
    <row r="280" spans="2:3" ht="17">
      <c r="B280" s="97"/>
      <c r="C280" s="97"/>
    </row>
    <row r="281" spans="2:3" ht="17">
      <c r="B281" s="97"/>
      <c r="C281" s="97"/>
    </row>
    <row r="282" spans="2:3" ht="17">
      <c r="B282" s="97"/>
      <c r="C282" s="97"/>
    </row>
    <row r="283" spans="2:3" ht="17">
      <c r="B283" s="97"/>
      <c r="C283" s="97"/>
    </row>
    <row r="284" spans="2:3" ht="17">
      <c r="B284" s="97"/>
      <c r="C284" s="97"/>
    </row>
    <row r="285" spans="2:3" ht="17">
      <c r="B285" s="97"/>
      <c r="C285" s="97"/>
    </row>
    <row r="286" spans="2:3" ht="17">
      <c r="B286" s="97"/>
      <c r="C286" s="97"/>
    </row>
    <row r="287" spans="2:3" ht="17">
      <c r="B287" s="97"/>
      <c r="C287" s="97"/>
    </row>
    <row r="288" spans="2:3" ht="17">
      <c r="B288" s="97"/>
      <c r="C288" s="97"/>
    </row>
    <row r="289" spans="2:3" ht="17">
      <c r="B289" s="97"/>
      <c r="C289" s="97"/>
    </row>
    <row r="290" spans="2:3" ht="17">
      <c r="B290" s="97"/>
      <c r="C290" s="97"/>
    </row>
    <row r="291" spans="2:3" ht="17">
      <c r="B291" s="97"/>
      <c r="C291" s="97"/>
    </row>
    <row r="292" spans="2:3" ht="17">
      <c r="B292" s="97"/>
      <c r="C292" s="97"/>
    </row>
    <row r="293" spans="2:3" ht="17">
      <c r="B293" s="97"/>
      <c r="C293" s="97"/>
    </row>
    <row r="294" spans="2:3" ht="17">
      <c r="B294" s="97"/>
      <c r="C294" s="97"/>
    </row>
    <row r="295" spans="2:3" ht="17">
      <c r="B295" s="97"/>
      <c r="C295" s="97"/>
    </row>
    <row r="296" spans="2:3" ht="17">
      <c r="B296" s="97"/>
      <c r="C296" s="97"/>
    </row>
    <row r="297" spans="2:3" ht="17">
      <c r="B297" s="97"/>
      <c r="C297" s="97"/>
    </row>
    <row r="298" spans="2:3" ht="17">
      <c r="B298" s="97"/>
      <c r="C298" s="97"/>
    </row>
    <row r="299" spans="2:3" ht="17">
      <c r="B299" s="97"/>
      <c r="C299" s="97"/>
    </row>
    <row r="300" spans="2:3" ht="17">
      <c r="B300" s="97"/>
      <c r="C300" s="97"/>
    </row>
    <row r="301" spans="2:3" ht="17">
      <c r="B301" s="97"/>
      <c r="C301" s="97"/>
    </row>
    <row r="302" spans="2:3" ht="17">
      <c r="B302" s="97"/>
      <c r="C302" s="97"/>
    </row>
    <row r="303" spans="2:3" ht="17">
      <c r="B303" s="97"/>
      <c r="C303" s="97"/>
    </row>
    <row r="304" spans="2:3" ht="17">
      <c r="B304" s="97"/>
      <c r="C304" s="97"/>
    </row>
    <row r="305" spans="2:3" ht="17">
      <c r="B305" s="97"/>
      <c r="C305" s="97"/>
    </row>
    <row r="306" spans="2:3" ht="17">
      <c r="B306" s="97"/>
      <c r="C306" s="97"/>
    </row>
    <row r="307" spans="2:3" ht="17">
      <c r="B307" s="97"/>
      <c r="C307" s="97"/>
    </row>
    <row r="308" spans="2:3" ht="17">
      <c r="B308" s="97"/>
      <c r="C308" s="97"/>
    </row>
    <row r="309" spans="2:3" ht="17">
      <c r="B309" s="97"/>
      <c r="C309" s="97"/>
    </row>
    <row r="310" spans="2:3" ht="17">
      <c r="B310" s="97"/>
      <c r="C310" s="97"/>
    </row>
    <row r="311" spans="2:3" ht="17">
      <c r="B311" s="97"/>
      <c r="C311" s="97"/>
    </row>
    <row r="312" spans="2:3" ht="17">
      <c r="B312" s="97"/>
      <c r="C312" s="97"/>
    </row>
    <row r="313" spans="2:3" ht="17">
      <c r="B313" s="97"/>
      <c r="C313" s="97"/>
    </row>
    <row r="314" spans="2:3" ht="17">
      <c r="B314" s="97"/>
      <c r="C314" s="97"/>
    </row>
    <row r="315" spans="2:3" ht="17">
      <c r="B315" s="97"/>
      <c r="C315" s="97"/>
    </row>
    <row r="316" spans="2:3" ht="17">
      <c r="B316" s="97"/>
      <c r="C316" s="97"/>
    </row>
    <row r="317" spans="2:3" ht="17">
      <c r="B317" s="97"/>
      <c r="C317" s="97"/>
    </row>
    <row r="318" spans="2:3" ht="17">
      <c r="B318" s="97"/>
      <c r="C318" s="97"/>
    </row>
    <row r="319" spans="2:3" ht="17">
      <c r="B319" s="97"/>
      <c r="C319" s="97"/>
    </row>
    <row r="320" spans="2:3" ht="17">
      <c r="B320" s="97"/>
      <c r="C320" s="97"/>
    </row>
    <row r="321" spans="2:3" ht="17">
      <c r="B321" s="97"/>
      <c r="C321" s="97"/>
    </row>
    <row r="322" spans="2:3" ht="17">
      <c r="B322" s="97"/>
      <c r="C322" s="97"/>
    </row>
    <row r="323" spans="2:3" ht="17">
      <c r="B323" s="97"/>
      <c r="C323" s="97"/>
    </row>
    <row r="324" spans="2:3" ht="17">
      <c r="B324" s="97"/>
      <c r="C324" s="97"/>
    </row>
    <row r="325" spans="2:3" ht="17">
      <c r="B325" s="97"/>
      <c r="C325" s="97"/>
    </row>
    <row r="326" spans="2:3" ht="17">
      <c r="B326" s="97"/>
      <c r="C326" s="97"/>
    </row>
    <row r="327" spans="2:3" ht="17">
      <c r="B327" s="97"/>
      <c r="C327" s="97"/>
    </row>
    <row r="328" spans="2:3" ht="17">
      <c r="B328" s="97"/>
      <c r="C328" s="97"/>
    </row>
    <row r="329" spans="2:3" ht="17">
      <c r="B329" s="97"/>
      <c r="C329" s="97"/>
    </row>
    <row r="330" spans="2:3" ht="17">
      <c r="B330" s="97"/>
      <c r="C330" s="97"/>
    </row>
    <row r="331" spans="2:3" ht="17">
      <c r="B331" s="97"/>
      <c r="C331" s="97"/>
    </row>
    <row r="332" spans="2:3" ht="17">
      <c r="B332" s="97"/>
      <c r="C332" s="97"/>
    </row>
    <row r="333" spans="2:3" ht="17">
      <c r="B333" s="97"/>
      <c r="C333" s="97"/>
    </row>
    <row r="334" spans="2:3" ht="17">
      <c r="B334" s="97"/>
      <c r="C334" s="97"/>
    </row>
    <row r="335" spans="2:3" ht="17">
      <c r="B335" s="97"/>
      <c r="C335" s="97"/>
    </row>
    <row r="336" spans="2:3" ht="17">
      <c r="B336" s="97"/>
      <c r="C336" s="97"/>
    </row>
    <row r="337" spans="2:3" ht="17">
      <c r="B337" s="97"/>
      <c r="C337" s="97"/>
    </row>
    <row r="338" spans="2:3" ht="17">
      <c r="B338" s="97"/>
      <c r="C338" s="97"/>
    </row>
    <row r="339" spans="2:3" ht="17">
      <c r="B339" s="97"/>
      <c r="C339" s="97"/>
    </row>
    <row r="340" spans="2:3" ht="17">
      <c r="B340" s="97"/>
      <c r="C340" s="97"/>
    </row>
    <row r="341" spans="2:3" ht="17">
      <c r="B341" s="97"/>
      <c r="C341" s="97"/>
    </row>
    <row r="342" spans="2:3" ht="17">
      <c r="B342" s="97"/>
      <c r="C342" s="97"/>
    </row>
    <row r="343" spans="2:3" ht="17">
      <c r="B343" s="97"/>
      <c r="C343" s="97"/>
    </row>
    <row r="344" spans="2:3" ht="17">
      <c r="B344" s="97"/>
      <c r="C344" s="97"/>
    </row>
    <row r="345" spans="2:3" ht="17">
      <c r="B345" s="97"/>
      <c r="C345" s="97"/>
    </row>
    <row r="346" spans="2:3" ht="17">
      <c r="B346" s="97"/>
      <c r="C346" s="97"/>
    </row>
    <row r="347" spans="2:3" ht="17">
      <c r="B347" s="97"/>
      <c r="C347" s="97"/>
    </row>
    <row r="348" spans="2:3" ht="17">
      <c r="B348" s="97"/>
      <c r="C348" s="97"/>
    </row>
    <row r="349" spans="2:3" ht="17">
      <c r="B349" s="97"/>
      <c r="C349" s="97"/>
    </row>
    <row r="350" spans="2:3" ht="17">
      <c r="B350" s="97"/>
      <c r="C350" s="97"/>
    </row>
    <row r="351" spans="2:3" ht="17">
      <c r="B351" s="97"/>
      <c r="C351" s="97"/>
    </row>
    <row r="352" spans="2:3" ht="17">
      <c r="B352" s="97"/>
      <c r="C352" s="97"/>
    </row>
    <row r="353" spans="2:3" ht="17">
      <c r="B353" s="97"/>
      <c r="C353" s="97"/>
    </row>
    <row r="354" spans="2:3" ht="17">
      <c r="B354" s="97"/>
      <c r="C354" s="97"/>
    </row>
    <row r="355" spans="2:3" ht="17">
      <c r="B355" s="97"/>
      <c r="C355" s="97"/>
    </row>
    <row r="356" spans="2:3" ht="17">
      <c r="B356" s="97"/>
      <c r="C356" s="97"/>
    </row>
    <row r="357" spans="2:3" ht="17">
      <c r="B357" s="97"/>
      <c r="C357" s="97"/>
    </row>
    <row r="358" spans="2:3" ht="17">
      <c r="B358" s="97"/>
      <c r="C358" s="97"/>
    </row>
    <row r="359" spans="2:3" ht="17">
      <c r="B359" s="97"/>
      <c r="C359" s="97"/>
    </row>
    <row r="360" spans="2:3" ht="17">
      <c r="B360" s="97"/>
      <c r="C360" s="97"/>
    </row>
    <row r="361" spans="2:3" ht="17">
      <c r="B361" s="97"/>
      <c r="C361" s="97"/>
    </row>
    <row r="362" spans="2:3" ht="17">
      <c r="B362" s="97"/>
      <c r="C362" s="97"/>
    </row>
    <row r="363" spans="2:3" ht="17">
      <c r="B363" s="97"/>
      <c r="C363" s="97"/>
    </row>
    <row r="364" spans="2:3" ht="17">
      <c r="B364" s="97"/>
      <c r="C364" s="97"/>
    </row>
    <row r="365" spans="2:3" ht="17">
      <c r="B365" s="97"/>
      <c r="C365" s="97"/>
    </row>
    <row r="366" spans="2:3" ht="17">
      <c r="B366" s="97"/>
      <c r="C366" s="97"/>
    </row>
    <row r="367" spans="2:3" ht="17">
      <c r="B367" s="97"/>
      <c r="C367" s="97"/>
    </row>
    <row r="368" spans="2:3" ht="17">
      <c r="B368" s="97"/>
      <c r="C368" s="97"/>
    </row>
    <row r="369" spans="2:3" ht="17">
      <c r="B369" s="97"/>
      <c r="C369" s="97"/>
    </row>
    <row r="370" spans="2:3" ht="17">
      <c r="B370" s="97"/>
      <c r="C370" s="97"/>
    </row>
    <row r="371" spans="2:3" ht="17">
      <c r="B371" s="97"/>
      <c r="C371" s="97"/>
    </row>
    <row r="372" spans="2:3" ht="17">
      <c r="B372" s="97"/>
      <c r="C372" s="97"/>
    </row>
    <row r="373" spans="2:3" ht="17">
      <c r="B373" s="97"/>
      <c r="C373" s="97"/>
    </row>
    <row r="374" spans="2:3" ht="17">
      <c r="B374" s="97"/>
      <c r="C374" s="97"/>
    </row>
    <row r="375" spans="2:3" ht="17">
      <c r="B375" s="97"/>
      <c r="C375" s="97"/>
    </row>
    <row r="376" spans="2:3" ht="17">
      <c r="B376" s="97"/>
      <c r="C376" s="97"/>
    </row>
    <row r="377" spans="2:3" ht="17">
      <c r="B377" s="97"/>
      <c r="C377" s="97"/>
    </row>
    <row r="378" spans="2:3" ht="17">
      <c r="B378" s="97"/>
      <c r="C378" s="97"/>
    </row>
    <row r="379" spans="2:3" ht="17">
      <c r="B379" s="97"/>
      <c r="C379" s="97"/>
    </row>
    <row r="380" spans="2:3" ht="17">
      <c r="B380" s="97"/>
      <c r="C380" s="97"/>
    </row>
    <row r="381" spans="2:3" ht="17">
      <c r="B381" s="97"/>
      <c r="C381" s="97"/>
    </row>
    <row r="382" spans="2:3" ht="17">
      <c r="B382" s="97"/>
      <c r="C382" s="97"/>
    </row>
    <row r="383" spans="2:3" ht="17">
      <c r="B383" s="97"/>
      <c r="C383" s="97"/>
    </row>
    <row r="384" spans="2:3" ht="17">
      <c r="B384" s="97"/>
      <c r="C384" s="97"/>
    </row>
    <row r="385" spans="2:3" ht="17">
      <c r="B385" s="97"/>
      <c r="C385" s="97"/>
    </row>
    <row r="386" spans="2:3" ht="17">
      <c r="B386" s="97"/>
      <c r="C386" s="97"/>
    </row>
    <row r="387" spans="2:3" ht="17">
      <c r="B387" s="97"/>
      <c r="C387" s="97"/>
    </row>
    <row r="388" spans="2:3" ht="17">
      <c r="B388" s="97"/>
      <c r="C388" s="97"/>
    </row>
    <row r="389" spans="2:3" ht="17">
      <c r="B389" s="97"/>
      <c r="C389" s="97"/>
    </row>
    <row r="390" spans="2:3" ht="17">
      <c r="B390" s="97"/>
      <c r="C390" s="97"/>
    </row>
    <row r="391" spans="2:3" ht="17">
      <c r="B391" s="97"/>
      <c r="C391" s="97"/>
    </row>
    <row r="392" spans="2:3" ht="17">
      <c r="B392" s="97"/>
      <c r="C392" s="97"/>
    </row>
    <row r="393" spans="2:3" ht="17">
      <c r="B393" s="97"/>
      <c r="C393" s="97"/>
    </row>
    <row r="394" spans="2:3" ht="17">
      <c r="B394" s="97"/>
      <c r="C394" s="97"/>
    </row>
    <row r="395" spans="2:3" ht="17">
      <c r="B395" s="97"/>
      <c r="C395" s="97"/>
    </row>
    <row r="396" spans="2:3" ht="17">
      <c r="B396" s="97"/>
      <c r="C396" s="97"/>
    </row>
    <row r="397" spans="2:3" ht="17">
      <c r="B397" s="97"/>
      <c r="C397" s="97"/>
    </row>
    <row r="398" spans="2:3" ht="17">
      <c r="B398" s="97"/>
      <c r="C398" s="97"/>
    </row>
    <row r="399" spans="2:3" ht="17">
      <c r="B399" s="97"/>
      <c r="C399" s="97"/>
    </row>
    <row r="400" spans="2:3" ht="17">
      <c r="B400" s="97"/>
      <c r="C400" s="97"/>
    </row>
    <row r="401" spans="2:3" ht="17">
      <c r="B401" s="97"/>
      <c r="C401" s="97"/>
    </row>
    <row r="402" spans="2:3" ht="17">
      <c r="B402" s="97"/>
      <c r="C402" s="97"/>
    </row>
    <row r="403" spans="2:3" ht="17">
      <c r="B403" s="97"/>
      <c r="C403" s="97"/>
    </row>
    <row r="404" spans="2:3" ht="17">
      <c r="B404" s="97"/>
      <c r="C404" s="97"/>
    </row>
    <row r="405" spans="2:3" ht="17">
      <c r="B405" s="97"/>
      <c r="C405" s="97"/>
    </row>
    <row r="406" spans="2:3" ht="17">
      <c r="B406" s="97"/>
      <c r="C406" s="97"/>
    </row>
    <row r="407" spans="2:3" ht="17">
      <c r="B407" s="97"/>
      <c r="C407" s="97"/>
    </row>
    <row r="408" spans="2:3" ht="17">
      <c r="B408" s="97"/>
      <c r="C408" s="97"/>
    </row>
    <row r="409" spans="2:3" ht="17">
      <c r="B409" s="97"/>
      <c r="C409" s="97"/>
    </row>
    <row r="410" spans="2:3" ht="17">
      <c r="B410" s="97"/>
      <c r="C410" s="97"/>
    </row>
    <row r="411" spans="2:3" ht="17">
      <c r="B411" s="97"/>
      <c r="C411" s="97"/>
    </row>
    <row r="412" spans="2:3" ht="17">
      <c r="B412" s="97"/>
      <c r="C412" s="97"/>
    </row>
    <row r="413" spans="2:3" ht="17">
      <c r="B413" s="97"/>
      <c r="C413" s="97"/>
    </row>
    <row r="414" spans="2:3" ht="17">
      <c r="B414" s="97"/>
      <c r="C414" s="97"/>
    </row>
    <row r="415" spans="2:3" ht="17">
      <c r="B415" s="97"/>
      <c r="C415" s="97"/>
    </row>
    <row r="416" spans="2:3" ht="17">
      <c r="B416" s="97"/>
      <c r="C416" s="97"/>
    </row>
    <row r="417" spans="2:3" ht="17">
      <c r="B417" s="97"/>
      <c r="C417" s="97"/>
    </row>
    <row r="418" spans="2:3" ht="17">
      <c r="B418" s="97"/>
      <c r="C418" s="97"/>
    </row>
    <row r="419" spans="2:3" ht="17">
      <c r="B419" s="97"/>
      <c r="C419" s="97"/>
    </row>
    <row r="420" spans="2:3" ht="17">
      <c r="B420" s="97"/>
      <c r="C420" s="97"/>
    </row>
    <row r="421" spans="2:3" ht="17">
      <c r="B421" s="97"/>
      <c r="C421" s="97"/>
    </row>
    <row r="422" spans="2:3" ht="17">
      <c r="B422" s="97"/>
      <c r="C422" s="97"/>
    </row>
    <row r="423" spans="2:3" ht="17">
      <c r="B423" s="97"/>
      <c r="C423" s="97"/>
    </row>
    <row r="424" spans="2:3" ht="17">
      <c r="B424" s="97"/>
      <c r="C424" s="97"/>
    </row>
    <row r="425" spans="2:3" ht="17">
      <c r="B425" s="97"/>
      <c r="C425" s="97"/>
    </row>
    <row r="426" spans="2:3" ht="17">
      <c r="B426" s="97"/>
      <c r="C426" s="97"/>
    </row>
    <row r="427" spans="2:3" ht="17">
      <c r="B427" s="97"/>
      <c r="C427" s="97"/>
    </row>
    <row r="428" spans="2:3" ht="17">
      <c r="B428" s="97"/>
      <c r="C428" s="97"/>
    </row>
    <row r="429" spans="2:3" ht="17">
      <c r="B429" s="97"/>
      <c r="C429" s="97"/>
    </row>
    <row r="430" spans="2:3" ht="17">
      <c r="B430" s="97"/>
      <c r="C430" s="97"/>
    </row>
    <row r="431" spans="2:3" ht="17">
      <c r="B431" s="97"/>
      <c r="C431" s="97"/>
    </row>
    <row r="432" spans="2:3" ht="17">
      <c r="B432" s="97"/>
      <c r="C432" s="97"/>
    </row>
    <row r="433" spans="2:3" ht="17">
      <c r="B433" s="97"/>
      <c r="C433" s="97"/>
    </row>
    <row r="434" spans="2:3" ht="17">
      <c r="B434" s="97"/>
      <c r="C434" s="97"/>
    </row>
    <row r="435" spans="2:3" ht="17">
      <c r="B435" s="97"/>
      <c r="C435" s="97"/>
    </row>
    <row r="436" spans="2:3" ht="17">
      <c r="B436" s="97"/>
      <c r="C436" s="97"/>
    </row>
    <row r="437" spans="2:3" ht="17">
      <c r="B437" s="97"/>
      <c r="C437" s="97"/>
    </row>
    <row r="438" spans="2:3" ht="17">
      <c r="B438" s="97"/>
      <c r="C438" s="97"/>
    </row>
    <row r="439" spans="2:3" ht="17">
      <c r="B439" s="97"/>
      <c r="C439" s="97"/>
    </row>
    <row r="440" spans="2:3" ht="17">
      <c r="B440" s="97"/>
      <c r="C440" s="97"/>
    </row>
    <row r="441" spans="2:3" ht="17">
      <c r="B441" s="97"/>
      <c r="C441" s="97"/>
    </row>
    <row r="442" spans="2:3" ht="17">
      <c r="B442" s="97"/>
      <c r="C442" s="97"/>
    </row>
    <row r="443" spans="2:3" ht="17">
      <c r="B443" s="97"/>
      <c r="C443" s="97"/>
    </row>
    <row r="444" spans="2:3" ht="17">
      <c r="B444" s="97"/>
      <c r="C444" s="97"/>
    </row>
    <row r="445" spans="2:3" ht="17">
      <c r="B445" s="97"/>
      <c r="C445" s="97"/>
    </row>
    <row r="446" spans="2:3" ht="17">
      <c r="B446" s="97"/>
      <c r="C446" s="97"/>
    </row>
    <row r="447" spans="2:3" ht="17">
      <c r="B447" s="97"/>
      <c r="C447" s="97"/>
    </row>
    <row r="448" spans="2:3" ht="17">
      <c r="B448" s="97"/>
      <c r="C448" s="97"/>
    </row>
    <row r="449" spans="2:3" ht="17">
      <c r="B449" s="97"/>
      <c r="C449" s="97"/>
    </row>
    <row r="450" spans="2:3" ht="17">
      <c r="B450" s="97"/>
      <c r="C450" s="97"/>
    </row>
    <row r="451" spans="2:3" ht="17">
      <c r="B451" s="97"/>
      <c r="C451" s="97"/>
    </row>
    <row r="452" spans="2:3" ht="17">
      <c r="B452" s="97"/>
      <c r="C452" s="97"/>
    </row>
    <row r="453" spans="2:3" ht="17">
      <c r="B453" s="97"/>
      <c r="C453" s="97"/>
    </row>
    <row r="454" spans="2:3" ht="17">
      <c r="B454" s="97"/>
      <c r="C454" s="97"/>
    </row>
    <row r="455" spans="2:3" ht="17">
      <c r="B455" s="97"/>
      <c r="C455" s="97"/>
    </row>
    <row r="456" spans="2:3" ht="17">
      <c r="B456" s="97"/>
      <c r="C456" s="97"/>
    </row>
    <row r="457" spans="2:3" ht="17">
      <c r="B457" s="97"/>
      <c r="C457" s="97"/>
    </row>
    <row r="458" spans="2:3" ht="17">
      <c r="B458" s="97"/>
      <c r="C458" s="97"/>
    </row>
    <row r="459" spans="2:3" ht="17">
      <c r="B459" s="97"/>
      <c r="C459" s="97"/>
    </row>
    <row r="460" spans="2:3" ht="17">
      <c r="B460" s="97"/>
      <c r="C460" s="97"/>
    </row>
    <row r="461" spans="2:3" ht="17">
      <c r="B461" s="97"/>
      <c r="C461" s="97"/>
    </row>
    <row r="462" spans="2:3" ht="17">
      <c r="B462" s="97"/>
      <c r="C462" s="97"/>
    </row>
    <row r="463" spans="2:3" ht="17">
      <c r="B463" s="97"/>
      <c r="C463" s="97"/>
    </row>
    <row r="464" spans="2:3" ht="17">
      <c r="B464" s="97"/>
      <c r="C464" s="97"/>
    </row>
    <row r="465" spans="2:3" ht="17">
      <c r="B465" s="97"/>
      <c r="C465" s="97"/>
    </row>
    <row r="466" spans="2:3" ht="17">
      <c r="B466" s="97"/>
      <c r="C466" s="97"/>
    </row>
    <row r="467" spans="2:3" ht="17">
      <c r="B467" s="97"/>
      <c r="C467" s="97"/>
    </row>
    <row r="468" spans="2:3" ht="17">
      <c r="B468" s="97"/>
      <c r="C468" s="97"/>
    </row>
    <row r="469" spans="2:3" ht="17">
      <c r="B469" s="97"/>
      <c r="C469" s="97"/>
    </row>
    <row r="470" spans="2:3" ht="17">
      <c r="B470" s="97"/>
      <c r="C470" s="97"/>
    </row>
    <row r="471" spans="2:3" ht="17">
      <c r="B471" s="97"/>
      <c r="C471" s="97"/>
    </row>
    <row r="472" spans="2:3" ht="17">
      <c r="B472" s="97"/>
      <c r="C472" s="97"/>
    </row>
    <row r="473" spans="2:3" ht="17">
      <c r="B473" s="97"/>
      <c r="C473" s="97"/>
    </row>
    <row r="474" spans="2:3" ht="17">
      <c r="B474" s="97"/>
      <c r="C474" s="97"/>
    </row>
    <row r="475" spans="2:3" ht="17">
      <c r="B475" s="97"/>
      <c r="C475" s="97"/>
    </row>
    <row r="476" spans="2:3" ht="17">
      <c r="B476" s="97"/>
      <c r="C476" s="97"/>
    </row>
    <row r="477" spans="2:3" ht="17">
      <c r="B477" s="97"/>
      <c r="C477" s="97"/>
    </row>
    <row r="478" spans="2:3" ht="17">
      <c r="B478" s="97"/>
      <c r="C478" s="97"/>
    </row>
    <row r="479" spans="2:3" ht="17">
      <c r="B479" s="97"/>
      <c r="C479" s="97"/>
    </row>
    <row r="480" spans="2:3" ht="17">
      <c r="B480" s="97"/>
      <c r="C480" s="97"/>
    </row>
    <row r="481" spans="2:3" ht="17">
      <c r="B481" s="97"/>
      <c r="C481" s="97"/>
    </row>
    <row r="482" spans="2:3" ht="17">
      <c r="B482" s="97"/>
      <c r="C482" s="97"/>
    </row>
    <row r="483" spans="2:3" ht="17">
      <c r="B483" s="97"/>
      <c r="C483" s="97"/>
    </row>
    <row r="484" spans="2:3" ht="17">
      <c r="B484" s="97"/>
      <c r="C484" s="97"/>
    </row>
    <row r="485" spans="2:3" ht="17">
      <c r="B485" s="97"/>
      <c r="C485" s="97"/>
    </row>
    <row r="486" spans="2:3" ht="17">
      <c r="B486" s="97"/>
      <c r="C486" s="97"/>
    </row>
    <row r="487" spans="2:3" ht="17">
      <c r="B487" s="97"/>
      <c r="C487" s="97"/>
    </row>
    <row r="488" spans="2:3" ht="17">
      <c r="B488" s="97"/>
      <c r="C488" s="97"/>
    </row>
    <row r="489" spans="2:3" ht="17">
      <c r="B489" s="97"/>
      <c r="C489" s="97"/>
    </row>
    <row r="490" spans="2:3" ht="17">
      <c r="B490" s="97"/>
      <c r="C490" s="97"/>
    </row>
    <row r="491" spans="2:3" ht="17">
      <c r="B491" s="97"/>
      <c r="C491" s="97"/>
    </row>
    <row r="492" spans="2:3" ht="17">
      <c r="B492" s="97"/>
      <c r="C492" s="97"/>
    </row>
    <row r="493" spans="2:3" ht="17">
      <c r="B493" s="97"/>
      <c r="C493" s="97"/>
    </row>
    <row r="494" spans="2:3" ht="17">
      <c r="B494" s="97"/>
      <c r="C494" s="97"/>
    </row>
    <row r="495" spans="2:3" ht="17">
      <c r="B495" s="97"/>
      <c r="C495" s="97"/>
    </row>
    <row r="496" spans="2:3" ht="17">
      <c r="B496" s="97"/>
      <c r="C496" s="97"/>
    </row>
    <row r="497" spans="2:3" ht="17">
      <c r="B497" s="97"/>
      <c r="C497" s="97"/>
    </row>
    <row r="498" spans="2:3" ht="17">
      <c r="B498" s="97"/>
      <c r="C498" s="97"/>
    </row>
    <row r="499" spans="2:3" ht="17">
      <c r="B499" s="97"/>
      <c r="C499" s="97"/>
    </row>
    <row r="500" spans="2:3" ht="17">
      <c r="B500" s="97"/>
      <c r="C500" s="97"/>
    </row>
    <row r="501" spans="2:3" ht="17">
      <c r="B501" s="97"/>
      <c r="C501" s="97"/>
    </row>
    <row r="502" spans="2:3" ht="17">
      <c r="B502" s="97"/>
      <c r="C502" s="97"/>
    </row>
    <row r="503" spans="2:3" ht="17">
      <c r="B503" s="97"/>
      <c r="C503" s="97"/>
    </row>
    <row r="504" spans="2:3" ht="17">
      <c r="B504" s="97"/>
      <c r="C504" s="97"/>
    </row>
    <row r="505" spans="2:3" ht="17">
      <c r="B505" s="97"/>
      <c r="C505" s="97"/>
    </row>
    <row r="506" spans="2:3" ht="17">
      <c r="B506" s="97"/>
      <c r="C506" s="97"/>
    </row>
    <row r="507" spans="2:3" ht="17">
      <c r="B507" s="97"/>
      <c r="C507" s="97"/>
    </row>
    <row r="508" spans="2:3" ht="17">
      <c r="B508" s="97"/>
      <c r="C508" s="97"/>
    </row>
    <row r="509" spans="2:3" ht="17">
      <c r="B509" s="97"/>
      <c r="C509" s="97"/>
    </row>
    <row r="510" spans="2:3" ht="17">
      <c r="B510" s="97"/>
      <c r="C510" s="97"/>
    </row>
    <row r="511" spans="2:3" ht="17">
      <c r="B511" s="97"/>
      <c r="C511" s="97"/>
    </row>
    <row r="512" spans="2:3" ht="17">
      <c r="B512" s="97"/>
      <c r="C512" s="97"/>
    </row>
    <row r="513" spans="2:3" ht="17">
      <c r="B513" s="97"/>
      <c r="C513" s="97"/>
    </row>
    <row r="514" spans="2:3" ht="17">
      <c r="B514" s="97"/>
      <c r="C514" s="97"/>
    </row>
    <row r="515" spans="2:3" ht="17">
      <c r="B515" s="97"/>
      <c r="C515" s="97"/>
    </row>
    <row r="516" spans="2:3" ht="17">
      <c r="B516" s="97"/>
      <c r="C516" s="97"/>
    </row>
    <row r="517" spans="2:3" ht="17">
      <c r="B517" s="97"/>
      <c r="C517" s="97"/>
    </row>
    <row r="518" spans="2:3" ht="17">
      <c r="B518" s="97"/>
      <c r="C518" s="97"/>
    </row>
    <row r="519" spans="2:3" ht="17">
      <c r="B519" s="97"/>
      <c r="C519" s="97"/>
    </row>
    <row r="520" spans="2:3" ht="17">
      <c r="B520" s="97"/>
      <c r="C520" s="97"/>
    </row>
    <row r="521" spans="2:3" ht="17">
      <c r="B521" s="97"/>
      <c r="C521" s="97"/>
    </row>
    <row r="522" spans="2:3" ht="17">
      <c r="B522" s="97"/>
      <c r="C522" s="97"/>
    </row>
    <row r="523" spans="2:3" ht="17">
      <c r="B523" s="97"/>
      <c r="C523" s="97"/>
    </row>
    <row r="524" spans="2:3" ht="17">
      <c r="B524" s="97"/>
      <c r="C524" s="97"/>
    </row>
    <row r="525" spans="2:3" ht="17">
      <c r="B525" s="97"/>
      <c r="C525" s="97"/>
    </row>
    <row r="526" spans="2:3" ht="17">
      <c r="B526" s="97"/>
      <c r="C526" s="97"/>
    </row>
    <row r="527" spans="2:3" ht="17">
      <c r="B527" s="97"/>
      <c r="C527" s="97"/>
    </row>
    <row r="528" spans="2:3" ht="17">
      <c r="B528" s="97"/>
      <c r="C528" s="97"/>
    </row>
    <row r="529" spans="2:3" ht="17">
      <c r="B529" s="97"/>
      <c r="C529" s="97"/>
    </row>
    <row r="530" spans="2:3" ht="17">
      <c r="B530" s="97"/>
      <c r="C530" s="97"/>
    </row>
    <row r="531" spans="2:3" ht="17">
      <c r="B531" s="97"/>
      <c r="C531" s="97"/>
    </row>
    <row r="532" spans="2:3" ht="17">
      <c r="B532" s="97"/>
      <c r="C532" s="97"/>
    </row>
    <row r="533" spans="2:3" ht="17">
      <c r="B533" s="97"/>
      <c r="C533" s="97"/>
    </row>
    <row r="534" spans="2:3" ht="17">
      <c r="B534" s="97"/>
      <c r="C534" s="97"/>
    </row>
    <row r="535" spans="2:3" ht="17">
      <c r="B535" s="97"/>
      <c r="C535" s="97"/>
    </row>
    <row r="536" spans="2:3" ht="17">
      <c r="B536" s="97"/>
      <c r="C536" s="97"/>
    </row>
    <row r="537" spans="2:3" ht="17">
      <c r="B537" s="97"/>
      <c r="C537" s="97"/>
    </row>
    <row r="538" spans="2:3" ht="17">
      <c r="B538" s="97"/>
      <c r="C538" s="97"/>
    </row>
    <row r="539" spans="2:3" ht="17">
      <c r="B539" s="97"/>
      <c r="C539" s="97"/>
    </row>
    <row r="540" spans="2:3" ht="17">
      <c r="B540" s="97"/>
      <c r="C540" s="97"/>
    </row>
    <row r="541" spans="2:3" ht="17">
      <c r="B541" s="97"/>
      <c r="C541" s="97"/>
    </row>
    <row r="542" spans="2:3" ht="17">
      <c r="B542" s="97"/>
      <c r="C542" s="97"/>
    </row>
    <row r="543" spans="2:3" ht="17">
      <c r="B543" s="97"/>
      <c r="C543" s="97"/>
    </row>
    <row r="544" spans="2:3" ht="17">
      <c r="B544" s="97"/>
      <c r="C544" s="97"/>
    </row>
    <row r="545" spans="2:3" ht="17">
      <c r="B545" s="97"/>
      <c r="C545" s="97"/>
    </row>
    <row r="546" spans="2:3" ht="17">
      <c r="B546" s="97"/>
      <c r="C546" s="97"/>
    </row>
    <row r="547" spans="2:3" ht="17">
      <c r="B547" s="97"/>
      <c r="C547" s="97"/>
    </row>
    <row r="548" spans="2:3" ht="17">
      <c r="B548" s="97"/>
      <c r="C548" s="97"/>
    </row>
    <row r="549" spans="2:3" ht="17">
      <c r="B549" s="97"/>
      <c r="C549" s="97"/>
    </row>
    <row r="550" spans="2:3" ht="17">
      <c r="B550" s="97"/>
      <c r="C550" s="97"/>
    </row>
    <row r="551" spans="2:3" ht="17">
      <c r="B551" s="97"/>
      <c r="C551" s="97"/>
    </row>
    <row r="552" spans="2:3" ht="17">
      <c r="B552" s="97"/>
      <c r="C552" s="97"/>
    </row>
    <row r="553" spans="2:3" ht="17">
      <c r="B553" s="97"/>
      <c r="C553" s="97"/>
    </row>
    <row r="554" spans="2:3" ht="17">
      <c r="B554" s="97"/>
      <c r="C554" s="97"/>
    </row>
    <row r="555" spans="2:3" ht="17">
      <c r="B555" s="97"/>
      <c r="C555" s="97"/>
    </row>
    <row r="556" spans="2:3" ht="17">
      <c r="B556" s="97"/>
      <c r="C556" s="97"/>
    </row>
    <row r="557" spans="2:3" ht="17">
      <c r="B557" s="97"/>
      <c r="C557" s="97"/>
    </row>
    <row r="558" spans="2:3" ht="17">
      <c r="B558" s="97"/>
      <c r="C558" s="97"/>
    </row>
    <row r="559" spans="2:3" ht="17">
      <c r="B559" s="97"/>
      <c r="C559" s="97"/>
    </row>
    <row r="560" spans="2:3" ht="17">
      <c r="B560" s="97"/>
      <c r="C560" s="97"/>
    </row>
    <row r="561" spans="2:3" ht="17">
      <c r="B561" s="97"/>
      <c r="C561" s="97"/>
    </row>
    <row r="562" spans="2:3" ht="17">
      <c r="B562" s="97"/>
      <c r="C562" s="97"/>
    </row>
    <row r="563" spans="2:3" ht="17">
      <c r="B563" s="97"/>
      <c r="C563" s="97"/>
    </row>
    <row r="564" spans="2:3" ht="17">
      <c r="B564" s="97"/>
      <c r="C564" s="97"/>
    </row>
    <row r="565" spans="2:3" ht="17">
      <c r="B565" s="97"/>
      <c r="C565" s="97"/>
    </row>
    <row r="566" spans="2:3" ht="17">
      <c r="B566" s="97"/>
      <c r="C566" s="97"/>
    </row>
    <row r="567" spans="2:3" ht="17">
      <c r="B567" s="97"/>
      <c r="C567" s="97"/>
    </row>
    <row r="568" spans="2:3" ht="17">
      <c r="B568" s="97"/>
      <c r="C568" s="97"/>
    </row>
    <row r="569" spans="2:3" ht="17">
      <c r="B569" s="97"/>
      <c r="C569" s="97"/>
    </row>
    <row r="570" spans="2:3" ht="17">
      <c r="B570" s="97"/>
      <c r="C570" s="97"/>
    </row>
    <row r="571" spans="2:3" ht="17">
      <c r="B571" s="97"/>
      <c r="C571" s="97"/>
    </row>
    <row r="572" spans="2:3" ht="17">
      <c r="B572" s="97"/>
      <c r="C572" s="97"/>
    </row>
    <row r="573" spans="2:3" ht="17">
      <c r="B573" s="97"/>
      <c r="C573" s="97"/>
    </row>
    <row r="574" spans="2:3" ht="17">
      <c r="B574" s="97"/>
      <c r="C574" s="97"/>
    </row>
    <row r="575" spans="2:3" ht="17">
      <c r="B575" s="97"/>
      <c r="C575" s="97"/>
    </row>
    <row r="576" spans="2:3" ht="17">
      <c r="B576" s="97"/>
      <c r="C576" s="97"/>
    </row>
    <row r="577" spans="2:3" ht="17">
      <c r="B577" s="97"/>
      <c r="C577" s="97"/>
    </row>
    <row r="578" spans="2:3" ht="17">
      <c r="B578" s="97"/>
      <c r="C578" s="97"/>
    </row>
    <row r="579" spans="2:3" ht="17">
      <c r="B579" s="97"/>
      <c r="C579" s="97"/>
    </row>
    <row r="580" spans="2:3" ht="17">
      <c r="B580" s="97"/>
      <c r="C580" s="97"/>
    </row>
    <row r="581" spans="2:3" ht="17">
      <c r="B581" s="97"/>
      <c r="C581" s="97"/>
    </row>
    <row r="582" spans="2:3" ht="17">
      <c r="B582" s="97"/>
      <c r="C582" s="97"/>
    </row>
    <row r="583" spans="2:3" ht="17">
      <c r="B583" s="97"/>
      <c r="C583" s="97"/>
    </row>
    <row r="584" spans="2:3" ht="17">
      <c r="B584" s="97"/>
      <c r="C584" s="97"/>
    </row>
    <row r="585" spans="2:3" ht="17">
      <c r="B585" s="97"/>
      <c r="C585" s="97"/>
    </row>
    <row r="586" spans="2:3" ht="17">
      <c r="B586" s="97"/>
      <c r="C586" s="97"/>
    </row>
    <row r="587" spans="2:3" ht="17">
      <c r="B587" s="97"/>
      <c r="C587" s="97"/>
    </row>
    <row r="588" spans="2:3" ht="17">
      <c r="B588" s="97"/>
      <c r="C588" s="97"/>
    </row>
    <row r="589" spans="2:3" ht="17">
      <c r="B589" s="97"/>
      <c r="C589" s="97"/>
    </row>
    <row r="590" spans="2:3" ht="17">
      <c r="B590" s="97"/>
      <c r="C590" s="97"/>
    </row>
    <row r="591" spans="2:3" ht="17">
      <c r="B591" s="97"/>
      <c r="C591" s="97"/>
    </row>
    <row r="592" spans="2:3" ht="17">
      <c r="B592" s="97"/>
      <c r="C592" s="97"/>
    </row>
    <row r="593" spans="2:3" ht="17">
      <c r="B593" s="97"/>
      <c r="C593" s="97"/>
    </row>
    <row r="594" spans="2:3" ht="17">
      <c r="B594" s="97"/>
      <c r="C594" s="97"/>
    </row>
    <row r="595" spans="2:3" ht="17">
      <c r="B595" s="97"/>
      <c r="C595" s="97"/>
    </row>
    <row r="596" spans="2:3" ht="17">
      <c r="B596" s="97"/>
      <c r="C596" s="97"/>
    </row>
    <row r="597" spans="2:3" ht="17">
      <c r="B597" s="97"/>
      <c r="C597" s="97"/>
    </row>
    <row r="598" spans="2:3" ht="17">
      <c r="B598" s="97"/>
      <c r="C598" s="97"/>
    </row>
    <row r="599" spans="2:3" ht="17">
      <c r="B599" s="97"/>
      <c r="C599" s="97"/>
    </row>
    <row r="600" spans="2:3" ht="17">
      <c r="B600" s="97"/>
      <c r="C600" s="97"/>
    </row>
    <row r="601" spans="2:3" ht="17">
      <c r="B601" s="97"/>
      <c r="C601" s="97"/>
    </row>
    <row r="602" spans="2:3" ht="17">
      <c r="B602" s="97"/>
      <c r="C602" s="97"/>
    </row>
    <row r="603" spans="2:3" ht="17">
      <c r="B603" s="97"/>
      <c r="C603" s="97"/>
    </row>
    <row r="604" spans="2:3" ht="17">
      <c r="B604" s="97"/>
      <c r="C604" s="97"/>
    </row>
    <row r="605" spans="2:3" ht="17">
      <c r="B605" s="97"/>
      <c r="C605" s="97"/>
    </row>
    <row r="606" spans="2:3" ht="17">
      <c r="B606" s="97"/>
      <c r="C606" s="97"/>
    </row>
    <row r="607" spans="2:3" ht="17">
      <c r="B607" s="97"/>
      <c r="C607" s="97"/>
    </row>
    <row r="608" spans="2:3" ht="17">
      <c r="B608" s="97"/>
      <c r="C608" s="97"/>
    </row>
    <row r="609" spans="2:3" ht="17">
      <c r="B609" s="97"/>
      <c r="C609" s="97"/>
    </row>
    <row r="610" spans="2:3" ht="17">
      <c r="B610" s="97"/>
      <c r="C610" s="97"/>
    </row>
    <row r="611" spans="2:3" ht="17">
      <c r="B611" s="97"/>
      <c r="C611" s="97"/>
    </row>
    <row r="612" spans="2:3" ht="17">
      <c r="B612" s="97"/>
      <c r="C612" s="97"/>
    </row>
    <row r="613" spans="2:3" ht="17">
      <c r="B613" s="97"/>
      <c r="C613" s="97"/>
    </row>
    <row r="614" spans="2:3" ht="17">
      <c r="B614" s="97"/>
      <c r="C614" s="97"/>
    </row>
    <row r="615" spans="2:3" ht="17">
      <c r="B615" s="97"/>
      <c r="C615" s="97"/>
    </row>
    <row r="616" spans="2:3" ht="17">
      <c r="B616" s="97"/>
      <c r="C616" s="97"/>
    </row>
    <row r="617" spans="2:3" ht="17">
      <c r="B617" s="97"/>
      <c r="C617" s="97"/>
    </row>
    <row r="618" spans="2:3" ht="17">
      <c r="B618" s="97"/>
      <c r="C618" s="97"/>
    </row>
    <row r="619" spans="2:3" ht="17">
      <c r="B619" s="97"/>
      <c r="C619" s="97"/>
    </row>
    <row r="620" spans="2:3" ht="17">
      <c r="B620" s="97"/>
      <c r="C620" s="97"/>
    </row>
    <row r="621" spans="2:3" ht="17">
      <c r="B621" s="97"/>
      <c r="C621" s="97"/>
    </row>
    <row r="622" spans="2:3" ht="17">
      <c r="B622" s="97"/>
      <c r="C622" s="97"/>
    </row>
    <row r="623" spans="2:3" ht="17">
      <c r="B623" s="97"/>
      <c r="C623" s="97"/>
    </row>
    <row r="624" spans="2:3" ht="17">
      <c r="B624" s="97"/>
      <c r="C624" s="97"/>
    </row>
    <row r="625" spans="2:3" ht="17">
      <c r="B625" s="97"/>
      <c r="C625" s="97"/>
    </row>
    <row r="626" spans="2:3" ht="17">
      <c r="B626" s="97"/>
      <c r="C626" s="97"/>
    </row>
    <row r="627" spans="2:3" ht="17">
      <c r="B627" s="97"/>
      <c r="C627" s="97"/>
    </row>
    <row r="628" spans="2:3" ht="17">
      <c r="B628" s="97"/>
      <c r="C628" s="97"/>
    </row>
    <row r="629" spans="2:3" ht="17">
      <c r="B629" s="97"/>
      <c r="C629" s="97"/>
    </row>
    <row r="630" spans="2:3" ht="17">
      <c r="B630" s="97"/>
      <c r="C630" s="97"/>
    </row>
    <row r="631" spans="2:3" ht="17">
      <c r="B631" s="97"/>
      <c r="C631" s="97"/>
    </row>
    <row r="632" spans="2:3" ht="17">
      <c r="B632" s="97"/>
      <c r="C632" s="97"/>
    </row>
    <row r="633" spans="2:3" ht="17">
      <c r="B633" s="97"/>
      <c r="C633" s="97"/>
    </row>
    <row r="634" spans="2:3" ht="17">
      <c r="B634" s="97"/>
      <c r="C634" s="97"/>
    </row>
    <row r="635" spans="2:3" ht="17">
      <c r="B635" s="97"/>
      <c r="C635" s="97"/>
    </row>
    <row r="636" spans="2:3" ht="17">
      <c r="B636" s="97"/>
      <c r="C636" s="97"/>
    </row>
    <row r="637" spans="2:3" ht="17">
      <c r="B637" s="97"/>
      <c r="C637" s="97"/>
    </row>
    <row r="638" spans="2:3" ht="17">
      <c r="B638" s="97"/>
      <c r="C638" s="97"/>
    </row>
    <row r="639" spans="2:3" ht="17">
      <c r="B639" s="97"/>
      <c r="C639" s="97"/>
    </row>
    <row r="640" spans="2:3" ht="17">
      <c r="B640" s="97"/>
      <c r="C640" s="97"/>
    </row>
    <row r="641" spans="2:3" ht="17">
      <c r="B641" s="97"/>
      <c r="C641" s="97"/>
    </row>
    <row r="642" spans="2:3" ht="17">
      <c r="B642" s="97"/>
      <c r="C642" s="97"/>
    </row>
    <row r="643" spans="2:3" ht="17">
      <c r="B643" s="97"/>
      <c r="C643" s="97"/>
    </row>
    <row r="644" spans="2:3" ht="17">
      <c r="B644" s="97"/>
      <c r="C644" s="97"/>
    </row>
    <row r="645" spans="2:3" ht="17">
      <c r="B645" s="97"/>
      <c r="C645" s="97"/>
    </row>
    <row r="646" spans="2:3" ht="17">
      <c r="B646" s="97"/>
      <c r="C646" s="97"/>
    </row>
    <row r="647" spans="2:3" ht="17">
      <c r="B647" s="97"/>
      <c r="C647" s="97"/>
    </row>
    <row r="648" spans="2:3" ht="17">
      <c r="B648" s="97"/>
      <c r="C648" s="97"/>
    </row>
    <row r="649" spans="2:3" ht="17">
      <c r="B649" s="97"/>
      <c r="C649" s="97"/>
    </row>
    <row r="650" spans="2:3" ht="17">
      <c r="B650" s="97"/>
      <c r="C650" s="97"/>
    </row>
    <row r="651" spans="2:3" ht="17">
      <c r="B651" s="97"/>
      <c r="C651" s="97"/>
    </row>
    <row r="652" spans="2:3" ht="17">
      <c r="B652" s="97"/>
      <c r="C652" s="97"/>
    </row>
    <row r="653" spans="2:3" ht="17">
      <c r="B653" s="97"/>
      <c r="C653" s="97"/>
    </row>
    <row r="654" spans="2:3" ht="17">
      <c r="B654" s="97"/>
      <c r="C654" s="97"/>
    </row>
    <row r="655" spans="2:3" ht="17">
      <c r="B655" s="97"/>
      <c r="C655" s="97"/>
    </row>
    <row r="656" spans="2:3" ht="17">
      <c r="B656" s="97"/>
      <c r="C656" s="97"/>
    </row>
    <row r="657" spans="2:3" ht="17">
      <c r="B657" s="97"/>
      <c r="C657" s="97"/>
    </row>
    <row r="658" spans="2:3" ht="17">
      <c r="B658" s="97"/>
      <c r="C658" s="97"/>
    </row>
    <row r="659" spans="2:3" ht="17">
      <c r="B659" s="97"/>
      <c r="C659" s="97"/>
    </row>
    <row r="660" spans="2:3" ht="17">
      <c r="B660" s="97"/>
      <c r="C660" s="97"/>
    </row>
    <row r="661" spans="2:3" ht="17">
      <c r="B661" s="97"/>
      <c r="C661" s="97"/>
    </row>
    <row r="662" spans="2:3" ht="17">
      <c r="B662" s="97"/>
      <c r="C662" s="97"/>
    </row>
    <row r="663" spans="2:3" ht="17">
      <c r="B663" s="97"/>
      <c r="C663" s="97"/>
    </row>
    <row r="664" spans="2:3" ht="17">
      <c r="B664" s="97"/>
      <c r="C664" s="97"/>
    </row>
    <row r="665" spans="2:3" ht="17">
      <c r="B665" s="97"/>
      <c r="C665" s="97"/>
    </row>
    <row r="666" spans="2:3" ht="17">
      <c r="B666" s="97"/>
      <c r="C666" s="97"/>
    </row>
    <row r="667" spans="2:3" ht="17">
      <c r="B667" s="97"/>
      <c r="C667" s="97"/>
    </row>
    <row r="668" spans="2:3" ht="17">
      <c r="B668" s="97"/>
      <c r="C668" s="97"/>
    </row>
    <row r="669" spans="2:3" ht="17">
      <c r="B669" s="97"/>
      <c r="C669" s="97"/>
    </row>
    <row r="670" spans="2:3" ht="17">
      <c r="B670" s="97"/>
      <c r="C670" s="97"/>
    </row>
    <row r="671" spans="2:3" ht="17">
      <c r="B671" s="97"/>
      <c r="C671" s="97"/>
    </row>
    <row r="672" spans="2:3" ht="17">
      <c r="B672" s="97"/>
      <c r="C672" s="97"/>
    </row>
    <row r="673" spans="2:3" ht="17">
      <c r="B673" s="97"/>
      <c r="C673" s="97"/>
    </row>
    <row r="674" spans="2:3" ht="17">
      <c r="B674" s="97"/>
      <c r="C674" s="97"/>
    </row>
    <row r="675" spans="2:3" ht="17">
      <c r="B675" s="97"/>
      <c r="C675" s="97"/>
    </row>
    <row r="676" spans="2:3" ht="17">
      <c r="B676" s="97"/>
      <c r="C676" s="97"/>
    </row>
    <row r="677" spans="2:3" ht="17">
      <c r="B677" s="97"/>
      <c r="C677" s="97"/>
    </row>
    <row r="678" spans="2:3" ht="17">
      <c r="B678" s="97"/>
      <c r="C678" s="97"/>
    </row>
    <row r="679" spans="2:3" ht="17">
      <c r="B679" s="97"/>
      <c r="C679" s="97"/>
    </row>
    <row r="680" spans="2:3" ht="17">
      <c r="B680" s="97"/>
      <c r="C680" s="97"/>
    </row>
    <row r="681" spans="2:3" ht="17">
      <c r="B681" s="97"/>
      <c r="C681" s="97"/>
    </row>
    <row r="682" spans="2:3" ht="17">
      <c r="B682" s="97"/>
      <c r="C682" s="97"/>
    </row>
    <row r="683" spans="2:3" ht="17">
      <c r="B683" s="97"/>
      <c r="C683" s="97"/>
    </row>
    <row r="684" spans="2:3" ht="17">
      <c r="B684" s="97"/>
      <c r="C684" s="97"/>
    </row>
    <row r="685" spans="2:3" ht="17">
      <c r="B685" s="97"/>
      <c r="C685" s="97"/>
    </row>
    <row r="686" spans="2:3" ht="17">
      <c r="B686" s="97"/>
      <c r="C686" s="97"/>
    </row>
    <row r="687" spans="2:3" ht="17">
      <c r="B687" s="97"/>
      <c r="C687" s="97"/>
    </row>
    <row r="688" spans="2:3" ht="17">
      <c r="B688" s="97"/>
      <c r="C688" s="97"/>
    </row>
    <row r="689" spans="2:3" ht="17">
      <c r="B689" s="97"/>
      <c r="C689" s="97"/>
    </row>
    <row r="690" spans="2:3" ht="17">
      <c r="B690" s="97"/>
      <c r="C690" s="97"/>
    </row>
    <row r="691" spans="2:3" ht="17">
      <c r="B691" s="97"/>
      <c r="C691" s="97"/>
    </row>
    <row r="692" spans="2:3" ht="17">
      <c r="B692" s="97"/>
      <c r="C692" s="97"/>
    </row>
    <row r="693" spans="2:3" ht="17">
      <c r="B693" s="97"/>
      <c r="C693" s="97"/>
    </row>
    <row r="694" spans="2:3" ht="17">
      <c r="B694" s="97"/>
      <c r="C694" s="97"/>
    </row>
    <row r="695" spans="2:3" ht="17">
      <c r="B695" s="97"/>
      <c r="C695" s="97"/>
    </row>
    <row r="696" spans="2:3" ht="17">
      <c r="B696" s="97"/>
      <c r="C696" s="97"/>
    </row>
    <row r="697" spans="2:3" ht="17">
      <c r="B697" s="97"/>
      <c r="C697" s="97"/>
    </row>
    <row r="698" spans="2:3" ht="17">
      <c r="B698" s="97"/>
      <c r="C698" s="97"/>
    </row>
    <row r="699" spans="2:3" ht="17">
      <c r="B699" s="97"/>
      <c r="C699" s="97"/>
    </row>
    <row r="700" spans="2:3" ht="17">
      <c r="B700" s="97"/>
      <c r="C700" s="97"/>
    </row>
    <row r="701" spans="2:3" ht="17">
      <c r="B701" s="97"/>
      <c r="C701" s="97"/>
    </row>
    <row r="702" spans="2:3" ht="17">
      <c r="B702" s="97"/>
      <c r="C702" s="97"/>
    </row>
    <row r="703" spans="2:3" ht="17">
      <c r="B703" s="97"/>
      <c r="C703" s="97"/>
    </row>
    <row r="704" spans="2:3" ht="17">
      <c r="B704" s="97"/>
      <c r="C704" s="97"/>
    </row>
    <row r="705" spans="2:3" ht="17">
      <c r="B705" s="97"/>
      <c r="C705" s="97"/>
    </row>
    <row r="706" spans="2:3" ht="17">
      <c r="B706" s="97"/>
      <c r="C706" s="97"/>
    </row>
    <row r="707" spans="2:3" ht="17">
      <c r="B707" s="97"/>
      <c r="C707" s="97"/>
    </row>
    <row r="708" spans="2:3" ht="17">
      <c r="B708" s="97"/>
      <c r="C708" s="97"/>
    </row>
    <row r="709" spans="2:3" ht="17">
      <c r="B709" s="97"/>
      <c r="C709" s="97"/>
    </row>
    <row r="710" spans="2:3" ht="17">
      <c r="B710" s="97"/>
      <c r="C710" s="97"/>
    </row>
    <row r="711" spans="2:3" ht="17">
      <c r="B711" s="97"/>
      <c r="C711" s="97"/>
    </row>
    <row r="712" spans="2:3" ht="17">
      <c r="B712" s="97"/>
      <c r="C712" s="97"/>
    </row>
    <row r="713" spans="2:3" ht="17">
      <c r="B713" s="97"/>
      <c r="C713" s="97"/>
    </row>
    <row r="714" spans="2:3" ht="17">
      <c r="B714" s="97"/>
      <c r="C714" s="97"/>
    </row>
    <row r="715" spans="2:3" ht="17">
      <c r="B715" s="97"/>
      <c r="C715" s="97"/>
    </row>
    <row r="716" spans="2:3" ht="17">
      <c r="B716" s="97"/>
      <c r="C716" s="97"/>
    </row>
    <row r="717" spans="2:3" ht="17">
      <c r="B717" s="97"/>
      <c r="C717" s="97"/>
    </row>
    <row r="718" spans="2:3" ht="17">
      <c r="B718" s="97"/>
      <c r="C718" s="97"/>
    </row>
    <row r="719" spans="2:3" ht="17">
      <c r="B719" s="97"/>
      <c r="C719" s="97"/>
    </row>
    <row r="720" spans="2:3" ht="17">
      <c r="B720" s="97"/>
      <c r="C720" s="97"/>
    </row>
    <row r="721" spans="2:3" ht="17">
      <c r="B721" s="97"/>
      <c r="C721" s="97"/>
    </row>
    <row r="722" spans="2:3" ht="17">
      <c r="B722" s="97"/>
      <c r="C722" s="97"/>
    </row>
    <row r="723" spans="2:3" ht="17">
      <c r="B723" s="97"/>
      <c r="C723" s="97"/>
    </row>
    <row r="724" spans="2:3" ht="17">
      <c r="B724" s="97"/>
      <c r="C724" s="97"/>
    </row>
    <row r="725" spans="2:3" ht="17">
      <c r="B725" s="97"/>
      <c r="C725" s="97"/>
    </row>
    <row r="726" spans="2:3" ht="17">
      <c r="B726" s="97"/>
      <c r="C726" s="97"/>
    </row>
    <row r="727" spans="2:3" ht="17">
      <c r="B727" s="97"/>
      <c r="C727" s="97"/>
    </row>
    <row r="728" spans="2:3" ht="17">
      <c r="B728" s="97"/>
      <c r="C728" s="97"/>
    </row>
    <row r="729" spans="2:3" ht="17">
      <c r="B729" s="97"/>
      <c r="C729" s="97"/>
    </row>
    <row r="730" spans="2:3" ht="17">
      <c r="B730" s="97"/>
      <c r="C730" s="97"/>
    </row>
    <row r="731" spans="2:3" ht="17">
      <c r="B731" s="97"/>
      <c r="C731" s="97"/>
    </row>
    <row r="732" spans="2:3" ht="17">
      <c r="B732" s="97"/>
      <c r="C732" s="97"/>
    </row>
    <row r="733" spans="2:3" ht="17">
      <c r="B733" s="97"/>
      <c r="C733" s="97"/>
    </row>
    <row r="734" spans="2:3" ht="17">
      <c r="B734" s="97"/>
      <c r="C734" s="97"/>
    </row>
    <row r="735" spans="2:3" ht="17">
      <c r="B735" s="97"/>
      <c r="C735" s="97"/>
    </row>
    <row r="736" spans="2:3" ht="17">
      <c r="B736" s="97"/>
      <c r="C736" s="97"/>
    </row>
    <row r="737" spans="2:3" ht="17">
      <c r="B737" s="97"/>
      <c r="C737" s="97"/>
    </row>
    <row r="738" spans="2:3" ht="17">
      <c r="B738" s="97"/>
      <c r="C738" s="97"/>
    </row>
    <row r="739" spans="2:3" ht="17">
      <c r="B739" s="97"/>
      <c r="C739" s="97"/>
    </row>
    <row r="740" spans="2:3" ht="17">
      <c r="B740" s="97"/>
      <c r="C740" s="97"/>
    </row>
    <row r="741" spans="2:3" ht="17">
      <c r="B741" s="97"/>
      <c r="C741" s="97"/>
    </row>
    <row r="742" spans="2:3" ht="17">
      <c r="B742" s="97"/>
      <c r="C742" s="97"/>
    </row>
    <row r="743" spans="2:3" ht="17">
      <c r="B743" s="97"/>
      <c r="C743" s="97"/>
    </row>
    <row r="744" spans="2:3" ht="17">
      <c r="B744" s="97"/>
      <c r="C744" s="97"/>
    </row>
    <row r="745" spans="2:3" ht="17">
      <c r="B745" s="97"/>
      <c r="C745" s="97"/>
    </row>
    <row r="746" spans="2:3" ht="17">
      <c r="B746" s="97"/>
      <c r="C746" s="97"/>
    </row>
    <row r="747" spans="2:3" ht="17">
      <c r="B747" s="97"/>
      <c r="C747" s="97"/>
    </row>
    <row r="748" spans="2:3" ht="17">
      <c r="B748" s="97"/>
      <c r="C748" s="97"/>
    </row>
    <row r="749" spans="2:3" ht="17">
      <c r="B749" s="97"/>
      <c r="C749" s="97"/>
    </row>
    <row r="750" spans="2:3" ht="17">
      <c r="B750" s="97"/>
      <c r="C750" s="97"/>
    </row>
    <row r="751" spans="2:3" ht="17">
      <c r="B751" s="97"/>
      <c r="C751" s="97"/>
    </row>
    <row r="752" spans="2:3" ht="17">
      <c r="B752" s="97"/>
      <c r="C752" s="97"/>
    </row>
    <row r="753" spans="2:3" ht="17">
      <c r="B753" s="97"/>
      <c r="C753" s="97"/>
    </row>
    <row r="754" spans="2:3" ht="17">
      <c r="B754" s="97"/>
      <c r="C754" s="97"/>
    </row>
    <row r="755" spans="2:3" ht="17">
      <c r="B755" s="97"/>
      <c r="C755" s="97"/>
    </row>
    <row r="756" spans="2:3" ht="17">
      <c r="B756" s="97"/>
      <c r="C756" s="97"/>
    </row>
    <row r="757" spans="2:3" ht="17">
      <c r="B757" s="97"/>
      <c r="C757" s="97"/>
    </row>
    <row r="758" spans="2:3" ht="17">
      <c r="B758" s="97"/>
      <c r="C758" s="97"/>
    </row>
    <row r="759" spans="2:3" ht="17">
      <c r="B759" s="97"/>
      <c r="C759" s="97"/>
    </row>
    <row r="760" spans="2:3" ht="17">
      <c r="B760" s="97"/>
      <c r="C760" s="97"/>
    </row>
    <row r="761" spans="2:3" ht="17">
      <c r="B761" s="97"/>
      <c r="C761" s="97"/>
    </row>
    <row r="762" spans="2:3" ht="17">
      <c r="B762" s="97"/>
      <c r="C762" s="97"/>
    </row>
    <row r="763" spans="2:3" ht="17">
      <c r="B763" s="97"/>
      <c r="C763" s="97"/>
    </row>
    <row r="764" spans="2:3" ht="17">
      <c r="B764" s="97"/>
      <c r="C764" s="97"/>
    </row>
    <row r="765" spans="2:3" ht="17">
      <c r="B765" s="97"/>
      <c r="C765" s="97"/>
    </row>
    <row r="766" spans="2:3" ht="17">
      <c r="B766" s="97"/>
      <c r="C766" s="97"/>
    </row>
    <row r="767" spans="2:3" ht="17">
      <c r="B767" s="97"/>
      <c r="C767" s="97"/>
    </row>
    <row r="768" spans="2:3" ht="17">
      <c r="B768" s="97"/>
      <c r="C768" s="97"/>
    </row>
    <row r="769" spans="2:3" ht="17">
      <c r="B769" s="97"/>
      <c r="C769" s="97"/>
    </row>
    <row r="770" spans="2:3" ht="17">
      <c r="B770" s="97"/>
      <c r="C770" s="97"/>
    </row>
    <row r="771" spans="2:3" ht="17">
      <c r="B771" s="97"/>
      <c r="C771" s="97"/>
    </row>
    <row r="772" spans="2:3" ht="17">
      <c r="B772" s="97"/>
      <c r="C772" s="97"/>
    </row>
    <row r="773" spans="2:3" ht="17">
      <c r="B773" s="97"/>
      <c r="C773" s="97"/>
    </row>
    <row r="774" spans="2:3" ht="17">
      <c r="B774" s="97"/>
      <c r="C774" s="97"/>
    </row>
    <row r="775" spans="2:3" ht="17">
      <c r="B775" s="97"/>
      <c r="C775" s="97"/>
    </row>
    <row r="776" spans="2:3" ht="17">
      <c r="B776" s="97"/>
      <c r="C776" s="97"/>
    </row>
    <row r="777" spans="2:3" ht="17">
      <c r="B777" s="97"/>
      <c r="C777" s="97"/>
    </row>
    <row r="778" spans="2:3" ht="17">
      <c r="B778" s="97"/>
      <c r="C778" s="97"/>
    </row>
    <row r="779" spans="2:3" ht="17">
      <c r="B779" s="97"/>
      <c r="C779" s="97"/>
    </row>
    <row r="780" spans="2:3" ht="17">
      <c r="B780" s="97"/>
      <c r="C780" s="97"/>
    </row>
    <row r="781" spans="2:3" ht="17">
      <c r="B781" s="97"/>
      <c r="C781" s="97"/>
    </row>
    <row r="782" spans="2:3" ht="17">
      <c r="B782" s="97"/>
      <c r="C782" s="97"/>
    </row>
    <row r="783" spans="2:3" ht="17">
      <c r="B783" s="97"/>
      <c r="C783" s="97"/>
    </row>
    <row r="784" spans="2:3" ht="17">
      <c r="B784" s="97"/>
      <c r="C784" s="97"/>
    </row>
    <row r="785" spans="2:3" ht="17">
      <c r="B785" s="97"/>
      <c r="C785" s="97"/>
    </row>
    <row r="786" spans="2:3" ht="17">
      <c r="B786" s="97"/>
      <c r="C786" s="97"/>
    </row>
    <row r="787" spans="2:3" ht="17">
      <c r="B787" s="97"/>
      <c r="C787" s="97"/>
    </row>
    <row r="788" spans="2:3" ht="17">
      <c r="B788" s="97"/>
      <c r="C788" s="97"/>
    </row>
    <row r="789" spans="2:3" ht="17">
      <c r="B789" s="97"/>
      <c r="C789" s="97"/>
    </row>
    <row r="790" spans="2:3" ht="17">
      <c r="B790" s="97"/>
      <c r="C790" s="97"/>
    </row>
    <row r="791" spans="2:3" ht="17">
      <c r="B791" s="97"/>
      <c r="C791" s="97"/>
    </row>
    <row r="792" spans="2:3" ht="17">
      <c r="B792" s="97"/>
      <c r="C792" s="97"/>
    </row>
    <row r="793" spans="2:3" ht="17">
      <c r="B793" s="97"/>
      <c r="C793" s="97"/>
    </row>
    <row r="794" spans="2:3" ht="17">
      <c r="B794" s="97"/>
      <c r="C794" s="97"/>
    </row>
    <row r="795" spans="2:3" ht="17">
      <c r="B795" s="97"/>
      <c r="C795" s="97"/>
    </row>
    <row r="796" spans="2:3" ht="17">
      <c r="B796" s="97"/>
      <c r="C796" s="97"/>
    </row>
    <row r="797" spans="2:3" ht="17">
      <c r="B797" s="97"/>
      <c r="C797" s="97"/>
    </row>
    <row r="798" spans="2:3" ht="17">
      <c r="B798" s="97"/>
      <c r="C798" s="97"/>
    </row>
    <row r="799" spans="2:3" ht="17">
      <c r="B799" s="97"/>
      <c r="C799" s="97"/>
    </row>
    <row r="800" spans="2:3" ht="17">
      <c r="B800" s="97"/>
      <c r="C800" s="97"/>
    </row>
    <row r="801" spans="2:3" ht="17">
      <c r="B801" s="97"/>
      <c r="C801" s="97"/>
    </row>
    <row r="802" spans="2:3" ht="17">
      <c r="B802" s="97"/>
      <c r="C802" s="97"/>
    </row>
    <row r="803" spans="2:3" ht="17">
      <c r="B803" s="97"/>
      <c r="C803" s="97"/>
    </row>
    <row r="804" spans="2:3" ht="17">
      <c r="B804" s="97"/>
      <c r="C804" s="97"/>
    </row>
    <row r="805" spans="2:3" ht="17">
      <c r="B805" s="97"/>
      <c r="C805" s="97"/>
    </row>
    <row r="806" spans="2:3" ht="17">
      <c r="B806" s="97"/>
      <c r="C806" s="97"/>
    </row>
    <row r="807" spans="2:3" ht="17">
      <c r="B807" s="97"/>
      <c r="C807" s="97"/>
    </row>
    <row r="808" spans="2:3" ht="17">
      <c r="B808" s="97"/>
      <c r="C808" s="97"/>
    </row>
    <row r="809" spans="2:3" ht="17">
      <c r="B809" s="97"/>
      <c r="C809" s="97"/>
    </row>
    <row r="810" spans="2:3" ht="17">
      <c r="B810" s="97"/>
      <c r="C810" s="97"/>
    </row>
    <row r="811" spans="2:3" ht="17">
      <c r="B811" s="97"/>
      <c r="C811" s="97"/>
    </row>
    <row r="812" spans="2:3" ht="17">
      <c r="B812" s="97"/>
      <c r="C812" s="97"/>
    </row>
    <row r="813" spans="2:3" ht="17">
      <c r="B813" s="97"/>
      <c r="C813" s="97"/>
    </row>
    <row r="814" spans="2:3" ht="17">
      <c r="B814" s="97"/>
      <c r="C814" s="97"/>
    </row>
    <row r="815" spans="2:3" ht="17">
      <c r="B815" s="97"/>
      <c r="C815" s="97"/>
    </row>
    <row r="816" spans="2:3" ht="17">
      <c r="B816" s="97"/>
      <c r="C816" s="97"/>
    </row>
    <row r="817" spans="2:3" ht="17">
      <c r="B817" s="97"/>
      <c r="C817" s="97"/>
    </row>
    <row r="818" spans="2:3" ht="17">
      <c r="B818" s="97"/>
      <c r="C818" s="97"/>
    </row>
    <row r="819" spans="2:3" ht="17">
      <c r="B819" s="97"/>
      <c r="C819" s="97"/>
    </row>
    <row r="820" spans="2:3" ht="17">
      <c r="B820" s="97"/>
      <c r="C820" s="97"/>
    </row>
    <row r="821" spans="2:3" ht="17">
      <c r="B821" s="97"/>
      <c r="C821" s="97"/>
    </row>
    <row r="822" spans="2:3" ht="17">
      <c r="B822" s="97"/>
      <c r="C822" s="97"/>
    </row>
    <row r="823" spans="2:3" ht="17">
      <c r="B823" s="97"/>
      <c r="C823" s="97"/>
    </row>
    <row r="824" spans="2:3" ht="17">
      <c r="B824" s="97"/>
      <c r="C824" s="97"/>
    </row>
    <row r="825" spans="2:3" ht="17">
      <c r="B825" s="97"/>
      <c r="C825" s="97"/>
    </row>
    <row r="826" spans="2:3" ht="17">
      <c r="B826" s="97"/>
      <c r="C826" s="97"/>
    </row>
    <row r="827" spans="2:3" ht="17">
      <c r="B827" s="97"/>
      <c r="C827" s="97"/>
    </row>
    <row r="828" spans="2:3" ht="17">
      <c r="B828" s="97"/>
      <c r="C828" s="97"/>
    </row>
    <row r="829" spans="2:3" ht="17">
      <c r="B829" s="97"/>
      <c r="C829" s="97"/>
    </row>
    <row r="830" spans="2:3" ht="17">
      <c r="B830" s="97"/>
      <c r="C830" s="97"/>
    </row>
    <row r="831" spans="2:3" ht="17">
      <c r="B831" s="97"/>
      <c r="C831" s="97"/>
    </row>
    <row r="832" spans="2:3" ht="17">
      <c r="B832" s="97"/>
      <c r="C832" s="97"/>
    </row>
    <row r="833" spans="2:3" ht="17">
      <c r="B833" s="97"/>
      <c r="C833" s="97"/>
    </row>
    <row r="834" spans="2:3" ht="17">
      <c r="B834" s="97"/>
      <c r="C834" s="97"/>
    </row>
    <row r="835" spans="2:3" ht="17">
      <c r="B835" s="97"/>
      <c r="C835" s="97"/>
    </row>
    <row r="836" spans="2:3" ht="17">
      <c r="B836" s="97"/>
      <c r="C836" s="97"/>
    </row>
    <row r="837" spans="2:3" ht="17">
      <c r="B837" s="97"/>
      <c r="C837" s="97"/>
    </row>
    <row r="838" spans="2:3" ht="17">
      <c r="B838" s="97"/>
      <c r="C838" s="97"/>
    </row>
    <row r="839" spans="2:3" ht="17">
      <c r="B839" s="97"/>
      <c r="C839" s="97"/>
    </row>
    <row r="840" spans="2:3" ht="17">
      <c r="B840" s="97"/>
      <c r="C840" s="97"/>
    </row>
    <row r="841" spans="2:3" ht="17">
      <c r="B841" s="97"/>
      <c r="C841" s="97"/>
    </row>
    <row r="842" spans="2:3" ht="17">
      <c r="B842" s="97"/>
      <c r="C842" s="97"/>
    </row>
    <row r="843" spans="2:3" ht="17">
      <c r="B843" s="97"/>
      <c r="C843" s="97"/>
    </row>
    <row r="844" spans="2:3" ht="17">
      <c r="B844" s="97"/>
      <c r="C844" s="97"/>
    </row>
    <row r="845" spans="2:3" ht="17">
      <c r="B845" s="97"/>
      <c r="C845" s="97"/>
    </row>
    <row r="846" spans="2:3" ht="17">
      <c r="B846" s="97"/>
      <c r="C846" s="97"/>
    </row>
    <row r="847" spans="2:3" ht="17">
      <c r="B847" s="97"/>
      <c r="C847" s="97"/>
    </row>
    <row r="848" spans="2:3" ht="17">
      <c r="B848" s="97"/>
      <c r="C848" s="97"/>
    </row>
    <row r="849" spans="2:3" ht="17">
      <c r="B849" s="97"/>
      <c r="C849" s="97"/>
    </row>
    <row r="850" spans="2:3" ht="17">
      <c r="B850" s="97"/>
      <c r="C850" s="97"/>
    </row>
    <row r="851" spans="2:3" ht="17">
      <c r="B851" s="97"/>
      <c r="C851" s="97"/>
    </row>
    <row r="852" spans="2:3" ht="17">
      <c r="B852" s="97"/>
      <c r="C852" s="97"/>
    </row>
    <row r="853" spans="2:3" ht="17">
      <c r="B853" s="97"/>
      <c r="C853" s="97"/>
    </row>
    <row r="854" spans="2:3" ht="17">
      <c r="B854" s="97"/>
      <c r="C854" s="97"/>
    </row>
    <row r="855" spans="2:3" ht="17">
      <c r="B855" s="97"/>
      <c r="C855" s="97"/>
    </row>
    <row r="856" spans="2:3" ht="17">
      <c r="B856" s="97"/>
      <c r="C856" s="97"/>
    </row>
    <row r="857" spans="2:3" ht="17">
      <c r="B857" s="97"/>
      <c r="C857" s="97"/>
    </row>
    <row r="858" spans="2:3" ht="17">
      <c r="B858" s="97"/>
      <c r="C858" s="97"/>
    </row>
    <row r="859" spans="2:3" ht="17">
      <c r="B859" s="97"/>
      <c r="C859" s="97"/>
    </row>
    <row r="860" spans="2:3" ht="17">
      <c r="B860" s="97"/>
      <c r="C860" s="97"/>
    </row>
    <row r="861" spans="2:3" ht="17">
      <c r="B861" s="97"/>
      <c r="C861" s="97"/>
    </row>
    <row r="862" spans="2:3" ht="17">
      <c r="B862" s="97"/>
      <c r="C862" s="97"/>
    </row>
    <row r="863" spans="2:3" ht="17">
      <c r="B863" s="97"/>
      <c r="C863" s="97"/>
    </row>
    <row r="864" spans="2:3" ht="17">
      <c r="B864" s="97"/>
      <c r="C864" s="97"/>
    </row>
    <row r="865" spans="2:3" ht="17">
      <c r="B865" s="97"/>
      <c r="C865" s="97"/>
    </row>
    <row r="866" spans="2:3" ht="17">
      <c r="B866" s="97"/>
      <c r="C866" s="97"/>
    </row>
    <row r="867" spans="2:3" ht="17">
      <c r="B867" s="97"/>
      <c r="C867" s="97"/>
    </row>
    <row r="868" spans="2:3" ht="17">
      <c r="B868" s="97"/>
      <c r="C868" s="97"/>
    </row>
    <row r="869" spans="2:3" ht="17">
      <c r="B869" s="97"/>
      <c r="C869" s="97"/>
    </row>
    <row r="870" spans="2:3" ht="17">
      <c r="B870" s="97"/>
      <c r="C870" s="97"/>
    </row>
    <row r="871" spans="2:3" ht="17">
      <c r="B871" s="97"/>
      <c r="C871" s="97"/>
    </row>
    <row r="872" spans="2:3" ht="17">
      <c r="B872" s="97"/>
      <c r="C872" s="97"/>
    </row>
    <row r="873" spans="2:3" ht="17">
      <c r="B873" s="97"/>
      <c r="C873" s="97"/>
    </row>
    <row r="874" spans="2:3" ht="17">
      <c r="B874" s="97"/>
      <c r="C874" s="97"/>
    </row>
    <row r="875" spans="2:3" ht="17">
      <c r="B875" s="97"/>
      <c r="C875" s="97"/>
    </row>
    <row r="876" spans="2:3" ht="17">
      <c r="B876" s="97"/>
      <c r="C876" s="97"/>
    </row>
    <row r="877" spans="2:3" ht="17">
      <c r="B877" s="97"/>
      <c r="C877" s="97"/>
    </row>
    <row r="878" spans="2:3" ht="17">
      <c r="B878" s="97"/>
      <c r="C878" s="97"/>
    </row>
    <row r="879" spans="2:3" ht="17">
      <c r="B879" s="97"/>
      <c r="C879" s="97"/>
    </row>
    <row r="880" spans="2:3" ht="17">
      <c r="B880" s="97"/>
      <c r="C880" s="97"/>
    </row>
    <row r="881" spans="2:3" ht="17">
      <c r="B881" s="97"/>
      <c r="C881" s="97"/>
    </row>
    <row r="882" spans="2:3" ht="17">
      <c r="B882" s="97"/>
      <c r="C882" s="97"/>
    </row>
    <row r="883" spans="2:3" ht="17">
      <c r="B883" s="97"/>
      <c r="C883" s="97"/>
    </row>
    <row r="884" spans="2:3" ht="17">
      <c r="B884" s="97"/>
      <c r="C884" s="97"/>
    </row>
    <row r="885" spans="2:3" ht="17">
      <c r="B885" s="97"/>
      <c r="C885" s="97"/>
    </row>
    <row r="886" spans="2:3" ht="17">
      <c r="B886" s="97"/>
      <c r="C886" s="97"/>
    </row>
    <row r="887" spans="2:3" ht="17">
      <c r="B887" s="97"/>
      <c r="C887" s="97"/>
    </row>
    <row r="888" spans="2:3" ht="17">
      <c r="B888" s="97"/>
      <c r="C888" s="97"/>
    </row>
    <row r="889" spans="2:3" ht="17">
      <c r="B889" s="97"/>
      <c r="C889" s="97"/>
    </row>
    <row r="890" spans="2:3" ht="17">
      <c r="B890" s="97"/>
      <c r="C890" s="97"/>
    </row>
    <row r="891" spans="2:3" ht="17">
      <c r="B891" s="97"/>
      <c r="C891" s="97"/>
    </row>
    <row r="892" spans="2:3" ht="17">
      <c r="B892" s="97"/>
      <c r="C892" s="97"/>
    </row>
    <row r="893" spans="2:3" ht="17">
      <c r="B893" s="97"/>
      <c r="C893" s="97"/>
    </row>
    <row r="894" spans="2:3" ht="17">
      <c r="B894" s="97"/>
      <c r="C894" s="97"/>
    </row>
    <row r="895" spans="2:3" ht="17">
      <c r="B895" s="97"/>
      <c r="C895" s="97"/>
    </row>
    <row r="896" spans="2:3" ht="17">
      <c r="B896" s="97"/>
      <c r="C896" s="97"/>
    </row>
    <row r="897" spans="2:3" ht="17">
      <c r="B897" s="97"/>
      <c r="C897" s="97"/>
    </row>
    <row r="898" spans="2:3" ht="17">
      <c r="B898" s="97"/>
      <c r="C898" s="97"/>
    </row>
    <row r="899" spans="2:3" ht="17">
      <c r="B899" s="97"/>
      <c r="C899" s="97"/>
    </row>
    <row r="900" spans="2:3" ht="17">
      <c r="B900" s="97"/>
      <c r="C900" s="97"/>
    </row>
    <row r="901" spans="2:3" ht="17">
      <c r="B901" s="97"/>
      <c r="C901" s="97"/>
    </row>
    <row r="902" spans="2:3" ht="17">
      <c r="B902" s="97"/>
      <c r="C902" s="97"/>
    </row>
    <row r="903" spans="2:3" ht="17">
      <c r="B903" s="97"/>
      <c r="C903" s="97"/>
    </row>
    <row r="904" spans="2:3" ht="17">
      <c r="B904" s="97"/>
      <c r="C904" s="97"/>
    </row>
    <row r="905" spans="2:3" ht="17">
      <c r="B905" s="97"/>
      <c r="C905" s="97"/>
    </row>
    <row r="906" spans="2:3" ht="17">
      <c r="B906" s="97"/>
      <c r="C906" s="97"/>
    </row>
    <row r="907" spans="2:3" ht="17">
      <c r="B907" s="97"/>
      <c r="C907" s="97"/>
    </row>
    <row r="908" spans="2:3" ht="17">
      <c r="B908" s="97"/>
      <c r="C908" s="97"/>
    </row>
    <row r="909" spans="2:3" ht="17">
      <c r="B909" s="97"/>
      <c r="C909" s="97"/>
    </row>
    <row r="910" spans="2:3" ht="17">
      <c r="B910" s="97"/>
      <c r="C910" s="97"/>
    </row>
    <row r="911" spans="2:3" ht="17">
      <c r="B911" s="97"/>
      <c r="C911" s="97"/>
    </row>
    <row r="912" spans="2:3" ht="17">
      <c r="B912" s="97"/>
      <c r="C912" s="97"/>
    </row>
    <row r="913" spans="2:3" ht="17">
      <c r="B913" s="97"/>
      <c r="C913" s="97"/>
    </row>
    <row r="914" spans="2:3" ht="17">
      <c r="B914" s="97"/>
      <c r="C914" s="97"/>
    </row>
    <row r="915" spans="2:3" ht="17">
      <c r="B915" s="97"/>
      <c r="C915" s="97"/>
    </row>
    <row r="916" spans="2:3" ht="17">
      <c r="B916" s="97"/>
      <c r="C916" s="97"/>
    </row>
    <row r="917" spans="2:3" ht="17">
      <c r="B917" s="97"/>
      <c r="C917" s="97"/>
    </row>
    <row r="918" spans="2:3" ht="17">
      <c r="B918" s="97"/>
      <c r="C918" s="97"/>
    </row>
    <row r="919" spans="2:3" ht="17">
      <c r="B919" s="97"/>
      <c r="C919" s="97"/>
    </row>
    <row r="920" spans="2:3" ht="17">
      <c r="B920" s="97"/>
      <c r="C920" s="97"/>
    </row>
    <row r="921" spans="2:3" ht="17">
      <c r="B921" s="97"/>
      <c r="C921" s="97"/>
    </row>
    <row r="922" spans="2:3" ht="17">
      <c r="B922" s="97"/>
      <c r="C922" s="97"/>
    </row>
    <row r="923" spans="2:3" ht="17">
      <c r="B923" s="97"/>
      <c r="C923" s="97"/>
    </row>
    <row r="924" spans="2:3" ht="17">
      <c r="B924" s="97"/>
      <c r="C924" s="97"/>
    </row>
    <row r="925" spans="2:3" ht="17">
      <c r="B925" s="97"/>
      <c r="C925" s="97"/>
    </row>
    <row r="926" spans="2:3" ht="17">
      <c r="B926" s="97"/>
      <c r="C926" s="97"/>
    </row>
    <row r="927" spans="2:3" ht="17">
      <c r="B927" s="97"/>
      <c r="C927" s="97"/>
    </row>
    <row r="928" spans="2:3" ht="17">
      <c r="B928" s="97"/>
      <c r="C928" s="97"/>
    </row>
    <row r="929" spans="2:3" ht="17">
      <c r="B929" s="97"/>
      <c r="C929" s="97"/>
    </row>
    <row r="930" spans="2:3" ht="17">
      <c r="B930" s="97"/>
      <c r="C930" s="97"/>
    </row>
    <row r="931" spans="2:3" ht="17">
      <c r="B931" s="97"/>
      <c r="C931" s="97"/>
    </row>
    <row r="932" spans="2:3" ht="17">
      <c r="B932" s="97"/>
      <c r="C932" s="97"/>
    </row>
    <row r="933" spans="2:3" ht="17">
      <c r="B933" s="97"/>
      <c r="C933" s="97"/>
    </row>
    <row r="934" spans="2:3" ht="17">
      <c r="B934" s="97"/>
      <c r="C934" s="97"/>
    </row>
    <row r="935" spans="2:3" ht="17">
      <c r="B935" s="97"/>
      <c r="C935" s="97"/>
    </row>
    <row r="936" spans="2:3" ht="17">
      <c r="B936" s="97"/>
      <c r="C936" s="97"/>
    </row>
    <row r="937" spans="2:3" ht="17">
      <c r="B937" s="97"/>
      <c r="C937" s="97"/>
    </row>
    <row r="938" spans="2:3" ht="17">
      <c r="B938" s="97"/>
      <c r="C938" s="97"/>
    </row>
    <row r="939" spans="2:3" ht="17">
      <c r="B939" s="97"/>
      <c r="C939" s="97"/>
    </row>
    <row r="940" spans="2:3" ht="17">
      <c r="B940" s="97"/>
      <c r="C940" s="97"/>
    </row>
    <row r="941" spans="2:3" ht="17">
      <c r="B941" s="97"/>
      <c r="C941" s="97"/>
    </row>
    <row r="942" spans="2:3" ht="17">
      <c r="B942" s="97"/>
      <c r="C942" s="97"/>
    </row>
    <row r="943" spans="2:3" ht="17">
      <c r="B943" s="97"/>
      <c r="C943" s="97"/>
    </row>
    <row r="944" spans="2:3" ht="17">
      <c r="B944" s="97"/>
      <c r="C944" s="97"/>
    </row>
    <row r="945" spans="2:3" ht="17">
      <c r="B945" s="97"/>
      <c r="C945" s="97"/>
    </row>
    <row r="946" spans="2:3" ht="17">
      <c r="B946" s="97"/>
      <c r="C946" s="97"/>
    </row>
    <row r="947" spans="2:3" ht="17">
      <c r="B947" s="97"/>
      <c r="C947" s="97"/>
    </row>
    <row r="948" spans="2:3" ht="17">
      <c r="B948" s="97"/>
      <c r="C948" s="97"/>
    </row>
    <row r="949" spans="2:3" ht="17">
      <c r="B949" s="97"/>
      <c r="C949" s="97"/>
    </row>
    <row r="950" spans="2:3" ht="17">
      <c r="B950" s="97"/>
      <c r="C950" s="97"/>
    </row>
    <row r="951" spans="2:3" ht="17">
      <c r="B951" s="97"/>
      <c r="C951" s="97"/>
    </row>
    <row r="952" spans="2:3" ht="17">
      <c r="B952" s="97"/>
      <c r="C952" s="97"/>
    </row>
    <row r="953" spans="2:3" ht="17">
      <c r="B953" s="97"/>
      <c r="C953" s="97"/>
    </row>
    <row r="954" spans="2:3" ht="17">
      <c r="B954" s="97"/>
      <c r="C954" s="97"/>
    </row>
    <row r="955" spans="2:3" ht="17">
      <c r="B955" s="97"/>
      <c r="C955" s="97"/>
    </row>
    <row r="956" spans="2:3" ht="17">
      <c r="B956" s="97"/>
      <c r="C956" s="97"/>
    </row>
    <row r="957" spans="2:3" ht="17">
      <c r="B957" s="97"/>
      <c r="C957" s="97"/>
    </row>
    <row r="958" spans="2:3" ht="17">
      <c r="B958" s="97"/>
      <c r="C958" s="97"/>
    </row>
    <row r="959" spans="2:3" ht="17">
      <c r="B959" s="97"/>
      <c r="C959" s="97"/>
    </row>
    <row r="960" spans="2:3" ht="17">
      <c r="B960" s="97"/>
      <c r="C960" s="97"/>
    </row>
    <row r="961" spans="2:3" ht="17">
      <c r="B961" s="97"/>
      <c r="C961" s="97"/>
    </row>
    <row r="962" spans="2:3" ht="17">
      <c r="B962" s="97"/>
      <c r="C962" s="97"/>
    </row>
    <row r="963" spans="2:3" ht="17">
      <c r="B963" s="97"/>
      <c r="C963" s="97"/>
    </row>
    <row r="964" spans="2:3" ht="17">
      <c r="B964" s="97"/>
      <c r="C964" s="97"/>
    </row>
    <row r="965" spans="2:3" ht="17">
      <c r="B965" s="97"/>
      <c r="C965" s="97"/>
    </row>
    <row r="966" spans="2:3" ht="17">
      <c r="B966" s="97"/>
      <c r="C966" s="97"/>
    </row>
    <row r="967" spans="2:3" ht="17">
      <c r="B967" s="97"/>
      <c r="C967" s="97"/>
    </row>
    <row r="968" spans="2:3" ht="17">
      <c r="B968" s="97"/>
      <c r="C968" s="97"/>
    </row>
    <row r="969" spans="2:3" ht="17">
      <c r="B969" s="97"/>
      <c r="C969" s="97"/>
    </row>
    <row r="970" spans="2:3" ht="17">
      <c r="B970" s="97"/>
      <c r="C970" s="97"/>
    </row>
    <row r="971" spans="2:3" ht="17">
      <c r="B971" s="97"/>
      <c r="C971" s="97"/>
    </row>
    <row r="972" spans="2:3" ht="17">
      <c r="B972" s="97"/>
      <c r="C972" s="97"/>
    </row>
    <row r="973" spans="2:3" ht="17">
      <c r="B973" s="97"/>
      <c r="C973" s="97"/>
    </row>
    <row r="974" spans="2:3" ht="17">
      <c r="B974" s="97"/>
      <c r="C974" s="97"/>
    </row>
    <row r="975" spans="2:3" ht="17">
      <c r="B975" s="97"/>
      <c r="C975" s="97"/>
    </row>
    <row r="976" spans="2:3" ht="17">
      <c r="B976" s="97"/>
      <c r="C976" s="97"/>
    </row>
    <row r="977" spans="2:3" ht="17">
      <c r="B977" s="97"/>
      <c r="C977" s="97"/>
    </row>
    <row r="978" spans="2:3" ht="17">
      <c r="B978" s="97"/>
      <c r="C978" s="97"/>
    </row>
    <row r="979" spans="2:3" ht="17">
      <c r="B979" s="97"/>
      <c r="C979" s="97"/>
    </row>
    <row r="980" spans="2:3" ht="17">
      <c r="B980" s="97"/>
      <c r="C980" s="97"/>
    </row>
    <row r="981" spans="2:3" ht="17">
      <c r="B981" s="97"/>
      <c r="C981" s="97"/>
    </row>
    <row r="982" spans="2:3" ht="17">
      <c r="B982" s="97"/>
      <c r="C982" s="97"/>
    </row>
    <row r="983" spans="2:3" ht="17">
      <c r="B983" s="97"/>
      <c r="C983" s="97"/>
    </row>
    <row r="984" spans="2:3" ht="17">
      <c r="B984" s="97"/>
      <c r="C984" s="97"/>
    </row>
    <row r="985" spans="2:3" ht="17">
      <c r="B985" s="97"/>
      <c r="C985" s="97"/>
    </row>
    <row r="986" spans="2:3" ht="17">
      <c r="B986" s="97"/>
      <c r="C986" s="97"/>
    </row>
    <row r="987" spans="2:3" ht="17">
      <c r="B987" s="97"/>
      <c r="C987" s="97"/>
    </row>
    <row r="988" spans="2:3" ht="17">
      <c r="B988" s="97"/>
      <c r="C988" s="97"/>
    </row>
    <row r="989" spans="2:3" ht="17">
      <c r="B989" s="97"/>
      <c r="C989" s="97"/>
    </row>
    <row r="990" spans="2:3" ht="17">
      <c r="B990" s="97"/>
      <c r="C990" s="97"/>
    </row>
    <row r="991" spans="2:3" ht="17">
      <c r="B991" s="97"/>
      <c r="C991" s="97"/>
    </row>
    <row r="992" spans="2:3" ht="17">
      <c r="B992" s="97"/>
      <c r="C992" s="97"/>
    </row>
    <row r="993" spans="2:3" ht="17">
      <c r="B993" s="97"/>
      <c r="C993" s="97"/>
    </row>
    <row r="994" spans="2:3" ht="17">
      <c r="B994" s="97"/>
      <c r="C994" s="97"/>
    </row>
    <row r="995" spans="2:3" ht="17">
      <c r="B995" s="97"/>
      <c r="C995" s="97"/>
    </row>
    <row r="996" spans="2:3" ht="17">
      <c r="B996" s="97"/>
      <c r="C996" s="97"/>
    </row>
    <row r="997" spans="2:3" ht="17">
      <c r="B997" s="97"/>
      <c r="C997" s="97"/>
    </row>
    <row r="998" spans="2:3" ht="17">
      <c r="B998" s="97"/>
      <c r="C998" s="97"/>
    </row>
    <row r="999" spans="2:3" ht="17">
      <c r="B999" s="97"/>
      <c r="C999" s="97"/>
    </row>
    <row r="1000" spans="2:3" ht="17">
      <c r="B1000" s="97"/>
      <c r="C1000" s="97"/>
    </row>
    <row r="1001" spans="2:3" ht="17">
      <c r="B1001" s="97"/>
      <c r="C1001" s="97"/>
    </row>
  </sheetData>
  <hyperlinks>
    <hyperlink ref="D2" r:id="rId1" xr:uid="{00000000-0004-0000-1400-000000000000}"/>
    <hyperlink ref="H2" r:id="rId2" xr:uid="{00000000-0004-0000-1400-000001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D1003"/>
  <sheetViews>
    <sheetView showGridLines="0" tabSelected="1" topLeftCell="M1" zoomScale="109" workbookViewId="0">
      <selection activeCell="X8" sqref="X8"/>
    </sheetView>
  </sheetViews>
  <sheetFormatPr baseColWidth="10" defaultColWidth="12.6640625" defaultRowHeight="15.75" customHeight="1"/>
  <cols>
    <col min="1" max="1" width="26.5" style="63" customWidth="1"/>
    <col min="2" max="3" width="21.83203125" style="63" customWidth="1"/>
    <col min="4" max="4" width="22.1640625" style="63" customWidth="1"/>
    <col min="5" max="5" width="17.6640625" style="63" customWidth="1"/>
    <col min="6" max="6" width="33.1640625" style="63" customWidth="1"/>
    <col min="7" max="7" width="21.6640625" style="63" customWidth="1"/>
    <col min="8" max="8" width="16.6640625" style="63" customWidth="1"/>
    <col min="9" max="9" width="21.83203125" style="63" customWidth="1"/>
    <col min="10" max="10" width="18.1640625" style="63" customWidth="1"/>
    <col min="11" max="11" width="23.33203125" style="63" customWidth="1"/>
    <col min="12" max="12" width="18.1640625" style="63" customWidth="1"/>
    <col min="13" max="13" width="18.5" style="63" customWidth="1"/>
    <col min="14" max="14" width="19.6640625" style="63" customWidth="1"/>
    <col min="15" max="15" width="18.5" style="63" customWidth="1"/>
    <col min="16" max="16" width="25.6640625" style="63" customWidth="1"/>
    <col min="17" max="17" width="21.83203125" style="63" customWidth="1"/>
    <col min="18" max="20" width="12.6640625" style="63"/>
    <col min="21" max="21" width="21.83203125" style="427" customWidth="1"/>
    <col min="22" max="22" width="12.6640625" style="63"/>
    <col min="23" max="23" width="20.6640625" style="63" customWidth="1"/>
    <col min="24" max="24" width="19.5" style="63" customWidth="1"/>
    <col min="25" max="16384" width="12.6640625" style="63"/>
  </cols>
  <sheetData>
    <row r="1" spans="1:30" ht="15.75" customHeight="1">
      <c r="A1" s="68"/>
      <c r="B1" s="68"/>
      <c r="C1" s="68"/>
      <c r="D1" s="415"/>
      <c r="E1" s="415"/>
      <c r="F1" s="415"/>
      <c r="G1" s="415"/>
      <c r="H1" s="415"/>
      <c r="I1" s="415"/>
      <c r="J1" s="415"/>
      <c r="K1" s="97"/>
      <c r="L1" s="97"/>
      <c r="M1" s="97"/>
      <c r="N1" s="97"/>
      <c r="O1" s="97"/>
      <c r="P1" s="97"/>
      <c r="Q1" s="97"/>
      <c r="R1" s="97"/>
      <c r="S1" s="97"/>
      <c r="T1" s="97"/>
      <c r="U1" s="416"/>
      <c r="V1" s="97"/>
      <c r="W1" s="97"/>
      <c r="X1" s="97"/>
      <c r="Y1" s="97"/>
      <c r="Z1" s="68"/>
      <c r="AA1" s="68"/>
      <c r="AB1" s="68"/>
      <c r="AC1" s="68"/>
      <c r="AD1" s="68"/>
    </row>
    <row r="2" spans="1:30" ht="15.75" customHeight="1">
      <c r="A2" s="417" t="s">
        <v>511</v>
      </c>
      <c r="B2" s="107"/>
      <c r="C2" s="68"/>
      <c r="D2" s="418" t="s">
        <v>152</v>
      </c>
      <c r="E2" s="419" t="s">
        <v>63</v>
      </c>
      <c r="F2" s="419" t="s">
        <v>535</v>
      </c>
      <c r="G2" s="419" t="s">
        <v>536</v>
      </c>
      <c r="H2" s="419" t="s">
        <v>537</v>
      </c>
      <c r="I2" s="419" t="s">
        <v>506</v>
      </c>
      <c r="J2" s="419" t="s">
        <v>538</v>
      </c>
      <c r="K2" s="398" t="s">
        <v>507</v>
      </c>
      <c r="L2" s="398" t="s">
        <v>539</v>
      </c>
      <c r="M2" s="398" t="s">
        <v>540</v>
      </c>
      <c r="N2" s="398" t="s">
        <v>539</v>
      </c>
      <c r="O2" s="398" t="s">
        <v>541</v>
      </c>
      <c r="P2" s="398" t="s">
        <v>542</v>
      </c>
      <c r="Q2" s="398" t="s">
        <v>543</v>
      </c>
      <c r="R2" s="97"/>
      <c r="S2" s="97"/>
      <c r="T2" s="97"/>
      <c r="U2" s="416"/>
      <c r="V2" s="97"/>
      <c r="W2" s="398" t="s">
        <v>544</v>
      </c>
      <c r="X2" s="320">
        <f ca="1">SUM('16. Retirement '!B31:X31)-SUM('16. Retirement '!B32:X32)</f>
        <v>-70250466586.566238</v>
      </c>
      <c r="Y2" s="97"/>
      <c r="Z2" s="68"/>
      <c r="AA2" s="68"/>
      <c r="AB2" s="68"/>
      <c r="AC2" s="68"/>
      <c r="AD2" s="68"/>
    </row>
    <row r="3" spans="1:30" ht="15.75" customHeight="1">
      <c r="A3" s="114" t="s">
        <v>545</v>
      </c>
      <c r="B3" s="413">
        <f>'3. Financial drivers '!L17</f>
        <v>5.6000000000000001E-2</v>
      </c>
      <c r="C3" s="420"/>
      <c r="D3" s="193" t="s">
        <v>546</v>
      </c>
      <c r="E3" s="421">
        <v>22</v>
      </c>
      <c r="F3" s="320">
        <f>'20. Balance '!D3+'20. Balance '!E3</f>
        <v>70000000</v>
      </c>
      <c r="G3" s="320">
        <f>'20. Balance '!D3</f>
        <v>70000000</v>
      </c>
      <c r="H3" s="192">
        <f>'18. Investment assumption'!D20/('18. Investment assumption'!D20+'18. Investment assumption'!E20)</f>
        <v>0.5</v>
      </c>
      <c r="I3" s="320">
        <f>H3*'20. Balance '!E3</f>
        <v>0</v>
      </c>
      <c r="J3" s="192">
        <f t="shared" ref="J3:J66" si="0">1-H3</f>
        <v>0.5</v>
      </c>
      <c r="K3" s="320">
        <f>J3*'20. Balance '!E3</f>
        <v>0</v>
      </c>
      <c r="L3" s="422">
        <f t="shared" ref="L3:L66" ca="1" si="1">NORMSINV(RAND())</f>
        <v>-1.7077644773890712</v>
      </c>
      <c r="M3" s="184">
        <f t="shared" ref="M3:M66" ca="1" si="2">1+($B$6+$B$7*L3)</f>
        <v>0.74919772712398325</v>
      </c>
      <c r="N3" s="422">
        <f t="shared" ref="N3:N66" ca="1" si="3">NORMSINV(RAND())</f>
        <v>-1.193326534989569</v>
      </c>
      <c r="O3" s="184">
        <f t="shared" ref="O3:O66" ca="1" si="4">1+($B$10+$B$11*N3)</f>
        <v>1.0196582168730794</v>
      </c>
      <c r="P3" s="320">
        <f t="shared" ref="P3:P66" ca="1" si="5">G3*(1+$B$3)+I3*M3+K3*O3</f>
        <v>73920000</v>
      </c>
      <c r="Q3" s="320">
        <f t="shared" ref="Q3:Q66" ca="1" si="6">P3-F3</f>
        <v>3920000</v>
      </c>
      <c r="R3" s="97"/>
      <c r="S3" s="97"/>
      <c r="T3" s="423" t="s">
        <v>547</v>
      </c>
      <c r="U3" s="424">
        <f ca="1">P44</f>
        <v>56530858357.329834</v>
      </c>
      <c r="V3" s="97"/>
      <c r="W3" s="398" t="s">
        <v>145</v>
      </c>
      <c r="X3" s="320">
        <f>AVERAGE(U4:U1003)</f>
        <v>58824666490.965561</v>
      </c>
      <c r="Y3" s="97"/>
      <c r="Z3" s="68"/>
      <c r="AA3" s="68"/>
      <c r="AB3" s="68"/>
      <c r="AC3" s="68"/>
      <c r="AD3" s="68"/>
    </row>
    <row r="4" spans="1:30" ht="15.75" customHeight="1">
      <c r="A4" s="68"/>
      <c r="B4" s="425"/>
      <c r="C4" s="420"/>
      <c r="D4" s="193">
        <f t="shared" ref="D4:E4" si="7">D3+1</f>
        <v>2026</v>
      </c>
      <c r="E4" s="193">
        <f t="shared" si="7"/>
        <v>23</v>
      </c>
      <c r="F4" s="320">
        <f ca="1">'20. Balance '!D4+'20. Balance '!E4</f>
        <v>0</v>
      </c>
      <c r="G4" s="320">
        <f ca="1">'20. Balance '!D4</f>
        <v>0</v>
      </c>
      <c r="H4" s="192">
        <f>'18. Investment assumption'!D21/('18. Investment assumption'!D21+'18. Investment assumption'!E21)</f>
        <v>0.5</v>
      </c>
      <c r="I4" s="320">
        <f ca="1">H4*'20. Balance '!E4</f>
        <v>0</v>
      </c>
      <c r="J4" s="192">
        <f t="shared" si="0"/>
        <v>0.5</v>
      </c>
      <c r="K4" s="320">
        <f ca="1">J4*'20. Balance '!E4</f>
        <v>0</v>
      </c>
      <c r="L4" s="422">
        <f t="shared" ca="1" si="1"/>
        <v>0.35850516076322542</v>
      </c>
      <c r="M4" s="184">
        <f t="shared" ca="1" si="2"/>
        <v>1.1819692170971448</v>
      </c>
      <c r="N4" s="422">
        <f t="shared" ca="1" si="3"/>
        <v>-1.9589639767667373</v>
      </c>
      <c r="O4" s="184">
        <f t="shared" ca="1" si="4"/>
        <v>1.0109880564905789</v>
      </c>
      <c r="P4" s="320">
        <f t="shared" ca="1" si="5"/>
        <v>0</v>
      </c>
      <c r="Q4" s="320">
        <f t="shared" ca="1" si="6"/>
        <v>0</v>
      </c>
      <c r="R4" s="97"/>
      <c r="S4" s="97"/>
      <c r="T4" s="423">
        <v>1</v>
      </c>
      <c r="U4" s="424">
        <f t="dataTable" ref="U4:U1003" dt2D="0" dtr="0" r1="R2" ca="1"/>
        <v>55584800621.337799</v>
      </c>
      <c r="V4" s="97"/>
      <c r="W4" s="398" t="s">
        <v>548</v>
      </c>
      <c r="X4" s="183">
        <f>_xlfn.STDEV.S(U4:U1003)</f>
        <v>2049627340.9213181</v>
      </c>
      <c r="Y4" s="97"/>
      <c r="Z4" s="68"/>
      <c r="AA4" s="68"/>
      <c r="AB4" s="68"/>
      <c r="AC4" s="68"/>
      <c r="AD4" s="68"/>
    </row>
    <row r="5" spans="1:30" ht="15.75" customHeight="1">
      <c r="A5" s="417" t="s">
        <v>506</v>
      </c>
      <c r="B5" s="107"/>
      <c r="C5" s="420"/>
      <c r="D5" s="193">
        <f t="shared" ref="D5:E5" si="8">D4+1</f>
        <v>2027</v>
      </c>
      <c r="E5" s="193">
        <f t="shared" si="8"/>
        <v>24</v>
      </c>
      <c r="F5" s="320">
        <f ca="1">'20. Balance '!D5+'20. Balance '!E5</f>
        <v>0</v>
      </c>
      <c r="G5" s="320">
        <f ca="1">'20. Balance '!D5</f>
        <v>0</v>
      </c>
      <c r="H5" s="192">
        <f>'18. Investment assumption'!D22/('18. Investment assumption'!D22+'18. Investment assumption'!E22)</f>
        <v>0.5</v>
      </c>
      <c r="I5" s="320">
        <f ca="1">H5*'20. Balance '!E5</f>
        <v>0</v>
      </c>
      <c r="J5" s="192">
        <f t="shared" si="0"/>
        <v>0.5</v>
      </c>
      <c r="K5" s="320">
        <f ca="1">J5*'20. Balance '!E5</f>
        <v>0</v>
      </c>
      <c r="L5" s="422">
        <f t="shared" ca="1" si="1"/>
        <v>8.304282535661027E-2</v>
      </c>
      <c r="M5" s="184">
        <f t="shared" ca="1" si="2"/>
        <v>1.1242747888752744</v>
      </c>
      <c r="N5" s="422">
        <f t="shared" ca="1" si="3"/>
        <v>-0.23524366279959624</v>
      </c>
      <c r="O5" s="184">
        <f t="shared" ca="1" si="4"/>
        <v>1.0305076499184811</v>
      </c>
      <c r="P5" s="320">
        <f t="shared" ca="1" si="5"/>
        <v>0</v>
      </c>
      <c r="Q5" s="320">
        <f t="shared" ca="1" si="6"/>
        <v>0</v>
      </c>
      <c r="R5" s="97"/>
      <c r="S5" s="97"/>
      <c r="T5" s="423">
        <v>2</v>
      </c>
      <c r="U5" s="424">
        <v>58451430894.042633</v>
      </c>
      <c r="V5" s="97"/>
      <c r="W5" s="398" t="s">
        <v>549</v>
      </c>
      <c r="X5" s="320">
        <f>_xlfn.PERCENTILE.EXC(U4:U1003,0.25)</f>
        <v>57424280598.760025</v>
      </c>
      <c r="Y5" s="97"/>
      <c r="Z5" s="68"/>
      <c r="AA5" s="68"/>
      <c r="AB5" s="68"/>
      <c r="AC5" s="68"/>
      <c r="AD5" s="68"/>
    </row>
    <row r="6" spans="1:30" ht="15.75" customHeight="1">
      <c r="A6" s="114" t="s">
        <v>550</v>
      </c>
      <c r="B6" s="413">
        <f>'20. Market return '!C16</f>
        <v>0.10688181818181818</v>
      </c>
      <c r="C6" s="420"/>
      <c r="D6" s="193">
        <f t="shared" ref="D6:E6" si="9">D5+1</f>
        <v>2028</v>
      </c>
      <c r="E6" s="193">
        <f t="shared" si="9"/>
        <v>25</v>
      </c>
      <c r="F6" s="320">
        <f ca="1">'20. Balance '!D6+'20. Balance '!E6</f>
        <v>0</v>
      </c>
      <c r="G6" s="320">
        <f ca="1">'20. Balance '!D6</f>
        <v>0</v>
      </c>
      <c r="H6" s="192">
        <f>'18. Investment assumption'!D23/('18. Investment assumption'!D23+'18. Investment assumption'!E23)</f>
        <v>0.5</v>
      </c>
      <c r="I6" s="320">
        <f ca="1">H6*'20. Balance '!E6</f>
        <v>0</v>
      </c>
      <c r="J6" s="192">
        <f t="shared" si="0"/>
        <v>0.5</v>
      </c>
      <c r="K6" s="320">
        <f ca="1">J6*'20. Balance '!E6</f>
        <v>0</v>
      </c>
      <c r="L6" s="422">
        <f t="shared" ca="1" si="1"/>
        <v>-0.39405823819217223</v>
      </c>
      <c r="M6" s="184">
        <f t="shared" ca="1" si="2"/>
        <v>1.0243479766493435</v>
      </c>
      <c r="N6" s="422">
        <f t="shared" ca="1" si="3"/>
        <v>0.64636020899173263</v>
      </c>
      <c r="O6" s="184">
        <f t="shared" ca="1" si="4"/>
        <v>1.0404910265732621</v>
      </c>
      <c r="P6" s="320">
        <f t="shared" ca="1" si="5"/>
        <v>0</v>
      </c>
      <c r="Q6" s="320">
        <f t="shared" ca="1" si="6"/>
        <v>0</v>
      </c>
      <c r="R6" s="97"/>
      <c r="S6" s="97"/>
      <c r="T6" s="423">
        <v>3</v>
      </c>
      <c r="U6" s="424">
        <v>59521104335.248734</v>
      </c>
      <c r="V6" s="97"/>
      <c r="W6" s="398" t="s">
        <v>551</v>
      </c>
      <c r="X6" s="320">
        <f>_xlfn.PERCENTILE.EXC(U4:U1003,0.5)</f>
        <v>58724247180.581879</v>
      </c>
      <c r="Y6" s="97"/>
      <c r="Z6" s="68"/>
      <c r="AA6" s="68"/>
      <c r="AB6" s="68"/>
      <c r="AC6" s="68"/>
      <c r="AD6" s="68"/>
    </row>
    <row r="7" spans="1:30" ht="15.75" customHeight="1">
      <c r="A7" s="114" t="s">
        <v>552</v>
      </c>
      <c r="B7" s="413">
        <f>'20. Market return '!C15</f>
        <v>0.2094457964160743</v>
      </c>
      <c r="C7" s="420"/>
      <c r="D7" s="193">
        <f t="shared" ref="D7:E7" si="10">D6+1</f>
        <v>2029</v>
      </c>
      <c r="E7" s="193">
        <f t="shared" si="10"/>
        <v>26</v>
      </c>
      <c r="F7" s="320">
        <f ca="1">'20. Balance '!D7+'20. Balance '!E7</f>
        <v>40346322.86808002</v>
      </c>
      <c r="G7" s="320">
        <f ca="1">'20. Balance '!D7</f>
        <v>24207793.720848013</v>
      </c>
      <c r="H7" s="192">
        <f>'18. Investment assumption'!D24/('18. Investment assumption'!D24+'18. Investment assumption'!E24)</f>
        <v>0.5</v>
      </c>
      <c r="I7" s="320">
        <f ca="1">H7*'20. Balance '!E7</f>
        <v>8069264.5736160036</v>
      </c>
      <c r="J7" s="192">
        <f t="shared" si="0"/>
        <v>0.5</v>
      </c>
      <c r="K7" s="320">
        <f ca="1">J7*'20. Balance '!E7</f>
        <v>8069264.5736160036</v>
      </c>
      <c r="L7" s="422">
        <f t="shared" ca="1" si="1"/>
        <v>-0.45019249783405335</v>
      </c>
      <c r="M7" s="184">
        <f t="shared" ca="1" si="2"/>
        <v>1.0125908919324231</v>
      </c>
      <c r="N7" s="422">
        <f t="shared" ca="1" si="3"/>
        <v>1.2286778488641314</v>
      </c>
      <c r="O7" s="184">
        <f t="shared" ca="1" si="4"/>
        <v>1.0470852538873467</v>
      </c>
      <c r="P7" s="320">
        <f t="shared" ca="1" si="5"/>
        <v>42183501.925800927</v>
      </c>
      <c r="Q7" s="320">
        <f t="shared" ca="1" si="6"/>
        <v>1837179.057720907</v>
      </c>
      <c r="R7" s="97"/>
      <c r="S7" s="97"/>
      <c r="T7" s="423">
        <v>4</v>
      </c>
      <c r="U7" s="424">
        <v>62383185234.469658</v>
      </c>
      <c r="V7" s="97"/>
      <c r="W7" s="398" t="s">
        <v>553</v>
      </c>
      <c r="X7" s="320">
        <f>_xlfn.PERCENTILE.EXC(U4:U1003,0.75)</f>
        <v>60300443613.173439</v>
      </c>
      <c r="Y7" s="97"/>
      <c r="Z7" s="68"/>
      <c r="AA7" s="68"/>
      <c r="AB7" s="68"/>
      <c r="AC7" s="68"/>
      <c r="AD7" s="68"/>
    </row>
    <row r="8" spans="1:30" ht="15.75" customHeight="1">
      <c r="A8" s="68"/>
      <c r="B8" s="425"/>
      <c r="C8" s="420"/>
      <c r="D8" s="193">
        <f t="shared" ref="D8:E8" si="11">D7+1</f>
        <v>2030</v>
      </c>
      <c r="E8" s="193">
        <f t="shared" si="11"/>
        <v>27</v>
      </c>
      <c r="F8" s="320">
        <f ca="1">'20. Balance '!D8+'20. Balance '!E8</f>
        <v>91589806.819948137</v>
      </c>
      <c r="G8" s="320">
        <f ca="1">'20. Balance '!D8</f>
        <v>54953884.091968879</v>
      </c>
      <c r="H8" s="192">
        <f>'18. Investment assumption'!D25/('18. Investment assumption'!D25+'18. Investment assumption'!E25)</f>
        <v>0.25</v>
      </c>
      <c r="I8" s="320">
        <f ca="1">H8*'20. Balance '!E8</f>
        <v>9158980.6819948144</v>
      </c>
      <c r="J8" s="192">
        <f t="shared" si="0"/>
        <v>0.75</v>
      </c>
      <c r="K8" s="320">
        <f ca="1">J8*'20. Balance '!E8</f>
        <v>27476942.045984443</v>
      </c>
      <c r="L8" s="422">
        <f t="shared" ca="1" si="1"/>
        <v>-1.7211315263838498</v>
      </c>
      <c r="M8" s="184">
        <f t="shared" ca="1" si="2"/>
        <v>0.74639805490153921</v>
      </c>
      <c r="N8" s="422">
        <f t="shared" ca="1" si="3"/>
        <v>0.40519455213927708</v>
      </c>
      <c r="O8" s="184">
        <f t="shared" ca="1" si="4"/>
        <v>1.0377600408487284</v>
      </c>
      <c r="P8" s="320">
        <f t="shared" ca="1" si="5"/>
        <v>93382019.467079788</v>
      </c>
      <c r="Q8" s="320">
        <f t="shared" ca="1" si="6"/>
        <v>1792212.6471316516</v>
      </c>
      <c r="R8" s="97"/>
      <c r="S8" s="97"/>
      <c r="T8" s="423">
        <v>5</v>
      </c>
      <c r="U8" s="424">
        <v>60306744358.705643</v>
      </c>
      <c r="V8" s="97"/>
      <c r="W8" s="398" t="s">
        <v>554</v>
      </c>
      <c r="X8" s="320">
        <f>_xlfn.PERCENTILE.EXC(U4:U1003,0.95)</f>
        <v>62303164602.877258</v>
      </c>
      <c r="Y8" s="97"/>
      <c r="Z8" s="68"/>
      <c r="AA8" s="68"/>
      <c r="AB8" s="68"/>
      <c r="AC8" s="68"/>
      <c r="AD8" s="68"/>
    </row>
    <row r="9" spans="1:30" ht="15.75" customHeight="1">
      <c r="A9" s="417" t="s">
        <v>507</v>
      </c>
      <c r="B9" s="107"/>
      <c r="C9" s="420"/>
      <c r="D9" s="193">
        <f t="shared" ref="D9:E9" si="12">D8+1</f>
        <v>2031</v>
      </c>
      <c r="E9" s="193">
        <f t="shared" si="12"/>
        <v>28</v>
      </c>
      <c r="F9" s="320">
        <f ca="1">'20. Balance '!D9+'20. Balance '!E9</f>
        <v>91589806.819948137</v>
      </c>
      <c r="G9" s="320">
        <f ca="1">'20. Balance '!D9</f>
        <v>54953884.091968879</v>
      </c>
      <c r="H9" s="192">
        <f>'18. Investment assumption'!D26/('18. Investment assumption'!D26+'18. Investment assumption'!E26)</f>
        <v>0.25</v>
      </c>
      <c r="I9" s="320">
        <f ca="1">H9*'20. Balance '!E9</f>
        <v>9158980.6819948144</v>
      </c>
      <c r="J9" s="192">
        <f t="shared" si="0"/>
        <v>0.75</v>
      </c>
      <c r="K9" s="320">
        <f ca="1">J9*'20. Balance '!E9</f>
        <v>27476942.045984443</v>
      </c>
      <c r="L9" s="422">
        <f t="shared" ca="1" si="1"/>
        <v>3.0301675946755278E-2</v>
      </c>
      <c r="M9" s="184">
        <f t="shared" ca="1" si="2"/>
        <v>1.1132283768332281</v>
      </c>
      <c r="N9" s="422">
        <f t="shared" ca="1" si="3"/>
        <v>0.87368926948871128</v>
      </c>
      <c r="O9" s="184">
        <f t="shared" ca="1" si="4"/>
        <v>1.0430653251989104</v>
      </c>
      <c r="P9" s="320">
        <f t="shared" ca="1" si="5"/>
        <v>96887584.28984949</v>
      </c>
      <c r="Q9" s="320">
        <f t="shared" ca="1" si="6"/>
        <v>5297777.4699013531</v>
      </c>
      <c r="R9" s="97"/>
      <c r="S9" s="97"/>
      <c r="T9" s="423">
        <v>6</v>
      </c>
      <c r="U9" s="424">
        <v>58327994070.185272</v>
      </c>
      <c r="V9" s="426"/>
      <c r="W9" s="398" t="s">
        <v>555</v>
      </c>
      <c r="X9" s="184">
        <f ca="1">COUNTIF(U4:U1003,"&gt;="&amp;$X$2)/COUNT(T4:T1003)</f>
        <v>1</v>
      </c>
      <c r="Y9" s="97"/>
      <c r="Z9" s="68"/>
      <c r="AA9" s="68"/>
      <c r="AB9" s="68"/>
      <c r="AC9" s="68"/>
      <c r="AD9" s="68"/>
    </row>
    <row r="10" spans="1:30" ht="15.75" customHeight="1">
      <c r="A10" s="114" t="s">
        <v>550</v>
      </c>
      <c r="B10" s="413">
        <f>'20. Market return '!F16</f>
        <v>3.3171574348176108E-2</v>
      </c>
      <c r="C10" s="420"/>
      <c r="D10" s="193">
        <f t="shared" ref="D10:E10" si="13">D9+1</f>
        <v>2032</v>
      </c>
      <c r="E10" s="193">
        <f t="shared" si="13"/>
        <v>29</v>
      </c>
      <c r="F10" s="320">
        <f ca="1">'20. Balance '!D10+'20. Balance '!E10</f>
        <v>36635922.727979258</v>
      </c>
      <c r="G10" s="320">
        <f ca="1">'20. Balance '!D10</f>
        <v>0</v>
      </c>
      <c r="H10" s="192">
        <f>'18. Investment assumption'!D27/('18. Investment assumption'!D27+'18. Investment assumption'!E27)</f>
        <v>0.25</v>
      </c>
      <c r="I10" s="320">
        <f ca="1">H10*'20. Balance '!E10</f>
        <v>9158980.6819948144</v>
      </c>
      <c r="J10" s="192">
        <f t="shared" si="0"/>
        <v>0.75</v>
      </c>
      <c r="K10" s="320">
        <f ca="1">J10*'20. Balance '!E10</f>
        <v>27476942.045984443</v>
      </c>
      <c r="L10" s="422">
        <f t="shared" ca="1" si="1"/>
        <v>0.74752409288331878</v>
      </c>
      <c r="M10" s="184">
        <f t="shared" ca="1" si="2"/>
        <v>1.2634475971559684</v>
      </c>
      <c r="N10" s="422">
        <f t="shared" ca="1" si="3"/>
        <v>0.75034870433816503</v>
      </c>
      <c r="O10" s="184">
        <f t="shared" ca="1" si="4"/>
        <v>1.0416686034306526</v>
      </c>
      <c r="P10" s="320">
        <f t="shared" ca="1" si="5"/>
        <v>40193759.982649878</v>
      </c>
      <c r="Q10" s="320">
        <f t="shared" ca="1" si="6"/>
        <v>3557837.25467062</v>
      </c>
      <c r="R10" s="97"/>
      <c r="S10" s="97"/>
      <c r="T10" s="423">
        <v>7</v>
      </c>
      <c r="U10" s="424">
        <v>58126646594.243637</v>
      </c>
      <c r="V10" s="426"/>
      <c r="W10" s="97"/>
      <c r="X10" s="97"/>
      <c r="Y10" s="97"/>
      <c r="Z10" s="68"/>
      <c r="AA10" s="68"/>
      <c r="AB10" s="68"/>
      <c r="AC10" s="68"/>
      <c r="AD10" s="68"/>
    </row>
    <row r="11" spans="1:30" ht="15.75" customHeight="1">
      <c r="A11" s="114" t="s">
        <v>552</v>
      </c>
      <c r="B11" s="413">
        <f>'20. Market return '!F15</f>
        <v>1.1324107089611238E-2</v>
      </c>
      <c r="C11" s="420"/>
      <c r="D11" s="193">
        <f t="shared" ref="D11:E11" si="14">D10+1</f>
        <v>2033</v>
      </c>
      <c r="E11" s="193">
        <f t="shared" si="14"/>
        <v>30</v>
      </c>
      <c r="F11" s="320">
        <f ca="1">'20. Balance '!D11+'20. Balance '!E11</f>
        <v>60265639.84519513</v>
      </c>
      <c r="G11" s="320">
        <f ca="1">'20. Balance '!D11</f>
        <v>14177830.270329522</v>
      </c>
      <c r="H11" s="192">
        <f>'18. Investment assumption'!D28/('18. Investment assumption'!D28+'18. Investment assumption'!E28)</f>
        <v>0.25</v>
      </c>
      <c r="I11" s="320">
        <f ca="1">H11*'20. Balance '!E11</f>
        <v>11521952.393716402</v>
      </c>
      <c r="J11" s="192">
        <f t="shared" si="0"/>
        <v>0.75</v>
      </c>
      <c r="K11" s="320">
        <f ca="1">J11*'20. Balance '!E11</f>
        <v>34565857.181149207</v>
      </c>
      <c r="L11" s="422">
        <f t="shared" ca="1" si="1"/>
        <v>1.7293810921017789</v>
      </c>
      <c r="M11" s="184">
        <f t="shared" ca="1" si="2"/>
        <v>1.4690934183239757</v>
      </c>
      <c r="N11" s="422">
        <f t="shared" ca="1" si="3"/>
        <v>-0.95362537958934002</v>
      </c>
      <c r="O11" s="184">
        <f t="shared" ca="1" si="4"/>
        <v>1.0223726184263353</v>
      </c>
      <c r="P11" s="320">
        <f t="shared" ca="1" si="5"/>
        <v>67237799.107761174</v>
      </c>
      <c r="Q11" s="320">
        <f t="shared" ca="1" si="6"/>
        <v>6972159.2625660449</v>
      </c>
      <c r="R11" s="97"/>
      <c r="S11" s="97"/>
      <c r="T11" s="423">
        <v>8</v>
      </c>
      <c r="U11" s="424">
        <v>59240874975.995087</v>
      </c>
      <c r="V11" s="426"/>
      <c r="W11" s="97"/>
      <c r="X11" s="97"/>
      <c r="Y11" s="97"/>
      <c r="Z11" s="68"/>
      <c r="AA11" s="68"/>
      <c r="AB11" s="68"/>
      <c r="AC11" s="68"/>
      <c r="AD11" s="68"/>
    </row>
    <row r="12" spans="1:30" ht="15.75" customHeight="1">
      <c r="A12" s="68"/>
      <c r="B12" s="425"/>
      <c r="C12" s="420"/>
      <c r="D12" s="193">
        <f t="shared" ref="D12:E12" si="15">D11+1</f>
        <v>2034</v>
      </c>
      <c r="E12" s="193">
        <f t="shared" si="15"/>
        <v>31</v>
      </c>
      <c r="F12" s="320">
        <f ca="1">'20. Balance '!D12+'20. Balance '!E12</f>
        <v>188980986.4324972</v>
      </c>
      <c r="G12" s="320">
        <f ca="1">'20. Balance '!D12</f>
        <v>91407038.222710773</v>
      </c>
      <c r="H12" s="192">
        <f>'18. Investment assumption'!D29/('18. Investment assumption'!D29+'18. Investment assumption'!E29)</f>
        <v>0.25</v>
      </c>
      <c r="I12" s="320">
        <f ca="1">H12*'20. Balance '!E12</f>
        <v>24393487.052446611</v>
      </c>
      <c r="J12" s="192">
        <f t="shared" si="0"/>
        <v>0.75</v>
      </c>
      <c r="K12" s="320">
        <f ca="1">J12*'20. Balance '!E12</f>
        <v>73180461.157339841</v>
      </c>
      <c r="L12" s="422">
        <f t="shared" ca="1" si="1"/>
        <v>0.37977653894414615</v>
      </c>
      <c r="M12" s="184">
        <f t="shared" ca="1" si="2"/>
        <v>1.1864244178411152</v>
      </c>
      <c r="N12" s="422">
        <f t="shared" ca="1" si="3"/>
        <v>-0.78942021206248802</v>
      </c>
      <c r="O12" s="184">
        <f t="shared" ca="1" si="4"/>
        <v>1.0242320953280768</v>
      </c>
      <c r="P12" s="320">
        <f t="shared" ca="1" si="5"/>
        <v>200420638.10675347</v>
      </c>
      <c r="Q12" s="320">
        <f t="shared" ca="1" si="6"/>
        <v>11439651.674256265</v>
      </c>
      <c r="R12" s="97"/>
      <c r="S12" s="97"/>
      <c r="T12" s="423">
        <v>9</v>
      </c>
      <c r="U12" s="424">
        <v>59465273120.652039</v>
      </c>
      <c r="V12" s="426"/>
      <c r="W12" s="97"/>
      <c r="X12" s="97"/>
      <c r="Y12" s="97"/>
      <c r="Z12" s="68"/>
      <c r="AA12" s="68"/>
      <c r="AB12" s="68"/>
      <c r="AC12" s="68"/>
      <c r="AD12" s="68"/>
    </row>
    <row r="13" spans="1:30" ht="15.75" customHeight="1">
      <c r="A13" s="68"/>
      <c r="B13" s="68"/>
      <c r="C13" s="68"/>
      <c r="D13" s="193">
        <f t="shared" ref="D13:E13" si="16">D12+1</f>
        <v>2035</v>
      </c>
      <c r="E13" s="193">
        <f t="shared" si="16"/>
        <v>32</v>
      </c>
      <c r="F13" s="320">
        <f ca="1">'20. Balance '!D13+'20. Balance '!E13</f>
        <v>352107459.57956058</v>
      </c>
      <c r="G13" s="320">
        <f ca="1">'20. Balance '!D13</f>
        <v>189282922.1109488</v>
      </c>
      <c r="H13" s="192">
        <f>'18. Investment assumption'!D30/('18. Investment assumption'!D30+'18. Investment assumption'!E30)</f>
        <v>0.25</v>
      </c>
      <c r="I13" s="320">
        <f ca="1">H13*'20. Balance '!E13</f>
        <v>40706134.367152944</v>
      </c>
      <c r="J13" s="192">
        <f t="shared" si="0"/>
        <v>0.75</v>
      </c>
      <c r="K13" s="320">
        <f ca="1">J13*'20. Balance '!E13</f>
        <v>122118403.10145883</v>
      </c>
      <c r="L13" s="422">
        <f t="shared" ca="1" si="1"/>
        <v>2.478985454839449</v>
      </c>
      <c r="M13" s="184">
        <f t="shared" ca="1" si="2"/>
        <v>1.6260949010745307</v>
      </c>
      <c r="N13" s="422">
        <f t="shared" ca="1" si="3"/>
        <v>0.3529318398685557</v>
      </c>
      <c r="O13" s="184">
        <f t="shared" ca="1" si="4"/>
        <v>1.0371682122981811</v>
      </c>
      <c r="P13" s="320">
        <f t="shared" ca="1" si="5"/>
        <v>392732129.11949277</v>
      </c>
      <c r="Q13" s="320">
        <f t="shared" ca="1" si="6"/>
        <v>40624669.539932191</v>
      </c>
      <c r="R13" s="97"/>
      <c r="S13" s="97"/>
      <c r="T13" s="423">
        <v>10</v>
      </c>
      <c r="U13" s="424">
        <v>56201930782.232193</v>
      </c>
      <c r="V13" s="426"/>
      <c r="W13" s="97"/>
      <c r="X13" s="97"/>
      <c r="Y13" s="97"/>
      <c r="Z13" s="68"/>
      <c r="AA13" s="68"/>
      <c r="AB13" s="68"/>
      <c r="AC13" s="68"/>
      <c r="AD13" s="68"/>
    </row>
    <row r="14" spans="1:30" ht="15.75" customHeight="1">
      <c r="A14" s="68"/>
      <c r="B14" s="68"/>
      <c r="C14" s="68"/>
      <c r="D14" s="193">
        <f t="shared" ref="D14:E14" si="17">D13+1</f>
        <v>2036</v>
      </c>
      <c r="E14" s="193">
        <f t="shared" si="17"/>
        <v>33</v>
      </c>
      <c r="F14" s="320">
        <f ca="1">'20. Balance '!D14+'20. Balance '!E14</f>
        <v>352107459.57956058</v>
      </c>
      <c r="G14" s="320">
        <f ca="1">'20. Balance '!D14</f>
        <v>189282922.1109488</v>
      </c>
      <c r="H14" s="192">
        <f>'18. Investment assumption'!D31/('18. Investment assumption'!D31+'18. Investment assumption'!E31)</f>
        <v>0.25</v>
      </c>
      <c r="I14" s="320">
        <f ca="1">H14*'20. Balance '!E14</f>
        <v>40706134.367152944</v>
      </c>
      <c r="J14" s="192">
        <f t="shared" si="0"/>
        <v>0.75</v>
      </c>
      <c r="K14" s="320">
        <f ca="1">J14*'20. Balance '!E14</f>
        <v>122118403.10145883</v>
      </c>
      <c r="L14" s="422">
        <f t="shared" ca="1" si="1"/>
        <v>0.70085264088721799</v>
      </c>
      <c r="M14" s="184">
        <f t="shared" ca="1" si="2"/>
        <v>1.2536724577227505</v>
      </c>
      <c r="N14" s="422">
        <f t="shared" ca="1" si="3"/>
        <v>0.75748071623665758</v>
      </c>
      <c r="O14" s="184">
        <f t="shared" ca="1" si="4"/>
        <v>1.0417493670971554</v>
      </c>
      <c r="P14" s="320">
        <f t="shared" ca="1" si="5"/>
        <v>378131694.4074831</v>
      </c>
      <c r="Q14" s="320">
        <f t="shared" ca="1" si="6"/>
        <v>26024234.827922523</v>
      </c>
      <c r="R14" s="97"/>
      <c r="S14" s="97"/>
      <c r="T14" s="423">
        <v>11</v>
      </c>
      <c r="U14" s="424">
        <v>58782826229.857964</v>
      </c>
      <c r="V14" s="426"/>
      <c r="W14" s="97"/>
      <c r="X14" s="97"/>
      <c r="Y14" s="97"/>
      <c r="Z14" s="68"/>
      <c r="AA14" s="68"/>
      <c r="AB14" s="68"/>
      <c r="AC14" s="68"/>
      <c r="AD14" s="68"/>
    </row>
    <row r="15" spans="1:30" ht="15.75" customHeight="1">
      <c r="A15" s="68"/>
      <c r="B15" s="68"/>
      <c r="C15" s="68"/>
      <c r="D15" s="193">
        <f t="shared" ref="D15:E15" si="18">D14+1</f>
        <v>2037</v>
      </c>
      <c r="E15" s="193">
        <f t="shared" si="18"/>
        <v>34</v>
      </c>
      <c r="F15" s="320">
        <f ca="1">'20. Balance '!D15+'20. Balance '!E15</f>
        <v>352107459.57956058</v>
      </c>
      <c r="G15" s="320">
        <f ca="1">'20. Balance '!D15</f>
        <v>189282922.1109488</v>
      </c>
      <c r="H15" s="192">
        <f>'18. Investment assumption'!D32/('18. Investment assumption'!D32+'18. Investment assumption'!E32)</f>
        <v>0.25</v>
      </c>
      <c r="I15" s="320">
        <f ca="1">H15*'20. Balance '!E15</f>
        <v>40706134.367152944</v>
      </c>
      <c r="J15" s="192">
        <f t="shared" si="0"/>
        <v>0.75</v>
      </c>
      <c r="K15" s="320">
        <f ca="1">J15*'20. Balance '!E15</f>
        <v>122118403.10145883</v>
      </c>
      <c r="L15" s="422">
        <f t="shared" ca="1" si="1"/>
        <v>0.52978826932878254</v>
      </c>
      <c r="M15" s="184">
        <f t="shared" ca="1" si="2"/>
        <v>1.2178437441832788</v>
      </c>
      <c r="N15" s="422">
        <f t="shared" ca="1" si="3"/>
        <v>-0.38018417208589039</v>
      </c>
      <c r="O15" s="184">
        <f t="shared" ca="1" si="4"/>
        <v>1.0288663280697004</v>
      </c>
      <c r="P15" s="320">
        <f t="shared" ca="1" si="5"/>
        <v>375099989.82681656</v>
      </c>
      <c r="Q15" s="320">
        <f t="shared" ca="1" si="6"/>
        <v>22992530.247255981</v>
      </c>
      <c r="R15" s="97"/>
      <c r="S15" s="97"/>
      <c r="T15" s="423">
        <v>12</v>
      </c>
      <c r="U15" s="424">
        <v>59789467344.485718</v>
      </c>
      <c r="V15" s="426"/>
      <c r="W15" s="97"/>
      <c r="X15" s="97"/>
      <c r="Y15" s="97"/>
      <c r="Z15" s="68"/>
      <c r="AA15" s="68"/>
      <c r="AB15" s="68"/>
      <c r="AC15" s="68"/>
      <c r="AD15" s="68"/>
    </row>
    <row r="16" spans="1:30" ht="15.75" customHeight="1">
      <c r="A16" s="68"/>
      <c r="B16" s="68"/>
      <c r="C16" s="68"/>
      <c r="D16" s="193">
        <f t="shared" ref="D16:E16" si="19">D15+1</f>
        <v>2038</v>
      </c>
      <c r="E16" s="193">
        <f t="shared" si="19"/>
        <v>35</v>
      </c>
      <c r="F16" s="320">
        <f ca="1">'20. Balance '!D16+'20. Balance '!E16</f>
        <v>285066543.41231281</v>
      </c>
      <c r="G16" s="320">
        <f ca="1">'20. Balance '!D16</f>
        <v>122242005.94370103</v>
      </c>
      <c r="H16" s="192">
        <f>'18. Investment assumption'!D33/('18. Investment assumption'!D33+'18. Investment assumption'!E33)</f>
        <v>0.25</v>
      </c>
      <c r="I16" s="320">
        <f ca="1">H16*'20. Balance '!E16</f>
        <v>40706134.367152944</v>
      </c>
      <c r="J16" s="192">
        <f t="shared" si="0"/>
        <v>0.75</v>
      </c>
      <c r="K16" s="320">
        <f ca="1">J16*'20. Balance '!E16</f>
        <v>122118403.10145883</v>
      </c>
      <c r="L16" s="422">
        <f t="shared" ca="1" si="1"/>
        <v>1.0308798266259644</v>
      </c>
      <c r="M16" s="184">
        <f t="shared" ca="1" si="2"/>
        <v>1.3227952644787579</v>
      </c>
      <c r="N16" s="422">
        <f t="shared" ca="1" si="3"/>
        <v>-0.84218999257448257</v>
      </c>
      <c r="O16" s="184">
        <f t="shared" ca="1" si="4"/>
        <v>1.0236345246824639</v>
      </c>
      <c r="P16" s="320">
        <f t="shared" ca="1" si="5"/>
        <v>307938053.56639755</v>
      </c>
      <c r="Q16" s="320">
        <f t="shared" ca="1" si="6"/>
        <v>22871510.154084742</v>
      </c>
      <c r="R16" s="97"/>
      <c r="S16" s="97"/>
      <c r="T16" s="423">
        <v>13</v>
      </c>
      <c r="U16" s="424">
        <v>59904648502.821091</v>
      </c>
      <c r="V16" s="426"/>
      <c r="W16" s="97"/>
      <c r="X16" s="97"/>
      <c r="Y16" s="97"/>
      <c r="Z16" s="68"/>
      <c r="AA16" s="68"/>
      <c r="AB16" s="68"/>
      <c r="AC16" s="68"/>
      <c r="AD16" s="68"/>
    </row>
    <row r="17" spans="1:30" ht="15.75" customHeight="1">
      <c r="A17" s="68"/>
      <c r="B17" s="68"/>
      <c r="C17" s="68"/>
      <c r="D17" s="193">
        <f t="shared" ref="D17:E17" si="20">D16+1</f>
        <v>2039</v>
      </c>
      <c r="E17" s="193">
        <f t="shared" si="20"/>
        <v>36</v>
      </c>
      <c r="F17" s="320">
        <f ca="1">'20. Balance '!D17+'20. Balance '!E17</f>
        <v>370223337.9417246</v>
      </c>
      <c r="G17" s="320">
        <f ca="1">'20. Balance '!D17</f>
        <v>173336082.6613481</v>
      </c>
      <c r="H17" s="192">
        <f>'18. Investment assumption'!D34/('18. Investment assumption'!D34+'18. Investment assumption'!E34)</f>
        <v>0.25</v>
      </c>
      <c r="I17" s="320">
        <f ca="1">H17*'20. Balance '!E17</f>
        <v>49221813.820094123</v>
      </c>
      <c r="J17" s="192">
        <f t="shared" si="0"/>
        <v>0.75</v>
      </c>
      <c r="K17" s="320">
        <f ca="1">J17*'20. Balance '!E17</f>
        <v>147665441.46028239</v>
      </c>
      <c r="L17" s="422">
        <f t="shared" ca="1" si="1"/>
        <v>3.233829849512232E-2</v>
      </c>
      <c r="M17" s="184">
        <f t="shared" ca="1" si="2"/>
        <v>1.1136549388648698</v>
      </c>
      <c r="N17" s="422">
        <f t="shared" ca="1" si="3"/>
        <v>1.1752248054072589</v>
      </c>
      <c r="O17" s="184">
        <f t="shared" ca="1" si="4"/>
        <v>1.0464799458989755</v>
      </c>
      <c r="P17" s="320">
        <f t="shared" ca="1" si="5"/>
        <v>392387942.54152322</v>
      </c>
      <c r="Q17" s="320">
        <f t="shared" ca="1" si="6"/>
        <v>22164604.59979862</v>
      </c>
      <c r="R17" s="97"/>
      <c r="S17" s="97"/>
      <c r="T17" s="423">
        <v>14</v>
      </c>
      <c r="U17" s="424">
        <v>59570064469.568558</v>
      </c>
      <c r="V17" s="426"/>
      <c r="W17" s="97"/>
      <c r="X17" s="97"/>
      <c r="Y17" s="97"/>
      <c r="Z17" s="68"/>
      <c r="AA17" s="68"/>
      <c r="AB17" s="68"/>
      <c r="AC17" s="68"/>
      <c r="AD17" s="68"/>
    </row>
    <row r="18" spans="1:30" ht="15.75" customHeight="1">
      <c r="A18" s="68"/>
      <c r="B18" s="68"/>
      <c r="C18" s="68"/>
      <c r="D18" s="193">
        <f t="shared" ref="D18:E18" si="21">D17+1</f>
        <v>2040</v>
      </c>
      <c r="E18" s="193">
        <f t="shared" si="21"/>
        <v>37</v>
      </c>
      <c r="F18" s="320">
        <f ca="1">'20. Balance '!D18+'20. Balance '!E18</f>
        <v>468486105.92689925</v>
      </c>
      <c r="G18" s="320">
        <f ca="1">'20. Balance '!D18</f>
        <v>232293743.4524529</v>
      </c>
      <c r="H18" s="192">
        <f>'18. Investment assumption'!D35/('18. Investment assumption'!D35+'18. Investment assumption'!E35)</f>
        <v>0.25</v>
      </c>
      <c r="I18" s="320">
        <f ca="1">H18*'20. Balance '!E18</f>
        <v>59048090.618611589</v>
      </c>
      <c r="J18" s="192">
        <f t="shared" si="0"/>
        <v>0.75</v>
      </c>
      <c r="K18" s="320">
        <f ca="1">J18*'20. Balance '!E18</f>
        <v>177144271.85583478</v>
      </c>
      <c r="L18" s="422">
        <f t="shared" ca="1" si="1"/>
        <v>0.50505326980270049</v>
      </c>
      <c r="M18" s="184">
        <f t="shared" ca="1" si="2"/>
        <v>1.2126631025081873</v>
      </c>
      <c r="N18" s="422">
        <f t="shared" ca="1" si="3"/>
        <v>0.87757938866690521</v>
      </c>
      <c r="O18" s="184">
        <f t="shared" ca="1" si="4"/>
        <v>1.0431093773250757</v>
      </c>
      <c r="P18" s="320">
        <f t="shared" ca="1" si="5"/>
        <v>501688484.96478415</v>
      </c>
      <c r="Q18" s="320">
        <f t="shared" ca="1" si="6"/>
        <v>33202379.037884891</v>
      </c>
      <c r="R18" s="97"/>
      <c r="S18" s="97"/>
      <c r="T18" s="423">
        <v>15</v>
      </c>
      <c r="U18" s="424">
        <v>59279254542.798416</v>
      </c>
      <c r="V18" s="426"/>
      <c r="W18" s="97"/>
      <c r="X18" s="97"/>
      <c r="Y18" s="97"/>
      <c r="Z18" s="68"/>
      <c r="AA18" s="68"/>
      <c r="AB18" s="68"/>
      <c r="AC18" s="68"/>
      <c r="AD18" s="68"/>
    </row>
    <row r="19" spans="1:30" ht="15.75" customHeight="1">
      <c r="A19" s="68"/>
      <c r="B19" s="68"/>
      <c r="C19" s="68"/>
      <c r="D19" s="193">
        <f t="shared" ref="D19:E19" si="22">D18+1</f>
        <v>2041</v>
      </c>
      <c r="E19" s="193">
        <f t="shared" si="22"/>
        <v>38</v>
      </c>
      <c r="F19" s="320">
        <f ca="1">'20. Balance '!D19+'20. Balance '!E19</f>
        <v>820276860.82119894</v>
      </c>
      <c r="G19" s="320">
        <f ca="1">'20. Balance '!D19</f>
        <v>443368196.38903272</v>
      </c>
      <c r="H19" s="192">
        <f>'18. Investment assumption'!D36/('18. Investment assumption'!D36+'18. Investment assumption'!E36)</f>
        <v>0.25</v>
      </c>
      <c r="I19" s="320">
        <f ca="1">H19*'20. Balance '!E19</f>
        <v>94227166.108041555</v>
      </c>
      <c r="J19" s="192">
        <f t="shared" si="0"/>
        <v>0.75</v>
      </c>
      <c r="K19" s="320">
        <f ca="1">J19*'20. Balance '!E19</f>
        <v>282681498.32412469</v>
      </c>
      <c r="L19" s="422">
        <f t="shared" ca="1" si="1"/>
        <v>-1.0796968219529934</v>
      </c>
      <c r="M19" s="184">
        <f t="shared" ca="1" si="2"/>
        <v>0.88074385741996908</v>
      </c>
      <c r="N19" s="422">
        <f t="shared" ca="1" si="3"/>
        <v>0.73508745857362834</v>
      </c>
      <c r="O19" s="184">
        <f t="shared" ca="1" si="4"/>
        <v>1.0414957834492939</v>
      </c>
      <c r="P19" s="320">
        <f t="shared" ca="1" si="5"/>
        <v>845598401.70227194</v>
      </c>
      <c r="Q19" s="320">
        <f t="shared" ca="1" si="6"/>
        <v>25321540.881072998</v>
      </c>
      <c r="R19" s="97"/>
      <c r="S19" s="97"/>
      <c r="T19" s="423">
        <v>16</v>
      </c>
      <c r="U19" s="424">
        <v>58624823143.606041</v>
      </c>
      <c r="V19" s="426"/>
      <c r="W19" s="97"/>
      <c r="X19" s="97"/>
      <c r="Y19" s="97"/>
      <c r="Z19" s="68"/>
      <c r="AA19" s="68"/>
      <c r="AB19" s="68"/>
      <c r="AC19" s="68"/>
      <c r="AD19" s="68"/>
    </row>
    <row r="20" spans="1:30" ht="15.75" customHeight="1">
      <c r="A20" s="68"/>
      <c r="B20" s="68"/>
      <c r="C20" s="68"/>
      <c r="D20" s="193">
        <f t="shared" ref="D20:E20" si="23">D19+1</f>
        <v>2042</v>
      </c>
      <c r="E20" s="193">
        <f t="shared" si="23"/>
        <v>39</v>
      </c>
      <c r="F20" s="320">
        <f ca="1">'20. Balance '!D20+'20. Balance '!E20</f>
        <v>1169445062.5727153</v>
      </c>
      <c r="G20" s="320">
        <f ca="1">'20. Balance '!D20</f>
        <v>652869117.43994248</v>
      </c>
      <c r="H20" s="192">
        <f>'18. Investment assumption'!D37/('18. Investment assumption'!D37+'18. Investment assumption'!E37)</f>
        <v>0.25</v>
      </c>
      <c r="I20" s="320">
        <f ca="1">H20*'20. Balance '!E20</f>
        <v>129143986.2831932</v>
      </c>
      <c r="J20" s="192">
        <f t="shared" si="0"/>
        <v>0.75</v>
      </c>
      <c r="K20" s="320">
        <f ca="1">J20*'20. Balance '!E20</f>
        <v>387431958.84957957</v>
      </c>
      <c r="L20" s="422">
        <f t="shared" ca="1" si="1"/>
        <v>-2.5653913381675149</v>
      </c>
      <c r="M20" s="184">
        <f t="shared" ca="1" si="2"/>
        <v>0.56957138624042447</v>
      </c>
      <c r="N20" s="422">
        <f t="shared" ca="1" si="3"/>
        <v>-9.3619502451610118E-2</v>
      </c>
      <c r="O20" s="184">
        <f t="shared" ca="1" si="4"/>
        <v>1.032111417076738</v>
      </c>
      <c r="P20" s="320">
        <f t="shared" ca="1" si="5"/>
        <v>1162859455.377568</v>
      </c>
      <c r="Q20" s="320">
        <f t="shared" ca="1" si="6"/>
        <v>-6585607.1951472759</v>
      </c>
      <c r="R20" s="97"/>
      <c r="S20" s="97"/>
      <c r="T20" s="423">
        <v>17</v>
      </c>
      <c r="U20" s="424">
        <v>55787060755.643883</v>
      </c>
      <c r="V20" s="426"/>
      <c r="W20" s="97"/>
      <c r="X20" s="97"/>
      <c r="Y20" s="97"/>
      <c r="Z20" s="68"/>
      <c r="AA20" s="68"/>
      <c r="AB20" s="68"/>
      <c r="AC20" s="68"/>
      <c r="AD20" s="68"/>
    </row>
    <row r="21" spans="1:30" ht="15.75" customHeight="1">
      <c r="A21" s="68"/>
      <c r="B21" s="68"/>
      <c r="C21" s="68"/>
      <c r="D21" s="193">
        <f t="shared" ref="D21:E21" si="24">D20+1</f>
        <v>2043</v>
      </c>
      <c r="E21" s="193">
        <f t="shared" si="24"/>
        <v>40</v>
      </c>
      <c r="F21" s="320">
        <f ca="1">'20. Balance '!D21+'20. Balance '!E21</f>
        <v>1757468712.8352838</v>
      </c>
      <c r="G21" s="320">
        <f ca="1">'20. Balance '!D21</f>
        <v>1005683307.5974836</v>
      </c>
      <c r="H21" s="192">
        <f>'18. Investment assumption'!D38/('18. Investment assumption'!D38+'18. Investment assumption'!E38)</f>
        <v>0.25</v>
      </c>
      <c r="I21" s="320">
        <f ca="1">H21*'20. Balance '!E21</f>
        <v>187946351.30945003</v>
      </c>
      <c r="J21" s="192">
        <f t="shared" si="0"/>
        <v>0.75</v>
      </c>
      <c r="K21" s="320">
        <f ca="1">J21*'20. Balance '!E21</f>
        <v>563839053.92835009</v>
      </c>
      <c r="L21" s="422">
        <f t="shared" ca="1" si="1"/>
        <v>0.1316698555696057</v>
      </c>
      <c r="M21" s="184">
        <f t="shared" ca="1" si="2"/>
        <v>1.1344595159455837</v>
      </c>
      <c r="N21" s="422">
        <f t="shared" ca="1" si="3"/>
        <v>-0.29665080937396304</v>
      </c>
      <c r="O21" s="184">
        <f t="shared" ca="1" si="4"/>
        <v>1.0298122688146054</v>
      </c>
      <c r="P21" s="320">
        <f t="shared" ca="1" si="5"/>
        <v>1855867474.9254348</v>
      </c>
      <c r="Q21" s="320">
        <f t="shared" ca="1" si="6"/>
        <v>98398762.090151072</v>
      </c>
      <c r="R21" s="97"/>
      <c r="S21" s="97"/>
      <c r="T21" s="423">
        <v>18</v>
      </c>
      <c r="U21" s="424">
        <v>58357464518.964172</v>
      </c>
      <c r="V21" s="426"/>
      <c r="W21" s="97"/>
      <c r="X21" s="97"/>
      <c r="Y21" s="97"/>
      <c r="Z21" s="68"/>
      <c r="AA21" s="68"/>
      <c r="AB21" s="68"/>
      <c r="AC21" s="68"/>
      <c r="AD21" s="68"/>
    </row>
    <row r="22" spans="1:30" ht="15.75" customHeight="1">
      <c r="A22" s="68"/>
      <c r="B22" s="68"/>
      <c r="C22" s="68"/>
      <c r="D22" s="193">
        <f t="shared" ref="D22:E22" si="25">D21+1</f>
        <v>2044</v>
      </c>
      <c r="E22" s="193">
        <f t="shared" si="25"/>
        <v>41</v>
      </c>
      <c r="F22" s="320">
        <f ca="1">'20. Balance '!D22+'20. Balance '!E22</f>
        <v>2475802181.6907024</v>
      </c>
      <c r="G22" s="320">
        <f ca="1">'20. Balance '!D22</f>
        <v>1436683388.9107349</v>
      </c>
      <c r="H22" s="192">
        <f>'18. Investment assumption'!D39/('18. Investment assumption'!D39+'18. Investment assumption'!E39)</f>
        <v>0.25</v>
      </c>
      <c r="I22" s="320">
        <f ca="1">H22*'20. Balance '!E22</f>
        <v>259779698.19499195</v>
      </c>
      <c r="J22" s="192">
        <f t="shared" si="0"/>
        <v>0.75</v>
      </c>
      <c r="K22" s="320">
        <f ca="1">J22*'20. Balance '!E22</f>
        <v>779339094.58497584</v>
      </c>
      <c r="L22" s="422">
        <f t="shared" ca="1" si="1"/>
        <v>0.79222217314695142</v>
      </c>
      <c r="M22" s="184">
        <f t="shared" ca="1" si="2"/>
        <v>1.2728094221750546</v>
      </c>
      <c r="N22" s="422">
        <f t="shared" ca="1" si="3"/>
        <v>-0.34597946703917631</v>
      </c>
      <c r="O22" s="184">
        <f t="shared" ca="1" si="4"/>
        <v>1.0292536658126179</v>
      </c>
      <c r="P22" s="320">
        <f t="shared" ca="1" si="5"/>
        <v>2649925326.2547865</v>
      </c>
      <c r="Q22" s="320">
        <f t="shared" ca="1" si="6"/>
        <v>174123144.56408405</v>
      </c>
      <c r="R22" s="97"/>
      <c r="S22" s="97"/>
      <c r="T22" s="423">
        <v>19</v>
      </c>
      <c r="U22" s="424">
        <v>59668989341.578415</v>
      </c>
      <c r="V22" s="426"/>
      <c r="W22" s="97"/>
      <c r="X22" s="97"/>
      <c r="Y22" s="97"/>
      <c r="Z22" s="68"/>
      <c r="AA22" s="68"/>
      <c r="AB22" s="68"/>
      <c r="AC22" s="68"/>
      <c r="AD22" s="68"/>
    </row>
    <row r="23" spans="1:30" ht="15.75" customHeight="1">
      <c r="A23" s="68"/>
      <c r="B23" s="68"/>
      <c r="C23" s="68"/>
      <c r="D23" s="193">
        <f t="shared" ref="D23:E23" si="26">D22+1</f>
        <v>2045</v>
      </c>
      <c r="E23" s="193">
        <f t="shared" si="26"/>
        <v>42</v>
      </c>
      <c r="F23" s="320">
        <f ca="1">'20. Balance '!D23+'20. Balance '!E23</f>
        <v>3295554058.5221577</v>
      </c>
      <c r="G23" s="320">
        <f ca="1">'20. Balance '!D23</f>
        <v>1928534515.0096078</v>
      </c>
      <c r="H23" s="192">
        <f>'18. Investment assumption'!D40/('18. Investment assumption'!D40+'18. Investment assumption'!E40)</f>
        <v>0.25</v>
      </c>
      <c r="I23" s="320">
        <f ca="1">H23*'20. Balance '!E23</f>
        <v>341754885.87813747</v>
      </c>
      <c r="J23" s="192">
        <f t="shared" si="0"/>
        <v>0.75</v>
      </c>
      <c r="K23" s="320">
        <f ca="1">J23*'20. Balance '!E23</f>
        <v>1025264657.6344124</v>
      </c>
      <c r="L23" s="422">
        <f t="shared" ca="1" si="1"/>
        <v>0.30441250114516977</v>
      </c>
      <c r="M23" s="184">
        <f t="shared" ca="1" si="2"/>
        <v>1.1706397369231774</v>
      </c>
      <c r="N23" s="422">
        <f t="shared" ca="1" si="3"/>
        <v>-0.29431283760470356</v>
      </c>
      <c r="O23" s="184">
        <f t="shared" ca="1" si="4"/>
        <v>1.0298387442572932</v>
      </c>
      <c r="P23" s="320">
        <f t="shared" ca="1" si="5"/>
        <v>3492461565.0963459</v>
      </c>
      <c r="Q23" s="320">
        <f t="shared" ca="1" si="6"/>
        <v>196907506.57418823</v>
      </c>
      <c r="R23" s="97"/>
      <c r="S23" s="97"/>
      <c r="T23" s="423">
        <v>20</v>
      </c>
      <c r="U23" s="424">
        <v>63280707345.395943</v>
      </c>
      <c r="V23" s="426"/>
      <c r="W23" s="97"/>
      <c r="X23" s="97"/>
      <c r="Y23" s="97"/>
      <c r="Z23" s="68"/>
      <c r="AA23" s="68"/>
      <c r="AB23" s="68"/>
      <c r="AC23" s="68"/>
      <c r="AD23" s="68"/>
    </row>
    <row r="24" spans="1:30" ht="15.75" customHeight="1">
      <c r="A24" s="68"/>
      <c r="B24" s="68"/>
      <c r="C24" s="68"/>
      <c r="D24" s="193">
        <f t="shared" ref="D24:E24" si="27">D23+1</f>
        <v>2046</v>
      </c>
      <c r="E24" s="193">
        <f t="shared" si="27"/>
        <v>43</v>
      </c>
      <c r="F24" s="320">
        <f ca="1">'20. Balance '!D24+'20. Balance '!E24</f>
        <v>4611483048.8370619</v>
      </c>
      <c r="G24" s="320">
        <f ca="1">'20. Balance '!D24</f>
        <v>2718091909.1985502</v>
      </c>
      <c r="H24" s="192">
        <f>'18. Investment assumption'!D41/('18. Investment assumption'!D41+'18. Investment assumption'!E41)</f>
        <v>0.25</v>
      </c>
      <c r="I24" s="320">
        <f ca="1">H24*'20. Balance '!E24</f>
        <v>473347784.90962791</v>
      </c>
      <c r="J24" s="192">
        <f t="shared" si="0"/>
        <v>0.75</v>
      </c>
      <c r="K24" s="320">
        <f ca="1">J24*'20. Balance '!E24</f>
        <v>1420043354.7288837</v>
      </c>
      <c r="L24" s="422">
        <f t="shared" ca="1" si="1"/>
        <v>0.59423978018937573</v>
      </c>
      <c r="M24" s="184">
        <f t="shared" ca="1" si="2"/>
        <v>1.2313428422056949</v>
      </c>
      <c r="N24" s="422">
        <f t="shared" ca="1" si="3"/>
        <v>-1.1287256707650763</v>
      </c>
      <c r="O24" s="184">
        <f t="shared" ca="1" si="4"/>
        <v>1.0203897639776391</v>
      </c>
      <c r="P24" s="320">
        <f t="shared" ca="1" si="5"/>
        <v>4902156166.5058813</v>
      </c>
      <c r="Q24" s="320">
        <f t="shared" ca="1" si="6"/>
        <v>290673117.66881943</v>
      </c>
      <c r="R24" s="97"/>
      <c r="S24" s="97"/>
      <c r="T24" s="423">
        <v>21</v>
      </c>
      <c r="U24" s="424">
        <v>59135945543.402115</v>
      </c>
      <c r="V24" s="426"/>
      <c r="W24" s="97"/>
      <c r="X24" s="97"/>
      <c r="Y24" s="97"/>
      <c r="Z24" s="68"/>
      <c r="AA24" s="68"/>
      <c r="AB24" s="68"/>
      <c r="AC24" s="68"/>
      <c r="AD24" s="68"/>
    </row>
    <row r="25" spans="1:30" ht="15.75" customHeight="1">
      <c r="A25" s="68"/>
      <c r="B25" s="68"/>
      <c r="C25" s="68"/>
      <c r="D25" s="193">
        <f t="shared" ref="D25:E25" si="28">D24+1</f>
        <v>2047</v>
      </c>
      <c r="E25" s="193">
        <f t="shared" si="28"/>
        <v>44</v>
      </c>
      <c r="F25" s="320">
        <f ca="1">'20. Balance '!D25+'20. Balance '!E25</f>
        <v>6048649363.336668</v>
      </c>
      <c r="G25" s="320">
        <f ca="1">'20. Balance '!D25</f>
        <v>3580391697.8983135</v>
      </c>
      <c r="H25" s="192">
        <f>'18. Investment assumption'!D42/('18. Investment assumption'!D42+'18. Investment assumption'!E42)</f>
        <v>0.25</v>
      </c>
      <c r="I25" s="320">
        <f ca="1">H25*'20. Balance '!E25</f>
        <v>617064416.3595885</v>
      </c>
      <c r="J25" s="192">
        <f t="shared" si="0"/>
        <v>0.75</v>
      </c>
      <c r="K25" s="320">
        <f ca="1">J25*'20. Balance '!E25</f>
        <v>1851193249.0787654</v>
      </c>
      <c r="L25" s="422">
        <f t="shared" ca="1" si="1"/>
        <v>0.85148410946393016</v>
      </c>
      <c r="M25" s="184">
        <f t="shared" ca="1" si="2"/>
        <v>1.2852215856241229</v>
      </c>
      <c r="N25" s="422">
        <f t="shared" ca="1" si="3"/>
        <v>-0.48362202232312457</v>
      </c>
      <c r="O25" s="184">
        <f t="shared" ca="1" si="4"/>
        <v>1.0276949867764946</v>
      </c>
      <c r="P25" s="320">
        <f t="shared" ca="1" si="5"/>
        <v>6476420162.2392521</v>
      </c>
      <c r="Q25" s="320">
        <f t="shared" ca="1" si="6"/>
        <v>427770798.90258408</v>
      </c>
      <c r="R25" s="97"/>
      <c r="S25" s="97"/>
      <c r="T25" s="423">
        <v>22</v>
      </c>
      <c r="U25" s="424">
        <v>57480381821.64975</v>
      </c>
      <c r="V25" s="426"/>
      <c r="W25" s="97"/>
      <c r="X25" s="97"/>
      <c r="Y25" s="97"/>
      <c r="Z25" s="68"/>
      <c r="AA25" s="68"/>
      <c r="AB25" s="68"/>
      <c r="AC25" s="68"/>
      <c r="AD25" s="68"/>
    </row>
    <row r="26" spans="1:30" ht="15.75" customHeight="1">
      <c r="A26" s="68"/>
      <c r="B26" s="68"/>
      <c r="C26" s="68"/>
      <c r="D26" s="193">
        <f t="shared" ref="D26:E26" si="29">D25+1</f>
        <v>2048</v>
      </c>
      <c r="E26" s="193">
        <f t="shared" si="29"/>
        <v>45</v>
      </c>
      <c r="F26" s="320">
        <f ca="1">'20. Balance '!D26+'20. Balance '!E26</f>
        <v>7651176532.2142324</v>
      </c>
      <c r="G26" s="320">
        <f ca="1">'20. Balance '!D26</f>
        <v>4541907999.2248526</v>
      </c>
      <c r="H26" s="192">
        <f>'18. Investment assumption'!D43/('18. Investment assumption'!D43+'18. Investment assumption'!E43)</f>
        <v>0.25</v>
      </c>
      <c r="I26" s="320">
        <f ca="1">H26*'20. Balance '!E26</f>
        <v>777317133.24734497</v>
      </c>
      <c r="J26" s="192">
        <f t="shared" si="0"/>
        <v>0.75</v>
      </c>
      <c r="K26" s="320">
        <f ca="1">J26*'20. Balance '!E26</f>
        <v>2331951399.7420349</v>
      </c>
      <c r="L26" s="422">
        <f t="shared" ca="1" si="1"/>
        <v>0.77417728695744947</v>
      </c>
      <c r="M26" s="184">
        <f t="shared" ca="1" si="2"/>
        <v>1.2690299966158569</v>
      </c>
      <c r="N26" s="422">
        <f t="shared" ca="1" si="3"/>
        <v>-1.5895067289903171</v>
      </c>
      <c r="O26" s="184">
        <f t="shared" ca="1" si="4"/>
        <v>1.0151718299294321</v>
      </c>
      <c r="P26" s="320">
        <f t="shared" ca="1" si="5"/>
        <v>8150024975.9383926</v>
      </c>
      <c r="Q26" s="320">
        <f t="shared" ca="1" si="6"/>
        <v>498848443.72416019</v>
      </c>
      <c r="R26" s="97"/>
      <c r="S26" s="97"/>
      <c r="T26" s="423">
        <v>23</v>
      </c>
      <c r="U26" s="424">
        <v>60045312229.593155</v>
      </c>
      <c r="V26" s="426"/>
      <c r="W26" s="97"/>
      <c r="X26" s="97"/>
      <c r="Y26" s="97"/>
      <c r="Z26" s="68"/>
      <c r="AA26" s="68"/>
      <c r="AB26" s="68"/>
      <c r="AC26" s="68"/>
      <c r="AD26" s="68"/>
    </row>
    <row r="27" spans="1:30" ht="15.75" customHeight="1">
      <c r="A27" s="68"/>
      <c r="B27" s="68"/>
      <c r="C27" s="68"/>
      <c r="D27" s="193">
        <f t="shared" ref="D27:E27" si="30">D26+1</f>
        <v>2049</v>
      </c>
      <c r="E27" s="193">
        <f t="shared" si="30"/>
        <v>46</v>
      </c>
      <c r="F27" s="320">
        <f ca="1">'20. Balance '!D27+'20. Balance '!E27</f>
        <v>8397368095.9603729</v>
      </c>
      <c r="G27" s="320">
        <f ca="1">'20. Balance '!D27</f>
        <v>4989622937.472537</v>
      </c>
      <c r="H27" s="192">
        <f>'18. Investment assumption'!D44/('18. Investment assumption'!D44+'18. Investment assumption'!E44)</f>
        <v>0.25</v>
      </c>
      <c r="I27" s="320">
        <f ca="1">H27*'20. Balance '!E27</f>
        <v>851936289.62195897</v>
      </c>
      <c r="J27" s="192">
        <f t="shared" si="0"/>
        <v>0.75</v>
      </c>
      <c r="K27" s="320">
        <f ca="1">J27*'20. Balance '!E27</f>
        <v>2555808868.8658772</v>
      </c>
      <c r="L27" s="422">
        <f t="shared" ca="1" si="1"/>
        <v>-2.077824539102139</v>
      </c>
      <c r="M27" s="184">
        <f t="shared" ca="1" si="2"/>
        <v>0.67169020277670821</v>
      </c>
      <c r="N27" s="422">
        <f t="shared" ca="1" si="3"/>
        <v>-0.31980806349295615</v>
      </c>
      <c r="O27" s="184">
        <f t="shared" ca="1" si="4"/>
        <v>1.0295500335890606</v>
      </c>
      <c r="P27" s="320">
        <f t="shared" ca="1" si="5"/>
        <v>8472612187.888092</v>
      </c>
      <c r="Q27" s="320">
        <f t="shared" ca="1" si="6"/>
        <v>75244091.927719116</v>
      </c>
      <c r="R27" s="97"/>
      <c r="S27" s="97"/>
      <c r="T27" s="423">
        <v>24</v>
      </c>
      <c r="U27" s="424">
        <v>61747145335.706085</v>
      </c>
      <c r="V27" s="426"/>
      <c r="W27" s="97"/>
      <c r="X27" s="97"/>
      <c r="Y27" s="97"/>
      <c r="Z27" s="68"/>
      <c r="AA27" s="68"/>
      <c r="AB27" s="68"/>
      <c r="AC27" s="68"/>
      <c r="AD27" s="68"/>
    </row>
    <row r="28" spans="1:30" ht="15.75" customHeight="1">
      <c r="A28" s="68"/>
      <c r="B28" s="68"/>
      <c r="C28" s="68"/>
      <c r="D28" s="193">
        <f t="shared" ref="D28:E28" si="31">D27+1</f>
        <v>2050</v>
      </c>
      <c r="E28" s="193">
        <f t="shared" si="31"/>
        <v>47</v>
      </c>
      <c r="F28" s="320">
        <f ca="1">'20. Balance '!D28+'20. Balance '!E28</f>
        <v>9625596534.9160023</v>
      </c>
      <c r="G28" s="320">
        <f ca="1">'20. Balance '!D28</f>
        <v>5726560000.8459148</v>
      </c>
      <c r="H28" s="192">
        <f>'18. Investment assumption'!D45/('18. Investment assumption'!D45+'18. Investment assumption'!E45)</f>
        <v>0.25</v>
      </c>
      <c r="I28" s="320">
        <f ca="1">H28*'20. Balance '!E28</f>
        <v>974759133.51752198</v>
      </c>
      <c r="J28" s="192">
        <f t="shared" si="0"/>
        <v>0.75</v>
      </c>
      <c r="K28" s="320">
        <f ca="1">J28*'20. Balance '!E28</f>
        <v>2924277400.5525661</v>
      </c>
      <c r="L28" s="422">
        <f t="shared" ca="1" si="1"/>
        <v>-1.6089052337479828</v>
      </c>
      <c r="M28" s="184">
        <f t="shared" ca="1" si="2"/>
        <v>0.76990338014148174</v>
      </c>
      <c r="N28" s="422">
        <f t="shared" ca="1" si="3"/>
        <v>-0.76839545063896086</v>
      </c>
      <c r="O28" s="184">
        <f t="shared" ca="1" si="4"/>
        <v>1.0244701819779705</v>
      </c>
      <c r="P28" s="320">
        <f t="shared" ca="1" si="5"/>
        <v>9793552713.3103638</v>
      </c>
      <c r="Q28" s="320">
        <f t="shared" ca="1" si="6"/>
        <v>167956178.3943615</v>
      </c>
      <c r="R28" s="97"/>
      <c r="S28" s="97"/>
      <c r="T28" s="423">
        <v>25</v>
      </c>
      <c r="U28" s="424">
        <v>57167356683.10675</v>
      </c>
      <c r="V28" s="426"/>
      <c r="W28" s="97"/>
      <c r="X28" s="97"/>
      <c r="Y28" s="97"/>
      <c r="Z28" s="68"/>
      <c r="AA28" s="68"/>
      <c r="AB28" s="68"/>
      <c r="AC28" s="68"/>
      <c r="AD28" s="68"/>
    </row>
    <row r="29" spans="1:30" ht="15.75" customHeight="1">
      <c r="A29" s="68"/>
      <c r="B29" s="68"/>
      <c r="C29" s="68"/>
      <c r="D29" s="193">
        <f t="shared" ref="D29:E29" si="32">D28+1</f>
        <v>2051</v>
      </c>
      <c r="E29" s="193">
        <f t="shared" si="32"/>
        <v>48</v>
      </c>
      <c r="F29" s="320">
        <f ca="1">'20. Balance '!D29+'20. Balance '!E29</f>
        <v>10976226621.388382</v>
      </c>
      <c r="G29" s="320">
        <f ca="1">'20. Balance '!D29</f>
        <v>6536938052.7293415</v>
      </c>
      <c r="H29" s="192">
        <f>'18. Investment assumption'!D46/('18. Investment assumption'!D46+'18. Investment assumption'!E46)</f>
        <v>0.25</v>
      </c>
      <c r="I29" s="320">
        <f ca="1">H29*'20. Balance '!E29</f>
        <v>1109822142.1647599</v>
      </c>
      <c r="J29" s="192">
        <f t="shared" si="0"/>
        <v>0.75</v>
      </c>
      <c r="K29" s="320">
        <f ca="1">J29*'20. Balance '!E29</f>
        <v>3329466426.4942799</v>
      </c>
      <c r="L29" s="422">
        <f t="shared" ca="1" si="1"/>
        <v>-3.8035758158851393E-2</v>
      </c>
      <c r="M29" s="184">
        <f t="shared" ca="1" si="2"/>
        <v>1.0989153885219483</v>
      </c>
      <c r="N29" s="422">
        <f t="shared" ca="1" si="3"/>
        <v>-5.1639184225558764E-2</v>
      </c>
      <c r="O29" s="184">
        <f t="shared" ca="1" si="4"/>
        <v>1.0325868066959858</v>
      </c>
      <c r="P29" s="320">
        <f t="shared" ca="1" si="5"/>
        <v>11560570319.564657</v>
      </c>
      <c r="Q29" s="320">
        <f t="shared" ca="1" si="6"/>
        <v>584343698.17627525</v>
      </c>
      <c r="R29" s="97"/>
      <c r="S29" s="97"/>
      <c r="T29" s="423">
        <v>26</v>
      </c>
      <c r="U29" s="424">
        <v>60309736920.254562</v>
      </c>
      <c r="V29" s="426"/>
      <c r="W29" s="97"/>
      <c r="X29" s="97"/>
      <c r="Y29" s="97"/>
      <c r="Z29" s="68"/>
      <c r="AA29" s="68"/>
      <c r="AB29" s="68"/>
      <c r="AC29" s="68"/>
      <c r="AD29" s="68"/>
    </row>
    <row r="30" spans="1:30" ht="15.75" customHeight="1">
      <c r="A30" s="68"/>
      <c r="B30" s="68"/>
      <c r="C30" s="68"/>
      <c r="D30" s="193">
        <f t="shared" ref="D30:E30" si="33">D29+1</f>
        <v>2052</v>
      </c>
      <c r="E30" s="193">
        <f t="shared" si="33"/>
        <v>49</v>
      </c>
      <c r="F30" s="320">
        <f ca="1">'20. Balance '!D30+'20. Balance '!E30</f>
        <v>12770091085.518898</v>
      </c>
      <c r="G30" s="320">
        <f ca="1">'20. Balance '!D30</f>
        <v>7613256731.2076511</v>
      </c>
      <c r="H30" s="192">
        <f>'18. Investment assumption'!D47/('18. Investment assumption'!D47+'18. Investment assumption'!E47)</f>
        <v>0.25</v>
      </c>
      <c r="I30" s="320">
        <f ca="1">H30*'20. Balance '!E30</f>
        <v>1289208588.5778115</v>
      </c>
      <c r="J30" s="192">
        <f t="shared" si="0"/>
        <v>0.75</v>
      </c>
      <c r="K30" s="320">
        <f ca="1">J30*'20. Balance '!E30</f>
        <v>3867625765.7334347</v>
      </c>
      <c r="L30" s="422">
        <f t="shared" ca="1" si="1"/>
        <v>-0.16887862323190098</v>
      </c>
      <c r="M30" s="184">
        <f t="shared" ca="1" si="2"/>
        <v>1.0715109004413625</v>
      </c>
      <c r="N30" s="422">
        <f t="shared" ca="1" si="3"/>
        <v>-0.55384136493210545</v>
      </c>
      <c r="O30" s="184">
        <f t="shared" ca="1" si="4"/>
        <v>1.0268998154210285</v>
      </c>
      <c r="P30" s="320">
        <f t="shared" ca="1" si="5"/>
        <v>13392664348.708307</v>
      </c>
      <c r="Q30" s="320">
        <f t="shared" ca="1" si="6"/>
        <v>622573263.18940926</v>
      </c>
      <c r="R30" s="97"/>
      <c r="S30" s="97"/>
      <c r="T30" s="423">
        <v>27</v>
      </c>
      <c r="U30" s="424">
        <v>60482704787.980606</v>
      </c>
      <c r="V30" s="426"/>
      <c r="W30" s="97"/>
      <c r="X30" s="97"/>
      <c r="Y30" s="97"/>
      <c r="Z30" s="68"/>
      <c r="AA30" s="68"/>
      <c r="AB30" s="68"/>
      <c r="AC30" s="68"/>
      <c r="AD30" s="68"/>
    </row>
    <row r="31" spans="1:30" ht="15.75" customHeight="1">
      <c r="A31" s="68"/>
      <c r="B31" s="68"/>
      <c r="C31" s="68"/>
      <c r="D31" s="193">
        <f t="shared" ref="D31:E31" si="34">D30+1</f>
        <v>2053</v>
      </c>
      <c r="E31" s="193">
        <f t="shared" si="34"/>
        <v>50</v>
      </c>
      <c r="F31" s="320">
        <f ca="1">'20. Balance '!D31+'20. Balance '!E31</f>
        <v>14629289607.604332</v>
      </c>
      <c r="G31" s="320">
        <f ca="1">'20. Balance '!D31</f>
        <v>8728775844.4589119</v>
      </c>
      <c r="H31" s="192">
        <f>'18. Investment assumption'!D48/('18. Investment assumption'!D48+'18. Investment assumption'!E48)</f>
        <v>0.125</v>
      </c>
      <c r="I31" s="320">
        <f ca="1">H31*'20. Balance '!E31</f>
        <v>737564220.39317751</v>
      </c>
      <c r="J31" s="192">
        <f t="shared" si="0"/>
        <v>0.875</v>
      </c>
      <c r="K31" s="320">
        <f ca="1">J31*'20. Balance '!E31</f>
        <v>5162949542.752243</v>
      </c>
      <c r="L31" s="422">
        <f t="shared" ca="1" si="1"/>
        <v>-0.81318984026092844</v>
      </c>
      <c r="M31" s="184">
        <f t="shared" ca="1" si="2"/>
        <v>0.93656262445090777</v>
      </c>
      <c r="N31" s="422">
        <f t="shared" ca="1" si="3"/>
        <v>0.1663375606669841</v>
      </c>
      <c r="O31" s="184">
        <f t="shared" ca="1" si="4"/>
        <v>1.0350551986981937</v>
      </c>
      <c r="P31" s="320">
        <f t="shared" ca="1" si="5"/>
        <v>15252300138.543304</v>
      </c>
      <c r="Q31" s="320">
        <f t="shared" ca="1" si="6"/>
        <v>623010530.93897247</v>
      </c>
      <c r="R31" s="97"/>
      <c r="S31" s="97"/>
      <c r="T31" s="423">
        <v>28</v>
      </c>
      <c r="U31" s="424">
        <v>58082687948.021202</v>
      </c>
      <c r="V31" s="426"/>
      <c r="W31" s="97"/>
      <c r="X31" s="97"/>
      <c r="Y31" s="97"/>
      <c r="Z31" s="68"/>
      <c r="AA31" s="68"/>
      <c r="AB31" s="68"/>
      <c r="AC31" s="68"/>
      <c r="AD31" s="68"/>
    </row>
    <row r="32" spans="1:30" ht="17">
      <c r="A32" s="68"/>
      <c r="B32" s="68"/>
      <c r="C32" s="68"/>
      <c r="D32" s="193">
        <f t="shared" ref="D32:E32" si="35">D31+1</f>
        <v>2054</v>
      </c>
      <c r="E32" s="193">
        <f t="shared" si="35"/>
        <v>51</v>
      </c>
      <c r="F32" s="320">
        <f ca="1">'20. Balance '!D32+'20. Balance '!E32</f>
        <v>16668046639.325855</v>
      </c>
      <c r="G32" s="320">
        <f ca="1">'20. Balance '!D32</f>
        <v>9952030063.4918251</v>
      </c>
      <c r="H32" s="192">
        <f>'18. Investment assumption'!D49/('18. Investment assumption'!D49+'18. Investment assumption'!E49)</f>
        <v>0.125</v>
      </c>
      <c r="I32" s="320">
        <f ca="1">H32*'20. Balance '!E32</f>
        <v>839502071.97925365</v>
      </c>
      <c r="J32" s="192">
        <f t="shared" si="0"/>
        <v>0.875</v>
      </c>
      <c r="K32" s="320">
        <f ca="1">J32*'20. Balance '!E32</f>
        <v>5876514503.8547754</v>
      </c>
      <c r="L32" s="422">
        <f t="shared" ca="1" si="1"/>
        <v>-1.0591313123007746</v>
      </c>
      <c r="M32" s="184">
        <f t="shared" ca="1" si="2"/>
        <v>0.88505121696778055</v>
      </c>
      <c r="N32" s="422">
        <f t="shared" ca="1" si="3"/>
        <v>-0.10223286871872102</v>
      </c>
      <c r="O32" s="184">
        <f t="shared" ca="1" si="4"/>
        <v>1.0320138783947272</v>
      </c>
      <c r="P32" s="320">
        <f t="shared" ca="1" si="5"/>
        <v>17316990602.065613</v>
      </c>
      <c r="Q32" s="320">
        <f t="shared" ca="1" si="6"/>
        <v>648943962.73975754</v>
      </c>
      <c r="R32" s="97"/>
      <c r="S32" s="97"/>
      <c r="T32" s="423">
        <v>29</v>
      </c>
      <c r="U32" s="424">
        <v>59770303648.701263</v>
      </c>
      <c r="V32" s="426"/>
      <c r="W32" s="97"/>
      <c r="X32" s="97"/>
      <c r="Y32" s="97"/>
      <c r="Z32" s="68"/>
      <c r="AA32" s="68"/>
      <c r="AB32" s="68"/>
      <c r="AC32" s="68"/>
      <c r="AD32" s="68"/>
    </row>
    <row r="33" spans="1:30" ht="17">
      <c r="A33" s="68"/>
      <c r="B33" s="68"/>
      <c r="C33" s="68"/>
      <c r="D33" s="193">
        <f t="shared" ref="D33:E33" si="36">D32+1</f>
        <v>2055</v>
      </c>
      <c r="E33" s="193">
        <f t="shared" si="36"/>
        <v>52</v>
      </c>
      <c r="F33" s="320">
        <f ca="1">'20. Balance '!D33+'20. Balance '!E33</f>
        <v>18765455512.308681</v>
      </c>
      <c r="G33" s="320">
        <f ca="1">'20. Balance '!D33</f>
        <v>11210475387.281521</v>
      </c>
      <c r="H33" s="192">
        <f>'18. Investment assumption'!D50/('18. Investment assumption'!D50+'18. Investment assumption'!E50)</f>
        <v>0.125</v>
      </c>
      <c r="I33" s="320">
        <f ca="1">H33*'20. Balance '!E33</f>
        <v>944372515.62839508</v>
      </c>
      <c r="J33" s="192">
        <f t="shared" si="0"/>
        <v>0.875</v>
      </c>
      <c r="K33" s="320">
        <f ca="1">J33*'20. Balance '!E33</f>
        <v>6610607609.3987656</v>
      </c>
      <c r="L33" s="422">
        <f t="shared" ca="1" si="1"/>
        <v>1.1608086804881841</v>
      </c>
      <c r="M33" s="184">
        <f t="shared" ca="1" si="2"/>
        <v>1.3500083167533581</v>
      </c>
      <c r="N33" s="422">
        <f t="shared" ca="1" si="3"/>
        <v>-1.9017146591844258</v>
      </c>
      <c r="O33" s="184">
        <f t="shared" ca="1" si="4"/>
        <v>1.0116363538936881</v>
      </c>
      <c r="P33" s="320">
        <f t="shared" ca="1" si="5"/>
        <v>19800703738.174946</v>
      </c>
      <c r="Q33" s="320">
        <f t="shared" ca="1" si="6"/>
        <v>1035248225.8662643</v>
      </c>
      <c r="R33" s="97"/>
      <c r="S33" s="97"/>
      <c r="T33" s="423">
        <v>30</v>
      </c>
      <c r="U33" s="424">
        <v>58844956825.401733</v>
      </c>
      <c r="V33" s="426"/>
      <c r="W33" s="97"/>
      <c r="X33" s="97"/>
      <c r="Y33" s="97"/>
      <c r="Z33" s="68"/>
      <c r="AA33" s="68"/>
      <c r="AB33" s="68"/>
      <c r="AC33" s="68"/>
      <c r="AD33" s="68"/>
    </row>
    <row r="34" spans="1:30" ht="17">
      <c r="A34" s="68"/>
      <c r="B34" s="68"/>
      <c r="C34" s="68"/>
      <c r="D34" s="193">
        <f t="shared" ref="D34:E34" si="37">D33+1</f>
        <v>2056</v>
      </c>
      <c r="E34" s="193">
        <f t="shared" si="37"/>
        <v>53</v>
      </c>
      <c r="F34" s="320">
        <f ca="1">'20. Balance '!D34+'20. Balance '!E34</f>
        <v>21283077309.822094</v>
      </c>
      <c r="G34" s="320">
        <f ca="1">'20. Balance '!D34</f>
        <v>12721048465.789568</v>
      </c>
      <c r="H34" s="192">
        <f>'18. Investment assumption'!D51/('18. Investment assumption'!D51+'18. Investment assumption'!E51)</f>
        <v>0.125</v>
      </c>
      <c r="I34" s="320">
        <f ca="1">H34*'20. Balance '!E34</f>
        <v>1070253605.5040656</v>
      </c>
      <c r="J34" s="192">
        <f t="shared" si="0"/>
        <v>0.875</v>
      </c>
      <c r="K34" s="320">
        <f ca="1">J34*'20. Balance '!E34</f>
        <v>7491775238.5284595</v>
      </c>
      <c r="L34" s="422">
        <f t="shared" ca="1" si="1"/>
        <v>-0.4921541660485525</v>
      </c>
      <c r="M34" s="184">
        <f t="shared" ca="1" si="2"/>
        <v>1.0038021969142903</v>
      </c>
      <c r="N34" s="422">
        <f t="shared" ca="1" si="3"/>
        <v>-0.48841222143742713</v>
      </c>
      <c r="O34" s="184">
        <f t="shared" ca="1" si="4"/>
        <v>1.0276407420487437</v>
      </c>
      <c r="P34" s="320">
        <f t="shared" ca="1" si="5"/>
        <v>22206603565.717995</v>
      </c>
      <c r="Q34" s="320">
        <f t="shared" ca="1" si="6"/>
        <v>923526255.89590073</v>
      </c>
      <c r="R34" s="97"/>
      <c r="S34" s="97"/>
      <c r="T34" s="423">
        <v>31</v>
      </c>
      <c r="U34" s="424">
        <v>58614944337.268173</v>
      </c>
      <c r="V34" s="426"/>
      <c r="W34" s="97"/>
      <c r="X34" s="97"/>
      <c r="Y34" s="97"/>
      <c r="Z34" s="68"/>
      <c r="AA34" s="68"/>
      <c r="AB34" s="68"/>
      <c r="AC34" s="68"/>
      <c r="AD34" s="68"/>
    </row>
    <row r="35" spans="1:30" ht="17">
      <c r="A35" s="68"/>
      <c r="B35" s="68"/>
      <c r="C35" s="68"/>
      <c r="D35" s="193">
        <f t="shared" ref="D35:E35" si="38">D34+1</f>
        <v>2057</v>
      </c>
      <c r="E35" s="193">
        <f t="shared" si="38"/>
        <v>54</v>
      </c>
      <c r="F35" s="320">
        <f ca="1">'20. Balance '!D35+'20. Balance '!E35</f>
        <v>23725835138.728233</v>
      </c>
      <c r="G35" s="320">
        <f ca="1">'20. Balance '!D35</f>
        <v>14186703163.133253</v>
      </c>
      <c r="H35" s="192">
        <f>'18. Investment assumption'!D52/('18. Investment assumption'!D52+'18. Investment assumption'!E52)</f>
        <v>0.125</v>
      </c>
      <c r="I35" s="320">
        <f ca="1">H35*'20. Balance '!E35</f>
        <v>1192391496.9493728</v>
      </c>
      <c r="J35" s="192">
        <f t="shared" si="0"/>
        <v>0.875</v>
      </c>
      <c r="K35" s="320">
        <f ca="1">J35*'20. Balance '!E35</f>
        <v>8346740478.6456089</v>
      </c>
      <c r="L35" s="422">
        <f t="shared" ca="1" si="1"/>
        <v>3.7109092879743675E-3</v>
      </c>
      <c r="M35" s="184">
        <f t="shared" ca="1" si="2"/>
        <v>1.1076590525330658</v>
      </c>
      <c r="N35" s="422">
        <f t="shared" ca="1" si="3"/>
        <v>-1.1640800506484958</v>
      </c>
      <c r="O35" s="184">
        <f t="shared" ca="1" si="4"/>
        <v>1.0199894071937525</v>
      </c>
      <c r="P35" s="320">
        <f t="shared" ca="1" si="5"/>
        <v>24815508648.841976</v>
      </c>
      <c r="Q35" s="320">
        <f t="shared" ca="1" si="6"/>
        <v>1089673510.1137428</v>
      </c>
      <c r="R35" s="97"/>
      <c r="S35" s="97"/>
      <c r="T35" s="423">
        <v>32</v>
      </c>
      <c r="U35" s="424">
        <v>63155573754.928131</v>
      </c>
      <c r="V35" s="426"/>
      <c r="W35" s="97"/>
      <c r="X35" s="97"/>
      <c r="Y35" s="97"/>
      <c r="Z35" s="68"/>
      <c r="AA35" s="68"/>
      <c r="AB35" s="68"/>
      <c r="AC35" s="68"/>
      <c r="AD35" s="68"/>
    </row>
    <row r="36" spans="1:30" ht="17">
      <c r="A36" s="68"/>
      <c r="B36" s="68"/>
      <c r="C36" s="68"/>
      <c r="D36" s="193">
        <f t="shared" ref="D36:E36" si="39">D35+1</f>
        <v>2058</v>
      </c>
      <c r="E36" s="193">
        <f t="shared" si="39"/>
        <v>55</v>
      </c>
      <c r="F36" s="320">
        <f ca="1">'20. Balance '!D36+'20. Balance '!E36</f>
        <v>26370630845.061295</v>
      </c>
      <c r="G36" s="320">
        <f ca="1">'20. Balance '!D36</f>
        <v>15773580586.933088</v>
      </c>
      <c r="H36" s="192">
        <f>'18. Investment assumption'!D53/('18. Investment assumption'!D53+'18. Investment assumption'!E53)</f>
        <v>0.125</v>
      </c>
      <c r="I36" s="320">
        <f ca="1">H36*'20. Balance '!E36</f>
        <v>1324631282.2660255</v>
      </c>
      <c r="J36" s="192">
        <f t="shared" si="0"/>
        <v>0.875</v>
      </c>
      <c r="K36" s="320">
        <f ca="1">J36*'20. Balance '!E36</f>
        <v>9272418975.8621788</v>
      </c>
      <c r="L36" s="422">
        <f t="shared" ca="1" si="1"/>
        <v>0.31894553708775908</v>
      </c>
      <c r="M36" s="184">
        <f t="shared" ca="1" si="2"/>
        <v>1.1736836202105163</v>
      </c>
      <c r="N36" s="422">
        <f t="shared" ca="1" si="3"/>
        <v>0.30920758498811496</v>
      </c>
      <c r="O36" s="184">
        <f t="shared" ca="1" si="4"/>
        <v>1.0366730741535015</v>
      </c>
      <c r="P36" s="320">
        <f t="shared" ca="1" si="5"/>
        <v>27824066223.161736</v>
      </c>
      <c r="Q36" s="320">
        <f t="shared" ca="1" si="6"/>
        <v>1453435378.100441</v>
      </c>
      <c r="R36" s="97"/>
      <c r="S36" s="97"/>
      <c r="T36" s="423">
        <v>33</v>
      </c>
      <c r="U36" s="424">
        <v>60971100046.724251</v>
      </c>
      <c r="V36" s="426"/>
      <c r="W36" s="97"/>
      <c r="X36" s="97"/>
      <c r="Y36" s="97"/>
      <c r="Z36" s="68"/>
      <c r="AA36" s="68"/>
      <c r="AB36" s="68"/>
      <c r="AC36" s="68"/>
      <c r="AD36" s="68"/>
    </row>
    <row r="37" spans="1:30" ht="17">
      <c r="A37" s="68"/>
      <c r="B37" s="68"/>
      <c r="C37" s="68"/>
      <c r="D37" s="193">
        <f t="shared" ref="D37:E37" si="40">D36+1</f>
        <v>2059</v>
      </c>
      <c r="E37" s="193">
        <f t="shared" si="40"/>
        <v>56</v>
      </c>
      <c r="F37" s="320">
        <f ca="1">'20. Balance '!D37+'20. Balance '!E37</f>
        <v>29416113051.444778</v>
      </c>
      <c r="G37" s="320">
        <f ca="1">'20. Balance '!D37</f>
        <v>17600869910.76318</v>
      </c>
      <c r="H37" s="192">
        <f>'18. Investment assumption'!D54/('18. Investment assumption'!D54+'18. Investment assumption'!E54)</f>
        <v>0.125</v>
      </c>
      <c r="I37" s="320">
        <f ca="1">H37*'20. Balance '!E37</f>
        <v>1476905392.5851996</v>
      </c>
      <c r="J37" s="192">
        <f t="shared" si="0"/>
        <v>0.875</v>
      </c>
      <c r="K37" s="320">
        <f ca="1">J37*'20. Balance '!E37</f>
        <v>10338337748.096397</v>
      </c>
      <c r="L37" s="422">
        <f t="shared" ca="1" si="1"/>
        <v>-0.30763489127634641</v>
      </c>
      <c r="M37" s="184">
        <f t="shared" ca="1" si="2"/>
        <v>1.0424489833730715</v>
      </c>
      <c r="N37" s="422">
        <f t="shared" ca="1" si="3"/>
        <v>1.175297115117691</v>
      </c>
      <c r="O37" s="184">
        <f t="shared" ca="1" si="4"/>
        <v>1.0464807647418799</v>
      </c>
      <c r="P37" s="320">
        <f t="shared" ca="1" si="5"/>
        <v>30944988743.592327</v>
      </c>
      <c r="Q37" s="320">
        <f t="shared" ca="1" si="6"/>
        <v>1528875692.1475487</v>
      </c>
      <c r="R37" s="97"/>
      <c r="S37" s="97"/>
      <c r="T37" s="423">
        <v>34</v>
      </c>
      <c r="U37" s="424">
        <v>58257870732.25869</v>
      </c>
      <c r="V37" s="426"/>
      <c r="W37" s="97"/>
      <c r="X37" s="97"/>
      <c r="Y37" s="97"/>
      <c r="Z37" s="68"/>
      <c r="AA37" s="68"/>
      <c r="AB37" s="68"/>
      <c r="AC37" s="68"/>
      <c r="AD37" s="68"/>
    </row>
    <row r="38" spans="1:30" ht="17">
      <c r="A38" s="68"/>
      <c r="B38" s="68"/>
      <c r="C38" s="68"/>
      <c r="D38" s="193">
        <f t="shared" ref="D38:E38" si="41">D37+1</f>
        <v>2060</v>
      </c>
      <c r="E38" s="193">
        <f t="shared" si="41"/>
        <v>57</v>
      </c>
      <c r="F38" s="320">
        <f ca="1">'20. Balance '!D38+'20. Balance '!E38</f>
        <v>32575024002.588852</v>
      </c>
      <c r="G38" s="320">
        <f ca="1">'20. Balance '!D38</f>
        <v>19496216481.449623</v>
      </c>
      <c r="H38" s="192">
        <f>'18. Investment assumption'!D55/('18. Investment assumption'!D55+'18. Investment assumption'!E55)</f>
        <v>0.125</v>
      </c>
      <c r="I38" s="320">
        <f ca="1">H38*'20. Balance '!E38</f>
        <v>1634850940.1424034</v>
      </c>
      <c r="J38" s="192">
        <f t="shared" si="0"/>
        <v>0.875</v>
      </c>
      <c r="K38" s="320">
        <f ca="1">J38*'20. Balance '!E38</f>
        <v>11443956580.996824</v>
      </c>
      <c r="L38" s="422">
        <f t="shared" ca="1" si="1"/>
        <v>-0.20531952316222407</v>
      </c>
      <c r="M38" s="184">
        <f t="shared" ca="1" si="2"/>
        <v>1.0638785071333374</v>
      </c>
      <c r="N38" s="422">
        <f t="shared" ca="1" si="3"/>
        <v>-0.58999163556845746</v>
      </c>
      <c r="O38" s="184">
        <f t="shared" ca="1" si="4"/>
        <v>1.0264904458850239</v>
      </c>
      <c r="P38" s="320">
        <f t="shared" ca="1" si="5"/>
        <v>34074399475.511322</v>
      </c>
      <c r="Q38" s="320">
        <f t="shared" ca="1" si="6"/>
        <v>1499375472.9224701</v>
      </c>
      <c r="R38" s="97"/>
      <c r="S38" s="97"/>
      <c r="T38" s="423">
        <v>35</v>
      </c>
      <c r="U38" s="424">
        <v>59956267752.013618</v>
      </c>
      <c r="V38" s="426"/>
      <c r="W38" s="97"/>
      <c r="X38" s="97"/>
      <c r="Y38" s="97"/>
      <c r="Z38" s="68"/>
      <c r="AA38" s="68"/>
      <c r="AB38" s="68"/>
      <c r="AC38" s="68"/>
      <c r="AD38" s="68"/>
    </row>
    <row r="39" spans="1:30" ht="17">
      <c r="A39" s="68"/>
      <c r="B39" s="68"/>
      <c r="C39" s="68"/>
      <c r="D39" s="193">
        <f t="shared" ref="D39:E39" si="42">D38+1</f>
        <v>2061</v>
      </c>
      <c r="E39" s="193">
        <f t="shared" si="42"/>
        <v>58</v>
      </c>
      <c r="F39" s="320">
        <f ca="1">'20. Balance '!D39+'20. Balance '!E39</f>
        <v>35744657238.955139</v>
      </c>
      <c r="G39" s="320">
        <f ca="1">'20. Balance '!D39</f>
        <v>21397996423.269398</v>
      </c>
      <c r="H39" s="192">
        <f>'18. Investment assumption'!D56/('18. Investment assumption'!D56+'18. Investment assumption'!E56)</f>
        <v>0.125</v>
      </c>
      <c r="I39" s="320">
        <f ca="1">H39*'20. Balance '!E39</f>
        <v>1793332601.9607182</v>
      </c>
      <c r="J39" s="192">
        <f t="shared" si="0"/>
        <v>0.875</v>
      </c>
      <c r="K39" s="320">
        <f ca="1">J39*'20. Balance '!E39</f>
        <v>12553328213.725027</v>
      </c>
      <c r="L39" s="422">
        <f t="shared" ca="1" si="1"/>
        <v>-0.71817010298267203</v>
      </c>
      <c r="M39" s="184">
        <f t="shared" ca="1" si="2"/>
        <v>0.95646410900039835</v>
      </c>
      <c r="N39" s="422">
        <f t="shared" ca="1" si="3"/>
        <v>-0.56703420298940299</v>
      </c>
      <c r="O39" s="184">
        <f t="shared" ca="1" si="4"/>
        <v>1.0267504183100518</v>
      </c>
      <c r="P39" s="320">
        <f t="shared" ca="1" si="5"/>
        <v>37200677486.873749</v>
      </c>
      <c r="Q39" s="320">
        <f t="shared" ca="1" si="6"/>
        <v>1456020247.9186096</v>
      </c>
      <c r="R39" s="97"/>
      <c r="S39" s="97"/>
      <c r="T39" s="423">
        <v>36</v>
      </c>
      <c r="U39" s="424">
        <v>61462121033.52562</v>
      </c>
      <c r="V39" s="426"/>
      <c r="W39" s="97"/>
      <c r="X39" s="97"/>
      <c r="Y39" s="97"/>
      <c r="Z39" s="68"/>
      <c r="AA39" s="68"/>
      <c r="AB39" s="68"/>
      <c r="AC39" s="68"/>
      <c r="AD39" s="68"/>
    </row>
    <row r="40" spans="1:30" ht="17">
      <c r="A40" s="68"/>
      <c r="B40" s="68"/>
      <c r="C40" s="68"/>
      <c r="D40" s="193">
        <f t="shared" ref="D40:E40" si="43">D39+1</f>
        <v>2062</v>
      </c>
      <c r="E40" s="193">
        <f t="shared" si="43"/>
        <v>59</v>
      </c>
      <c r="F40" s="320">
        <f ca="1">'20. Balance '!D40+'20. Balance '!E40</f>
        <v>38911144105.417877</v>
      </c>
      <c r="G40" s="320">
        <f ca="1">'20. Balance '!D40</f>
        <v>23297888543.147038</v>
      </c>
      <c r="H40" s="192">
        <f>'18. Investment assumption'!D57/('18. Investment assumption'!D57+'18. Investment assumption'!E57)</f>
        <v>0.125</v>
      </c>
      <c r="I40" s="320">
        <f ca="1">H40*'20. Balance '!E40</f>
        <v>1951656945.283855</v>
      </c>
      <c r="J40" s="192">
        <f t="shared" si="0"/>
        <v>0.875</v>
      </c>
      <c r="K40" s="320">
        <f ca="1">J40*'20. Balance '!E40</f>
        <v>13661598616.986984</v>
      </c>
      <c r="L40" s="422">
        <f t="shared" ca="1" si="1"/>
        <v>1.4244634988805622</v>
      </c>
      <c r="M40" s="184">
        <f t="shared" ca="1" si="2"/>
        <v>1.4052297101704854</v>
      </c>
      <c r="N40" s="422">
        <f t="shared" ca="1" si="3"/>
        <v>-4.2728763957092575E-2</v>
      </c>
      <c r="O40" s="184">
        <f t="shared" ca="1" si="4"/>
        <v>1.0326877092493192</v>
      </c>
      <c r="P40" s="320">
        <f t="shared" ca="1" si="5"/>
        <v>41453261605.596672</v>
      </c>
      <c r="Q40" s="320">
        <f t="shared" ca="1" si="6"/>
        <v>2542117500.1787949</v>
      </c>
      <c r="R40" s="97"/>
      <c r="S40" s="97"/>
      <c r="T40" s="423">
        <v>37</v>
      </c>
      <c r="U40" s="424">
        <v>60048986891.274994</v>
      </c>
      <c r="V40" s="426"/>
      <c r="W40" s="97"/>
      <c r="X40" s="97"/>
      <c r="Y40" s="97"/>
      <c r="Z40" s="68"/>
      <c r="AA40" s="68"/>
      <c r="AB40" s="68"/>
      <c r="AC40" s="68"/>
      <c r="AD40" s="68"/>
    </row>
    <row r="41" spans="1:30" ht="17">
      <c r="A41" s="68"/>
      <c r="B41" s="68"/>
      <c r="C41" s="68"/>
      <c r="D41" s="193">
        <f t="shared" ref="D41:E41" si="44">D40+1</f>
        <v>2063</v>
      </c>
      <c r="E41" s="193">
        <f t="shared" si="44"/>
        <v>60</v>
      </c>
      <c r="F41" s="320">
        <f ca="1">'20. Balance '!D41+'20. Balance '!E41</f>
        <v>43205095496.356537</v>
      </c>
      <c r="G41" s="320">
        <f ca="1">'20. Balance '!D41</f>
        <v>25874259377.710232</v>
      </c>
      <c r="H41" s="192">
        <f>'18. Investment assumption'!D58/('18. Investment assumption'!D58+'18. Investment assumption'!E58)</f>
        <v>0.125</v>
      </c>
      <c r="I41" s="320">
        <f ca="1">H41*'20. Balance '!E41</f>
        <v>2166354514.8307881</v>
      </c>
      <c r="J41" s="192">
        <f t="shared" si="0"/>
        <v>0.875</v>
      </c>
      <c r="K41" s="320">
        <f ca="1">J41*'20. Balance '!E41</f>
        <v>15164481603.815517</v>
      </c>
      <c r="L41" s="422">
        <f t="shared" ca="1" si="1"/>
        <v>1.1268599477842862</v>
      </c>
      <c r="M41" s="184">
        <f t="shared" ca="1" si="2"/>
        <v>1.342897897394874</v>
      </c>
      <c r="N41" s="422">
        <f t="shared" ca="1" si="3"/>
        <v>-0.35358021888367108</v>
      </c>
      <c r="O41" s="184">
        <f t="shared" ca="1" si="4"/>
        <v>1.0291675940847693</v>
      </c>
      <c r="P41" s="320">
        <f t="shared" ca="1" si="5"/>
        <v>45839203873.581726</v>
      </c>
      <c r="Q41" s="320">
        <f t="shared" ca="1" si="6"/>
        <v>2634108377.2251892</v>
      </c>
      <c r="R41" s="97"/>
      <c r="S41" s="97"/>
      <c r="T41" s="423">
        <v>38</v>
      </c>
      <c r="U41" s="424">
        <v>60051390912.532654</v>
      </c>
      <c r="V41" s="426"/>
      <c r="W41" s="97"/>
      <c r="X41" s="97"/>
      <c r="Y41" s="97"/>
      <c r="Z41" s="68"/>
      <c r="AA41" s="68"/>
      <c r="AB41" s="68"/>
      <c r="AC41" s="68"/>
      <c r="AD41" s="68"/>
    </row>
    <row r="42" spans="1:30" ht="17">
      <c r="A42" s="68"/>
      <c r="B42" s="68"/>
      <c r="C42" s="68"/>
      <c r="D42" s="193">
        <f t="shared" ref="D42:E42" si="45">D41+1</f>
        <v>2064</v>
      </c>
      <c r="E42" s="193">
        <f t="shared" si="45"/>
        <v>61</v>
      </c>
      <c r="F42" s="320">
        <f ca="1">'20. Balance '!D42+'20. Balance '!E42</f>
        <v>47633596827.669868</v>
      </c>
      <c r="G42" s="320">
        <f ca="1">'20. Balance '!D42</f>
        <v>28531360176.49823</v>
      </c>
      <c r="H42" s="192">
        <f>'18. Investment assumption'!D59/('18. Investment assumption'!D59+'18. Investment assumption'!E59)</f>
        <v>0.125</v>
      </c>
      <c r="I42" s="320">
        <f ca="1">H42*'20. Balance '!E42</f>
        <v>2387779581.3964548</v>
      </c>
      <c r="J42" s="192">
        <f t="shared" si="0"/>
        <v>0.875</v>
      </c>
      <c r="K42" s="320">
        <f ca="1">J42*'20. Balance '!E42</f>
        <v>16714457069.775185</v>
      </c>
      <c r="L42" s="422">
        <f t="shared" ca="1" si="1"/>
        <v>-0.93993765368891424</v>
      </c>
      <c r="M42" s="184">
        <f t="shared" ca="1" si="2"/>
        <v>0.91001582772348732</v>
      </c>
      <c r="N42" s="422">
        <f t="shared" ca="1" si="3"/>
        <v>0.49372462061596978</v>
      </c>
      <c r="O42" s="184">
        <f t="shared" ca="1" si="4"/>
        <v>1.0387625648248091</v>
      </c>
      <c r="P42" s="320">
        <f t="shared" ca="1" si="5"/>
        <v>49664385854.021706</v>
      </c>
      <c r="Q42" s="320">
        <f t="shared" ca="1" si="6"/>
        <v>2030789026.3518372</v>
      </c>
      <c r="R42" s="97"/>
      <c r="S42" s="97"/>
      <c r="T42" s="423">
        <v>39</v>
      </c>
      <c r="U42" s="424">
        <v>59295954666.097397</v>
      </c>
      <c r="V42" s="426"/>
      <c r="W42" s="97"/>
      <c r="X42" s="97"/>
      <c r="Y42" s="97"/>
      <c r="Z42" s="68"/>
      <c r="AA42" s="68"/>
      <c r="AB42" s="68"/>
      <c r="AC42" s="68"/>
      <c r="AD42" s="68"/>
    </row>
    <row r="43" spans="1:30" ht="17">
      <c r="A43" s="68"/>
      <c r="B43" s="68"/>
      <c r="C43" s="68"/>
      <c r="D43" s="193">
        <f t="shared" ref="D43:E43" si="46">D42+1</f>
        <v>2065</v>
      </c>
      <c r="E43" s="193">
        <f t="shared" si="46"/>
        <v>62</v>
      </c>
      <c r="F43" s="320">
        <f ca="1">'20. Balance '!D43+'20. Balance '!E43</f>
        <v>50876933870.584427</v>
      </c>
      <c r="G43" s="320">
        <f ca="1">'20. Balance '!D43</f>
        <v>30477362402.246967</v>
      </c>
      <c r="H43" s="192">
        <f>'18. Investment assumption'!D60/('18. Investment assumption'!D60+'18. Investment assumption'!E60)</f>
        <v>0.125</v>
      </c>
      <c r="I43" s="320">
        <f ca="1">H43*'20. Balance '!E43</f>
        <v>2549946433.5421829</v>
      </c>
      <c r="J43" s="192">
        <f t="shared" si="0"/>
        <v>0.875</v>
      </c>
      <c r="K43" s="320">
        <f ca="1">J43*'20. Balance '!E43</f>
        <v>17849625034.79528</v>
      </c>
      <c r="L43" s="422">
        <f t="shared" ca="1" si="1"/>
        <v>-1.0529448375227797</v>
      </c>
      <c r="M43" s="184">
        <f t="shared" ca="1" si="2"/>
        <v>0.88634694810466563</v>
      </c>
      <c r="N43" s="422">
        <f t="shared" ca="1" si="3"/>
        <v>0.38257274452163809</v>
      </c>
      <c r="O43" s="184">
        <f t="shared" ca="1" si="4"/>
        <v>1.0375038690767056</v>
      </c>
      <c r="P43" s="320">
        <f t="shared" ca="1" si="5"/>
        <v>52963286971.141815</v>
      </c>
      <c r="Q43" s="320">
        <f t="shared" ca="1" si="6"/>
        <v>2086353100.5573883</v>
      </c>
      <c r="R43" s="97"/>
      <c r="S43" s="97"/>
      <c r="T43" s="423">
        <v>40</v>
      </c>
      <c r="U43" s="424">
        <v>56070768747.415466</v>
      </c>
      <c r="V43" s="426"/>
      <c r="W43" s="97"/>
      <c r="X43" s="97"/>
      <c r="Y43" s="97"/>
      <c r="Z43" s="68"/>
      <c r="AA43" s="68"/>
      <c r="AB43" s="68"/>
      <c r="AC43" s="68"/>
      <c r="AD43" s="68"/>
    </row>
    <row r="44" spans="1:30" ht="17">
      <c r="A44" s="68"/>
      <c r="B44" s="68"/>
      <c r="C44" s="68"/>
      <c r="D44" s="193">
        <f t="shared" ref="D44:E44" si="47">D43+1</f>
        <v>2066</v>
      </c>
      <c r="E44" s="193">
        <f t="shared" si="47"/>
        <v>63</v>
      </c>
      <c r="F44" s="320">
        <f ca="1">'20. Balance '!D44+'20. Balance '!E44</f>
        <v>54190726215.411674</v>
      </c>
      <c r="G44" s="320">
        <f ca="1">'20. Balance '!D44</f>
        <v>32465637809.143314</v>
      </c>
      <c r="H44" s="192">
        <f>'18. Investment assumption'!D61/('18. Investment assumption'!D61+'18. Investment assumption'!E61)</f>
        <v>0</v>
      </c>
      <c r="I44" s="320">
        <f ca="1">H44*'20. Balance '!E44</f>
        <v>0</v>
      </c>
      <c r="J44" s="192">
        <f t="shared" si="0"/>
        <v>1</v>
      </c>
      <c r="K44" s="320">
        <f ca="1">J44*'20. Balance '!E44</f>
        <v>21725088406.26836</v>
      </c>
      <c r="L44" s="422">
        <f t="shared" ca="1" si="1"/>
        <v>-0.14803333731926266</v>
      </c>
      <c r="M44" s="184">
        <f t="shared" ca="1" si="2"/>
        <v>1.0758768579508557</v>
      </c>
      <c r="N44" s="422">
        <f t="shared" ca="1" si="3"/>
        <v>-0.80725631527969022</v>
      </c>
      <c r="O44" s="184">
        <f t="shared" ca="1" si="4"/>
        <v>1.024030117385184</v>
      </c>
      <c r="P44" s="320">
        <f t="shared" ca="1" si="5"/>
        <v>56530858357.329834</v>
      </c>
      <c r="Q44" s="320">
        <f t="shared" ca="1" si="6"/>
        <v>2340132141.9181595</v>
      </c>
      <c r="R44" s="97"/>
      <c r="S44" s="97"/>
      <c r="T44" s="423">
        <v>41</v>
      </c>
      <c r="U44" s="424">
        <v>58393396530.026131</v>
      </c>
      <c r="V44" s="426"/>
      <c r="W44" s="97"/>
      <c r="X44" s="97"/>
      <c r="Y44" s="97"/>
      <c r="Z44" s="68"/>
      <c r="AA44" s="68"/>
      <c r="AB44" s="68"/>
      <c r="AC44" s="68"/>
      <c r="AD44" s="68"/>
    </row>
    <row r="45" spans="1:30" ht="17">
      <c r="A45" s="68"/>
      <c r="B45" s="68"/>
      <c r="C45" s="68"/>
      <c r="D45" s="193">
        <f t="shared" ref="D45:E45" si="48">D44+1</f>
        <v>2067</v>
      </c>
      <c r="E45" s="193">
        <f t="shared" si="48"/>
        <v>64</v>
      </c>
      <c r="F45" s="320">
        <f ca="1">'20. Balance '!D45+'20. Balance '!E45</f>
        <v>56991174545.485748</v>
      </c>
      <c r="G45" s="320">
        <f ca="1">'20. Balance '!D45</f>
        <v>34145906807.187756</v>
      </c>
      <c r="H45" s="192">
        <f>'18. Investment assumption'!D62/('18. Investment assumption'!D62+'18. Investment assumption'!E62)</f>
        <v>0</v>
      </c>
      <c r="I45" s="320">
        <f ca="1">H45*'20. Balance '!E45</f>
        <v>0</v>
      </c>
      <c r="J45" s="192">
        <f t="shared" si="0"/>
        <v>1</v>
      </c>
      <c r="K45" s="320">
        <f ca="1">J45*'20. Balance '!E45</f>
        <v>22845267738.297989</v>
      </c>
      <c r="L45" s="422">
        <f t="shared" ca="1" si="1"/>
        <v>-0.61984838871025894</v>
      </c>
      <c r="M45" s="184">
        <f t="shared" ca="1" si="2"/>
        <v>0.97705717875117759</v>
      </c>
      <c r="N45" s="422">
        <f t="shared" ca="1" si="3"/>
        <v>1.1219646649198221</v>
      </c>
      <c r="O45" s="184">
        <f t="shared" ca="1" si="4"/>
        <v>1.0458768223644879</v>
      </c>
      <c r="P45" s="320">
        <f t="shared" ca="1" si="5"/>
        <v>59951413616.587326</v>
      </c>
      <c r="Q45" s="320">
        <f t="shared" ca="1" si="6"/>
        <v>2960239071.1015778</v>
      </c>
      <c r="R45" s="97"/>
      <c r="S45" s="97"/>
      <c r="T45" s="423">
        <v>42</v>
      </c>
      <c r="U45" s="424">
        <v>60822123850.061325</v>
      </c>
      <c r="V45" s="426"/>
      <c r="W45" s="97"/>
      <c r="X45" s="97"/>
      <c r="Y45" s="97"/>
      <c r="Z45" s="68"/>
      <c r="AA45" s="68"/>
      <c r="AB45" s="68"/>
      <c r="AC45" s="68"/>
      <c r="AD45" s="68"/>
    </row>
    <row r="46" spans="1:30" ht="17">
      <c r="A46" s="68"/>
      <c r="B46" s="68"/>
      <c r="C46" s="68"/>
      <c r="D46" s="193">
        <f t="shared" ref="D46:E46" si="49">D45+1</f>
        <v>2068</v>
      </c>
      <c r="E46" s="193">
        <f t="shared" si="49"/>
        <v>65</v>
      </c>
      <c r="F46" s="320">
        <f ca="1">'20. Balance '!D46+'20. Balance '!E46</f>
        <v>60319303474.991013</v>
      </c>
      <c r="G46" s="320">
        <f ca="1">'20. Balance '!D46</f>
        <v>36142784164.890915</v>
      </c>
      <c r="H46" s="192">
        <f>'18. Investment assumption'!D63/('18. Investment assumption'!D63+'18. Investment assumption'!E63)</f>
        <v>0</v>
      </c>
      <c r="I46" s="320">
        <f ca="1">H46*'20. Balance '!E46</f>
        <v>0</v>
      </c>
      <c r="J46" s="192">
        <f t="shared" si="0"/>
        <v>1</v>
      </c>
      <c r="K46" s="320">
        <f ca="1">J46*'20. Balance '!E46</f>
        <v>24176519310.100098</v>
      </c>
      <c r="L46" s="422">
        <f t="shared" ca="1" si="1"/>
        <v>-0.86769962428167469</v>
      </c>
      <c r="M46" s="184">
        <f t="shared" ca="1" si="2"/>
        <v>0.92514577932421438</v>
      </c>
      <c r="N46" s="422">
        <f t="shared" ca="1" si="3"/>
        <v>0.10166888575814736</v>
      </c>
      <c r="O46" s="184">
        <f t="shared" ca="1" si="4"/>
        <v>1.0343228836981828</v>
      </c>
      <c r="P46" s="320">
        <f t="shared" ca="1" si="5"/>
        <v>63173107248.732346</v>
      </c>
      <c r="Q46" s="320">
        <f t="shared" ca="1" si="6"/>
        <v>2853803773.741333</v>
      </c>
      <c r="R46" s="97"/>
      <c r="S46" s="97"/>
      <c r="T46" s="423">
        <v>43</v>
      </c>
      <c r="U46" s="424">
        <v>60660538555.69236</v>
      </c>
      <c r="V46" s="426"/>
      <c r="W46" s="97"/>
      <c r="X46" s="97"/>
      <c r="Y46" s="97"/>
      <c r="Z46" s="68"/>
      <c r="AA46" s="68"/>
      <c r="AB46" s="68"/>
      <c r="AC46" s="68"/>
      <c r="AD46" s="68"/>
    </row>
    <row r="47" spans="1:30" ht="17">
      <c r="A47" s="68"/>
      <c r="B47" s="68"/>
      <c r="C47" s="68"/>
      <c r="D47" s="193">
        <f t="shared" ref="D47:E47" si="50">D46+1</f>
        <v>2069</v>
      </c>
      <c r="E47" s="193">
        <f t="shared" si="50"/>
        <v>66</v>
      </c>
      <c r="F47" s="320">
        <f ca="1">'20. Balance '!D47+'20. Balance '!E47</f>
        <v>63430249297.858124</v>
      </c>
      <c r="G47" s="320">
        <f ca="1">'20. Balance '!D47</f>
        <v>38009351658.611183</v>
      </c>
      <c r="H47" s="192">
        <f>'18. Investment assumption'!D64/('18. Investment assumption'!D64+'18. Investment assumption'!E64)</f>
        <v>0</v>
      </c>
      <c r="I47" s="320">
        <f ca="1">H47*'20. Balance '!E47</f>
        <v>0</v>
      </c>
      <c r="J47" s="192">
        <f t="shared" si="0"/>
        <v>1</v>
      </c>
      <c r="K47" s="320">
        <f ca="1">J47*'20. Balance '!E47</f>
        <v>25420897639.246941</v>
      </c>
      <c r="L47" s="422">
        <f t="shared" ca="1" si="1"/>
        <v>-0.74851964774821367</v>
      </c>
      <c r="M47" s="184">
        <f t="shared" ca="1" si="2"/>
        <v>0.95010752442611413</v>
      </c>
      <c r="N47" s="422">
        <f t="shared" ca="1" si="3"/>
        <v>1.0685652401943335</v>
      </c>
      <c r="O47" s="184">
        <f t="shared" ca="1" si="4"/>
        <v>1.0452721215603729</v>
      </c>
      <c r="P47" s="320">
        <f t="shared" ca="1" si="5"/>
        <v>66709630958.838135</v>
      </c>
      <c r="Q47" s="320">
        <f t="shared" ca="1" si="6"/>
        <v>3279381660.980011</v>
      </c>
      <c r="R47" s="97"/>
      <c r="S47" s="97"/>
      <c r="T47" s="423">
        <v>44</v>
      </c>
      <c r="U47" s="424">
        <v>60959179202.522232</v>
      </c>
      <c r="V47" s="426"/>
      <c r="W47" s="97"/>
      <c r="X47" s="97"/>
      <c r="Y47" s="97"/>
      <c r="Z47" s="68"/>
      <c r="AA47" s="68"/>
      <c r="AB47" s="68"/>
      <c r="AC47" s="68"/>
      <c r="AD47" s="68"/>
    </row>
    <row r="48" spans="1:30" ht="17">
      <c r="A48" s="68"/>
      <c r="B48" s="68"/>
      <c r="C48" s="68"/>
      <c r="D48" s="193">
        <f t="shared" ref="D48:E48" si="51">D47+1</f>
        <v>2070</v>
      </c>
      <c r="E48" s="193">
        <f t="shared" si="51"/>
        <v>67</v>
      </c>
      <c r="F48" s="320">
        <f ca="1">'20. Balance '!D48+'20. Balance '!E48</f>
        <v>67003217559.258598</v>
      </c>
      <c r="G48" s="320">
        <f ca="1">'20. Balance '!D48</f>
        <v>40153132615.451469</v>
      </c>
      <c r="H48" s="192">
        <f>'18. Investment assumption'!D65/('18. Investment assumption'!D65+'18. Investment assumption'!E65)</f>
        <v>0</v>
      </c>
      <c r="I48" s="320">
        <f ca="1">H48*'20. Balance '!E48</f>
        <v>0</v>
      </c>
      <c r="J48" s="192">
        <f t="shared" si="0"/>
        <v>1</v>
      </c>
      <c r="K48" s="320">
        <f ca="1">J48*'20. Balance '!E48</f>
        <v>26850084943.807129</v>
      </c>
      <c r="L48" s="422">
        <f t="shared" ca="1" si="1"/>
        <v>-0.48097251552860454</v>
      </c>
      <c r="M48" s="184">
        <f t="shared" ca="1" si="2"/>
        <v>1.006144146612687</v>
      </c>
      <c r="N48" s="422">
        <f t="shared" ca="1" si="3"/>
        <v>-0.65285659814298669</v>
      </c>
      <c r="O48" s="184">
        <f t="shared" ca="1" si="4"/>
        <v>1.0257785563166457</v>
      </c>
      <c r="P48" s="320">
        <f t="shared" ca="1" si="5"/>
        <v>69943949412.554535</v>
      </c>
      <c r="Q48" s="320">
        <f t="shared" ca="1" si="6"/>
        <v>2940731853.2959366</v>
      </c>
      <c r="R48" s="97"/>
      <c r="S48" s="97"/>
      <c r="T48" s="423">
        <v>45</v>
      </c>
      <c r="U48" s="424">
        <v>57957980558.591019</v>
      </c>
      <c r="V48" s="426"/>
      <c r="W48" s="97"/>
      <c r="X48" s="97"/>
      <c r="Y48" s="97"/>
      <c r="Z48" s="68"/>
      <c r="AA48" s="68"/>
      <c r="AB48" s="68"/>
      <c r="AC48" s="68"/>
      <c r="AD48" s="68"/>
    </row>
    <row r="49" spans="1:30" ht="17">
      <c r="A49" s="68"/>
      <c r="B49" s="68"/>
      <c r="C49" s="68"/>
      <c r="D49" s="193">
        <f t="shared" ref="D49:E49" si="52">D48+1</f>
        <v>2071</v>
      </c>
      <c r="E49" s="193">
        <f t="shared" si="52"/>
        <v>68</v>
      </c>
      <c r="F49" s="320">
        <f ca="1">'20. Balance '!D49+'20. Balance '!E49</f>
        <v>70105855876.904678</v>
      </c>
      <c r="G49" s="320">
        <f ca="1">'20. Balance '!D49</f>
        <v>42014715606.039116</v>
      </c>
      <c r="H49" s="192">
        <f>'18. Investment assumption'!D66/('18. Investment assumption'!D66+'18. Investment assumption'!E66)</f>
        <v>0</v>
      </c>
      <c r="I49" s="320">
        <f ca="1">H49*'20. Balance '!E49</f>
        <v>0</v>
      </c>
      <c r="J49" s="192">
        <f t="shared" si="0"/>
        <v>1</v>
      </c>
      <c r="K49" s="320">
        <f ca="1">J49*'20. Balance '!E49</f>
        <v>28091140270.865559</v>
      </c>
      <c r="L49" s="422">
        <f t="shared" ca="1" si="1"/>
        <v>3.8300655052108321</v>
      </c>
      <c r="M49" s="184">
        <f t="shared" ca="1" si="2"/>
        <v>1.9090729382464349</v>
      </c>
      <c r="N49" s="422">
        <f t="shared" ca="1" si="3"/>
        <v>0.28836663563174736</v>
      </c>
      <c r="O49" s="184">
        <f t="shared" ca="1" si="4"/>
        <v>1.0364370690111409</v>
      </c>
      <c r="P49" s="320">
        <f t="shared" ca="1" si="5"/>
        <v>73482238767.494034</v>
      </c>
      <c r="Q49" s="320">
        <f t="shared" ca="1" si="6"/>
        <v>3376382890.5893555</v>
      </c>
      <c r="R49" s="97"/>
      <c r="S49" s="97"/>
      <c r="T49" s="423">
        <v>46</v>
      </c>
      <c r="U49" s="424">
        <v>59073581195.500847</v>
      </c>
      <c r="V49" s="426"/>
      <c r="W49" s="97"/>
      <c r="X49" s="97"/>
      <c r="Y49" s="97"/>
      <c r="Z49" s="68"/>
      <c r="AA49" s="68"/>
      <c r="AB49" s="68"/>
      <c r="AC49" s="68"/>
      <c r="AD49" s="68"/>
    </row>
    <row r="50" spans="1:30" ht="17">
      <c r="A50" s="68"/>
      <c r="B50" s="68"/>
      <c r="C50" s="68"/>
      <c r="D50" s="193">
        <f t="shared" ref="D50:E50" si="53">D49+1</f>
        <v>2072</v>
      </c>
      <c r="E50" s="193">
        <f t="shared" si="53"/>
        <v>69</v>
      </c>
      <c r="F50" s="320">
        <f ca="1">'20. Balance '!D50+'20. Balance '!E50</f>
        <v>73283569406.249283</v>
      </c>
      <c r="G50" s="320">
        <f ca="1">'20. Balance '!D50</f>
        <v>43921343723.645882</v>
      </c>
      <c r="H50" s="192">
        <f>'18. Investment assumption'!D67/('18. Investment assumption'!D67+'18. Investment assumption'!E67)</f>
        <v>0</v>
      </c>
      <c r="I50" s="320">
        <f ca="1">H50*'20. Balance '!E50</f>
        <v>0</v>
      </c>
      <c r="J50" s="192">
        <f t="shared" si="0"/>
        <v>1</v>
      </c>
      <c r="K50" s="320">
        <f ca="1">J50*'20. Balance '!E50</f>
        <v>29362225682.603401</v>
      </c>
      <c r="L50" s="422">
        <f t="shared" ca="1" si="1"/>
        <v>0.74325155359281392</v>
      </c>
      <c r="M50" s="184">
        <f t="shared" ca="1" si="2"/>
        <v>1.2625527317615497</v>
      </c>
      <c r="N50" s="422">
        <f t="shared" ca="1" si="3"/>
        <v>-0.61745498265379106</v>
      </c>
      <c r="O50" s="184">
        <f t="shared" ca="1" si="4"/>
        <v>1.0261794480015904</v>
      </c>
      <c r="P50" s="320">
        <f t="shared" ca="1" si="5"/>
        <v>76511851515.242126</v>
      </c>
      <c r="Q50" s="320">
        <f t="shared" ca="1" si="6"/>
        <v>3228282108.9928436</v>
      </c>
      <c r="R50" s="97"/>
      <c r="S50" s="97"/>
      <c r="T50" s="423">
        <v>47</v>
      </c>
      <c r="U50" s="424">
        <v>60598114921.28907</v>
      </c>
      <c r="V50" s="426"/>
      <c r="W50" s="97"/>
      <c r="X50" s="97"/>
      <c r="Y50" s="97"/>
      <c r="Z50" s="68"/>
      <c r="AA50" s="68"/>
      <c r="AB50" s="68"/>
      <c r="AC50" s="68"/>
      <c r="AD50" s="68"/>
    </row>
    <row r="51" spans="1:30" ht="17">
      <c r="A51" s="68"/>
      <c r="B51" s="68"/>
      <c r="C51" s="68"/>
      <c r="D51" s="193">
        <f t="shared" ref="D51:E51" si="54">D50+1</f>
        <v>2073</v>
      </c>
      <c r="E51" s="193">
        <f t="shared" si="54"/>
        <v>70</v>
      </c>
      <c r="F51" s="320">
        <f ca="1">'20. Balance '!D51+'20. Balance '!E51</f>
        <v>76236095232.340103</v>
      </c>
      <c r="G51" s="320">
        <f ca="1">'20. Balance '!D51</f>
        <v>45692859219.300369</v>
      </c>
      <c r="H51" s="192">
        <f>'18. Investment assumption'!D68/('18. Investment assumption'!D68+'18. Investment assumption'!E68)</f>
        <v>0</v>
      </c>
      <c r="I51" s="320">
        <f ca="1">H51*'20. Balance '!E51</f>
        <v>0</v>
      </c>
      <c r="J51" s="192">
        <f t="shared" si="0"/>
        <v>1</v>
      </c>
      <c r="K51" s="320">
        <f ca="1">J51*'20. Balance '!E51</f>
        <v>30543236013.03973</v>
      </c>
      <c r="L51" s="422">
        <f t="shared" ca="1" si="1"/>
        <v>1.128298876360655</v>
      </c>
      <c r="M51" s="184">
        <f t="shared" ca="1" si="2"/>
        <v>1.3431992749365373</v>
      </c>
      <c r="N51" s="422">
        <f t="shared" ca="1" si="3"/>
        <v>-0.19994994149821946</v>
      </c>
      <c r="O51" s="184">
        <f t="shared" ca="1" si="4"/>
        <v>1.0309073197980887</v>
      </c>
      <c r="P51" s="320">
        <f t="shared" ca="1" si="5"/>
        <v>79738904911.744446</v>
      </c>
      <c r="Q51" s="320">
        <f t="shared" ca="1" si="6"/>
        <v>3502809679.4043427</v>
      </c>
      <c r="R51" s="97"/>
      <c r="S51" s="97"/>
      <c r="T51" s="423">
        <v>48</v>
      </c>
      <c r="U51" s="424">
        <v>58093769209.462006</v>
      </c>
      <c r="V51" s="426"/>
      <c r="W51" s="97"/>
      <c r="X51" s="97"/>
      <c r="Y51" s="97"/>
      <c r="Z51" s="68"/>
      <c r="AA51" s="68"/>
      <c r="AB51" s="68"/>
      <c r="AC51" s="68"/>
      <c r="AD51" s="68"/>
    </row>
    <row r="52" spans="1:30" ht="17">
      <c r="A52" s="68"/>
      <c r="B52" s="68"/>
      <c r="C52" s="68"/>
      <c r="D52" s="193">
        <f t="shared" ref="D52:E52" si="55">D51+1</f>
        <v>2074</v>
      </c>
      <c r="E52" s="193">
        <f t="shared" si="55"/>
        <v>71</v>
      </c>
      <c r="F52" s="320">
        <f ca="1">'20. Balance '!D52+'20. Balance '!E52</f>
        <v>79343816157.617126</v>
      </c>
      <c r="G52" s="320">
        <f ca="1">'20. Balance '!D52</f>
        <v>47557491774.466591</v>
      </c>
      <c r="H52" s="192">
        <f>'18. Investment assumption'!D69/('18. Investment assumption'!D69+'18. Investment assumption'!E69)</f>
        <v>0</v>
      </c>
      <c r="I52" s="320">
        <f ca="1">H52*'20. Balance '!E52</f>
        <v>0</v>
      </c>
      <c r="J52" s="192">
        <f t="shared" si="0"/>
        <v>1</v>
      </c>
      <c r="K52" s="320">
        <f ca="1">J52*'20. Balance '!E52</f>
        <v>31786324383.150543</v>
      </c>
      <c r="L52" s="422">
        <f t="shared" ca="1" si="1"/>
        <v>0.47874798555139619</v>
      </c>
      <c r="M52" s="184">
        <f t="shared" ca="1" si="2"/>
        <v>1.2071535712982215</v>
      </c>
      <c r="N52" s="422">
        <f t="shared" ca="1" si="3"/>
        <v>0.45765942320957054</v>
      </c>
      <c r="O52" s="184">
        <f t="shared" ca="1" si="4"/>
        <v>1.038354158667171</v>
      </c>
      <c r="P52" s="320">
        <f t="shared" ca="1" si="5"/>
        <v>83226173425.824783</v>
      </c>
      <c r="Q52" s="320">
        <f t="shared" ca="1" si="6"/>
        <v>3882357268.2076569</v>
      </c>
      <c r="R52" s="97"/>
      <c r="S52" s="97"/>
      <c r="T52" s="423">
        <v>49</v>
      </c>
      <c r="U52" s="424">
        <v>55275278083.874268</v>
      </c>
      <c r="V52" s="426"/>
      <c r="W52" s="97"/>
      <c r="X52" s="97"/>
      <c r="Y52" s="97"/>
      <c r="Z52" s="68"/>
      <c r="AA52" s="68"/>
      <c r="AB52" s="68"/>
      <c r="AC52" s="68"/>
      <c r="AD52" s="68"/>
    </row>
    <row r="53" spans="1:30" ht="17">
      <c r="A53" s="68"/>
      <c r="B53" s="68"/>
      <c r="C53" s="68"/>
      <c r="D53" s="193">
        <f t="shared" ref="D53:E53" si="56">D52+1</f>
        <v>2075</v>
      </c>
      <c r="E53" s="193">
        <f t="shared" si="56"/>
        <v>72</v>
      </c>
      <c r="F53" s="320">
        <f ca="1">'20. Balance '!D53+'20. Balance '!E53</f>
        <v>82714082049.917389</v>
      </c>
      <c r="G53" s="320">
        <f ca="1">'20. Balance '!D53</f>
        <v>49579651309.846741</v>
      </c>
      <c r="H53" s="192">
        <f>'18. Investment assumption'!D70/('18. Investment assumption'!D70+'18. Investment assumption'!E70)</f>
        <v>0</v>
      </c>
      <c r="I53" s="320">
        <f ca="1">H53*'20. Balance '!E53</f>
        <v>0</v>
      </c>
      <c r="J53" s="192">
        <f t="shared" si="0"/>
        <v>1</v>
      </c>
      <c r="K53" s="320">
        <f ca="1">J53*'20. Balance '!E53</f>
        <v>33134430740.070644</v>
      </c>
      <c r="L53" s="422">
        <f t="shared" ca="1" si="1"/>
        <v>-0.29390882912226002</v>
      </c>
      <c r="M53" s="184">
        <f t="shared" ca="1" si="2"/>
        <v>1.0453238493925905</v>
      </c>
      <c r="N53" s="422">
        <f t="shared" ca="1" si="3"/>
        <v>0.20206735112017329</v>
      </c>
      <c r="O53" s="184">
        <f t="shared" ca="1" si="4"/>
        <v>1.035459806671575</v>
      </c>
      <c r="P53" s="320">
        <f t="shared" ca="1" si="5"/>
        <v>86665483031.484406</v>
      </c>
      <c r="Q53" s="320">
        <f t="shared" ca="1" si="6"/>
        <v>3951400981.5670166</v>
      </c>
      <c r="R53" s="97"/>
      <c r="S53" s="97"/>
      <c r="T53" s="423">
        <v>50</v>
      </c>
      <c r="U53" s="424">
        <v>59779636168.193344</v>
      </c>
      <c r="V53" s="426"/>
      <c r="W53" s="97"/>
      <c r="X53" s="97"/>
      <c r="Y53" s="97"/>
      <c r="Z53" s="68"/>
      <c r="AA53" s="68"/>
      <c r="AB53" s="68"/>
      <c r="AC53" s="68"/>
      <c r="AD53" s="68"/>
    </row>
    <row r="54" spans="1:30" ht="17">
      <c r="A54" s="68"/>
      <c r="B54" s="68"/>
      <c r="C54" s="68"/>
      <c r="D54" s="193">
        <f t="shared" ref="D54:E54" si="57">D53+1</f>
        <v>2076</v>
      </c>
      <c r="E54" s="193">
        <f t="shared" si="57"/>
        <v>73</v>
      </c>
      <c r="F54" s="320">
        <f ca="1">'20. Balance '!D54+'20. Balance '!E54</f>
        <v>86385347840.538208</v>
      </c>
      <c r="G54" s="320">
        <f ca="1">'20. Balance '!D54</f>
        <v>51782410784.219231</v>
      </c>
      <c r="H54" s="192">
        <f>'18. Investment assumption'!D71/('18. Investment assumption'!D71+'18. Investment assumption'!E71)</f>
        <v>0</v>
      </c>
      <c r="I54" s="320">
        <f ca="1">H54*'20. Balance '!E54</f>
        <v>0</v>
      </c>
      <c r="J54" s="192">
        <f t="shared" si="0"/>
        <v>1</v>
      </c>
      <c r="K54" s="320">
        <f ca="1">J54*'20. Balance '!E54</f>
        <v>34602937056.31897</v>
      </c>
      <c r="L54" s="422">
        <f t="shared" ca="1" si="1"/>
        <v>5.2981657660346477E-3</v>
      </c>
      <c r="M54" s="184">
        <f t="shared" ca="1" si="2"/>
        <v>1.1079914967302298</v>
      </c>
      <c r="N54" s="422">
        <f t="shared" ca="1" si="3"/>
        <v>1.5313953148974464</v>
      </c>
      <c r="O54" s="184">
        <f t="shared" ca="1" si="4"/>
        <v>1.0505132588906037</v>
      </c>
      <c r="P54" s="320">
        <f t="shared" ca="1" si="5"/>
        <v>91033069962.355591</v>
      </c>
      <c r="Q54" s="320">
        <f t="shared" ca="1" si="6"/>
        <v>4647722121.8173828</v>
      </c>
      <c r="R54" s="97"/>
      <c r="S54" s="97"/>
      <c r="T54" s="423">
        <v>51</v>
      </c>
      <c r="U54" s="424">
        <v>57328228428.795959</v>
      </c>
      <c r="V54" s="426"/>
      <c r="W54" s="97"/>
      <c r="X54" s="97"/>
      <c r="Y54" s="97"/>
      <c r="Z54" s="68"/>
      <c r="AA54" s="68"/>
      <c r="AB54" s="68"/>
      <c r="AC54" s="68"/>
      <c r="AD54" s="68"/>
    </row>
    <row r="55" spans="1:30" ht="17">
      <c r="A55" s="68"/>
      <c r="B55" s="68"/>
      <c r="C55" s="68"/>
      <c r="D55" s="193">
        <f t="shared" ref="D55:E55" si="58">D54+1</f>
        <v>2077</v>
      </c>
      <c r="E55" s="193">
        <f t="shared" si="58"/>
        <v>74</v>
      </c>
      <c r="F55" s="320">
        <f ca="1">'20. Balance '!D55+'20. Balance '!E55</f>
        <v>90923289347.591461</v>
      </c>
      <c r="G55" s="320">
        <f ca="1">'20. Balance '!D55</f>
        <v>54505175688.451187</v>
      </c>
      <c r="H55" s="192">
        <f>'18. Investment assumption'!D72/('18. Investment assumption'!D72+'18. Investment assumption'!E72)</f>
        <v>0</v>
      </c>
      <c r="I55" s="320">
        <f ca="1">H55*'20. Balance '!E55</f>
        <v>0</v>
      </c>
      <c r="J55" s="192">
        <f t="shared" si="0"/>
        <v>1</v>
      </c>
      <c r="K55" s="320">
        <f ca="1">J55*'20. Balance '!E55</f>
        <v>36418113659.140274</v>
      </c>
      <c r="L55" s="422">
        <f t="shared" ca="1" si="1"/>
        <v>-0.59659956429349426</v>
      </c>
      <c r="M55" s="184">
        <f t="shared" ca="1" si="2"/>
        <v>0.98192654729688433</v>
      </c>
      <c r="N55" s="422">
        <f t="shared" ca="1" si="3"/>
        <v>0.10909927862559976</v>
      </c>
      <c r="O55" s="184">
        <f t="shared" ca="1" si="4"/>
        <v>1.0344070262627318</v>
      </c>
      <c r="P55" s="320">
        <f t="shared" ca="1" si="5"/>
        <v>95228618179.253922</v>
      </c>
      <c r="Q55" s="320">
        <f t="shared" ca="1" si="6"/>
        <v>4305328831.6624603</v>
      </c>
      <c r="R55" s="97"/>
      <c r="S55" s="97"/>
      <c r="T55" s="423">
        <v>52</v>
      </c>
      <c r="U55" s="424">
        <v>59953465120.097969</v>
      </c>
      <c r="V55" s="426"/>
      <c r="W55" s="97"/>
      <c r="X55" s="97"/>
      <c r="Y55" s="97"/>
      <c r="Z55" s="68"/>
      <c r="AA55" s="68"/>
      <c r="AB55" s="68"/>
      <c r="AC55" s="68"/>
      <c r="AD55" s="68"/>
    </row>
    <row r="56" spans="1:30" ht="17">
      <c r="A56" s="68"/>
      <c r="B56" s="68"/>
      <c r="C56" s="68"/>
      <c r="D56" s="193">
        <f t="shared" ref="D56:E56" si="59">D55+1</f>
        <v>2078</v>
      </c>
      <c r="E56" s="193">
        <f t="shared" si="59"/>
        <v>75</v>
      </c>
      <c r="F56" s="320">
        <f ca="1">'20. Balance '!D56+'20. Balance '!E56</f>
        <v>95091271962.239716</v>
      </c>
      <c r="G56" s="320">
        <f ca="1">'20. Balance '!D56</f>
        <v>57005965257.240135</v>
      </c>
      <c r="H56" s="192">
        <f>'18. Investment assumption'!D73/('18. Investment assumption'!D73+'18. Investment assumption'!E73)</f>
        <v>0</v>
      </c>
      <c r="I56" s="320">
        <f ca="1">H56*'20. Balance '!E56</f>
        <v>0</v>
      </c>
      <c r="J56" s="192">
        <f t="shared" si="0"/>
        <v>1</v>
      </c>
      <c r="K56" s="320">
        <f ca="1">J56*'20. Balance '!E56</f>
        <v>38085306704.999573</v>
      </c>
      <c r="L56" s="422">
        <f t="shared" ca="1" si="1"/>
        <v>0.25573503459770064</v>
      </c>
      <c r="M56" s="184">
        <f t="shared" ca="1" si="2"/>
        <v>1.1604444461746259</v>
      </c>
      <c r="N56" s="422">
        <f t="shared" ca="1" si="3"/>
        <v>0.70036002475806813</v>
      </c>
      <c r="O56" s="184">
        <f t="shared" ca="1" si="4"/>
        <v>1.0411025262698193</v>
      </c>
      <c r="P56" s="320">
        <f t="shared" ca="1" si="5"/>
        <v>99849008335.981522</v>
      </c>
      <c r="Q56" s="320">
        <f t="shared" ca="1" si="6"/>
        <v>4757736373.741806</v>
      </c>
      <c r="R56" s="97"/>
      <c r="S56" s="97"/>
      <c r="T56" s="423">
        <v>53</v>
      </c>
      <c r="U56" s="424">
        <v>56117175592.833298</v>
      </c>
      <c r="V56" s="426"/>
      <c r="W56" s="97"/>
      <c r="X56" s="97"/>
      <c r="Y56" s="97"/>
      <c r="Z56" s="68"/>
      <c r="AA56" s="68"/>
      <c r="AB56" s="68"/>
      <c r="AC56" s="68"/>
      <c r="AD56" s="68"/>
    </row>
    <row r="57" spans="1:30" ht="17">
      <c r="A57" s="68"/>
      <c r="B57" s="68"/>
      <c r="C57" s="68"/>
      <c r="D57" s="193">
        <f t="shared" ref="D57:E57" si="60">D56+1</f>
        <v>2079</v>
      </c>
      <c r="E57" s="193">
        <f t="shared" si="60"/>
        <v>76</v>
      </c>
      <c r="F57" s="320">
        <f ca="1">'20. Balance '!D57+'20. Balance '!E57</f>
        <v>99664807037.637772</v>
      </c>
      <c r="G57" s="320">
        <f ca="1">'20. Balance '!D57</f>
        <v>59750086302.478973</v>
      </c>
      <c r="H57" s="192">
        <f>'18. Investment assumption'!D74/('18. Investment assumption'!D74+'18. Investment assumption'!E74)</f>
        <v>0</v>
      </c>
      <c r="I57" s="320">
        <f ca="1">H57*'20. Balance '!E57</f>
        <v>0</v>
      </c>
      <c r="J57" s="192">
        <f t="shared" si="0"/>
        <v>1</v>
      </c>
      <c r="K57" s="320">
        <f ca="1">J57*'20. Balance '!E57</f>
        <v>39914720735.158798</v>
      </c>
      <c r="L57" s="422">
        <f t="shared" ca="1" si="1"/>
        <v>-0.20314472576827311</v>
      </c>
      <c r="M57" s="184">
        <f t="shared" ca="1" si="2"/>
        <v>1.0643340093055571</v>
      </c>
      <c r="N57" s="422">
        <f t="shared" ca="1" si="3"/>
        <v>-1.14841640381615</v>
      </c>
      <c r="O57" s="184">
        <f t="shared" ca="1" si="4"/>
        <v>1.0201667840078958</v>
      </c>
      <c r="P57" s="320">
        <f t="shared" ca="1" si="5"/>
        <v>103815763422.37802</v>
      </c>
      <c r="Q57" s="320">
        <f t="shared" ca="1" si="6"/>
        <v>4150956384.7402496</v>
      </c>
      <c r="R57" s="97"/>
      <c r="S57" s="97"/>
      <c r="T57" s="423">
        <v>54</v>
      </c>
      <c r="U57" s="424">
        <v>63598292089.971588</v>
      </c>
      <c r="V57" s="426"/>
      <c r="W57" s="97"/>
      <c r="X57" s="97"/>
      <c r="Y57" s="97"/>
      <c r="Z57" s="68"/>
      <c r="AA57" s="68"/>
      <c r="AB57" s="68"/>
      <c r="AC57" s="68"/>
      <c r="AD57" s="68"/>
    </row>
    <row r="58" spans="1:30" ht="17">
      <c r="A58" s="68"/>
      <c r="B58" s="68"/>
      <c r="C58" s="68"/>
      <c r="D58" s="193">
        <f t="shared" ref="D58:E58" si="61">D57+1</f>
        <v>2080</v>
      </c>
      <c r="E58" s="193">
        <f t="shared" si="61"/>
        <v>77</v>
      </c>
      <c r="F58" s="320">
        <f ca="1">'20. Balance '!D58+'20. Balance '!E58</f>
        <v>103962036798.07384</v>
      </c>
      <c r="G58" s="320">
        <f ca="1">'20. Balance '!D58</f>
        <v>62328424158.740616</v>
      </c>
      <c r="H58" s="192">
        <f>'18. Investment assumption'!D75/('18. Investment assumption'!D75+'18. Investment assumption'!E75)</f>
        <v>0</v>
      </c>
      <c r="I58" s="320">
        <f ca="1">H58*'20. Balance '!E58</f>
        <v>0</v>
      </c>
      <c r="J58" s="192">
        <f t="shared" si="0"/>
        <v>1</v>
      </c>
      <c r="K58" s="320">
        <f ca="1">J58*'20. Balance '!E58</f>
        <v>41633612639.333221</v>
      </c>
      <c r="L58" s="422">
        <f t="shared" ca="1" si="1"/>
        <v>0.32161662019268727</v>
      </c>
      <c r="M58" s="184">
        <f t="shared" ca="1" si="2"/>
        <v>1.1742430673387216</v>
      </c>
      <c r="N58" s="422">
        <f t="shared" ca="1" si="3"/>
        <v>-2.2284000024781001</v>
      </c>
      <c r="O58" s="184">
        <f t="shared" ca="1" si="4"/>
        <v>1.0079369340816242</v>
      </c>
      <c r="P58" s="320">
        <f t="shared" ca="1" si="5"/>
        <v>107782871790.06158</v>
      </c>
      <c r="Q58" s="320">
        <f t="shared" ca="1" si="6"/>
        <v>3820834991.9877472</v>
      </c>
      <c r="R58" s="97"/>
      <c r="S58" s="97"/>
      <c r="T58" s="423">
        <v>55</v>
      </c>
      <c r="U58" s="424">
        <v>55926864390.352951</v>
      </c>
      <c r="V58" s="426"/>
      <c r="W58" s="97"/>
      <c r="X58" s="97"/>
      <c r="Y58" s="97"/>
      <c r="Z58" s="68"/>
      <c r="AA58" s="68"/>
      <c r="AB58" s="68"/>
      <c r="AC58" s="68"/>
      <c r="AD58" s="68"/>
    </row>
    <row r="59" spans="1:30" ht="17">
      <c r="A59" s="68"/>
      <c r="B59" s="68"/>
      <c r="C59" s="68"/>
      <c r="D59" s="193">
        <f t="shared" ref="D59:E59" si="62">D58+1</f>
        <v>2081</v>
      </c>
      <c r="E59" s="193">
        <f t="shared" si="62"/>
        <v>78</v>
      </c>
      <c r="F59" s="320">
        <f ca="1">'20. Balance '!D59+'20. Balance '!E59</f>
        <v>107899840142.75635</v>
      </c>
      <c r="G59" s="320">
        <f ca="1">'20. Balance '!D59</f>
        <v>64691106165.550125</v>
      </c>
      <c r="H59" s="192">
        <f>'18. Investment assumption'!D76/('18. Investment assumption'!D76+'18. Investment assumption'!E76)</f>
        <v>0</v>
      </c>
      <c r="I59" s="320">
        <f ca="1">H59*'20. Balance '!E59</f>
        <v>0</v>
      </c>
      <c r="J59" s="192">
        <f t="shared" si="0"/>
        <v>1</v>
      </c>
      <c r="K59" s="320">
        <f ca="1">J59*'20. Balance '!E59</f>
        <v>43208733977.206223</v>
      </c>
      <c r="L59" s="422">
        <f t="shared" ca="1" si="1"/>
        <v>1.3990650785694918</v>
      </c>
      <c r="M59" s="184">
        <f t="shared" ca="1" si="2"/>
        <v>1.3999101178007229</v>
      </c>
      <c r="N59" s="422">
        <f t="shared" ca="1" si="3"/>
        <v>-0.35711174838101212</v>
      </c>
      <c r="O59" s="184">
        <f t="shared" ca="1" si="4"/>
        <v>1.0291276026665512</v>
      </c>
      <c r="P59" s="320">
        <f t="shared" ca="1" si="5"/>
        <v>112781108923.03993</v>
      </c>
      <c r="Q59" s="320">
        <f t="shared" ca="1" si="6"/>
        <v>4881268780.2835846</v>
      </c>
      <c r="R59" s="97"/>
      <c r="S59" s="97"/>
      <c r="T59" s="423">
        <v>56</v>
      </c>
      <c r="U59" s="424">
        <v>59431222817.480087</v>
      </c>
      <c r="V59" s="426"/>
      <c r="W59" s="97"/>
      <c r="X59" s="97"/>
      <c r="Y59" s="97"/>
      <c r="Z59" s="68"/>
      <c r="AA59" s="68"/>
      <c r="AB59" s="68"/>
      <c r="AC59" s="68"/>
      <c r="AD59" s="68"/>
    </row>
    <row r="60" spans="1:30" ht="17">
      <c r="A60" s="68"/>
      <c r="B60" s="68"/>
      <c r="C60" s="68"/>
      <c r="D60" s="193">
        <f t="shared" ref="D60:E60" si="63">D59+1</f>
        <v>2082</v>
      </c>
      <c r="E60" s="193">
        <f t="shared" si="63"/>
        <v>79</v>
      </c>
      <c r="F60" s="320">
        <f ca="1">'20. Balance '!D60+'20. Balance '!E60</f>
        <v>112867927975.02098</v>
      </c>
      <c r="G60" s="320">
        <f ca="1">'20. Balance '!D60</f>
        <v>67671958864.908905</v>
      </c>
      <c r="H60" s="192">
        <f>'18. Investment assumption'!D77/('18. Investment assumption'!D77+'18. Investment assumption'!E77)</f>
        <v>0</v>
      </c>
      <c r="I60" s="320">
        <f ca="1">H60*'20. Balance '!E60</f>
        <v>0</v>
      </c>
      <c r="J60" s="192">
        <f t="shared" si="0"/>
        <v>1</v>
      </c>
      <c r="K60" s="320">
        <f ca="1">J60*'20. Balance '!E60</f>
        <v>45195969110.112076</v>
      </c>
      <c r="L60" s="422">
        <f t="shared" ca="1" si="1"/>
        <v>-1.3449816610233012</v>
      </c>
      <c r="M60" s="184">
        <f t="shared" ca="1" si="2"/>
        <v>0.82518106302377836</v>
      </c>
      <c r="N60" s="422">
        <f t="shared" ca="1" si="3"/>
        <v>-1.2327481649385241</v>
      </c>
      <c r="O60" s="184">
        <f t="shared" ca="1" si="4"/>
        <v>1.0192118021138905</v>
      </c>
      <c r="P60" s="320">
        <f t="shared" ca="1" si="5"/>
        <v>117525853686.34488</v>
      </c>
      <c r="Q60" s="320">
        <f t="shared" ca="1" si="6"/>
        <v>4657925711.3238983</v>
      </c>
      <c r="R60" s="97"/>
      <c r="S60" s="97"/>
      <c r="T60" s="423">
        <v>57</v>
      </c>
      <c r="U60" s="424">
        <v>60305943977.165909</v>
      </c>
      <c r="V60" s="426"/>
      <c r="W60" s="97"/>
      <c r="X60" s="97"/>
      <c r="Y60" s="97"/>
      <c r="Z60" s="68"/>
      <c r="AA60" s="68"/>
      <c r="AB60" s="68"/>
      <c r="AC60" s="68"/>
      <c r="AD60" s="68"/>
    </row>
    <row r="61" spans="1:30" ht="17">
      <c r="A61" s="68"/>
      <c r="B61" s="68"/>
      <c r="C61" s="68"/>
      <c r="D61" s="193">
        <f t="shared" ref="D61:E61" si="64">D60+1</f>
        <v>2083</v>
      </c>
      <c r="E61" s="193">
        <f t="shared" si="64"/>
        <v>80</v>
      </c>
      <c r="F61" s="320">
        <f ca="1">'20. Balance '!D61+'20. Balance '!E61</f>
        <v>117581654836.25865</v>
      </c>
      <c r="G61" s="320">
        <f ca="1">'20. Balance '!D61</f>
        <v>70500194981.651505</v>
      </c>
      <c r="H61" s="192">
        <f>'18. Investment assumption'!D78/('18. Investment assumption'!D78+'18. Investment assumption'!E78)</f>
        <v>0</v>
      </c>
      <c r="I61" s="320">
        <f ca="1">H61*'20. Balance '!E61</f>
        <v>0</v>
      </c>
      <c r="J61" s="192">
        <f t="shared" si="0"/>
        <v>1</v>
      </c>
      <c r="K61" s="320">
        <f ca="1">J61*'20. Balance '!E61</f>
        <v>47081459854.607147</v>
      </c>
      <c r="L61" s="422">
        <f t="shared" ca="1" si="1"/>
        <v>-0.31993775549673009</v>
      </c>
      <c r="M61" s="184">
        <f t="shared" ca="1" si="2"/>
        <v>1.0398722001782343</v>
      </c>
      <c r="N61" s="422">
        <f t="shared" ca="1" si="3"/>
        <v>-0.65608708721309583</v>
      </c>
      <c r="O61" s="184">
        <f t="shared" ca="1" si="4"/>
        <v>1.0257419739124638</v>
      </c>
      <c r="P61" s="320">
        <f t="shared" ca="1" si="5"/>
        <v>122741635466.56915</v>
      </c>
      <c r="Q61" s="320">
        <f t="shared" ca="1" si="6"/>
        <v>5159980630.3105011</v>
      </c>
      <c r="R61" s="97"/>
      <c r="S61" s="97"/>
      <c r="T61" s="423">
        <v>58</v>
      </c>
      <c r="U61" s="424">
        <v>59721838584.804153</v>
      </c>
      <c r="V61" s="426"/>
      <c r="W61" s="97"/>
      <c r="X61" s="97"/>
      <c r="Y61" s="97"/>
      <c r="Z61" s="68"/>
      <c r="AA61" s="68"/>
      <c r="AB61" s="68"/>
      <c r="AC61" s="68"/>
      <c r="AD61" s="68"/>
    </row>
    <row r="62" spans="1:30" ht="17">
      <c r="A62" s="68"/>
      <c r="B62" s="68"/>
      <c r="C62" s="68"/>
      <c r="D62" s="193">
        <f t="shared" ref="D62:E62" si="65">D61+1</f>
        <v>2084</v>
      </c>
      <c r="E62" s="193">
        <f t="shared" si="65"/>
        <v>81</v>
      </c>
      <c r="F62" s="320">
        <f ca="1">'20. Balance '!D62+'20. Balance '!E62</f>
        <v>122765525088.6571</v>
      </c>
      <c r="G62" s="320">
        <f ca="1">'20. Balance '!D62</f>
        <v>73610517133.090576</v>
      </c>
      <c r="H62" s="192">
        <f>'18. Investment assumption'!D79/('18. Investment assumption'!D79+'18. Investment assumption'!E79)</f>
        <v>0</v>
      </c>
      <c r="I62" s="320">
        <f ca="1">H62*'20. Balance '!E62</f>
        <v>0</v>
      </c>
      <c r="J62" s="192">
        <f t="shared" si="0"/>
        <v>1</v>
      </c>
      <c r="K62" s="320">
        <f ca="1">J62*'20. Balance '!E62</f>
        <v>49155007955.566521</v>
      </c>
      <c r="L62" s="422">
        <f t="shared" ca="1" si="1"/>
        <v>1.6173110594411839</v>
      </c>
      <c r="M62" s="184">
        <f t="shared" ca="1" si="2"/>
        <v>1.4456208210790018</v>
      </c>
      <c r="N62" s="422">
        <f t="shared" ca="1" si="3"/>
        <v>-0.24806829831454899</v>
      </c>
      <c r="O62" s="184">
        <f t="shared" ca="1" si="4"/>
        <v>1.0303624223725245</v>
      </c>
      <c r="P62" s="320">
        <f t="shared" ca="1" si="5"/>
        <v>128380179161.3819</v>
      </c>
      <c r="Q62" s="320">
        <f t="shared" ca="1" si="6"/>
        <v>5614654072.7247925</v>
      </c>
      <c r="R62" s="97"/>
      <c r="S62" s="97"/>
      <c r="T62" s="423">
        <v>59</v>
      </c>
      <c r="U62" s="424">
        <v>60031286843.798691</v>
      </c>
      <c r="V62" s="426"/>
      <c r="W62" s="97"/>
      <c r="X62" s="97"/>
      <c r="Y62" s="97"/>
      <c r="Z62" s="68"/>
      <c r="AA62" s="68"/>
      <c r="AB62" s="68"/>
      <c r="AC62" s="68"/>
      <c r="AD62" s="68"/>
    </row>
    <row r="63" spans="1:30" ht="17">
      <c r="A63" s="68"/>
      <c r="B63" s="68"/>
      <c r="C63" s="68"/>
      <c r="D63" s="193">
        <f t="shared" ref="D63:E63" si="66">D62+1</f>
        <v>2085</v>
      </c>
      <c r="E63" s="193">
        <f t="shared" si="66"/>
        <v>82</v>
      </c>
      <c r="F63" s="320">
        <f ca="1">'20. Balance '!D63+'20. Balance '!E63</f>
        <v>128371237884.52733</v>
      </c>
      <c r="G63" s="320">
        <f ca="1">'20. Balance '!D63</f>
        <v>76973944810.612717</v>
      </c>
      <c r="H63" s="192">
        <f>'18. Investment assumption'!D80/('18. Investment assumption'!D80+'18. Investment assumption'!E80)</f>
        <v>0</v>
      </c>
      <c r="I63" s="320">
        <f ca="1">H63*'20. Balance '!E63</f>
        <v>0</v>
      </c>
      <c r="J63" s="192">
        <f t="shared" si="0"/>
        <v>1</v>
      </c>
      <c r="K63" s="320">
        <f ca="1">J63*'20. Balance '!E63</f>
        <v>51397293073.914612</v>
      </c>
      <c r="L63" s="422">
        <f t="shared" ca="1" si="1"/>
        <v>0.76005425849983377</v>
      </c>
      <c r="M63" s="184">
        <f t="shared" ca="1" si="2"/>
        <v>1.2660719876727446</v>
      </c>
      <c r="N63" s="422">
        <f t="shared" ca="1" si="3"/>
        <v>-1.075850662472368</v>
      </c>
      <c r="O63" s="184">
        <f t="shared" ca="1" si="4"/>
        <v>1.0209885262339098</v>
      </c>
      <c r="P63" s="320">
        <f t="shared" ca="1" si="5"/>
        <v>133760532227.95544</v>
      </c>
      <c r="Q63" s="320">
        <f t="shared" ca="1" si="6"/>
        <v>5389294343.4281158</v>
      </c>
      <c r="R63" s="97"/>
      <c r="S63" s="97"/>
      <c r="T63" s="423">
        <v>60</v>
      </c>
      <c r="U63" s="424">
        <v>58191678810.410721</v>
      </c>
      <c r="V63" s="426"/>
      <c r="W63" s="97"/>
      <c r="X63" s="97"/>
      <c r="Y63" s="97"/>
      <c r="Z63" s="68"/>
      <c r="AA63" s="68"/>
      <c r="AB63" s="68"/>
      <c r="AC63" s="68"/>
      <c r="AD63" s="68"/>
    </row>
    <row r="64" spans="1:30" ht="17">
      <c r="A64" s="68"/>
      <c r="B64" s="68"/>
      <c r="C64" s="68"/>
      <c r="D64" s="193">
        <f t="shared" ref="D64:E64" si="67">D63+1</f>
        <v>2086</v>
      </c>
      <c r="E64" s="193">
        <f t="shared" si="67"/>
        <v>83</v>
      </c>
      <c r="F64" s="320">
        <f ca="1">'20. Balance '!D64+'20. Balance '!E64</f>
        <v>133717814193.95985</v>
      </c>
      <c r="G64" s="320">
        <f ca="1">'20. Balance '!D64</f>
        <v>80181890596.272232</v>
      </c>
      <c r="H64" s="192">
        <f>'18. Investment assumption'!D81/('18. Investment assumption'!D81+'18. Investment assumption'!E81)</f>
        <v>0</v>
      </c>
      <c r="I64" s="320">
        <f ca="1">H64*'20. Balance '!E64</f>
        <v>0</v>
      </c>
      <c r="J64" s="192">
        <f t="shared" si="0"/>
        <v>1</v>
      </c>
      <c r="K64" s="320">
        <f ca="1">J64*'20. Balance '!E64</f>
        <v>53535923597.687622</v>
      </c>
      <c r="L64" s="422">
        <f t="shared" ca="1" si="1"/>
        <v>1.3229285150571413</v>
      </c>
      <c r="M64" s="184">
        <f t="shared" ca="1" si="2"/>
        <v>1.3839636346194957</v>
      </c>
      <c r="N64" s="422">
        <f t="shared" ca="1" si="3"/>
        <v>-0.65794343171110858</v>
      </c>
      <c r="O64" s="184">
        <f t="shared" ca="1" si="4"/>
        <v>1.0257209524685731</v>
      </c>
      <c r="P64" s="320">
        <f t="shared" ca="1" si="5"/>
        <v>139584995013.56839</v>
      </c>
      <c r="Q64" s="320">
        <f t="shared" ca="1" si="6"/>
        <v>5867180819.6085358</v>
      </c>
      <c r="R64" s="97"/>
      <c r="S64" s="97"/>
      <c r="T64" s="423">
        <v>61</v>
      </c>
      <c r="U64" s="424">
        <v>54955735294.219818</v>
      </c>
      <c r="V64" s="426"/>
      <c r="W64" s="97"/>
      <c r="X64" s="97"/>
      <c r="Y64" s="97"/>
      <c r="Z64" s="68"/>
      <c r="AA64" s="68"/>
      <c r="AB64" s="68"/>
      <c r="AC64" s="68"/>
      <c r="AD64" s="68"/>
    </row>
    <row r="65" spans="1:30" ht="17">
      <c r="A65" s="68"/>
      <c r="B65" s="68"/>
      <c r="C65" s="68"/>
      <c r="D65" s="193">
        <f t="shared" ref="D65:E65" si="68">D64+1</f>
        <v>2087</v>
      </c>
      <c r="E65" s="193">
        <f t="shared" si="68"/>
        <v>84</v>
      </c>
      <c r="F65" s="320">
        <f ca="1">'20. Balance '!D65+'20. Balance '!E65</f>
        <v>139507527114.05853</v>
      </c>
      <c r="G65" s="320">
        <f ca="1">'20. Balance '!D65</f>
        <v>83655718348.331451</v>
      </c>
      <c r="H65" s="192">
        <f>'18. Investment assumption'!D82/('18. Investment assumption'!D82+'18. Investment assumption'!E82)</f>
        <v>0</v>
      </c>
      <c r="I65" s="320">
        <f ca="1">H65*'20. Balance '!E65</f>
        <v>0</v>
      </c>
      <c r="J65" s="192">
        <f t="shared" si="0"/>
        <v>1</v>
      </c>
      <c r="K65" s="320">
        <f ca="1">J65*'20. Balance '!E65</f>
        <v>55851808765.727097</v>
      </c>
      <c r="L65" s="422">
        <f t="shared" ca="1" si="1"/>
        <v>-2.1486069538734656</v>
      </c>
      <c r="M65" s="184">
        <f t="shared" ca="1" si="2"/>
        <v>0.65686512354267479</v>
      </c>
      <c r="N65" s="422">
        <f t="shared" ca="1" si="3"/>
        <v>-1.7372562111520462</v>
      </c>
      <c r="O65" s="184">
        <f t="shared" ca="1" si="4"/>
        <v>1.013498698970998</v>
      </c>
      <c r="P65" s="320">
        <f t="shared" ca="1" si="5"/>
        <v>144946174095.07941</v>
      </c>
      <c r="Q65" s="320">
        <f t="shared" ca="1" si="6"/>
        <v>5438646981.020874</v>
      </c>
      <c r="R65" s="97"/>
      <c r="S65" s="97"/>
      <c r="T65" s="423">
        <v>62</v>
      </c>
      <c r="U65" s="424">
        <v>57341223732.069031</v>
      </c>
      <c r="V65" s="426"/>
      <c r="W65" s="97"/>
      <c r="X65" s="97"/>
      <c r="Y65" s="97"/>
      <c r="Z65" s="68"/>
      <c r="AA65" s="68"/>
      <c r="AB65" s="68"/>
      <c r="AC65" s="68"/>
      <c r="AD65" s="68"/>
    </row>
    <row r="66" spans="1:30" ht="17">
      <c r="A66" s="68"/>
      <c r="B66" s="68"/>
      <c r="C66" s="68"/>
      <c r="D66" s="193">
        <f t="shared" ref="D66:E66" si="69">D65+1</f>
        <v>2088</v>
      </c>
      <c r="E66" s="193">
        <f t="shared" si="69"/>
        <v>85</v>
      </c>
      <c r="F66" s="320">
        <f ca="1">'20. Balance '!D66+'20. Balance '!E66</f>
        <v>144832955186.42984</v>
      </c>
      <c r="G66" s="320">
        <f ca="1">'20. Balance '!D66</f>
        <v>86850975191.754227</v>
      </c>
      <c r="H66" s="192">
        <f>'18. Investment assumption'!D83/('18. Investment assumption'!D83+'18. Investment assumption'!E83)</f>
        <v>0</v>
      </c>
      <c r="I66" s="320">
        <f ca="1">H66*'20. Balance '!E66</f>
        <v>0</v>
      </c>
      <c r="J66" s="192">
        <f t="shared" si="0"/>
        <v>1</v>
      </c>
      <c r="K66" s="320">
        <f ca="1">J66*'20. Balance '!E66</f>
        <v>57981979994.675613</v>
      </c>
      <c r="L66" s="422">
        <f t="shared" ca="1" si="1"/>
        <v>-1.653957978767955</v>
      </c>
      <c r="M66" s="184">
        <f t="shared" ca="1" si="2"/>
        <v>0.76046727208004339</v>
      </c>
      <c r="N66" s="422">
        <f t="shared" ca="1" si="3"/>
        <v>0.51994914619776067</v>
      </c>
      <c r="O66" s="184">
        <f t="shared" ca="1" si="4"/>
        <v>1.0390595341608715</v>
      </c>
      <c r="P66" s="320">
        <f t="shared" ca="1" si="5"/>
        <v>151961358925.48508</v>
      </c>
      <c r="Q66" s="320">
        <f t="shared" ca="1" si="6"/>
        <v>7128403739.0552368</v>
      </c>
      <c r="R66" s="97"/>
      <c r="S66" s="97"/>
      <c r="T66" s="423">
        <v>63</v>
      </c>
      <c r="U66" s="424">
        <v>60172055122.426926</v>
      </c>
      <c r="V66" s="426"/>
      <c r="W66" s="97"/>
      <c r="X66" s="97"/>
      <c r="Y66" s="97"/>
      <c r="Z66" s="68"/>
      <c r="AA66" s="68"/>
      <c r="AB66" s="68"/>
      <c r="AC66" s="68"/>
      <c r="AD66" s="68"/>
    </row>
    <row r="67" spans="1:30" ht="17">
      <c r="A67" s="68"/>
      <c r="B67" s="68"/>
      <c r="C67" s="68"/>
      <c r="D67" s="415"/>
      <c r="E67" s="415"/>
      <c r="F67" s="415"/>
      <c r="G67" s="415"/>
      <c r="H67" s="415"/>
      <c r="I67" s="415"/>
      <c r="J67" s="415"/>
      <c r="K67" s="97"/>
      <c r="L67" s="97"/>
      <c r="M67" s="97"/>
      <c r="N67" s="97"/>
      <c r="O67" s="97"/>
      <c r="P67" s="97"/>
      <c r="Q67" s="97"/>
      <c r="R67" s="97"/>
      <c r="S67" s="97"/>
      <c r="T67" s="423">
        <v>64</v>
      </c>
      <c r="U67" s="424">
        <v>61436721135.087906</v>
      </c>
      <c r="V67" s="426"/>
      <c r="W67" s="97"/>
      <c r="X67" s="97"/>
      <c r="Y67" s="97"/>
      <c r="Z67" s="68"/>
      <c r="AA67" s="68"/>
      <c r="AB67" s="68"/>
      <c r="AC67" s="68"/>
      <c r="AD67" s="68"/>
    </row>
    <row r="68" spans="1:30" ht="17">
      <c r="A68" s="68"/>
      <c r="B68" s="68"/>
      <c r="C68" s="68"/>
      <c r="D68" s="415"/>
      <c r="E68" s="415"/>
      <c r="F68" s="415"/>
      <c r="G68" s="415"/>
      <c r="H68" s="415"/>
      <c r="I68" s="415"/>
      <c r="J68" s="415"/>
      <c r="K68" s="97"/>
      <c r="L68" s="97"/>
      <c r="M68" s="97"/>
      <c r="N68" s="97"/>
      <c r="O68" s="97"/>
      <c r="P68" s="97"/>
      <c r="Q68" s="97"/>
      <c r="R68" s="97"/>
      <c r="S68" s="97"/>
      <c r="T68" s="423">
        <v>65</v>
      </c>
      <c r="U68" s="424">
        <v>64374528044.988251</v>
      </c>
      <c r="V68" s="426"/>
      <c r="W68" s="97"/>
      <c r="X68" s="97"/>
      <c r="Y68" s="97"/>
      <c r="Z68" s="68"/>
      <c r="AA68" s="68"/>
      <c r="AB68" s="68"/>
      <c r="AC68" s="68"/>
      <c r="AD68" s="68"/>
    </row>
    <row r="69" spans="1:30" ht="17">
      <c r="A69" s="68"/>
      <c r="B69" s="68"/>
      <c r="C69" s="68"/>
      <c r="D69" s="415"/>
      <c r="E69" s="415"/>
      <c r="F69" s="415"/>
      <c r="G69" s="415"/>
      <c r="H69" s="415"/>
      <c r="I69" s="415"/>
      <c r="J69" s="415"/>
      <c r="K69" s="97"/>
      <c r="L69" s="97"/>
      <c r="M69" s="97"/>
      <c r="N69" s="97"/>
      <c r="O69" s="97"/>
      <c r="P69" s="97"/>
      <c r="Q69" s="97"/>
      <c r="R69" s="97"/>
      <c r="S69" s="97"/>
      <c r="T69" s="423">
        <v>66</v>
      </c>
      <c r="U69" s="424">
        <v>56119183415.923584</v>
      </c>
      <c r="V69" s="426"/>
      <c r="W69" s="97"/>
      <c r="X69" s="97"/>
      <c r="Y69" s="97"/>
      <c r="Z69" s="68"/>
      <c r="AA69" s="68"/>
      <c r="AB69" s="68"/>
      <c r="AC69" s="68"/>
      <c r="AD69" s="68"/>
    </row>
    <row r="70" spans="1:30" ht="17">
      <c r="A70" s="68"/>
      <c r="B70" s="68"/>
      <c r="C70" s="68"/>
      <c r="D70" s="415"/>
      <c r="E70" s="415"/>
      <c r="F70" s="415"/>
      <c r="G70" s="415"/>
      <c r="H70" s="415"/>
      <c r="I70" s="415"/>
      <c r="J70" s="415"/>
      <c r="K70" s="97"/>
      <c r="L70" s="97"/>
      <c r="M70" s="97"/>
      <c r="N70" s="97"/>
      <c r="O70" s="97"/>
      <c r="P70" s="97"/>
      <c r="Q70" s="97"/>
      <c r="R70" s="97"/>
      <c r="S70" s="97"/>
      <c r="T70" s="423">
        <v>67</v>
      </c>
      <c r="U70" s="424">
        <v>57880373121.749435</v>
      </c>
      <c r="V70" s="426"/>
      <c r="W70" s="97"/>
      <c r="X70" s="97"/>
      <c r="Y70" s="97"/>
      <c r="Z70" s="68"/>
      <c r="AA70" s="68"/>
      <c r="AB70" s="68"/>
      <c r="AC70" s="68"/>
      <c r="AD70" s="68"/>
    </row>
    <row r="71" spans="1:30" ht="17">
      <c r="A71" s="68"/>
      <c r="B71" s="68"/>
      <c r="C71" s="68"/>
      <c r="D71" s="415"/>
      <c r="E71" s="415"/>
      <c r="F71" s="415"/>
      <c r="G71" s="415"/>
      <c r="H71" s="415"/>
      <c r="I71" s="415"/>
      <c r="J71" s="415"/>
      <c r="K71" s="97"/>
      <c r="L71" s="97"/>
      <c r="M71" s="97"/>
      <c r="N71" s="97"/>
      <c r="O71" s="97"/>
      <c r="P71" s="97"/>
      <c r="Q71" s="97"/>
      <c r="R71" s="97"/>
      <c r="S71" s="97"/>
      <c r="T71" s="423">
        <v>68</v>
      </c>
      <c r="U71" s="424">
        <v>62475866654.926895</v>
      </c>
      <c r="V71" s="426"/>
      <c r="W71" s="97"/>
      <c r="X71" s="97"/>
      <c r="Y71" s="97"/>
      <c r="Z71" s="68"/>
      <c r="AA71" s="68"/>
      <c r="AB71" s="68"/>
      <c r="AC71" s="68"/>
      <c r="AD71" s="68"/>
    </row>
    <row r="72" spans="1:30" ht="17">
      <c r="A72" s="68"/>
      <c r="B72" s="68"/>
      <c r="C72" s="68"/>
      <c r="D72" s="415"/>
      <c r="E72" s="415"/>
      <c r="F72" s="415"/>
      <c r="G72" s="415"/>
      <c r="H72" s="415"/>
      <c r="I72" s="415"/>
      <c r="J72" s="415"/>
      <c r="K72" s="97"/>
      <c r="L72" s="97"/>
      <c r="M72" s="97"/>
      <c r="N72" s="97"/>
      <c r="O72" s="97"/>
      <c r="P72" s="97"/>
      <c r="Q72" s="97"/>
      <c r="R72" s="97"/>
      <c r="S72" s="97"/>
      <c r="T72" s="423">
        <v>69</v>
      </c>
      <c r="U72" s="424">
        <v>62290759044.684021</v>
      </c>
      <c r="V72" s="426"/>
      <c r="W72" s="97"/>
      <c r="X72" s="97"/>
      <c r="Y72" s="97"/>
      <c r="Z72" s="68"/>
      <c r="AA72" s="68"/>
      <c r="AB72" s="68"/>
      <c r="AC72" s="68"/>
      <c r="AD72" s="68"/>
    </row>
    <row r="73" spans="1:30" ht="17">
      <c r="A73" s="68"/>
      <c r="B73" s="68"/>
      <c r="C73" s="68"/>
      <c r="D73" s="415"/>
      <c r="E73" s="415"/>
      <c r="F73" s="415"/>
      <c r="G73" s="415"/>
      <c r="H73" s="415"/>
      <c r="I73" s="415"/>
      <c r="J73" s="415"/>
      <c r="K73" s="97"/>
      <c r="L73" s="97"/>
      <c r="M73" s="97"/>
      <c r="N73" s="97"/>
      <c r="O73" s="97"/>
      <c r="P73" s="97"/>
      <c r="Q73" s="97"/>
      <c r="R73" s="97"/>
      <c r="S73" s="97"/>
      <c r="T73" s="423">
        <v>70</v>
      </c>
      <c r="U73" s="424">
        <v>59796759569.055336</v>
      </c>
      <c r="V73" s="426"/>
      <c r="W73" s="97"/>
      <c r="X73" s="97"/>
      <c r="Y73" s="97"/>
      <c r="Z73" s="68"/>
      <c r="AA73" s="68"/>
      <c r="AB73" s="68"/>
      <c r="AC73" s="68"/>
      <c r="AD73" s="68"/>
    </row>
    <row r="74" spans="1:30" ht="17">
      <c r="A74" s="68"/>
      <c r="B74" s="68"/>
      <c r="C74" s="68"/>
      <c r="D74" s="415"/>
      <c r="E74" s="415"/>
      <c r="F74" s="415"/>
      <c r="G74" s="415"/>
      <c r="H74" s="415"/>
      <c r="I74" s="415"/>
      <c r="J74" s="415"/>
      <c r="K74" s="97"/>
      <c r="L74" s="97"/>
      <c r="M74" s="97"/>
      <c r="N74" s="97"/>
      <c r="O74" s="97"/>
      <c r="P74" s="97"/>
      <c r="Q74" s="97"/>
      <c r="R74" s="97"/>
      <c r="S74" s="97"/>
      <c r="T74" s="423">
        <v>71</v>
      </c>
      <c r="U74" s="424">
        <v>56899113661.704468</v>
      </c>
      <c r="V74" s="426"/>
      <c r="W74" s="97"/>
      <c r="X74" s="97"/>
      <c r="Y74" s="97"/>
      <c r="Z74" s="68"/>
      <c r="AA74" s="68"/>
      <c r="AB74" s="68"/>
      <c r="AC74" s="68"/>
      <c r="AD74" s="68"/>
    </row>
    <row r="75" spans="1:30" ht="17">
      <c r="A75" s="68"/>
      <c r="B75" s="68"/>
      <c r="C75" s="68"/>
      <c r="D75" s="415"/>
      <c r="E75" s="415"/>
      <c r="F75" s="415"/>
      <c r="G75" s="415"/>
      <c r="H75" s="415"/>
      <c r="I75" s="415"/>
      <c r="J75" s="415"/>
      <c r="K75" s="97"/>
      <c r="L75" s="97"/>
      <c r="M75" s="97"/>
      <c r="N75" s="97"/>
      <c r="O75" s="97"/>
      <c r="P75" s="97"/>
      <c r="Q75" s="97"/>
      <c r="R75" s="97"/>
      <c r="S75" s="97"/>
      <c r="T75" s="423">
        <v>72</v>
      </c>
      <c r="U75" s="424">
        <v>58038842517.077499</v>
      </c>
      <c r="V75" s="426"/>
      <c r="W75" s="97"/>
      <c r="X75" s="97"/>
      <c r="Y75" s="97"/>
      <c r="Z75" s="68"/>
      <c r="AA75" s="68"/>
      <c r="AB75" s="68"/>
      <c r="AC75" s="68"/>
      <c r="AD75" s="68"/>
    </row>
    <row r="76" spans="1:30" ht="17">
      <c r="A76" s="68"/>
      <c r="B76" s="68"/>
      <c r="C76" s="68"/>
      <c r="D76" s="415"/>
      <c r="E76" s="415"/>
      <c r="F76" s="415"/>
      <c r="G76" s="415"/>
      <c r="H76" s="415"/>
      <c r="I76" s="415"/>
      <c r="J76" s="415"/>
      <c r="K76" s="97"/>
      <c r="L76" s="97"/>
      <c r="M76" s="97"/>
      <c r="N76" s="97"/>
      <c r="O76" s="97"/>
      <c r="P76" s="97"/>
      <c r="Q76" s="97"/>
      <c r="R76" s="97"/>
      <c r="S76" s="97"/>
      <c r="T76" s="423">
        <v>73</v>
      </c>
      <c r="U76" s="424">
        <v>58011790390.009384</v>
      </c>
      <c r="V76" s="426"/>
      <c r="W76" s="97"/>
      <c r="X76" s="97"/>
      <c r="Y76" s="97"/>
      <c r="Z76" s="68"/>
      <c r="AA76" s="68"/>
      <c r="AB76" s="68"/>
      <c r="AC76" s="68"/>
      <c r="AD76" s="68"/>
    </row>
    <row r="77" spans="1:30" ht="17">
      <c r="A77" s="68"/>
      <c r="B77" s="68"/>
      <c r="C77" s="68"/>
      <c r="D77" s="415"/>
      <c r="E77" s="415"/>
      <c r="F77" s="415"/>
      <c r="G77" s="415"/>
      <c r="H77" s="415"/>
      <c r="I77" s="415"/>
      <c r="J77" s="415"/>
      <c r="K77" s="97"/>
      <c r="L77" s="97"/>
      <c r="M77" s="97"/>
      <c r="N77" s="97"/>
      <c r="O77" s="97"/>
      <c r="P77" s="97"/>
      <c r="Q77" s="97"/>
      <c r="R77" s="97"/>
      <c r="S77" s="97"/>
      <c r="T77" s="423">
        <v>74</v>
      </c>
      <c r="U77" s="424">
        <v>59119783326.006729</v>
      </c>
      <c r="V77" s="426"/>
      <c r="W77" s="97"/>
      <c r="X77" s="97"/>
      <c r="Y77" s="97"/>
      <c r="Z77" s="68"/>
      <c r="AA77" s="68"/>
      <c r="AB77" s="68"/>
      <c r="AC77" s="68"/>
      <c r="AD77" s="68"/>
    </row>
    <row r="78" spans="1:30" ht="17">
      <c r="A78" s="68"/>
      <c r="B78" s="68"/>
      <c r="C78" s="68"/>
      <c r="D78" s="415"/>
      <c r="E78" s="415"/>
      <c r="F78" s="415"/>
      <c r="G78" s="415"/>
      <c r="H78" s="415"/>
      <c r="I78" s="415"/>
      <c r="J78" s="415"/>
      <c r="K78" s="97"/>
      <c r="L78" s="97"/>
      <c r="M78" s="97"/>
      <c r="N78" s="97"/>
      <c r="O78" s="97"/>
      <c r="P78" s="97"/>
      <c r="Q78" s="97"/>
      <c r="R78" s="97"/>
      <c r="S78" s="97"/>
      <c r="T78" s="423">
        <v>75</v>
      </c>
      <c r="U78" s="424">
        <v>58945601247.522827</v>
      </c>
      <c r="V78" s="426"/>
      <c r="W78" s="97"/>
      <c r="X78" s="97"/>
      <c r="Y78" s="97"/>
      <c r="Z78" s="68"/>
      <c r="AA78" s="68"/>
      <c r="AB78" s="68"/>
      <c r="AC78" s="68"/>
      <c r="AD78" s="68"/>
    </row>
    <row r="79" spans="1:30" ht="17">
      <c r="A79" s="68"/>
      <c r="B79" s="68"/>
      <c r="C79" s="68"/>
      <c r="D79" s="415"/>
      <c r="E79" s="415"/>
      <c r="F79" s="415"/>
      <c r="G79" s="415"/>
      <c r="H79" s="415"/>
      <c r="I79" s="415"/>
      <c r="J79" s="415"/>
      <c r="K79" s="97"/>
      <c r="L79" s="97"/>
      <c r="M79" s="97"/>
      <c r="N79" s="97"/>
      <c r="O79" s="97"/>
      <c r="P79" s="97"/>
      <c r="Q79" s="97"/>
      <c r="R79" s="97"/>
      <c r="S79" s="97"/>
      <c r="T79" s="423">
        <v>76</v>
      </c>
      <c r="U79" s="424">
        <v>59615161855.358231</v>
      </c>
      <c r="V79" s="426"/>
      <c r="W79" s="97"/>
      <c r="X79" s="97"/>
      <c r="Y79" s="97"/>
      <c r="Z79" s="68"/>
      <c r="AA79" s="68"/>
      <c r="AB79" s="68"/>
      <c r="AC79" s="68"/>
      <c r="AD79" s="68"/>
    </row>
    <row r="80" spans="1:30" ht="17">
      <c r="A80" s="68"/>
      <c r="B80" s="68"/>
      <c r="C80" s="68"/>
      <c r="D80" s="415"/>
      <c r="E80" s="415"/>
      <c r="F80" s="415"/>
      <c r="G80" s="415"/>
      <c r="H80" s="415"/>
      <c r="I80" s="415"/>
      <c r="J80" s="415"/>
      <c r="K80" s="97"/>
      <c r="L80" s="97"/>
      <c r="M80" s="97"/>
      <c r="N80" s="97"/>
      <c r="O80" s="97"/>
      <c r="P80" s="97"/>
      <c r="Q80" s="97"/>
      <c r="R80" s="97"/>
      <c r="S80" s="97"/>
      <c r="T80" s="423">
        <v>77</v>
      </c>
      <c r="U80" s="424">
        <v>60326495840.634842</v>
      </c>
      <c r="V80" s="426"/>
      <c r="W80" s="97"/>
      <c r="X80" s="97"/>
      <c r="Y80" s="97"/>
      <c r="Z80" s="68"/>
      <c r="AA80" s="68"/>
      <c r="AB80" s="68"/>
      <c r="AC80" s="68"/>
      <c r="AD80" s="68"/>
    </row>
    <row r="81" spans="1:30" ht="17">
      <c r="A81" s="68"/>
      <c r="B81" s="68"/>
      <c r="C81" s="68"/>
      <c r="D81" s="415"/>
      <c r="E81" s="415"/>
      <c r="F81" s="415"/>
      <c r="G81" s="415"/>
      <c r="H81" s="415"/>
      <c r="I81" s="415"/>
      <c r="J81" s="415"/>
      <c r="K81" s="97"/>
      <c r="L81" s="97"/>
      <c r="M81" s="97"/>
      <c r="N81" s="97"/>
      <c r="O81" s="97"/>
      <c r="P81" s="97"/>
      <c r="Q81" s="97"/>
      <c r="R81" s="97"/>
      <c r="S81" s="97"/>
      <c r="T81" s="423">
        <v>78</v>
      </c>
      <c r="U81" s="424">
        <v>62101571847.367523</v>
      </c>
      <c r="V81" s="426"/>
      <c r="W81" s="97"/>
      <c r="X81" s="97"/>
      <c r="Y81" s="97"/>
      <c r="Z81" s="68"/>
      <c r="AA81" s="68"/>
      <c r="AB81" s="68"/>
      <c r="AC81" s="68"/>
      <c r="AD81" s="68"/>
    </row>
    <row r="82" spans="1:30" ht="17">
      <c r="A82" s="68"/>
      <c r="B82" s="68"/>
      <c r="C82" s="68"/>
      <c r="D82" s="415"/>
      <c r="E82" s="415"/>
      <c r="F82" s="415"/>
      <c r="G82" s="415"/>
      <c r="H82" s="415"/>
      <c r="I82" s="415"/>
      <c r="J82" s="415"/>
      <c r="K82" s="97"/>
      <c r="L82" s="97"/>
      <c r="M82" s="97"/>
      <c r="N82" s="97"/>
      <c r="O82" s="97"/>
      <c r="P82" s="97"/>
      <c r="Q82" s="97"/>
      <c r="R82" s="97"/>
      <c r="S82" s="97"/>
      <c r="T82" s="423">
        <v>79</v>
      </c>
      <c r="U82" s="424">
        <v>58540377935.594925</v>
      </c>
      <c r="V82" s="426"/>
      <c r="W82" s="97"/>
      <c r="X82" s="97"/>
      <c r="Y82" s="97"/>
      <c r="Z82" s="68"/>
      <c r="AA82" s="68"/>
      <c r="AB82" s="68"/>
      <c r="AC82" s="68"/>
      <c r="AD82" s="68"/>
    </row>
    <row r="83" spans="1:30" ht="17">
      <c r="A83" s="68"/>
      <c r="B83" s="68"/>
      <c r="C83" s="68"/>
      <c r="D83" s="415"/>
      <c r="E83" s="415"/>
      <c r="F83" s="415"/>
      <c r="G83" s="415"/>
      <c r="H83" s="415"/>
      <c r="I83" s="415"/>
      <c r="J83" s="415"/>
      <c r="K83" s="97"/>
      <c r="L83" s="97"/>
      <c r="M83" s="97"/>
      <c r="N83" s="97"/>
      <c r="O83" s="97"/>
      <c r="P83" s="97"/>
      <c r="Q83" s="97"/>
      <c r="R83" s="97"/>
      <c r="S83" s="97"/>
      <c r="T83" s="423">
        <v>80</v>
      </c>
      <c r="U83" s="424">
        <v>61604768402.324585</v>
      </c>
      <c r="V83" s="426"/>
      <c r="W83" s="97"/>
      <c r="X83" s="97"/>
      <c r="Y83" s="97"/>
      <c r="Z83" s="68"/>
      <c r="AA83" s="68"/>
      <c r="AB83" s="68"/>
      <c r="AC83" s="68"/>
      <c r="AD83" s="68"/>
    </row>
    <row r="84" spans="1:30" ht="17">
      <c r="A84" s="68"/>
      <c r="B84" s="68"/>
      <c r="C84" s="68"/>
      <c r="D84" s="415"/>
      <c r="E84" s="415"/>
      <c r="F84" s="415"/>
      <c r="G84" s="415"/>
      <c r="H84" s="415"/>
      <c r="I84" s="415"/>
      <c r="J84" s="415"/>
      <c r="K84" s="97"/>
      <c r="L84" s="97"/>
      <c r="M84" s="97"/>
      <c r="N84" s="97"/>
      <c r="O84" s="97"/>
      <c r="P84" s="97"/>
      <c r="Q84" s="97"/>
      <c r="R84" s="97"/>
      <c r="S84" s="97"/>
      <c r="T84" s="423">
        <v>81</v>
      </c>
      <c r="U84" s="424">
        <v>55299192771.021828</v>
      </c>
      <c r="V84" s="426"/>
      <c r="W84" s="97"/>
      <c r="X84" s="97"/>
      <c r="Y84" s="97"/>
      <c r="Z84" s="68"/>
      <c r="AA84" s="68"/>
      <c r="AB84" s="68"/>
      <c r="AC84" s="68"/>
      <c r="AD84" s="68"/>
    </row>
    <row r="85" spans="1:30" ht="17">
      <c r="A85" s="68"/>
      <c r="B85" s="68"/>
      <c r="C85" s="68"/>
      <c r="D85" s="415"/>
      <c r="E85" s="415"/>
      <c r="F85" s="415"/>
      <c r="G85" s="415"/>
      <c r="H85" s="415"/>
      <c r="I85" s="415"/>
      <c r="J85" s="415"/>
      <c r="K85" s="97"/>
      <c r="L85" s="97"/>
      <c r="M85" s="97"/>
      <c r="N85" s="97"/>
      <c r="O85" s="97"/>
      <c r="P85" s="97"/>
      <c r="Q85" s="97"/>
      <c r="R85" s="97"/>
      <c r="S85" s="97"/>
      <c r="T85" s="423">
        <v>82</v>
      </c>
      <c r="U85" s="424">
        <v>55224403052.648972</v>
      </c>
      <c r="V85" s="426"/>
      <c r="W85" s="97"/>
      <c r="X85" s="97"/>
      <c r="Y85" s="97"/>
      <c r="Z85" s="68"/>
      <c r="AA85" s="68"/>
      <c r="AB85" s="68"/>
      <c r="AC85" s="68"/>
      <c r="AD85" s="68"/>
    </row>
    <row r="86" spans="1:30" ht="17">
      <c r="A86" s="68"/>
      <c r="B86" s="68"/>
      <c r="C86" s="68"/>
      <c r="D86" s="415"/>
      <c r="E86" s="415"/>
      <c r="F86" s="415"/>
      <c r="G86" s="415"/>
      <c r="H86" s="415"/>
      <c r="I86" s="415"/>
      <c r="J86" s="415"/>
      <c r="K86" s="97"/>
      <c r="L86" s="97"/>
      <c r="M86" s="97"/>
      <c r="N86" s="97"/>
      <c r="O86" s="97"/>
      <c r="P86" s="97"/>
      <c r="Q86" s="97"/>
      <c r="R86" s="97"/>
      <c r="S86" s="97"/>
      <c r="T86" s="423">
        <v>83</v>
      </c>
      <c r="U86" s="424">
        <v>58272233078.341324</v>
      </c>
      <c r="V86" s="426"/>
      <c r="W86" s="97"/>
      <c r="X86" s="97"/>
      <c r="Y86" s="97"/>
      <c r="Z86" s="68"/>
      <c r="AA86" s="68"/>
      <c r="AB86" s="68"/>
      <c r="AC86" s="68"/>
      <c r="AD86" s="68"/>
    </row>
    <row r="87" spans="1:30" ht="17">
      <c r="A87" s="68"/>
      <c r="B87" s="68"/>
      <c r="C87" s="68"/>
      <c r="D87" s="415"/>
      <c r="E87" s="415"/>
      <c r="F87" s="415"/>
      <c r="G87" s="415"/>
      <c r="H87" s="415"/>
      <c r="I87" s="415"/>
      <c r="J87" s="415"/>
      <c r="K87" s="97"/>
      <c r="L87" s="97"/>
      <c r="M87" s="97"/>
      <c r="N87" s="97"/>
      <c r="O87" s="97"/>
      <c r="P87" s="97"/>
      <c r="Q87" s="97"/>
      <c r="R87" s="97"/>
      <c r="S87" s="97"/>
      <c r="T87" s="423">
        <v>84</v>
      </c>
      <c r="U87" s="424">
        <v>61156380802.340973</v>
      </c>
      <c r="V87" s="426"/>
      <c r="W87" s="97"/>
      <c r="X87" s="97"/>
      <c r="Y87" s="97"/>
      <c r="Z87" s="68"/>
      <c r="AA87" s="68"/>
      <c r="AB87" s="68"/>
      <c r="AC87" s="68"/>
      <c r="AD87" s="68"/>
    </row>
    <row r="88" spans="1:30" ht="17">
      <c r="A88" s="68"/>
      <c r="B88" s="68"/>
      <c r="C88" s="68"/>
      <c r="D88" s="415"/>
      <c r="E88" s="415"/>
      <c r="F88" s="415"/>
      <c r="G88" s="415"/>
      <c r="H88" s="415"/>
      <c r="I88" s="415"/>
      <c r="J88" s="415"/>
      <c r="K88" s="97"/>
      <c r="L88" s="97"/>
      <c r="M88" s="97"/>
      <c r="N88" s="97"/>
      <c r="O88" s="97"/>
      <c r="P88" s="97"/>
      <c r="Q88" s="97"/>
      <c r="R88" s="97"/>
      <c r="S88" s="97"/>
      <c r="T88" s="423">
        <v>85</v>
      </c>
      <c r="U88" s="424">
        <v>59136114255.228439</v>
      </c>
      <c r="V88" s="426"/>
      <c r="W88" s="97"/>
      <c r="X88" s="97"/>
      <c r="Y88" s="97"/>
      <c r="Z88" s="68"/>
      <c r="AA88" s="68"/>
      <c r="AB88" s="68"/>
      <c r="AC88" s="68"/>
      <c r="AD88" s="68"/>
    </row>
    <row r="89" spans="1:30" ht="17">
      <c r="A89" s="68"/>
      <c r="B89" s="68"/>
      <c r="C89" s="68"/>
      <c r="D89" s="415"/>
      <c r="E89" s="415"/>
      <c r="F89" s="415"/>
      <c r="G89" s="415"/>
      <c r="H89" s="415"/>
      <c r="I89" s="415"/>
      <c r="J89" s="415"/>
      <c r="K89" s="97"/>
      <c r="L89" s="97"/>
      <c r="M89" s="97"/>
      <c r="N89" s="97"/>
      <c r="O89" s="97"/>
      <c r="P89" s="97"/>
      <c r="Q89" s="97"/>
      <c r="R89" s="97"/>
      <c r="S89" s="97"/>
      <c r="T89" s="423">
        <v>86</v>
      </c>
      <c r="U89" s="424">
        <v>58279212403.587296</v>
      </c>
      <c r="V89" s="426"/>
      <c r="W89" s="97"/>
      <c r="X89" s="97"/>
      <c r="Y89" s="97"/>
      <c r="Z89" s="68"/>
      <c r="AA89" s="68"/>
      <c r="AB89" s="68"/>
      <c r="AC89" s="68"/>
      <c r="AD89" s="68"/>
    </row>
    <row r="90" spans="1:30" ht="17">
      <c r="A90" s="68"/>
      <c r="B90" s="68"/>
      <c r="C90" s="68"/>
      <c r="D90" s="415"/>
      <c r="E90" s="415"/>
      <c r="F90" s="415"/>
      <c r="G90" s="415"/>
      <c r="H90" s="415"/>
      <c r="I90" s="415"/>
      <c r="J90" s="415"/>
      <c r="K90" s="97"/>
      <c r="L90" s="97"/>
      <c r="M90" s="97"/>
      <c r="N90" s="97"/>
      <c r="O90" s="97"/>
      <c r="P90" s="97"/>
      <c r="Q90" s="97"/>
      <c r="R90" s="97"/>
      <c r="S90" s="97"/>
      <c r="T90" s="423">
        <v>87</v>
      </c>
      <c r="U90" s="424">
        <v>55686446084.42054</v>
      </c>
      <c r="V90" s="426"/>
      <c r="W90" s="97"/>
      <c r="X90" s="97"/>
      <c r="Y90" s="97"/>
      <c r="Z90" s="68"/>
      <c r="AA90" s="68"/>
      <c r="AB90" s="68"/>
      <c r="AC90" s="68"/>
      <c r="AD90" s="68"/>
    </row>
    <row r="91" spans="1:30" ht="17">
      <c r="A91" s="68"/>
      <c r="B91" s="68"/>
      <c r="C91" s="68"/>
      <c r="D91" s="415"/>
      <c r="E91" s="415"/>
      <c r="F91" s="415"/>
      <c r="G91" s="415"/>
      <c r="H91" s="415"/>
      <c r="I91" s="415"/>
      <c r="J91" s="415"/>
      <c r="K91" s="97"/>
      <c r="L91" s="97"/>
      <c r="M91" s="97"/>
      <c r="N91" s="97"/>
      <c r="O91" s="97"/>
      <c r="P91" s="97"/>
      <c r="Q91" s="97"/>
      <c r="R91" s="97"/>
      <c r="S91" s="97"/>
      <c r="T91" s="423">
        <v>88</v>
      </c>
      <c r="U91" s="424">
        <v>56611593480.214844</v>
      </c>
      <c r="V91" s="426"/>
      <c r="W91" s="97"/>
      <c r="X91" s="97"/>
      <c r="Y91" s="97"/>
      <c r="Z91" s="68"/>
      <c r="AA91" s="68"/>
      <c r="AB91" s="68"/>
      <c r="AC91" s="68"/>
      <c r="AD91" s="68"/>
    </row>
    <row r="92" spans="1:30" ht="17">
      <c r="A92" s="68"/>
      <c r="B92" s="68"/>
      <c r="C92" s="68"/>
      <c r="D92" s="415"/>
      <c r="E92" s="415"/>
      <c r="F92" s="415"/>
      <c r="G92" s="415"/>
      <c r="H92" s="415"/>
      <c r="I92" s="415"/>
      <c r="J92" s="415"/>
      <c r="K92" s="97"/>
      <c r="L92" s="97"/>
      <c r="M92" s="97"/>
      <c r="N92" s="97"/>
      <c r="O92" s="97"/>
      <c r="P92" s="97"/>
      <c r="Q92" s="97"/>
      <c r="R92" s="97"/>
      <c r="S92" s="97"/>
      <c r="T92" s="423">
        <v>89</v>
      </c>
      <c r="U92" s="424">
        <v>57678430892.79451</v>
      </c>
      <c r="V92" s="426"/>
      <c r="W92" s="97"/>
      <c r="X92" s="97"/>
      <c r="Y92" s="97"/>
      <c r="Z92" s="68"/>
      <c r="AA92" s="68"/>
      <c r="AB92" s="68"/>
      <c r="AC92" s="68"/>
      <c r="AD92" s="68"/>
    </row>
    <row r="93" spans="1:30" ht="17">
      <c r="A93" s="68"/>
      <c r="B93" s="68"/>
      <c r="C93" s="68"/>
      <c r="D93" s="415"/>
      <c r="E93" s="415"/>
      <c r="F93" s="415"/>
      <c r="G93" s="415"/>
      <c r="H93" s="415"/>
      <c r="I93" s="415"/>
      <c r="J93" s="415"/>
      <c r="K93" s="97"/>
      <c r="L93" s="97"/>
      <c r="M93" s="97"/>
      <c r="N93" s="97"/>
      <c r="O93" s="97"/>
      <c r="P93" s="97"/>
      <c r="Q93" s="97"/>
      <c r="R93" s="97"/>
      <c r="S93" s="97"/>
      <c r="T93" s="423">
        <v>90</v>
      </c>
      <c r="U93" s="424">
        <v>59906374679.892715</v>
      </c>
      <c r="V93" s="426"/>
      <c r="W93" s="97"/>
      <c r="X93" s="97"/>
      <c r="Y93" s="97"/>
      <c r="Z93" s="68"/>
      <c r="AA93" s="68"/>
      <c r="AB93" s="68"/>
      <c r="AC93" s="68"/>
      <c r="AD93" s="68"/>
    </row>
    <row r="94" spans="1:30" ht="17">
      <c r="A94" s="68"/>
      <c r="B94" s="68"/>
      <c r="C94" s="68"/>
      <c r="D94" s="415"/>
      <c r="E94" s="415"/>
      <c r="F94" s="415"/>
      <c r="G94" s="415"/>
      <c r="H94" s="415"/>
      <c r="I94" s="415"/>
      <c r="J94" s="415"/>
      <c r="K94" s="97"/>
      <c r="L94" s="97"/>
      <c r="M94" s="97"/>
      <c r="N94" s="97"/>
      <c r="O94" s="97"/>
      <c r="P94" s="97"/>
      <c r="Q94" s="97"/>
      <c r="R94" s="97"/>
      <c r="S94" s="97"/>
      <c r="T94" s="423">
        <v>91</v>
      </c>
      <c r="U94" s="424">
        <v>58380724367.824409</v>
      </c>
      <c r="V94" s="426"/>
      <c r="W94" s="97"/>
      <c r="X94" s="97"/>
      <c r="Y94" s="97"/>
      <c r="Z94" s="68"/>
      <c r="AA94" s="68"/>
      <c r="AB94" s="68"/>
      <c r="AC94" s="68"/>
      <c r="AD94" s="68"/>
    </row>
    <row r="95" spans="1:30" ht="17">
      <c r="A95" s="68"/>
      <c r="B95" s="68"/>
      <c r="C95" s="68"/>
      <c r="D95" s="415"/>
      <c r="E95" s="415"/>
      <c r="F95" s="415"/>
      <c r="G95" s="415"/>
      <c r="H95" s="415"/>
      <c r="I95" s="415"/>
      <c r="J95" s="415"/>
      <c r="K95" s="97"/>
      <c r="L95" s="97"/>
      <c r="M95" s="97"/>
      <c r="N95" s="97"/>
      <c r="O95" s="97"/>
      <c r="P95" s="97"/>
      <c r="Q95" s="97"/>
      <c r="R95" s="97"/>
      <c r="S95" s="97"/>
      <c r="T95" s="423">
        <v>92</v>
      </c>
      <c r="U95" s="424">
        <v>55905732146.545868</v>
      </c>
      <c r="V95" s="426"/>
      <c r="W95" s="97"/>
      <c r="X95" s="97"/>
      <c r="Y95" s="97"/>
      <c r="Z95" s="68"/>
      <c r="AA95" s="68"/>
      <c r="AB95" s="68"/>
      <c r="AC95" s="68"/>
      <c r="AD95" s="68"/>
    </row>
    <row r="96" spans="1:30" ht="17">
      <c r="A96" s="68"/>
      <c r="B96" s="68"/>
      <c r="C96" s="68"/>
      <c r="D96" s="415"/>
      <c r="E96" s="415"/>
      <c r="F96" s="415"/>
      <c r="G96" s="415"/>
      <c r="H96" s="415"/>
      <c r="I96" s="415"/>
      <c r="J96" s="415"/>
      <c r="K96" s="97"/>
      <c r="L96" s="97"/>
      <c r="M96" s="97"/>
      <c r="N96" s="97"/>
      <c r="O96" s="97"/>
      <c r="P96" s="97"/>
      <c r="Q96" s="97"/>
      <c r="R96" s="97"/>
      <c r="S96" s="97"/>
      <c r="T96" s="423">
        <v>93</v>
      </c>
      <c r="U96" s="424">
        <v>56660086690.094955</v>
      </c>
      <c r="V96" s="426"/>
      <c r="W96" s="97"/>
      <c r="X96" s="97"/>
      <c r="Y96" s="97"/>
      <c r="Z96" s="68"/>
      <c r="AA96" s="68"/>
      <c r="AB96" s="68"/>
      <c r="AC96" s="68"/>
      <c r="AD96" s="68"/>
    </row>
    <row r="97" spans="1:30" ht="17">
      <c r="A97" s="68"/>
      <c r="B97" s="68"/>
      <c r="C97" s="68"/>
      <c r="D97" s="415"/>
      <c r="E97" s="415"/>
      <c r="F97" s="415"/>
      <c r="G97" s="415"/>
      <c r="H97" s="415"/>
      <c r="I97" s="415"/>
      <c r="J97" s="415"/>
      <c r="K97" s="97"/>
      <c r="L97" s="97"/>
      <c r="M97" s="97"/>
      <c r="N97" s="97"/>
      <c r="O97" s="97"/>
      <c r="P97" s="97"/>
      <c r="Q97" s="97"/>
      <c r="R97" s="97"/>
      <c r="S97" s="97"/>
      <c r="T97" s="423">
        <v>94</v>
      </c>
      <c r="U97" s="424">
        <v>60450257687.70713</v>
      </c>
      <c r="V97" s="426"/>
      <c r="W97" s="97"/>
      <c r="X97" s="97"/>
      <c r="Y97" s="97"/>
      <c r="Z97" s="68"/>
      <c r="AA97" s="68"/>
      <c r="AB97" s="68"/>
      <c r="AC97" s="68"/>
      <c r="AD97" s="68"/>
    </row>
    <row r="98" spans="1:30" ht="17">
      <c r="A98" s="68"/>
      <c r="B98" s="68"/>
      <c r="C98" s="68"/>
      <c r="D98" s="415"/>
      <c r="E98" s="415"/>
      <c r="F98" s="415"/>
      <c r="G98" s="415"/>
      <c r="H98" s="415"/>
      <c r="I98" s="415"/>
      <c r="J98" s="415"/>
      <c r="K98" s="97"/>
      <c r="L98" s="97"/>
      <c r="M98" s="97"/>
      <c r="N98" s="97"/>
      <c r="O98" s="97"/>
      <c r="P98" s="97"/>
      <c r="Q98" s="97"/>
      <c r="R98" s="97"/>
      <c r="S98" s="97"/>
      <c r="T98" s="423">
        <v>95</v>
      </c>
      <c r="U98" s="424">
        <v>58615999500.839935</v>
      </c>
      <c r="V98" s="426"/>
      <c r="W98" s="97"/>
      <c r="X98" s="97"/>
      <c r="Y98" s="97"/>
      <c r="Z98" s="68"/>
      <c r="AA98" s="68"/>
      <c r="AB98" s="68"/>
      <c r="AC98" s="68"/>
      <c r="AD98" s="68"/>
    </row>
    <row r="99" spans="1:30" ht="17">
      <c r="A99" s="68"/>
      <c r="B99" s="68"/>
      <c r="C99" s="68"/>
      <c r="D99" s="415"/>
      <c r="E99" s="415"/>
      <c r="F99" s="415"/>
      <c r="G99" s="415"/>
      <c r="H99" s="415"/>
      <c r="I99" s="415"/>
      <c r="J99" s="415"/>
      <c r="K99" s="97"/>
      <c r="L99" s="97"/>
      <c r="M99" s="97"/>
      <c r="N99" s="97"/>
      <c r="O99" s="97"/>
      <c r="P99" s="97"/>
      <c r="Q99" s="97"/>
      <c r="R99" s="97"/>
      <c r="S99" s="97"/>
      <c r="T99" s="423">
        <v>96</v>
      </c>
      <c r="U99" s="424">
        <v>61401534620.244522</v>
      </c>
      <c r="V99" s="426"/>
      <c r="W99" s="97"/>
      <c r="X99" s="97"/>
      <c r="Y99" s="97"/>
      <c r="Z99" s="68"/>
      <c r="AA99" s="68"/>
      <c r="AB99" s="68"/>
      <c r="AC99" s="68"/>
      <c r="AD99" s="68"/>
    </row>
    <row r="100" spans="1:30" ht="17">
      <c r="A100" s="68"/>
      <c r="B100" s="68"/>
      <c r="C100" s="68"/>
      <c r="D100" s="415"/>
      <c r="E100" s="415"/>
      <c r="F100" s="415"/>
      <c r="G100" s="415"/>
      <c r="H100" s="415"/>
      <c r="I100" s="415"/>
      <c r="J100" s="415"/>
      <c r="K100" s="97"/>
      <c r="L100" s="97"/>
      <c r="M100" s="97"/>
      <c r="N100" s="97"/>
      <c r="O100" s="97"/>
      <c r="P100" s="97"/>
      <c r="Q100" s="97"/>
      <c r="R100" s="97"/>
      <c r="S100" s="97"/>
      <c r="T100" s="423">
        <v>97</v>
      </c>
      <c r="U100" s="424">
        <v>58935493590.884933</v>
      </c>
      <c r="V100" s="426"/>
      <c r="W100" s="97"/>
      <c r="X100" s="97"/>
      <c r="Y100" s="97"/>
      <c r="Z100" s="68"/>
      <c r="AA100" s="68"/>
      <c r="AB100" s="68"/>
      <c r="AC100" s="68"/>
      <c r="AD100" s="68"/>
    </row>
    <row r="101" spans="1:30" ht="17">
      <c r="A101" s="68"/>
      <c r="B101" s="68"/>
      <c r="C101" s="68"/>
      <c r="D101" s="415"/>
      <c r="E101" s="415"/>
      <c r="F101" s="415"/>
      <c r="G101" s="415"/>
      <c r="H101" s="415"/>
      <c r="I101" s="415"/>
      <c r="J101" s="415"/>
      <c r="K101" s="97"/>
      <c r="L101" s="97"/>
      <c r="M101" s="97"/>
      <c r="N101" s="97"/>
      <c r="O101" s="97"/>
      <c r="P101" s="97"/>
      <c r="Q101" s="97"/>
      <c r="R101" s="97"/>
      <c r="S101" s="97"/>
      <c r="T101" s="423">
        <v>98</v>
      </c>
      <c r="U101" s="424">
        <v>58184358350.202225</v>
      </c>
      <c r="V101" s="426"/>
      <c r="W101" s="97"/>
      <c r="X101" s="97"/>
      <c r="Y101" s="97"/>
      <c r="Z101" s="68"/>
      <c r="AA101" s="68"/>
      <c r="AB101" s="68"/>
      <c r="AC101" s="68"/>
      <c r="AD101" s="68"/>
    </row>
    <row r="102" spans="1:30" ht="17">
      <c r="A102" s="68"/>
      <c r="B102" s="68"/>
      <c r="C102" s="68"/>
      <c r="D102" s="415"/>
      <c r="E102" s="415"/>
      <c r="F102" s="415"/>
      <c r="G102" s="415"/>
      <c r="H102" s="415"/>
      <c r="I102" s="415"/>
      <c r="J102" s="415"/>
      <c r="K102" s="97"/>
      <c r="L102" s="97"/>
      <c r="M102" s="97"/>
      <c r="N102" s="97"/>
      <c r="O102" s="97"/>
      <c r="P102" s="97"/>
      <c r="Q102" s="97"/>
      <c r="R102" s="97"/>
      <c r="S102" s="97"/>
      <c r="T102" s="423">
        <v>99</v>
      </c>
      <c r="U102" s="424">
        <v>61894343713.810631</v>
      </c>
      <c r="V102" s="426"/>
      <c r="W102" s="97"/>
      <c r="X102" s="97"/>
      <c r="Y102" s="97"/>
      <c r="Z102" s="68"/>
      <c r="AA102" s="68"/>
      <c r="AB102" s="68"/>
      <c r="AC102" s="68"/>
      <c r="AD102" s="68"/>
    </row>
    <row r="103" spans="1:30" ht="17">
      <c r="A103" s="68"/>
      <c r="B103" s="68"/>
      <c r="C103" s="68"/>
      <c r="D103" s="415"/>
      <c r="E103" s="415"/>
      <c r="F103" s="415"/>
      <c r="G103" s="415"/>
      <c r="H103" s="415"/>
      <c r="I103" s="415"/>
      <c r="J103" s="415"/>
      <c r="K103" s="97"/>
      <c r="L103" s="97"/>
      <c r="M103" s="97"/>
      <c r="N103" s="97"/>
      <c r="O103" s="97"/>
      <c r="P103" s="97"/>
      <c r="Q103" s="97"/>
      <c r="R103" s="97"/>
      <c r="S103" s="97"/>
      <c r="T103" s="423">
        <v>100</v>
      </c>
      <c r="U103" s="424">
        <v>55373366943.678207</v>
      </c>
      <c r="V103" s="426"/>
      <c r="W103" s="97"/>
      <c r="X103" s="97"/>
      <c r="Y103" s="97"/>
      <c r="Z103" s="68"/>
      <c r="AA103" s="68"/>
      <c r="AB103" s="68"/>
      <c r="AC103" s="68"/>
      <c r="AD103" s="68"/>
    </row>
    <row r="104" spans="1:30" ht="17">
      <c r="A104" s="68"/>
      <c r="B104" s="68"/>
      <c r="C104" s="68"/>
      <c r="D104" s="415"/>
      <c r="E104" s="415"/>
      <c r="F104" s="415"/>
      <c r="G104" s="415"/>
      <c r="H104" s="415"/>
      <c r="I104" s="415"/>
      <c r="J104" s="415"/>
      <c r="K104" s="97"/>
      <c r="L104" s="97"/>
      <c r="M104" s="97"/>
      <c r="N104" s="97"/>
      <c r="O104" s="97"/>
      <c r="P104" s="97"/>
      <c r="Q104" s="97"/>
      <c r="R104" s="97"/>
      <c r="S104" s="97"/>
      <c r="T104" s="423">
        <v>101</v>
      </c>
      <c r="U104" s="424">
        <v>56052827798.005951</v>
      </c>
      <c r="V104" s="426"/>
      <c r="W104" s="97"/>
      <c r="X104" s="97"/>
      <c r="Y104" s="97"/>
      <c r="Z104" s="68"/>
      <c r="AA104" s="68"/>
      <c r="AB104" s="68"/>
      <c r="AC104" s="68"/>
      <c r="AD104" s="68"/>
    </row>
    <row r="105" spans="1:30" ht="17">
      <c r="A105" s="68"/>
      <c r="B105" s="68"/>
      <c r="C105" s="68"/>
      <c r="D105" s="415"/>
      <c r="E105" s="415"/>
      <c r="F105" s="415"/>
      <c r="G105" s="415"/>
      <c r="H105" s="415"/>
      <c r="I105" s="415"/>
      <c r="J105" s="415"/>
      <c r="K105" s="97"/>
      <c r="L105" s="97"/>
      <c r="M105" s="97"/>
      <c r="N105" s="97"/>
      <c r="O105" s="97"/>
      <c r="P105" s="97"/>
      <c r="Q105" s="97"/>
      <c r="R105" s="97"/>
      <c r="S105" s="97"/>
      <c r="T105" s="423">
        <v>102</v>
      </c>
      <c r="U105" s="424">
        <v>60715451245.560501</v>
      </c>
      <c r="V105" s="426"/>
      <c r="W105" s="97"/>
      <c r="X105" s="97"/>
      <c r="Y105" s="97"/>
      <c r="Z105" s="68"/>
      <c r="AA105" s="68"/>
      <c r="AB105" s="68"/>
      <c r="AC105" s="68"/>
      <c r="AD105" s="68"/>
    </row>
    <row r="106" spans="1:30" ht="17">
      <c r="A106" s="68"/>
      <c r="B106" s="68"/>
      <c r="C106" s="68"/>
      <c r="D106" s="415"/>
      <c r="E106" s="415"/>
      <c r="F106" s="415"/>
      <c r="G106" s="415"/>
      <c r="H106" s="415"/>
      <c r="I106" s="415"/>
      <c r="J106" s="415"/>
      <c r="K106" s="97"/>
      <c r="L106" s="97"/>
      <c r="M106" s="97"/>
      <c r="N106" s="97"/>
      <c r="O106" s="97"/>
      <c r="P106" s="97"/>
      <c r="Q106" s="97"/>
      <c r="R106" s="97"/>
      <c r="S106" s="97"/>
      <c r="T106" s="423">
        <v>103</v>
      </c>
      <c r="U106" s="424">
        <v>59639240166.140564</v>
      </c>
      <c r="V106" s="426"/>
      <c r="W106" s="97"/>
      <c r="X106" s="97"/>
      <c r="Y106" s="97"/>
      <c r="Z106" s="68"/>
      <c r="AA106" s="68"/>
      <c r="AB106" s="68"/>
      <c r="AC106" s="68"/>
      <c r="AD106" s="68"/>
    </row>
    <row r="107" spans="1:30" ht="17">
      <c r="A107" s="68"/>
      <c r="B107" s="68"/>
      <c r="C107" s="68"/>
      <c r="D107" s="415"/>
      <c r="E107" s="415"/>
      <c r="F107" s="415"/>
      <c r="G107" s="415"/>
      <c r="H107" s="415"/>
      <c r="I107" s="415"/>
      <c r="J107" s="415"/>
      <c r="K107" s="97"/>
      <c r="L107" s="97"/>
      <c r="M107" s="97"/>
      <c r="N107" s="97"/>
      <c r="O107" s="97"/>
      <c r="P107" s="97"/>
      <c r="Q107" s="97"/>
      <c r="R107" s="97"/>
      <c r="S107" s="97"/>
      <c r="T107" s="423">
        <v>104</v>
      </c>
      <c r="U107" s="424">
        <v>61246320855.941826</v>
      </c>
      <c r="V107" s="426"/>
      <c r="W107" s="97"/>
      <c r="X107" s="97"/>
      <c r="Y107" s="97"/>
      <c r="Z107" s="68"/>
      <c r="AA107" s="68"/>
      <c r="AB107" s="68"/>
      <c r="AC107" s="68"/>
      <c r="AD107" s="68"/>
    </row>
    <row r="108" spans="1:30" ht="17">
      <c r="A108" s="68"/>
      <c r="B108" s="68"/>
      <c r="C108" s="68"/>
      <c r="D108" s="415"/>
      <c r="E108" s="415"/>
      <c r="F108" s="415"/>
      <c r="G108" s="415"/>
      <c r="H108" s="415"/>
      <c r="I108" s="415"/>
      <c r="J108" s="415"/>
      <c r="K108" s="97"/>
      <c r="L108" s="97"/>
      <c r="M108" s="97"/>
      <c r="N108" s="97"/>
      <c r="O108" s="97"/>
      <c r="P108" s="97"/>
      <c r="Q108" s="97"/>
      <c r="R108" s="97"/>
      <c r="S108" s="97"/>
      <c r="T108" s="423">
        <v>105</v>
      </c>
      <c r="U108" s="424">
        <v>55869802901.389725</v>
      </c>
      <c r="V108" s="426"/>
      <c r="W108" s="97"/>
      <c r="X108" s="97"/>
      <c r="Y108" s="97"/>
      <c r="Z108" s="68"/>
      <c r="AA108" s="68"/>
      <c r="AB108" s="68"/>
      <c r="AC108" s="68"/>
      <c r="AD108" s="68"/>
    </row>
    <row r="109" spans="1:30" ht="17">
      <c r="A109" s="68"/>
      <c r="B109" s="68"/>
      <c r="C109" s="68"/>
      <c r="D109" s="415"/>
      <c r="E109" s="415"/>
      <c r="F109" s="415"/>
      <c r="G109" s="415"/>
      <c r="H109" s="415"/>
      <c r="I109" s="415"/>
      <c r="J109" s="415"/>
      <c r="K109" s="97"/>
      <c r="L109" s="97"/>
      <c r="M109" s="97"/>
      <c r="N109" s="97"/>
      <c r="O109" s="97"/>
      <c r="P109" s="97"/>
      <c r="Q109" s="97"/>
      <c r="R109" s="97"/>
      <c r="S109" s="97"/>
      <c r="T109" s="423">
        <v>106</v>
      </c>
      <c r="U109" s="424">
        <v>59640366599.40641</v>
      </c>
      <c r="V109" s="426"/>
      <c r="W109" s="97"/>
      <c r="X109" s="97"/>
      <c r="Y109" s="97"/>
      <c r="Z109" s="68"/>
      <c r="AA109" s="68"/>
      <c r="AB109" s="68"/>
      <c r="AC109" s="68"/>
      <c r="AD109" s="68"/>
    </row>
    <row r="110" spans="1:30" ht="17">
      <c r="A110" s="68"/>
      <c r="B110" s="68"/>
      <c r="C110" s="68"/>
      <c r="D110" s="415"/>
      <c r="E110" s="415"/>
      <c r="F110" s="415"/>
      <c r="G110" s="415"/>
      <c r="H110" s="415"/>
      <c r="I110" s="415"/>
      <c r="J110" s="415"/>
      <c r="K110" s="97"/>
      <c r="L110" s="97"/>
      <c r="M110" s="97"/>
      <c r="N110" s="97"/>
      <c r="O110" s="97"/>
      <c r="P110" s="97"/>
      <c r="Q110" s="97"/>
      <c r="R110" s="97"/>
      <c r="S110" s="97"/>
      <c r="T110" s="423">
        <v>107</v>
      </c>
      <c r="U110" s="424">
        <v>55977790987.955307</v>
      </c>
      <c r="V110" s="426"/>
      <c r="W110" s="97"/>
      <c r="X110" s="97"/>
      <c r="Y110" s="97"/>
      <c r="Z110" s="68"/>
      <c r="AA110" s="68"/>
      <c r="AB110" s="68"/>
      <c r="AC110" s="68"/>
      <c r="AD110" s="68"/>
    </row>
    <row r="111" spans="1:30" ht="17">
      <c r="A111" s="68"/>
      <c r="B111" s="68"/>
      <c r="C111" s="68"/>
      <c r="D111" s="415"/>
      <c r="E111" s="415"/>
      <c r="F111" s="415"/>
      <c r="G111" s="415"/>
      <c r="H111" s="415"/>
      <c r="I111" s="415"/>
      <c r="J111" s="415"/>
      <c r="K111" s="97"/>
      <c r="L111" s="97"/>
      <c r="M111" s="97"/>
      <c r="N111" s="97"/>
      <c r="O111" s="97"/>
      <c r="P111" s="97"/>
      <c r="Q111" s="97"/>
      <c r="R111" s="97"/>
      <c r="S111" s="97"/>
      <c r="T111" s="423">
        <v>108</v>
      </c>
      <c r="U111" s="424">
        <v>59466059287.178749</v>
      </c>
      <c r="V111" s="426"/>
      <c r="W111" s="97"/>
      <c r="X111" s="97"/>
      <c r="Y111" s="97"/>
      <c r="Z111" s="68"/>
      <c r="AA111" s="68"/>
      <c r="AB111" s="68"/>
      <c r="AC111" s="68"/>
      <c r="AD111" s="68"/>
    </row>
    <row r="112" spans="1:30" ht="17">
      <c r="A112" s="68"/>
      <c r="B112" s="68"/>
      <c r="C112" s="68"/>
      <c r="D112" s="415"/>
      <c r="E112" s="415"/>
      <c r="F112" s="415"/>
      <c r="G112" s="415"/>
      <c r="H112" s="415"/>
      <c r="I112" s="415"/>
      <c r="J112" s="415"/>
      <c r="K112" s="97"/>
      <c r="L112" s="97"/>
      <c r="M112" s="97"/>
      <c r="N112" s="97"/>
      <c r="O112" s="97"/>
      <c r="P112" s="97"/>
      <c r="Q112" s="97"/>
      <c r="R112" s="97"/>
      <c r="S112" s="97"/>
      <c r="T112" s="423">
        <v>109</v>
      </c>
      <c r="U112" s="424">
        <v>57989586397.622772</v>
      </c>
      <c r="V112" s="426"/>
      <c r="W112" s="97"/>
      <c r="X112" s="97"/>
      <c r="Y112" s="97"/>
      <c r="Z112" s="68"/>
      <c r="AA112" s="68"/>
      <c r="AB112" s="68"/>
      <c r="AC112" s="68"/>
      <c r="AD112" s="68"/>
    </row>
    <row r="113" spans="1:30" ht="17">
      <c r="A113" s="68"/>
      <c r="B113" s="68"/>
      <c r="C113" s="68"/>
      <c r="D113" s="415"/>
      <c r="E113" s="415"/>
      <c r="F113" s="415"/>
      <c r="G113" s="415"/>
      <c r="H113" s="415"/>
      <c r="I113" s="415"/>
      <c r="J113" s="415"/>
      <c r="K113" s="97"/>
      <c r="L113" s="97"/>
      <c r="M113" s="97"/>
      <c r="N113" s="97"/>
      <c r="O113" s="97"/>
      <c r="P113" s="97"/>
      <c r="Q113" s="97"/>
      <c r="R113" s="97"/>
      <c r="S113" s="97"/>
      <c r="T113" s="423">
        <v>110</v>
      </c>
      <c r="U113" s="424">
        <v>60797115592.034256</v>
      </c>
      <c r="V113" s="426"/>
      <c r="W113" s="97"/>
      <c r="X113" s="97"/>
      <c r="Y113" s="97"/>
      <c r="Z113" s="68"/>
      <c r="AA113" s="68"/>
      <c r="AB113" s="68"/>
      <c r="AC113" s="68"/>
      <c r="AD113" s="68"/>
    </row>
    <row r="114" spans="1:30" ht="17">
      <c r="A114" s="68"/>
      <c r="B114" s="68"/>
      <c r="C114" s="68"/>
      <c r="D114" s="415"/>
      <c r="E114" s="415"/>
      <c r="F114" s="415"/>
      <c r="G114" s="415"/>
      <c r="H114" s="415"/>
      <c r="I114" s="415"/>
      <c r="J114" s="415"/>
      <c r="K114" s="97"/>
      <c r="L114" s="97"/>
      <c r="M114" s="97"/>
      <c r="N114" s="97"/>
      <c r="O114" s="97"/>
      <c r="P114" s="97"/>
      <c r="Q114" s="97"/>
      <c r="R114" s="97"/>
      <c r="S114" s="97"/>
      <c r="T114" s="423">
        <v>111</v>
      </c>
      <c r="U114" s="424">
        <v>56927154746.271759</v>
      </c>
      <c r="V114" s="426"/>
      <c r="W114" s="97"/>
      <c r="X114" s="97"/>
      <c r="Y114" s="97"/>
      <c r="Z114" s="68"/>
      <c r="AA114" s="68"/>
      <c r="AB114" s="68"/>
      <c r="AC114" s="68"/>
      <c r="AD114" s="68"/>
    </row>
    <row r="115" spans="1:30" ht="17">
      <c r="A115" s="68"/>
      <c r="B115" s="68"/>
      <c r="C115" s="68"/>
      <c r="D115" s="415"/>
      <c r="E115" s="415"/>
      <c r="F115" s="415"/>
      <c r="G115" s="415"/>
      <c r="H115" s="415"/>
      <c r="I115" s="415"/>
      <c r="J115" s="415"/>
      <c r="K115" s="97"/>
      <c r="L115" s="97"/>
      <c r="M115" s="97"/>
      <c r="N115" s="97"/>
      <c r="O115" s="97"/>
      <c r="P115" s="97"/>
      <c r="Q115" s="97"/>
      <c r="R115" s="97"/>
      <c r="S115" s="97"/>
      <c r="T115" s="423">
        <v>112</v>
      </c>
      <c r="U115" s="424">
        <v>56540807946.969139</v>
      </c>
      <c r="V115" s="426"/>
      <c r="W115" s="97"/>
      <c r="X115" s="97"/>
      <c r="Y115" s="97"/>
      <c r="Z115" s="68"/>
      <c r="AA115" s="68"/>
      <c r="AB115" s="68"/>
      <c r="AC115" s="68"/>
      <c r="AD115" s="68"/>
    </row>
    <row r="116" spans="1:30" ht="17">
      <c r="A116" s="68"/>
      <c r="B116" s="68"/>
      <c r="C116" s="68"/>
      <c r="D116" s="415"/>
      <c r="E116" s="415"/>
      <c r="F116" s="415"/>
      <c r="G116" s="415"/>
      <c r="H116" s="415"/>
      <c r="I116" s="415"/>
      <c r="J116" s="415"/>
      <c r="K116" s="97"/>
      <c r="L116" s="97"/>
      <c r="M116" s="97"/>
      <c r="N116" s="97"/>
      <c r="O116" s="97"/>
      <c r="P116" s="97"/>
      <c r="Q116" s="97"/>
      <c r="R116" s="97"/>
      <c r="S116" s="97"/>
      <c r="T116" s="423">
        <v>113</v>
      </c>
      <c r="U116" s="424">
        <v>59541977514.963745</v>
      </c>
      <c r="V116" s="426"/>
      <c r="W116" s="97"/>
      <c r="X116" s="97"/>
      <c r="Y116" s="97"/>
      <c r="Z116" s="68"/>
      <c r="AA116" s="68"/>
      <c r="AB116" s="68"/>
      <c r="AC116" s="68"/>
      <c r="AD116" s="68"/>
    </row>
    <row r="117" spans="1:30" ht="17">
      <c r="A117" s="68"/>
      <c r="B117" s="68"/>
      <c r="C117" s="68"/>
      <c r="D117" s="415"/>
      <c r="E117" s="415"/>
      <c r="F117" s="415"/>
      <c r="G117" s="415"/>
      <c r="H117" s="415"/>
      <c r="I117" s="415"/>
      <c r="J117" s="415"/>
      <c r="K117" s="97"/>
      <c r="L117" s="97"/>
      <c r="M117" s="97"/>
      <c r="N117" s="97"/>
      <c r="O117" s="97"/>
      <c r="P117" s="97"/>
      <c r="Q117" s="97"/>
      <c r="R117" s="97"/>
      <c r="S117" s="97"/>
      <c r="T117" s="423">
        <v>114</v>
      </c>
      <c r="U117" s="424">
        <v>57459431519.503281</v>
      </c>
      <c r="V117" s="426"/>
      <c r="W117" s="97"/>
      <c r="X117" s="97"/>
      <c r="Y117" s="97"/>
      <c r="Z117" s="68"/>
      <c r="AA117" s="68"/>
      <c r="AB117" s="68"/>
      <c r="AC117" s="68"/>
      <c r="AD117" s="68"/>
    </row>
    <row r="118" spans="1:30" ht="17">
      <c r="A118" s="68"/>
      <c r="B118" s="68"/>
      <c r="C118" s="68"/>
      <c r="D118" s="415"/>
      <c r="E118" s="415"/>
      <c r="F118" s="415"/>
      <c r="G118" s="415"/>
      <c r="H118" s="415"/>
      <c r="I118" s="415"/>
      <c r="J118" s="415"/>
      <c r="K118" s="97"/>
      <c r="L118" s="97"/>
      <c r="M118" s="97"/>
      <c r="N118" s="97"/>
      <c r="O118" s="97"/>
      <c r="P118" s="97"/>
      <c r="Q118" s="97"/>
      <c r="R118" s="97"/>
      <c r="S118" s="97"/>
      <c r="T118" s="423">
        <v>115</v>
      </c>
      <c r="U118" s="424">
        <v>55719920953.605774</v>
      </c>
      <c r="V118" s="426"/>
      <c r="W118" s="97"/>
      <c r="X118" s="97"/>
      <c r="Y118" s="97"/>
      <c r="Z118" s="68"/>
      <c r="AA118" s="68"/>
      <c r="AB118" s="68"/>
      <c r="AC118" s="68"/>
      <c r="AD118" s="68"/>
    </row>
    <row r="119" spans="1:30" ht="17">
      <c r="A119" s="68"/>
      <c r="B119" s="68"/>
      <c r="C119" s="68"/>
      <c r="D119" s="415"/>
      <c r="E119" s="415"/>
      <c r="F119" s="415"/>
      <c r="G119" s="415"/>
      <c r="H119" s="415"/>
      <c r="I119" s="415"/>
      <c r="J119" s="415"/>
      <c r="K119" s="97"/>
      <c r="L119" s="97"/>
      <c r="M119" s="97"/>
      <c r="N119" s="97"/>
      <c r="O119" s="97"/>
      <c r="P119" s="97"/>
      <c r="Q119" s="97"/>
      <c r="R119" s="97"/>
      <c r="S119" s="97"/>
      <c r="T119" s="423">
        <v>116</v>
      </c>
      <c r="U119" s="424">
        <v>57416878702.214645</v>
      </c>
      <c r="V119" s="426"/>
      <c r="W119" s="97"/>
      <c r="X119" s="97"/>
      <c r="Y119" s="97"/>
      <c r="Z119" s="68"/>
      <c r="AA119" s="68"/>
      <c r="AB119" s="68"/>
      <c r="AC119" s="68"/>
      <c r="AD119" s="68"/>
    </row>
    <row r="120" spans="1:30" ht="17">
      <c r="A120" s="68"/>
      <c r="B120" s="68"/>
      <c r="C120" s="68"/>
      <c r="D120" s="415"/>
      <c r="E120" s="415"/>
      <c r="F120" s="415"/>
      <c r="G120" s="415"/>
      <c r="H120" s="415"/>
      <c r="I120" s="415"/>
      <c r="J120" s="415"/>
      <c r="K120" s="97"/>
      <c r="L120" s="97"/>
      <c r="M120" s="97"/>
      <c r="N120" s="97"/>
      <c r="O120" s="97"/>
      <c r="P120" s="97"/>
      <c r="Q120" s="97"/>
      <c r="R120" s="97"/>
      <c r="S120" s="97"/>
      <c r="T120" s="423">
        <v>117</v>
      </c>
      <c r="U120" s="424">
        <v>60505172464.147461</v>
      </c>
      <c r="V120" s="426"/>
      <c r="W120" s="97"/>
      <c r="X120" s="97"/>
      <c r="Y120" s="97"/>
      <c r="Z120" s="68"/>
      <c r="AA120" s="68"/>
      <c r="AB120" s="68"/>
      <c r="AC120" s="68"/>
      <c r="AD120" s="68"/>
    </row>
    <row r="121" spans="1:30" ht="17">
      <c r="A121" s="68"/>
      <c r="B121" s="68"/>
      <c r="C121" s="68"/>
      <c r="D121" s="415"/>
      <c r="E121" s="415"/>
      <c r="F121" s="415"/>
      <c r="G121" s="415"/>
      <c r="H121" s="415"/>
      <c r="I121" s="415"/>
      <c r="J121" s="415"/>
      <c r="K121" s="97"/>
      <c r="L121" s="97"/>
      <c r="M121" s="97"/>
      <c r="N121" s="97"/>
      <c r="O121" s="97"/>
      <c r="P121" s="97"/>
      <c r="Q121" s="97"/>
      <c r="R121" s="97"/>
      <c r="S121" s="97"/>
      <c r="T121" s="423">
        <v>118</v>
      </c>
      <c r="U121" s="424">
        <v>59011530105.434067</v>
      </c>
      <c r="V121" s="426"/>
      <c r="W121" s="97"/>
      <c r="X121" s="97"/>
      <c r="Y121" s="97"/>
      <c r="Z121" s="68"/>
      <c r="AA121" s="68"/>
      <c r="AB121" s="68"/>
      <c r="AC121" s="68"/>
      <c r="AD121" s="68"/>
    </row>
    <row r="122" spans="1:30" ht="17">
      <c r="A122" s="68"/>
      <c r="B122" s="68"/>
      <c r="C122" s="68"/>
      <c r="D122" s="415"/>
      <c r="E122" s="415"/>
      <c r="F122" s="415"/>
      <c r="G122" s="415"/>
      <c r="H122" s="415"/>
      <c r="I122" s="415"/>
      <c r="J122" s="415"/>
      <c r="K122" s="97"/>
      <c r="L122" s="97"/>
      <c r="M122" s="97"/>
      <c r="N122" s="97"/>
      <c r="O122" s="97"/>
      <c r="P122" s="97"/>
      <c r="Q122" s="97"/>
      <c r="R122" s="97"/>
      <c r="S122" s="97"/>
      <c r="T122" s="423">
        <v>119</v>
      </c>
      <c r="U122" s="424">
        <v>60472601443.111084</v>
      </c>
      <c r="V122" s="426"/>
      <c r="W122" s="97"/>
      <c r="X122" s="97"/>
      <c r="Y122" s="97"/>
      <c r="Z122" s="68"/>
      <c r="AA122" s="68"/>
      <c r="AB122" s="68"/>
      <c r="AC122" s="68"/>
      <c r="AD122" s="68"/>
    </row>
    <row r="123" spans="1:30" ht="17">
      <c r="A123" s="68"/>
      <c r="B123" s="68"/>
      <c r="C123" s="68"/>
      <c r="D123" s="415"/>
      <c r="E123" s="415"/>
      <c r="F123" s="415"/>
      <c r="G123" s="415"/>
      <c r="H123" s="415"/>
      <c r="I123" s="415"/>
      <c r="J123" s="415"/>
      <c r="K123" s="97"/>
      <c r="L123" s="97"/>
      <c r="M123" s="97"/>
      <c r="N123" s="97"/>
      <c r="O123" s="97"/>
      <c r="P123" s="97"/>
      <c r="Q123" s="97"/>
      <c r="R123" s="97"/>
      <c r="S123" s="97"/>
      <c r="T123" s="423">
        <v>120</v>
      </c>
      <c r="U123" s="424">
        <v>60175307043.309448</v>
      </c>
      <c r="V123" s="426"/>
      <c r="W123" s="97"/>
      <c r="X123" s="97"/>
      <c r="Y123" s="97"/>
      <c r="Z123" s="68"/>
      <c r="AA123" s="68"/>
      <c r="AB123" s="68"/>
      <c r="AC123" s="68"/>
      <c r="AD123" s="68"/>
    </row>
    <row r="124" spans="1:30" ht="17">
      <c r="A124" s="68"/>
      <c r="B124" s="68"/>
      <c r="C124" s="68"/>
      <c r="D124" s="415"/>
      <c r="E124" s="415"/>
      <c r="F124" s="415"/>
      <c r="G124" s="415"/>
      <c r="H124" s="415"/>
      <c r="I124" s="415"/>
      <c r="J124" s="415"/>
      <c r="K124" s="97"/>
      <c r="L124" s="97"/>
      <c r="M124" s="97"/>
      <c r="N124" s="97"/>
      <c r="O124" s="97"/>
      <c r="P124" s="97"/>
      <c r="Q124" s="97"/>
      <c r="R124" s="97"/>
      <c r="S124" s="97"/>
      <c r="T124" s="423">
        <v>121</v>
      </c>
      <c r="U124" s="424">
        <v>60842035182.543503</v>
      </c>
      <c r="V124" s="426"/>
      <c r="W124" s="97"/>
      <c r="X124" s="97"/>
      <c r="Y124" s="97"/>
      <c r="Z124" s="68"/>
      <c r="AA124" s="68"/>
      <c r="AB124" s="68"/>
      <c r="AC124" s="68"/>
      <c r="AD124" s="68"/>
    </row>
    <row r="125" spans="1:30" ht="17">
      <c r="A125" s="68"/>
      <c r="B125" s="68"/>
      <c r="C125" s="68"/>
      <c r="D125" s="415"/>
      <c r="E125" s="415"/>
      <c r="F125" s="415"/>
      <c r="G125" s="415"/>
      <c r="H125" s="415"/>
      <c r="I125" s="415"/>
      <c r="J125" s="415"/>
      <c r="K125" s="97"/>
      <c r="L125" s="97"/>
      <c r="M125" s="97"/>
      <c r="N125" s="97"/>
      <c r="O125" s="97"/>
      <c r="P125" s="97"/>
      <c r="Q125" s="97"/>
      <c r="R125" s="97"/>
      <c r="S125" s="97"/>
      <c r="T125" s="423">
        <v>122</v>
      </c>
      <c r="U125" s="424">
        <v>60543454763.056808</v>
      </c>
      <c r="V125" s="426"/>
      <c r="W125" s="97"/>
      <c r="X125" s="97"/>
      <c r="Y125" s="97"/>
      <c r="Z125" s="68"/>
      <c r="AA125" s="68"/>
      <c r="AB125" s="68"/>
      <c r="AC125" s="68"/>
      <c r="AD125" s="68"/>
    </row>
    <row r="126" spans="1:30" ht="17">
      <c r="A126" s="68"/>
      <c r="B126" s="68"/>
      <c r="C126" s="68"/>
      <c r="D126" s="415"/>
      <c r="E126" s="415"/>
      <c r="F126" s="415"/>
      <c r="G126" s="415"/>
      <c r="H126" s="415"/>
      <c r="I126" s="415"/>
      <c r="J126" s="415"/>
      <c r="K126" s="97"/>
      <c r="L126" s="97"/>
      <c r="M126" s="97"/>
      <c r="N126" s="97"/>
      <c r="O126" s="97"/>
      <c r="P126" s="97"/>
      <c r="Q126" s="97"/>
      <c r="R126" s="97"/>
      <c r="S126" s="97"/>
      <c r="T126" s="423">
        <v>123</v>
      </c>
      <c r="U126" s="424">
        <v>60719319270.375404</v>
      </c>
      <c r="V126" s="426"/>
      <c r="W126" s="97"/>
      <c r="X126" s="97"/>
      <c r="Y126" s="97"/>
      <c r="Z126" s="68"/>
      <c r="AA126" s="68"/>
      <c r="AB126" s="68"/>
      <c r="AC126" s="68"/>
      <c r="AD126" s="68"/>
    </row>
    <row r="127" spans="1:30" ht="17">
      <c r="A127" s="68"/>
      <c r="B127" s="68"/>
      <c r="C127" s="68"/>
      <c r="D127" s="415"/>
      <c r="E127" s="415"/>
      <c r="F127" s="415"/>
      <c r="G127" s="415"/>
      <c r="H127" s="415"/>
      <c r="I127" s="415"/>
      <c r="J127" s="415"/>
      <c r="K127" s="97"/>
      <c r="L127" s="97"/>
      <c r="M127" s="97"/>
      <c r="N127" s="97"/>
      <c r="O127" s="97"/>
      <c r="P127" s="97"/>
      <c r="Q127" s="97"/>
      <c r="R127" s="97"/>
      <c r="S127" s="97"/>
      <c r="T127" s="423">
        <v>124</v>
      </c>
      <c r="U127" s="424">
        <v>60223610081.861267</v>
      </c>
      <c r="V127" s="426"/>
      <c r="W127" s="97"/>
      <c r="X127" s="97"/>
      <c r="Y127" s="97"/>
      <c r="Z127" s="68"/>
      <c r="AA127" s="68"/>
      <c r="AB127" s="68"/>
      <c r="AC127" s="68"/>
      <c r="AD127" s="68"/>
    </row>
    <row r="128" spans="1:30" ht="17">
      <c r="A128" s="68"/>
      <c r="B128" s="68"/>
      <c r="C128" s="68"/>
      <c r="D128" s="415"/>
      <c r="E128" s="415"/>
      <c r="F128" s="415"/>
      <c r="G128" s="415"/>
      <c r="H128" s="415"/>
      <c r="I128" s="415"/>
      <c r="J128" s="415"/>
      <c r="K128" s="97"/>
      <c r="L128" s="97"/>
      <c r="M128" s="97"/>
      <c r="N128" s="97"/>
      <c r="O128" s="97"/>
      <c r="P128" s="97"/>
      <c r="Q128" s="97"/>
      <c r="R128" s="97"/>
      <c r="S128" s="97"/>
      <c r="T128" s="423">
        <v>125</v>
      </c>
      <c r="U128" s="424">
        <v>55016343159.31041</v>
      </c>
      <c r="V128" s="426"/>
      <c r="W128" s="97"/>
      <c r="X128" s="97"/>
      <c r="Y128" s="97"/>
      <c r="Z128" s="68"/>
      <c r="AA128" s="68"/>
      <c r="AB128" s="68"/>
      <c r="AC128" s="68"/>
      <c r="AD128" s="68"/>
    </row>
    <row r="129" spans="1:30" ht="17">
      <c r="A129" s="68"/>
      <c r="B129" s="68"/>
      <c r="C129" s="68"/>
      <c r="D129" s="415"/>
      <c r="E129" s="415"/>
      <c r="F129" s="415"/>
      <c r="G129" s="415"/>
      <c r="H129" s="415"/>
      <c r="I129" s="415"/>
      <c r="J129" s="415"/>
      <c r="K129" s="97"/>
      <c r="L129" s="97"/>
      <c r="M129" s="97"/>
      <c r="N129" s="97"/>
      <c r="O129" s="97"/>
      <c r="P129" s="97"/>
      <c r="Q129" s="97"/>
      <c r="R129" s="97"/>
      <c r="S129" s="97"/>
      <c r="T129" s="423">
        <v>126</v>
      </c>
      <c r="U129" s="424">
        <v>58552452047.000351</v>
      </c>
      <c r="V129" s="426"/>
      <c r="W129" s="97"/>
      <c r="X129" s="97"/>
      <c r="Y129" s="97"/>
      <c r="Z129" s="68"/>
      <c r="AA129" s="68"/>
      <c r="AB129" s="68"/>
      <c r="AC129" s="68"/>
      <c r="AD129" s="68"/>
    </row>
    <row r="130" spans="1:30" ht="17">
      <c r="A130" s="68"/>
      <c r="B130" s="68"/>
      <c r="C130" s="68"/>
      <c r="D130" s="415"/>
      <c r="E130" s="415"/>
      <c r="F130" s="415"/>
      <c r="G130" s="415"/>
      <c r="H130" s="415"/>
      <c r="I130" s="415"/>
      <c r="J130" s="415"/>
      <c r="K130" s="97"/>
      <c r="L130" s="97"/>
      <c r="M130" s="97"/>
      <c r="N130" s="97"/>
      <c r="O130" s="97"/>
      <c r="P130" s="97"/>
      <c r="Q130" s="97"/>
      <c r="R130" s="97"/>
      <c r="S130" s="97"/>
      <c r="T130" s="423">
        <v>127</v>
      </c>
      <c r="U130" s="424">
        <v>56544166635.494049</v>
      </c>
      <c r="V130" s="426"/>
      <c r="W130" s="97"/>
      <c r="X130" s="97"/>
      <c r="Y130" s="97"/>
      <c r="Z130" s="68"/>
      <c r="AA130" s="68"/>
      <c r="AB130" s="68"/>
      <c r="AC130" s="68"/>
      <c r="AD130" s="68"/>
    </row>
    <row r="131" spans="1:30" ht="17">
      <c r="A131" s="68"/>
      <c r="B131" s="68"/>
      <c r="C131" s="68"/>
      <c r="D131" s="415"/>
      <c r="E131" s="415"/>
      <c r="F131" s="415"/>
      <c r="G131" s="415"/>
      <c r="H131" s="415"/>
      <c r="I131" s="415"/>
      <c r="J131" s="415"/>
      <c r="K131" s="97"/>
      <c r="L131" s="97"/>
      <c r="M131" s="97"/>
      <c r="N131" s="97"/>
      <c r="O131" s="97"/>
      <c r="P131" s="97"/>
      <c r="Q131" s="97"/>
      <c r="R131" s="97"/>
      <c r="S131" s="97"/>
      <c r="T131" s="423">
        <v>128</v>
      </c>
      <c r="U131" s="424">
        <v>55870277201.573318</v>
      </c>
      <c r="V131" s="426"/>
      <c r="W131" s="97"/>
      <c r="X131" s="97"/>
      <c r="Y131" s="97"/>
      <c r="Z131" s="68"/>
      <c r="AA131" s="68"/>
      <c r="AB131" s="68"/>
      <c r="AC131" s="68"/>
      <c r="AD131" s="68"/>
    </row>
    <row r="132" spans="1:30" ht="17">
      <c r="A132" s="68"/>
      <c r="B132" s="68"/>
      <c r="C132" s="68"/>
      <c r="D132" s="415"/>
      <c r="E132" s="415"/>
      <c r="F132" s="415"/>
      <c r="G132" s="415"/>
      <c r="H132" s="415"/>
      <c r="I132" s="415"/>
      <c r="J132" s="415"/>
      <c r="K132" s="97"/>
      <c r="L132" s="97"/>
      <c r="M132" s="97"/>
      <c r="N132" s="97"/>
      <c r="O132" s="97"/>
      <c r="P132" s="97"/>
      <c r="Q132" s="97"/>
      <c r="R132" s="97"/>
      <c r="S132" s="97"/>
      <c r="T132" s="423">
        <v>129</v>
      </c>
      <c r="U132" s="424">
        <v>60328948755.597305</v>
      </c>
      <c r="V132" s="426"/>
      <c r="W132" s="97"/>
      <c r="X132" s="97"/>
      <c r="Y132" s="97"/>
      <c r="Z132" s="68"/>
      <c r="AA132" s="68"/>
      <c r="AB132" s="68"/>
      <c r="AC132" s="68"/>
      <c r="AD132" s="68"/>
    </row>
    <row r="133" spans="1:30" ht="17">
      <c r="A133" s="68"/>
      <c r="B133" s="68"/>
      <c r="C133" s="68"/>
      <c r="D133" s="415"/>
      <c r="E133" s="415"/>
      <c r="F133" s="415"/>
      <c r="G133" s="415"/>
      <c r="H133" s="415"/>
      <c r="I133" s="415"/>
      <c r="J133" s="415"/>
      <c r="K133" s="97"/>
      <c r="L133" s="97"/>
      <c r="M133" s="97"/>
      <c r="N133" s="97"/>
      <c r="O133" s="97"/>
      <c r="P133" s="97"/>
      <c r="Q133" s="97"/>
      <c r="R133" s="97"/>
      <c r="S133" s="97"/>
      <c r="T133" s="423">
        <v>130</v>
      </c>
      <c r="U133" s="424">
        <v>62730727549.405533</v>
      </c>
      <c r="V133" s="426"/>
      <c r="W133" s="97"/>
      <c r="X133" s="97"/>
      <c r="Y133" s="97"/>
      <c r="Z133" s="68"/>
      <c r="AA133" s="68"/>
      <c r="AB133" s="68"/>
      <c r="AC133" s="68"/>
      <c r="AD133" s="68"/>
    </row>
    <row r="134" spans="1:30" ht="17">
      <c r="A134" s="68"/>
      <c r="B134" s="68"/>
      <c r="C134" s="68"/>
      <c r="D134" s="415"/>
      <c r="E134" s="415"/>
      <c r="F134" s="415"/>
      <c r="G134" s="415"/>
      <c r="H134" s="415"/>
      <c r="I134" s="415"/>
      <c r="J134" s="415"/>
      <c r="K134" s="97"/>
      <c r="L134" s="97"/>
      <c r="M134" s="97"/>
      <c r="N134" s="97"/>
      <c r="O134" s="97"/>
      <c r="P134" s="97"/>
      <c r="Q134" s="97"/>
      <c r="R134" s="97"/>
      <c r="S134" s="97"/>
      <c r="T134" s="423">
        <v>131</v>
      </c>
      <c r="U134" s="424">
        <v>60123884911.529663</v>
      </c>
      <c r="V134" s="426"/>
      <c r="W134" s="97"/>
      <c r="X134" s="97"/>
      <c r="Y134" s="97"/>
      <c r="Z134" s="68"/>
      <c r="AA134" s="68"/>
      <c r="AB134" s="68"/>
      <c r="AC134" s="68"/>
      <c r="AD134" s="68"/>
    </row>
    <row r="135" spans="1:30" ht="17">
      <c r="A135" s="68"/>
      <c r="B135" s="68"/>
      <c r="C135" s="68"/>
      <c r="D135" s="415"/>
      <c r="E135" s="415"/>
      <c r="F135" s="415"/>
      <c r="G135" s="415"/>
      <c r="H135" s="415"/>
      <c r="I135" s="415"/>
      <c r="J135" s="415"/>
      <c r="K135" s="97"/>
      <c r="L135" s="97"/>
      <c r="M135" s="97"/>
      <c r="N135" s="97"/>
      <c r="O135" s="97"/>
      <c r="P135" s="97"/>
      <c r="Q135" s="97"/>
      <c r="R135" s="97"/>
      <c r="S135" s="97"/>
      <c r="T135" s="423">
        <v>132</v>
      </c>
      <c r="U135" s="424">
        <v>62012371757.001877</v>
      </c>
      <c r="V135" s="426"/>
      <c r="W135" s="97"/>
      <c r="X135" s="97"/>
      <c r="Y135" s="97"/>
      <c r="Z135" s="68"/>
      <c r="AA135" s="68"/>
      <c r="AB135" s="68"/>
      <c r="AC135" s="68"/>
      <c r="AD135" s="68"/>
    </row>
    <row r="136" spans="1:30" ht="17">
      <c r="A136" s="68"/>
      <c r="B136" s="68"/>
      <c r="C136" s="68"/>
      <c r="D136" s="415"/>
      <c r="E136" s="415"/>
      <c r="F136" s="415"/>
      <c r="G136" s="415"/>
      <c r="H136" s="415"/>
      <c r="I136" s="415"/>
      <c r="J136" s="415"/>
      <c r="K136" s="97"/>
      <c r="L136" s="97"/>
      <c r="M136" s="97"/>
      <c r="N136" s="97"/>
      <c r="O136" s="97"/>
      <c r="P136" s="97"/>
      <c r="Q136" s="97"/>
      <c r="R136" s="97"/>
      <c r="S136" s="97"/>
      <c r="T136" s="423">
        <v>133</v>
      </c>
      <c r="U136" s="424">
        <v>56346495641.830139</v>
      </c>
      <c r="V136" s="426"/>
      <c r="W136" s="97"/>
      <c r="X136" s="97"/>
      <c r="Y136" s="97"/>
      <c r="Z136" s="68"/>
      <c r="AA136" s="68"/>
      <c r="AB136" s="68"/>
      <c r="AC136" s="68"/>
      <c r="AD136" s="68"/>
    </row>
    <row r="137" spans="1:30" ht="17">
      <c r="A137" s="68"/>
      <c r="B137" s="68"/>
      <c r="C137" s="68"/>
      <c r="D137" s="415"/>
      <c r="E137" s="415"/>
      <c r="F137" s="415"/>
      <c r="G137" s="415"/>
      <c r="H137" s="415"/>
      <c r="I137" s="415"/>
      <c r="J137" s="415"/>
      <c r="K137" s="97"/>
      <c r="L137" s="97"/>
      <c r="M137" s="97"/>
      <c r="N137" s="97"/>
      <c r="O137" s="97"/>
      <c r="P137" s="97"/>
      <c r="Q137" s="97"/>
      <c r="R137" s="97"/>
      <c r="S137" s="97"/>
      <c r="T137" s="423">
        <v>134</v>
      </c>
      <c r="U137" s="424">
        <v>56802483932.253716</v>
      </c>
      <c r="V137" s="426"/>
      <c r="W137" s="97"/>
      <c r="X137" s="97"/>
      <c r="Y137" s="97"/>
      <c r="Z137" s="68"/>
      <c r="AA137" s="68"/>
      <c r="AB137" s="68"/>
      <c r="AC137" s="68"/>
      <c r="AD137" s="68"/>
    </row>
    <row r="138" spans="1:30" ht="17">
      <c r="A138" s="68"/>
      <c r="B138" s="68"/>
      <c r="C138" s="68"/>
      <c r="D138" s="415"/>
      <c r="E138" s="415"/>
      <c r="F138" s="415"/>
      <c r="G138" s="415"/>
      <c r="H138" s="415"/>
      <c r="I138" s="415"/>
      <c r="J138" s="415"/>
      <c r="K138" s="97"/>
      <c r="L138" s="97"/>
      <c r="M138" s="97"/>
      <c r="N138" s="97"/>
      <c r="O138" s="97"/>
      <c r="P138" s="97"/>
      <c r="Q138" s="97"/>
      <c r="R138" s="97"/>
      <c r="S138" s="97"/>
      <c r="T138" s="423">
        <v>135</v>
      </c>
      <c r="U138" s="424">
        <v>57759275203.299942</v>
      </c>
      <c r="V138" s="426"/>
      <c r="W138" s="97"/>
      <c r="X138" s="97"/>
      <c r="Y138" s="97"/>
      <c r="Z138" s="68"/>
      <c r="AA138" s="68"/>
      <c r="AB138" s="68"/>
      <c r="AC138" s="68"/>
      <c r="AD138" s="68"/>
    </row>
    <row r="139" spans="1:30" ht="17">
      <c r="A139" s="68"/>
      <c r="B139" s="68"/>
      <c r="C139" s="68"/>
      <c r="D139" s="415"/>
      <c r="E139" s="415"/>
      <c r="F139" s="415"/>
      <c r="G139" s="415"/>
      <c r="H139" s="415"/>
      <c r="I139" s="415"/>
      <c r="J139" s="415"/>
      <c r="K139" s="97"/>
      <c r="L139" s="97"/>
      <c r="M139" s="97"/>
      <c r="N139" s="97"/>
      <c r="O139" s="97"/>
      <c r="P139" s="97"/>
      <c r="Q139" s="97"/>
      <c r="R139" s="97"/>
      <c r="S139" s="97"/>
      <c r="T139" s="423">
        <v>136</v>
      </c>
      <c r="U139" s="424">
        <v>56340292321.66864</v>
      </c>
      <c r="V139" s="426"/>
      <c r="W139" s="97"/>
      <c r="X139" s="97"/>
      <c r="Y139" s="97"/>
      <c r="Z139" s="68"/>
      <c r="AA139" s="68"/>
      <c r="AB139" s="68"/>
      <c r="AC139" s="68"/>
      <c r="AD139" s="68"/>
    </row>
    <row r="140" spans="1:30" ht="17">
      <c r="A140" s="68"/>
      <c r="B140" s="68"/>
      <c r="C140" s="68"/>
      <c r="D140" s="415"/>
      <c r="E140" s="415"/>
      <c r="F140" s="415"/>
      <c r="G140" s="415"/>
      <c r="H140" s="415"/>
      <c r="I140" s="415"/>
      <c r="J140" s="415"/>
      <c r="K140" s="97"/>
      <c r="L140" s="97"/>
      <c r="M140" s="97"/>
      <c r="N140" s="97"/>
      <c r="O140" s="97"/>
      <c r="P140" s="97"/>
      <c r="Q140" s="97"/>
      <c r="R140" s="97"/>
      <c r="S140" s="97"/>
      <c r="T140" s="423">
        <v>137</v>
      </c>
      <c r="U140" s="424">
        <v>58782568511.529999</v>
      </c>
      <c r="V140" s="426"/>
      <c r="W140" s="97"/>
      <c r="X140" s="97"/>
      <c r="Y140" s="97"/>
      <c r="Z140" s="68"/>
      <c r="AA140" s="68"/>
      <c r="AB140" s="68"/>
      <c r="AC140" s="68"/>
      <c r="AD140" s="68"/>
    </row>
    <row r="141" spans="1:30" ht="17">
      <c r="A141" s="68"/>
      <c r="B141" s="68"/>
      <c r="C141" s="68"/>
      <c r="D141" s="415"/>
      <c r="E141" s="415"/>
      <c r="F141" s="415"/>
      <c r="G141" s="415"/>
      <c r="H141" s="415"/>
      <c r="I141" s="415"/>
      <c r="J141" s="415"/>
      <c r="K141" s="97"/>
      <c r="L141" s="97"/>
      <c r="M141" s="97"/>
      <c r="N141" s="97"/>
      <c r="O141" s="97"/>
      <c r="P141" s="97"/>
      <c r="Q141" s="97"/>
      <c r="R141" s="97"/>
      <c r="S141" s="97"/>
      <c r="T141" s="423">
        <v>138</v>
      </c>
      <c r="U141" s="424">
        <v>55979547100.28476</v>
      </c>
      <c r="V141" s="426"/>
      <c r="W141" s="97"/>
      <c r="X141" s="97"/>
      <c r="Y141" s="97"/>
      <c r="Z141" s="68"/>
      <c r="AA141" s="68"/>
      <c r="AB141" s="68"/>
      <c r="AC141" s="68"/>
      <c r="AD141" s="68"/>
    </row>
    <row r="142" spans="1:30" ht="17">
      <c r="A142" s="68"/>
      <c r="B142" s="68"/>
      <c r="C142" s="68"/>
      <c r="D142" s="415"/>
      <c r="E142" s="415"/>
      <c r="F142" s="415"/>
      <c r="G142" s="415"/>
      <c r="H142" s="415"/>
      <c r="I142" s="415"/>
      <c r="J142" s="415"/>
      <c r="K142" s="97"/>
      <c r="L142" s="97"/>
      <c r="M142" s="97"/>
      <c r="N142" s="97"/>
      <c r="O142" s="97"/>
      <c r="P142" s="97"/>
      <c r="Q142" s="97"/>
      <c r="R142" s="97"/>
      <c r="S142" s="97"/>
      <c r="T142" s="423">
        <v>139</v>
      </c>
      <c r="U142" s="424">
        <v>58725817348.217712</v>
      </c>
      <c r="V142" s="426"/>
      <c r="W142" s="97"/>
      <c r="X142" s="97"/>
      <c r="Y142" s="97"/>
      <c r="Z142" s="68"/>
      <c r="AA142" s="68"/>
      <c r="AB142" s="68"/>
      <c r="AC142" s="68"/>
      <c r="AD142" s="68"/>
    </row>
    <row r="143" spans="1:30" ht="17">
      <c r="A143" s="68"/>
      <c r="B143" s="68"/>
      <c r="C143" s="68"/>
      <c r="D143" s="415"/>
      <c r="E143" s="415"/>
      <c r="F143" s="415"/>
      <c r="G143" s="415"/>
      <c r="H143" s="415"/>
      <c r="I143" s="415"/>
      <c r="J143" s="415"/>
      <c r="K143" s="97"/>
      <c r="L143" s="97"/>
      <c r="M143" s="97"/>
      <c r="N143" s="97"/>
      <c r="O143" s="97"/>
      <c r="P143" s="97"/>
      <c r="Q143" s="97"/>
      <c r="R143" s="97"/>
      <c r="S143" s="97"/>
      <c r="T143" s="423">
        <v>140</v>
      </c>
      <c r="U143" s="424">
        <v>57943688945.785904</v>
      </c>
      <c r="V143" s="426"/>
      <c r="W143" s="97"/>
      <c r="X143" s="97"/>
      <c r="Y143" s="97"/>
      <c r="Z143" s="68"/>
      <c r="AA143" s="68"/>
      <c r="AB143" s="68"/>
      <c r="AC143" s="68"/>
      <c r="AD143" s="68"/>
    </row>
    <row r="144" spans="1:30" ht="17">
      <c r="A144" s="68"/>
      <c r="B144" s="68"/>
      <c r="C144" s="68"/>
      <c r="D144" s="415"/>
      <c r="E144" s="415"/>
      <c r="F144" s="415"/>
      <c r="G144" s="415"/>
      <c r="H144" s="415"/>
      <c r="I144" s="415"/>
      <c r="J144" s="415"/>
      <c r="K144" s="97"/>
      <c r="L144" s="97"/>
      <c r="M144" s="97"/>
      <c r="N144" s="97"/>
      <c r="O144" s="97"/>
      <c r="P144" s="97"/>
      <c r="Q144" s="97"/>
      <c r="R144" s="97"/>
      <c r="S144" s="97"/>
      <c r="T144" s="423">
        <v>141</v>
      </c>
      <c r="U144" s="424">
        <v>61135897108.993225</v>
      </c>
      <c r="V144" s="426"/>
      <c r="W144" s="97"/>
      <c r="X144" s="97"/>
      <c r="Y144" s="97"/>
      <c r="Z144" s="68"/>
      <c r="AA144" s="68"/>
      <c r="AB144" s="68"/>
      <c r="AC144" s="68"/>
      <c r="AD144" s="68"/>
    </row>
    <row r="145" spans="1:30" ht="17">
      <c r="A145" s="68"/>
      <c r="B145" s="68"/>
      <c r="C145" s="68"/>
      <c r="D145" s="415"/>
      <c r="E145" s="415"/>
      <c r="F145" s="415"/>
      <c r="G145" s="415"/>
      <c r="H145" s="415"/>
      <c r="I145" s="415"/>
      <c r="J145" s="415"/>
      <c r="K145" s="97"/>
      <c r="L145" s="97"/>
      <c r="M145" s="97"/>
      <c r="N145" s="97"/>
      <c r="O145" s="97"/>
      <c r="P145" s="97"/>
      <c r="Q145" s="97"/>
      <c r="R145" s="97"/>
      <c r="S145" s="97"/>
      <c r="T145" s="423">
        <v>142</v>
      </c>
      <c r="U145" s="424">
        <v>58632002860.628128</v>
      </c>
      <c r="V145" s="426"/>
      <c r="W145" s="97"/>
      <c r="X145" s="97"/>
      <c r="Y145" s="97"/>
      <c r="Z145" s="68"/>
      <c r="AA145" s="68"/>
      <c r="AB145" s="68"/>
      <c r="AC145" s="68"/>
      <c r="AD145" s="68"/>
    </row>
    <row r="146" spans="1:30" ht="17">
      <c r="A146" s="68"/>
      <c r="B146" s="68"/>
      <c r="C146" s="68"/>
      <c r="D146" s="415"/>
      <c r="E146" s="415"/>
      <c r="F146" s="415"/>
      <c r="G146" s="415"/>
      <c r="H146" s="415"/>
      <c r="I146" s="415"/>
      <c r="J146" s="415"/>
      <c r="K146" s="97"/>
      <c r="L146" s="97"/>
      <c r="M146" s="97"/>
      <c r="N146" s="97"/>
      <c r="O146" s="97"/>
      <c r="P146" s="97"/>
      <c r="Q146" s="97"/>
      <c r="R146" s="97"/>
      <c r="S146" s="97"/>
      <c r="T146" s="423">
        <v>143</v>
      </c>
      <c r="U146" s="424">
        <v>59256753355.920609</v>
      </c>
      <c r="V146" s="426"/>
      <c r="W146" s="97"/>
      <c r="X146" s="97"/>
      <c r="Y146" s="97"/>
      <c r="Z146" s="68"/>
      <c r="AA146" s="68"/>
      <c r="AB146" s="68"/>
      <c r="AC146" s="68"/>
      <c r="AD146" s="68"/>
    </row>
    <row r="147" spans="1:30" ht="17">
      <c r="A147" s="68"/>
      <c r="B147" s="68"/>
      <c r="C147" s="68"/>
      <c r="D147" s="415"/>
      <c r="E147" s="415"/>
      <c r="F147" s="415"/>
      <c r="G147" s="415"/>
      <c r="H147" s="415"/>
      <c r="I147" s="415"/>
      <c r="J147" s="415"/>
      <c r="K147" s="97"/>
      <c r="L147" s="97"/>
      <c r="M147" s="97"/>
      <c r="N147" s="97"/>
      <c r="O147" s="97"/>
      <c r="P147" s="97"/>
      <c r="Q147" s="97"/>
      <c r="R147" s="97"/>
      <c r="S147" s="97"/>
      <c r="T147" s="423">
        <v>144</v>
      </c>
      <c r="U147" s="424">
        <v>60400973515.218681</v>
      </c>
      <c r="V147" s="426"/>
      <c r="W147" s="97"/>
      <c r="X147" s="97"/>
      <c r="Y147" s="97"/>
      <c r="Z147" s="68"/>
      <c r="AA147" s="68"/>
      <c r="AB147" s="68"/>
      <c r="AC147" s="68"/>
      <c r="AD147" s="68"/>
    </row>
    <row r="148" spans="1:30" ht="17">
      <c r="A148" s="68"/>
      <c r="B148" s="68"/>
      <c r="C148" s="68"/>
      <c r="D148" s="415"/>
      <c r="E148" s="415"/>
      <c r="F148" s="415"/>
      <c r="G148" s="415"/>
      <c r="H148" s="415"/>
      <c r="I148" s="415"/>
      <c r="J148" s="415"/>
      <c r="K148" s="97"/>
      <c r="L148" s="97"/>
      <c r="M148" s="97"/>
      <c r="N148" s="97"/>
      <c r="O148" s="97"/>
      <c r="P148" s="97"/>
      <c r="Q148" s="97"/>
      <c r="R148" s="97"/>
      <c r="S148" s="97"/>
      <c r="T148" s="423">
        <v>145</v>
      </c>
      <c r="U148" s="424">
        <v>57054510085.213181</v>
      </c>
      <c r="V148" s="426"/>
      <c r="W148" s="97"/>
      <c r="X148" s="97"/>
      <c r="Y148" s="97"/>
      <c r="Z148" s="68"/>
      <c r="AA148" s="68"/>
      <c r="AB148" s="68"/>
      <c r="AC148" s="68"/>
      <c r="AD148" s="68"/>
    </row>
    <row r="149" spans="1:30" ht="17">
      <c r="A149" s="68"/>
      <c r="B149" s="68"/>
      <c r="C149" s="68"/>
      <c r="D149" s="415"/>
      <c r="E149" s="415"/>
      <c r="F149" s="415"/>
      <c r="G149" s="415"/>
      <c r="H149" s="415"/>
      <c r="I149" s="415"/>
      <c r="J149" s="415"/>
      <c r="K149" s="97"/>
      <c r="L149" s="97"/>
      <c r="M149" s="97"/>
      <c r="N149" s="97"/>
      <c r="O149" s="97"/>
      <c r="P149" s="97"/>
      <c r="Q149" s="97"/>
      <c r="R149" s="97"/>
      <c r="S149" s="97"/>
      <c r="T149" s="423">
        <v>146</v>
      </c>
      <c r="U149" s="424">
        <v>61062721498.784348</v>
      </c>
      <c r="V149" s="426"/>
      <c r="W149" s="97"/>
      <c r="X149" s="97"/>
      <c r="Y149" s="97"/>
      <c r="Z149" s="68"/>
      <c r="AA149" s="68"/>
      <c r="AB149" s="68"/>
      <c r="AC149" s="68"/>
      <c r="AD149" s="68"/>
    </row>
    <row r="150" spans="1:30" ht="17">
      <c r="A150" s="68"/>
      <c r="B150" s="68"/>
      <c r="C150" s="68"/>
      <c r="D150" s="415"/>
      <c r="E150" s="415"/>
      <c r="F150" s="415"/>
      <c r="G150" s="415"/>
      <c r="H150" s="415"/>
      <c r="I150" s="415"/>
      <c r="J150" s="415"/>
      <c r="K150" s="97"/>
      <c r="L150" s="97"/>
      <c r="M150" s="97"/>
      <c r="N150" s="97"/>
      <c r="O150" s="97"/>
      <c r="P150" s="97"/>
      <c r="Q150" s="97"/>
      <c r="R150" s="97"/>
      <c r="S150" s="97"/>
      <c r="T150" s="423">
        <v>147</v>
      </c>
      <c r="U150" s="424">
        <v>57559502356.024483</v>
      </c>
      <c r="V150" s="426"/>
      <c r="W150" s="97"/>
      <c r="X150" s="97"/>
      <c r="Y150" s="97"/>
      <c r="Z150" s="68"/>
      <c r="AA150" s="68"/>
      <c r="AB150" s="68"/>
      <c r="AC150" s="68"/>
      <c r="AD150" s="68"/>
    </row>
    <row r="151" spans="1:30" ht="17">
      <c r="A151" s="68"/>
      <c r="B151" s="68"/>
      <c r="C151" s="68"/>
      <c r="D151" s="415"/>
      <c r="E151" s="415"/>
      <c r="F151" s="415"/>
      <c r="G151" s="415"/>
      <c r="H151" s="415"/>
      <c r="I151" s="415"/>
      <c r="J151" s="415"/>
      <c r="K151" s="97"/>
      <c r="L151" s="97"/>
      <c r="M151" s="97"/>
      <c r="N151" s="97"/>
      <c r="O151" s="97"/>
      <c r="P151" s="97"/>
      <c r="Q151" s="97"/>
      <c r="R151" s="97"/>
      <c r="S151" s="97"/>
      <c r="T151" s="423">
        <v>148</v>
      </c>
      <c r="U151" s="424">
        <v>59062694421.374763</v>
      </c>
      <c r="V151" s="426"/>
      <c r="W151" s="97"/>
      <c r="X151" s="97"/>
      <c r="Y151" s="97"/>
      <c r="Z151" s="68"/>
      <c r="AA151" s="68"/>
      <c r="AB151" s="68"/>
      <c r="AC151" s="68"/>
      <c r="AD151" s="68"/>
    </row>
    <row r="152" spans="1:30" ht="17">
      <c r="A152" s="68"/>
      <c r="B152" s="68"/>
      <c r="C152" s="68"/>
      <c r="D152" s="415"/>
      <c r="E152" s="415"/>
      <c r="F152" s="415"/>
      <c r="G152" s="415"/>
      <c r="H152" s="415"/>
      <c r="I152" s="415"/>
      <c r="J152" s="415"/>
      <c r="K152" s="97"/>
      <c r="L152" s="97"/>
      <c r="M152" s="97"/>
      <c r="N152" s="97"/>
      <c r="O152" s="97"/>
      <c r="P152" s="97"/>
      <c r="Q152" s="97"/>
      <c r="R152" s="97"/>
      <c r="S152" s="97"/>
      <c r="T152" s="423">
        <v>149</v>
      </c>
      <c r="U152" s="424">
        <v>58878734400.164085</v>
      </c>
      <c r="V152" s="426"/>
      <c r="W152" s="97"/>
      <c r="X152" s="97"/>
      <c r="Y152" s="97"/>
      <c r="Z152" s="68"/>
      <c r="AA152" s="68"/>
      <c r="AB152" s="68"/>
      <c r="AC152" s="68"/>
      <c r="AD152" s="68"/>
    </row>
    <row r="153" spans="1:30" ht="17">
      <c r="A153" s="68"/>
      <c r="B153" s="68"/>
      <c r="C153" s="68"/>
      <c r="D153" s="415"/>
      <c r="E153" s="415"/>
      <c r="F153" s="415"/>
      <c r="G153" s="415"/>
      <c r="H153" s="415"/>
      <c r="I153" s="415"/>
      <c r="J153" s="415"/>
      <c r="K153" s="97"/>
      <c r="L153" s="97"/>
      <c r="M153" s="97"/>
      <c r="N153" s="97"/>
      <c r="O153" s="97"/>
      <c r="P153" s="97"/>
      <c r="Q153" s="97"/>
      <c r="R153" s="97"/>
      <c r="S153" s="97"/>
      <c r="T153" s="423">
        <v>150</v>
      </c>
      <c r="U153" s="424">
        <v>61142466635.441246</v>
      </c>
      <c r="V153" s="426"/>
      <c r="W153" s="97"/>
      <c r="X153" s="97"/>
      <c r="Y153" s="97"/>
      <c r="Z153" s="68"/>
      <c r="AA153" s="68"/>
      <c r="AB153" s="68"/>
      <c r="AC153" s="68"/>
      <c r="AD153" s="68"/>
    </row>
    <row r="154" spans="1:30" ht="17">
      <c r="A154" s="68"/>
      <c r="B154" s="68"/>
      <c r="C154" s="68"/>
      <c r="D154" s="415"/>
      <c r="E154" s="415"/>
      <c r="F154" s="415"/>
      <c r="G154" s="415"/>
      <c r="H154" s="415"/>
      <c r="I154" s="415"/>
      <c r="J154" s="415"/>
      <c r="K154" s="97"/>
      <c r="L154" s="97"/>
      <c r="M154" s="97"/>
      <c r="N154" s="97"/>
      <c r="O154" s="97"/>
      <c r="P154" s="97"/>
      <c r="Q154" s="97"/>
      <c r="R154" s="97"/>
      <c r="S154" s="97"/>
      <c r="T154" s="423">
        <v>151</v>
      </c>
      <c r="U154" s="424">
        <v>58907206904.492279</v>
      </c>
      <c r="V154" s="426"/>
      <c r="W154" s="97"/>
      <c r="X154" s="97"/>
      <c r="Y154" s="97"/>
      <c r="Z154" s="68"/>
      <c r="AA154" s="68"/>
      <c r="AB154" s="68"/>
      <c r="AC154" s="68"/>
      <c r="AD154" s="68"/>
    </row>
    <row r="155" spans="1:30" ht="17">
      <c r="A155" s="68"/>
      <c r="B155" s="68"/>
      <c r="C155" s="68"/>
      <c r="D155" s="415"/>
      <c r="E155" s="415"/>
      <c r="F155" s="415"/>
      <c r="G155" s="415"/>
      <c r="H155" s="415"/>
      <c r="I155" s="415"/>
      <c r="J155" s="415"/>
      <c r="K155" s="97"/>
      <c r="L155" s="97"/>
      <c r="M155" s="97"/>
      <c r="N155" s="97"/>
      <c r="O155" s="97"/>
      <c r="P155" s="97"/>
      <c r="Q155" s="97"/>
      <c r="R155" s="97"/>
      <c r="S155" s="97"/>
      <c r="T155" s="423">
        <v>152</v>
      </c>
      <c r="U155" s="424">
        <v>61073315869.129784</v>
      </c>
      <c r="V155" s="426"/>
      <c r="W155" s="97"/>
      <c r="X155" s="97"/>
      <c r="Y155" s="97"/>
      <c r="Z155" s="68"/>
      <c r="AA155" s="68"/>
      <c r="AB155" s="68"/>
      <c r="AC155" s="68"/>
      <c r="AD155" s="68"/>
    </row>
    <row r="156" spans="1:30" ht="17">
      <c r="A156" s="68"/>
      <c r="B156" s="68"/>
      <c r="C156" s="68"/>
      <c r="D156" s="415"/>
      <c r="E156" s="415"/>
      <c r="F156" s="415"/>
      <c r="G156" s="415"/>
      <c r="H156" s="415"/>
      <c r="I156" s="415"/>
      <c r="J156" s="415"/>
      <c r="K156" s="97"/>
      <c r="L156" s="97"/>
      <c r="M156" s="97"/>
      <c r="N156" s="97"/>
      <c r="O156" s="97"/>
      <c r="P156" s="97"/>
      <c r="Q156" s="97"/>
      <c r="R156" s="97"/>
      <c r="S156" s="97"/>
      <c r="T156" s="423">
        <v>153</v>
      </c>
      <c r="U156" s="424">
        <v>62610754977.675781</v>
      </c>
      <c r="V156" s="426"/>
      <c r="W156" s="97"/>
      <c r="X156" s="97"/>
      <c r="Y156" s="97"/>
      <c r="Z156" s="68"/>
      <c r="AA156" s="68"/>
      <c r="AB156" s="68"/>
      <c r="AC156" s="68"/>
      <c r="AD156" s="68"/>
    </row>
    <row r="157" spans="1:30" ht="17">
      <c r="A157" s="68"/>
      <c r="B157" s="68"/>
      <c r="C157" s="68"/>
      <c r="D157" s="415"/>
      <c r="E157" s="415"/>
      <c r="F157" s="415"/>
      <c r="G157" s="415"/>
      <c r="H157" s="415"/>
      <c r="I157" s="415"/>
      <c r="J157" s="415"/>
      <c r="K157" s="97"/>
      <c r="L157" s="97"/>
      <c r="M157" s="97"/>
      <c r="N157" s="97"/>
      <c r="O157" s="97"/>
      <c r="P157" s="97"/>
      <c r="Q157" s="97"/>
      <c r="R157" s="97"/>
      <c r="S157" s="97"/>
      <c r="T157" s="423">
        <v>154</v>
      </c>
      <c r="U157" s="424">
        <v>60796797303.029922</v>
      </c>
      <c r="V157" s="426"/>
      <c r="W157" s="97"/>
      <c r="X157" s="97"/>
      <c r="Y157" s="97"/>
      <c r="Z157" s="68"/>
      <c r="AA157" s="68"/>
      <c r="AB157" s="68"/>
      <c r="AC157" s="68"/>
      <c r="AD157" s="68"/>
    </row>
    <row r="158" spans="1:30" ht="17">
      <c r="A158" s="68"/>
      <c r="B158" s="68"/>
      <c r="C158" s="68"/>
      <c r="D158" s="415"/>
      <c r="E158" s="415"/>
      <c r="F158" s="415"/>
      <c r="G158" s="415"/>
      <c r="H158" s="415"/>
      <c r="I158" s="415"/>
      <c r="J158" s="415"/>
      <c r="K158" s="97"/>
      <c r="L158" s="97"/>
      <c r="M158" s="97"/>
      <c r="N158" s="97"/>
      <c r="O158" s="97"/>
      <c r="P158" s="97"/>
      <c r="Q158" s="97"/>
      <c r="R158" s="97"/>
      <c r="S158" s="97"/>
      <c r="T158" s="423">
        <v>155</v>
      </c>
      <c r="U158" s="424">
        <v>55826254437.189728</v>
      </c>
      <c r="V158" s="426"/>
      <c r="W158" s="97"/>
      <c r="X158" s="97"/>
      <c r="Y158" s="97"/>
      <c r="Z158" s="68"/>
      <c r="AA158" s="68"/>
      <c r="AB158" s="68"/>
      <c r="AC158" s="68"/>
      <c r="AD158" s="68"/>
    </row>
    <row r="159" spans="1:30" ht="17">
      <c r="A159" s="68"/>
      <c r="B159" s="68"/>
      <c r="C159" s="68"/>
      <c r="D159" s="415"/>
      <c r="E159" s="415"/>
      <c r="F159" s="415"/>
      <c r="G159" s="415"/>
      <c r="H159" s="415"/>
      <c r="I159" s="415"/>
      <c r="J159" s="415"/>
      <c r="K159" s="97"/>
      <c r="L159" s="97"/>
      <c r="M159" s="97"/>
      <c r="N159" s="97"/>
      <c r="O159" s="97"/>
      <c r="P159" s="97"/>
      <c r="Q159" s="97"/>
      <c r="R159" s="97"/>
      <c r="S159" s="97"/>
      <c r="T159" s="423">
        <v>156</v>
      </c>
      <c r="U159" s="424">
        <v>60082484577.98159</v>
      </c>
      <c r="V159" s="426"/>
      <c r="W159" s="97"/>
      <c r="X159" s="97"/>
      <c r="Y159" s="97"/>
      <c r="Z159" s="68"/>
      <c r="AA159" s="68"/>
      <c r="AB159" s="68"/>
      <c r="AC159" s="68"/>
      <c r="AD159" s="68"/>
    </row>
    <row r="160" spans="1:30" ht="17">
      <c r="A160" s="68"/>
      <c r="B160" s="68"/>
      <c r="C160" s="68"/>
      <c r="D160" s="415"/>
      <c r="E160" s="415"/>
      <c r="F160" s="415"/>
      <c r="G160" s="415"/>
      <c r="H160" s="415"/>
      <c r="I160" s="415"/>
      <c r="J160" s="415"/>
      <c r="K160" s="97"/>
      <c r="L160" s="97"/>
      <c r="M160" s="97"/>
      <c r="N160" s="97"/>
      <c r="O160" s="97"/>
      <c r="P160" s="97"/>
      <c r="Q160" s="97"/>
      <c r="R160" s="97"/>
      <c r="S160" s="97"/>
      <c r="T160" s="423">
        <v>157</v>
      </c>
      <c r="U160" s="424">
        <v>56889290959.403336</v>
      </c>
      <c r="V160" s="426"/>
      <c r="W160" s="97"/>
      <c r="X160" s="97"/>
      <c r="Y160" s="97"/>
      <c r="Z160" s="68"/>
      <c r="AA160" s="68"/>
      <c r="AB160" s="68"/>
      <c r="AC160" s="68"/>
      <c r="AD160" s="68"/>
    </row>
    <row r="161" spans="1:30" ht="17">
      <c r="A161" s="68"/>
      <c r="B161" s="68"/>
      <c r="C161" s="68"/>
      <c r="D161" s="415"/>
      <c r="E161" s="415"/>
      <c r="F161" s="415"/>
      <c r="G161" s="415"/>
      <c r="H161" s="415"/>
      <c r="I161" s="415"/>
      <c r="J161" s="415"/>
      <c r="K161" s="97"/>
      <c r="L161" s="97"/>
      <c r="M161" s="97"/>
      <c r="N161" s="97"/>
      <c r="O161" s="97"/>
      <c r="P161" s="97"/>
      <c r="Q161" s="97"/>
      <c r="R161" s="97"/>
      <c r="S161" s="97"/>
      <c r="T161" s="423">
        <v>158</v>
      </c>
      <c r="U161" s="424">
        <v>60291372899.085754</v>
      </c>
      <c r="V161" s="426"/>
      <c r="W161" s="97"/>
      <c r="X161" s="97"/>
      <c r="Y161" s="97"/>
      <c r="Z161" s="68"/>
      <c r="AA161" s="68"/>
      <c r="AB161" s="68"/>
      <c r="AC161" s="68"/>
      <c r="AD161" s="68"/>
    </row>
    <row r="162" spans="1:30" ht="17">
      <c r="A162" s="68"/>
      <c r="B162" s="68"/>
      <c r="C162" s="68"/>
      <c r="D162" s="415"/>
      <c r="E162" s="415"/>
      <c r="F162" s="415"/>
      <c r="G162" s="415"/>
      <c r="H162" s="415"/>
      <c r="I162" s="415"/>
      <c r="J162" s="415"/>
      <c r="K162" s="97"/>
      <c r="L162" s="97"/>
      <c r="M162" s="97"/>
      <c r="N162" s="97"/>
      <c r="O162" s="97"/>
      <c r="P162" s="97"/>
      <c r="Q162" s="97"/>
      <c r="R162" s="97"/>
      <c r="S162" s="97"/>
      <c r="T162" s="423">
        <v>159</v>
      </c>
      <c r="U162" s="424">
        <v>61164639474.240189</v>
      </c>
      <c r="V162" s="426"/>
      <c r="W162" s="97"/>
      <c r="X162" s="97"/>
      <c r="Y162" s="97"/>
      <c r="Z162" s="68"/>
      <c r="AA162" s="68"/>
      <c r="AB162" s="68"/>
      <c r="AC162" s="68"/>
      <c r="AD162" s="68"/>
    </row>
    <row r="163" spans="1:30" ht="17">
      <c r="A163" s="68"/>
      <c r="B163" s="68"/>
      <c r="C163" s="68"/>
      <c r="D163" s="415"/>
      <c r="E163" s="415"/>
      <c r="F163" s="415"/>
      <c r="G163" s="415"/>
      <c r="H163" s="415"/>
      <c r="I163" s="415"/>
      <c r="J163" s="415"/>
      <c r="K163" s="97"/>
      <c r="L163" s="97"/>
      <c r="M163" s="97"/>
      <c r="N163" s="97"/>
      <c r="O163" s="97"/>
      <c r="P163" s="97"/>
      <c r="Q163" s="97"/>
      <c r="R163" s="97"/>
      <c r="S163" s="97"/>
      <c r="T163" s="423">
        <v>160</v>
      </c>
      <c r="U163" s="424">
        <v>58718688641.571976</v>
      </c>
      <c r="V163" s="426"/>
      <c r="W163" s="97"/>
      <c r="X163" s="97"/>
      <c r="Y163" s="97"/>
      <c r="Z163" s="68"/>
      <c r="AA163" s="68"/>
      <c r="AB163" s="68"/>
      <c r="AC163" s="68"/>
      <c r="AD163" s="68"/>
    </row>
    <row r="164" spans="1:30" ht="17">
      <c r="A164" s="68"/>
      <c r="B164" s="68"/>
      <c r="C164" s="68"/>
      <c r="D164" s="415"/>
      <c r="E164" s="415"/>
      <c r="F164" s="415"/>
      <c r="G164" s="415"/>
      <c r="H164" s="415"/>
      <c r="I164" s="415"/>
      <c r="J164" s="415"/>
      <c r="K164" s="97"/>
      <c r="L164" s="97"/>
      <c r="M164" s="97"/>
      <c r="N164" s="97"/>
      <c r="O164" s="97"/>
      <c r="P164" s="97"/>
      <c r="Q164" s="97"/>
      <c r="R164" s="97"/>
      <c r="S164" s="97"/>
      <c r="T164" s="423">
        <v>161</v>
      </c>
      <c r="U164" s="424">
        <v>57954661939.335693</v>
      </c>
      <c r="V164" s="426"/>
      <c r="W164" s="97"/>
      <c r="X164" s="97"/>
      <c r="Y164" s="97"/>
      <c r="Z164" s="68"/>
      <c r="AA164" s="68"/>
      <c r="AB164" s="68"/>
      <c r="AC164" s="68"/>
      <c r="AD164" s="68"/>
    </row>
    <row r="165" spans="1:30" ht="17">
      <c r="A165" s="68"/>
      <c r="B165" s="68"/>
      <c r="C165" s="68"/>
      <c r="D165" s="415"/>
      <c r="E165" s="415"/>
      <c r="F165" s="415"/>
      <c r="G165" s="415"/>
      <c r="H165" s="415"/>
      <c r="I165" s="415"/>
      <c r="J165" s="415"/>
      <c r="K165" s="97"/>
      <c r="L165" s="97"/>
      <c r="M165" s="97"/>
      <c r="N165" s="97"/>
      <c r="O165" s="97"/>
      <c r="P165" s="97"/>
      <c r="Q165" s="97"/>
      <c r="R165" s="97"/>
      <c r="S165" s="97"/>
      <c r="T165" s="423">
        <v>162</v>
      </c>
      <c r="U165" s="424">
        <v>62959039389.806015</v>
      </c>
      <c r="V165" s="426"/>
      <c r="W165" s="97"/>
      <c r="X165" s="97"/>
      <c r="Y165" s="97"/>
      <c r="Z165" s="68"/>
      <c r="AA165" s="68"/>
      <c r="AB165" s="68"/>
      <c r="AC165" s="68"/>
      <c r="AD165" s="68"/>
    </row>
    <row r="166" spans="1:30" ht="17">
      <c r="A166" s="68"/>
      <c r="B166" s="68"/>
      <c r="C166" s="68"/>
      <c r="D166" s="415"/>
      <c r="E166" s="415"/>
      <c r="F166" s="415"/>
      <c r="G166" s="415"/>
      <c r="H166" s="415"/>
      <c r="I166" s="415"/>
      <c r="J166" s="415"/>
      <c r="K166" s="97"/>
      <c r="L166" s="97"/>
      <c r="M166" s="97"/>
      <c r="N166" s="97"/>
      <c r="O166" s="97"/>
      <c r="P166" s="97"/>
      <c r="Q166" s="97"/>
      <c r="R166" s="97"/>
      <c r="S166" s="97"/>
      <c r="T166" s="423">
        <v>163</v>
      </c>
      <c r="U166" s="424">
        <v>55444701403.708771</v>
      </c>
      <c r="V166" s="426"/>
      <c r="W166" s="97"/>
      <c r="X166" s="97"/>
      <c r="Y166" s="97"/>
      <c r="Z166" s="68"/>
      <c r="AA166" s="68"/>
      <c r="AB166" s="68"/>
      <c r="AC166" s="68"/>
      <c r="AD166" s="68"/>
    </row>
    <row r="167" spans="1:30" ht="17">
      <c r="A167" s="68"/>
      <c r="B167" s="68"/>
      <c r="C167" s="68"/>
      <c r="D167" s="415"/>
      <c r="E167" s="415"/>
      <c r="F167" s="415"/>
      <c r="G167" s="415"/>
      <c r="H167" s="415"/>
      <c r="I167" s="415"/>
      <c r="J167" s="415"/>
      <c r="K167" s="97"/>
      <c r="L167" s="97"/>
      <c r="M167" s="97"/>
      <c r="N167" s="97"/>
      <c r="O167" s="97"/>
      <c r="P167" s="97"/>
      <c r="Q167" s="97"/>
      <c r="R167" s="97"/>
      <c r="S167" s="97"/>
      <c r="T167" s="423">
        <v>164</v>
      </c>
      <c r="U167" s="424">
        <v>57371524493.159744</v>
      </c>
      <c r="V167" s="426"/>
      <c r="W167" s="97"/>
      <c r="X167" s="97"/>
      <c r="Y167" s="97"/>
      <c r="Z167" s="68"/>
      <c r="AA167" s="68"/>
      <c r="AB167" s="68"/>
      <c r="AC167" s="68"/>
      <c r="AD167" s="68"/>
    </row>
    <row r="168" spans="1:30" ht="17">
      <c r="A168" s="68"/>
      <c r="B168" s="68"/>
      <c r="C168" s="68"/>
      <c r="D168" s="415"/>
      <c r="E168" s="415"/>
      <c r="F168" s="415"/>
      <c r="G168" s="415"/>
      <c r="H168" s="415"/>
      <c r="I168" s="415"/>
      <c r="J168" s="415"/>
      <c r="K168" s="97"/>
      <c r="L168" s="97"/>
      <c r="M168" s="97"/>
      <c r="N168" s="97"/>
      <c r="O168" s="97"/>
      <c r="P168" s="97"/>
      <c r="Q168" s="97"/>
      <c r="R168" s="97"/>
      <c r="S168" s="97"/>
      <c r="T168" s="423">
        <v>165</v>
      </c>
      <c r="U168" s="424">
        <v>59120645522.428627</v>
      </c>
      <c r="V168" s="426"/>
      <c r="W168" s="97"/>
      <c r="X168" s="97"/>
      <c r="Y168" s="97"/>
      <c r="Z168" s="68"/>
      <c r="AA168" s="68"/>
      <c r="AB168" s="68"/>
      <c r="AC168" s="68"/>
      <c r="AD168" s="68"/>
    </row>
    <row r="169" spans="1:30" ht="17">
      <c r="A169" s="68"/>
      <c r="B169" s="68"/>
      <c r="C169" s="68"/>
      <c r="D169" s="415"/>
      <c r="E169" s="415"/>
      <c r="F169" s="415"/>
      <c r="G169" s="415"/>
      <c r="H169" s="415"/>
      <c r="I169" s="415"/>
      <c r="J169" s="415"/>
      <c r="K169" s="97"/>
      <c r="L169" s="97"/>
      <c r="M169" s="97"/>
      <c r="N169" s="97"/>
      <c r="O169" s="97"/>
      <c r="P169" s="97"/>
      <c r="Q169" s="97"/>
      <c r="R169" s="97"/>
      <c r="S169" s="97"/>
      <c r="T169" s="423">
        <v>166</v>
      </c>
      <c r="U169" s="424">
        <v>56868781683.848572</v>
      </c>
      <c r="V169" s="426"/>
      <c r="W169" s="97"/>
      <c r="X169" s="97"/>
      <c r="Y169" s="97"/>
      <c r="Z169" s="68"/>
      <c r="AA169" s="68"/>
      <c r="AB169" s="68"/>
      <c r="AC169" s="68"/>
      <c r="AD169" s="68"/>
    </row>
    <row r="170" spans="1:30" ht="17">
      <c r="A170" s="68"/>
      <c r="B170" s="68"/>
      <c r="C170" s="68"/>
      <c r="D170" s="415"/>
      <c r="E170" s="415"/>
      <c r="F170" s="415"/>
      <c r="G170" s="415"/>
      <c r="H170" s="415"/>
      <c r="I170" s="415"/>
      <c r="J170" s="415"/>
      <c r="K170" s="97"/>
      <c r="L170" s="97"/>
      <c r="M170" s="97"/>
      <c r="N170" s="97"/>
      <c r="O170" s="97"/>
      <c r="P170" s="97"/>
      <c r="Q170" s="97"/>
      <c r="R170" s="97"/>
      <c r="S170" s="97"/>
      <c r="T170" s="423">
        <v>167</v>
      </c>
      <c r="U170" s="424">
        <v>60724889304.777</v>
      </c>
      <c r="V170" s="426"/>
      <c r="W170" s="97"/>
      <c r="X170" s="97"/>
      <c r="Y170" s="97"/>
      <c r="Z170" s="68"/>
      <c r="AA170" s="68"/>
      <c r="AB170" s="68"/>
      <c r="AC170" s="68"/>
      <c r="AD170" s="68"/>
    </row>
    <row r="171" spans="1:30" ht="17">
      <c r="A171" s="68"/>
      <c r="B171" s="68"/>
      <c r="C171" s="68"/>
      <c r="D171" s="415"/>
      <c r="E171" s="415"/>
      <c r="F171" s="415"/>
      <c r="G171" s="415"/>
      <c r="H171" s="415"/>
      <c r="I171" s="415"/>
      <c r="J171" s="415"/>
      <c r="K171" s="97"/>
      <c r="L171" s="97"/>
      <c r="M171" s="97"/>
      <c r="N171" s="97"/>
      <c r="O171" s="97"/>
      <c r="P171" s="97"/>
      <c r="Q171" s="97"/>
      <c r="R171" s="97"/>
      <c r="S171" s="97"/>
      <c r="T171" s="423">
        <v>168</v>
      </c>
      <c r="U171" s="424">
        <v>60517557608.459076</v>
      </c>
      <c r="V171" s="426"/>
      <c r="W171" s="97"/>
      <c r="X171" s="97"/>
      <c r="Y171" s="97"/>
      <c r="Z171" s="68"/>
      <c r="AA171" s="68"/>
      <c r="AB171" s="68"/>
      <c r="AC171" s="68"/>
      <c r="AD171" s="68"/>
    </row>
    <row r="172" spans="1:30" ht="17">
      <c r="A172" s="68"/>
      <c r="B172" s="68"/>
      <c r="C172" s="68"/>
      <c r="D172" s="415"/>
      <c r="E172" s="415"/>
      <c r="F172" s="415"/>
      <c r="G172" s="415"/>
      <c r="H172" s="415"/>
      <c r="I172" s="415"/>
      <c r="J172" s="415"/>
      <c r="K172" s="97"/>
      <c r="L172" s="97"/>
      <c r="M172" s="97"/>
      <c r="N172" s="97"/>
      <c r="O172" s="97"/>
      <c r="P172" s="97"/>
      <c r="Q172" s="97"/>
      <c r="R172" s="97"/>
      <c r="S172" s="97"/>
      <c r="T172" s="423">
        <v>169</v>
      </c>
      <c r="U172" s="424">
        <v>59173295445.095711</v>
      </c>
      <c r="V172" s="426"/>
      <c r="W172" s="97"/>
      <c r="X172" s="97"/>
      <c r="Y172" s="97"/>
      <c r="Z172" s="68"/>
      <c r="AA172" s="68"/>
      <c r="AB172" s="68"/>
      <c r="AC172" s="68"/>
      <c r="AD172" s="68"/>
    </row>
    <row r="173" spans="1:30" ht="17">
      <c r="A173" s="68"/>
      <c r="B173" s="68"/>
      <c r="C173" s="68"/>
      <c r="D173" s="415"/>
      <c r="E173" s="415"/>
      <c r="F173" s="415"/>
      <c r="G173" s="415"/>
      <c r="H173" s="415"/>
      <c r="I173" s="415"/>
      <c r="J173" s="415"/>
      <c r="K173" s="97"/>
      <c r="L173" s="97"/>
      <c r="M173" s="97"/>
      <c r="N173" s="97"/>
      <c r="O173" s="97"/>
      <c r="P173" s="97"/>
      <c r="Q173" s="97"/>
      <c r="R173" s="97"/>
      <c r="S173" s="97"/>
      <c r="T173" s="423">
        <v>170</v>
      </c>
      <c r="U173" s="424">
        <v>56531999533.9758</v>
      </c>
      <c r="V173" s="426"/>
      <c r="W173" s="97"/>
      <c r="X173" s="97"/>
      <c r="Y173" s="97"/>
      <c r="Z173" s="68"/>
      <c r="AA173" s="68"/>
      <c r="AB173" s="68"/>
      <c r="AC173" s="68"/>
      <c r="AD173" s="68"/>
    </row>
    <row r="174" spans="1:30" ht="17">
      <c r="A174" s="68"/>
      <c r="B174" s="68"/>
      <c r="C174" s="68"/>
      <c r="D174" s="415"/>
      <c r="E174" s="415"/>
      <c r="F174" s="415"/>
      <c r="G174" s="415"/>
      <c r="H174" s="415"/>
      <c r="I174" s="415"/>
      <c r="J174" s="415"/>
      <c r="K174" s="97"/>
      <c r="L174" s="97"/>
      <c r="M174" s="97"/>
      <c r="N174" s="97"/>
      <c r="O174" s="97"/>
      <c r="P174" s="97"/>
      <c r="Q174" s="97"/>
      <c r="R174" s="97"/>
      <c r="S174" s="97"/>
      <c r="T174" s="423">
        <v>171</v>
      </c>
      <c r="U174" s="424">
        <v>62184473650.503212</v>
      </c>
      <c r="V174" s="426"/>
      <c r="W174" s="97"/>
      <c r="X174" s="97"/>
      <c r="Y174" s="97"/>
      <c r="Z174" s="68"/>
      <c r="AA174" s="68"/>
      <c r="AB174" s="68"/>
      <c r="AC174" s="68"/>
      <c r="AD174" s="68"/>
    </row>
    <row r="175" spans="1:30" ht="17">
      <c r="A175" s="68"/>
      <c r="B175" s="68"/>
      <c r="C175" s="68"/>
      <c r="D175" s="415"/>
      <c r="E175" s="415"/>
      <c r="F175" s="415"/>
      <c r="G175" s="415"/>
      <c r="H175" s="415"/>
      <c r="I175" s="415"/>
      <c r="J175" s="415"/>
      <c r="K175" s="97"/>
      <c r="L175" s="97"/>
      <c r="M175" s="97"/>
      <c r="N175" s="97"/>
      <c r="O175" s="97"/>
      <c r="P175" s="97"/>
      <c r="Q175" s="97"/>
      <c r="R175" s="97"/>
      <c r="S175" s="97"/>
      <c r="T175" s="423">
        <v>172</v>
      </c>
      <c r="U175" s="424">
        <v>60700317791.874527</v>
      </c>
      <c r="V175" s="426"/>
      <c r="W175" s="97"/>
      <c r="X175" s="97"/>
      <c r="Y175" s="97"/>
      <c r="Z175" s="68"/>
      <c r="AA175" s="68"/>
      <c r="AB175" s="68"/>
      <c r="AC175" s="68"/>
      <c r="AD175" s="68"/>
    </row>
    <row r="176" spans="1:30" ht="17">
      <c r="A176" s="68"/>
      <c r="B176" s="68"/>
      <c r="C176" s="68"/>
      <c r="D176" s="415"/>
      <c r="E176" s="415"/>
      <c r="F176" s="415"/>
      <c r="G176" s="415"/>
      <c r="H176" s="415"/>
      <c r="I176" s="415"/>
      <c r="J176" s="415"/>
      <c r="K176" s="97"/>
      <c r="L176" s="97"/>
      <c r="M176" s="97"/>
      <c r="N176" s="97"/>
      <c r="O176" s="97"/>
      <c r="P176" s="97"/>
      <c r="Q176" s="97"/>
      <c r="R176" s="97"/>
      <c r="S176" s="97"/>
      <c r="T176" s="423">
        <v>173</v>
      </c>
      <c r="U176" s="424">
        <v>57401207861.937225</v>
      </c>
      <c r="V176" s="426"/>
      <c r="W176" s="97"/>
      <c r="X176" s="97"/>
      <c r="Y176" s="97"/>
      <c r="Z176" s="68"/>
      <c r="AA176" s="68"/>
      <c r="AB176" s="68"/>
      <c r="AC176" s="68"/>
      <c r="AD176" s="68"/>
    </row>
    <row r="177" spans="1:30" ht="17">
      <c r="A177" s="68"/>
      <c r="B177" s="68"/>
      <c r="C177" s="68"/>
      <c r="D177" s="415"/>
      <c r="E177" s="415"/>
      <c r="F177" s="415"/>
      <c r="G177" s="415"/>
      <c r="H177" s="415"/>
      <c r="I177" s="415"/>
      <c r="J177" s="415"/>
      <c r="K177" s="97"/>
      <c r="L177" s="97"/>
      <c r="M177" s="97"/>
      <c r="N177" s="97"/>
      <c r="O177" s="97"/>
      <c r="P177" s="97"/>
      <c r="Q177" s="97"/>
      <c r="R177" s="97"/>
      <c r="S177" s="97"/>
      <c r="T177" s="423">
        <v>174</v>
      </c>
      <c r="U177" s="424">
        <v>58469357988.049988</v>
      </c>
      <c r="V177" s="426"/>
      <c r="W177" s="97"/>
      <c r="X177" s="97"/>
      <c r="Y177" s="97"/>
      <c r="Z177" s="68"/>
      <c r="AA177" s="68"/>
      <c r="AB177" s="68"/>
      <c r="AC177" s="68"/>
      <c r="AD177" s="68"/>
    </row>
    <row r="178" spans="1:30" ht="17">
      <c r="A178" s="68"/>
      <c r="B178" s="68"/>
      <c r="C178" s="68"/>
      <c r="D178" s="415"/>
      <c r="E178" s="415"/>
      <c r="F178" s="415"/>
      <c r="G178" s="415"/>
      <c r="H178" s="415"/>
      <c r="I178" s="415"/>
      <c r="J178" s="415"/>
      <c r="K178" s="97"/>
      <c r="L178" s="97"/>
      <c r="M178" s="97"/>
      <c r="N178" s="97"/>
      <c r="O178" s="97"/>
      <c r="P178" s="97"/>
      <c r="Q178" s="97"/>
      <c r="R178" s="97"/>
      <c r="S178" s="97"/>
      <c r="T178" s="423">
        <v>175</v>
      </c>
      <c r="U178" s="424">
        <v>57308626114.333931</v>
      </c>
      <c r="V178" s="426"/>
      <c r="W178" s="97"/>
      <c r="X178" s="97"/>
      <c r="Y178" s="97"/>
      <c r="Z178" s="68"/>
      <c r="AA178" s="68"/>
      <c r="AB178" s="68"/>
      <c r="AC178" s="68"/>
      <c r="AD178" s="68"/>
    </row>
    <row r="179" spans="1:30" ht="17">
      <c r="A179" s="68"/>
      <c r="B179" s="68"/>
      <c r="C179" s="68"/>
      <c r="D179" s="415"/>
      <c r="E179" s="415"/>
      <c r="F179" s="415"/>
      <c r="G179" s="415"/>
      <c r="H179" s="415"/>
      <c r="I179" s="415"/>
      <c r="J179" s="415"/>
      <c r="K179" s="97"/>
      <c r="L179" s="97"/>
      <c r="M179" s="97"/>
      <c r="N179" s="97"/>
      <c r="O179" s="97"/>
      <c r="P179" s="97"/>
      <c r="Q179" s="97"/>
      <c r="R179" s="97"/>
      <c r="S179" s="97"/>
      <c r="T179" s="423">
        <v>176</v>
      </c>
      <c r="U179" s="424">
        <v>61992766514.969208</v>
      </c>
      <c r="V179" s="426"/>
      <c r="W179" s="97"/>
      <c r="X179" s="97"/>
      <c r="Y179" s="97"/>
      <c r="Z179" s="68"/>
      <c r="AA179" s="68"/>
      <c r="AB179" s="68"/>
      <c r="AC179" s="68"/>
      <c r="AD179" s="68"/>
    </row>
    <row r="180" spans="1:30" ht="17">
      <c r="A180" s="68"/>
      <c r="B180" s="68"/>
      <c r="C180" s="68"/>
      <c r="D180" s="415"/>
      <c r="E180" s="415"/>
      <c r="F180" s="415"/>
      <c r="G180" s="415"/>
      <c r="H180" s="415"/>
      <c r="I180" s="415"/>
      <c r="J180" s="415"/>
      <c r="K180" s="97"/>
      <c r="L180" s="97"/>
      <c r="M180" s="97"/>
      <c r="N180" s="97"/>
      <c r="O180" s="97"/>
      <c r="P180" s="97"/>
      <c r="Q180" s="97"/>
      <c r="R180" s="97"/>
      <c r="S180" s="97"/>
      <c r="T180" s="423">
        <v>177</v>
      </c>
      <c r="U180" s="424">
        <v>60852975482.576492</v>
      </c>
      <c r="V180" s="426"/>
      <c r="W180" s="97"/>
      <c r="X180" s="97"/>
      <c r="Y180" s="97"/>
      <c r="Z180" s="68"/>
      <c r="AA180" s="68"/>
      <c r="AB180" s="68"/>
      <c r="AC180" s="68"/>
      <c r="AD180" s="68"/>
    </row>
    <row r="181" spans="1:30" ht="17">
      <c r="A181" s="68"/>
      <c r="B181" s="68"/>
      <c r="C181" s="68"/>
      <c r="D181" s="415"/>
      <c r="E181" s="415"/>
      <c r="F181" s="415"/>
      <c r="G181" s="415"/>
      <c r="H181" s="415"/>
      <c r="I181" s="415"/>
      <c r="J181" s="415"/>
      <c r="K181" s="97"/>
      <c r="L181" s="97"/>
      <c r="M181" s="97"/>
      <c r="N181" s="97"/>
      <c r="O181" s="97"/>
      <c r="P181" s="97"/>
      <c r="Q181" s="97"/>
      <c r="R181" s="97"/>
      <c r="S181" s="97"/>
      <c r="T181" s="423">
        <v>178</v>
      </c>
      <c r="U181" s="424">
        <v>57991221538.975113</v>
      </c>
      <c r="V181" s="426"/>
      <c r="W181" s="97"/>
      <c r="X181" s="97"/>
      <c r="Y181" s="97"/>
      <c r="Z181" s="68"/>
      <c r="AA181" s="68"/>
      <c r="AB181" s="68"/>
      <c r="AC181" s="68"/>
      <c r="AD181" s="68"/>
    </row>
    <row r="182" spans="1:30" ht="17">
      <c r="A182" s="68"/>
      <c r="B182" s="68"/>
      <c r="C182" s="68"/>
      <c r="D182" s="415"/>
      <c r="E182" s="415"/>
      <c r="F182" s="415"/>
      <c r="G182" s="415"/>
      <c r="H182" s="415"/>
      <c r="I182" s="415"/>
      <c r="J182" s="415"/>
      <c r="K182" s="97"/>
      <c r="L182" s="97"/>
      <c r="M182" s="97"/>
      <c r="N182" s="97"/>
      <c r="O182" s="97"/>
      <c r="P182" s="97"/>
      <c r="Q182" s="97"/>
      <c r="R182" s="97"/>
      <c r="S182" s="97"/>
      <c r="T182" s="423">
        <v>179</v>
      </c>
      <c r="U182" s="424">
        <v>59504974188.660515</v>
      </c>
      <c r="V182" s="426"/>
      <c r="W182" s="97"/>
      <c r="X182" s="97"/>
      <c r="Y182" s="97"/>
      <c r="Z182" s="68"/>
      <c r="AA182" s="68"/>
      <c r="AB182" s="68"/>
      <c r="AC182" s="68"/>
      <c r="AD182" s="68"/>
    </row>
    <row r="183" spans="1:30" ht="17">
      <c r="A183" s="68"/>
      <c r="B183" s="68"/>
      <c r="C183" s="68"/>
      <c r="D183" s="415"/>
      <c r="E183" s="415"/>
      <c r="F183" s="415"/>
      <c r="G183" s="415"/>
      <c r="H183" s="415"/>
      <c r="I183" s="415"/>
      <c r="J183" s="415"/>
      <c r="K183" s="97"/>
      <c r="L183" s="97"/>
      <c r="M183" s="97"/>
      <c r="N183" s="97"/>
      <c r="O183" s="97"/>
      <c r="P183" s="97"/>
      <c r="Q183" s="97"/>
      <c r="R183" s="97"/>
      <c r="S183" s="97"/>
      <c r="T183" s="423">
        <v>180</v>
      </c>
      <c r="U183" s="424">
        <v>62477854562.838051</v>
      </c>
      <c r="V183" s="426"/>
      <c r="W183" s="97"/>
      <c r="X183" s="97"/>
      <c r="Y183" s="97"/>
      <c r="Z183" s="68"/>
      <c r="AA183" s="68"/>
      <c r="AB183" s="68"/>
      <c r="AC183" s="68"/>
      <c r="AD183" s="68"/>
    </row>
    <row r="184" spans="1:30" ht="17">
      <c r="A184" s="68"/>
      <c r="B184" s="68"/>
      <c r="C184" s="68"/>
      <c r="D184" s="415"/>
      <c r="E184" s="415"/>
      <c r="F184" s="415"/>
      <c r="G184" s="415"/>
      <c r="H184" s="415"/>
      <c r="I184" s="415"/>
      <c r="J184" s="415"/>
      <c r="K184" s="97"/>
      <c r="L184" s="97"/>
      <c r="M184" s="97"/>
      <c r="N184" s="97"/>
      <c r="O184" s="97"/>
      <c r="P184" s="97"/>
      <c r="Q184" s="97"/>
      <c r="R184" s="97"/>
      <c r="S184" s="97"/>
      <c r="T184" s="423">
        <v>181</v>
      </c>
      <c r="U184" s="424">
        <v>53570990063.476036</v>
      </c>
      <c r="V184" s="426"/>
      <c r="W184" s="97"/>
      <c r="X184" s="97"/>
      <c r="Y184" s="97"/>
      <c r="Z184" s="68"/>
      <c r="AA184" s="68"/>
      <c r="AB184" s="68"/>
      <c r="AC184" s="68"/>
      <c r="AD184" s="68"/>
    </row>
    <row r="185" spans="1:30" ht="17">
      <c r="A185" s="68"/>
      <c r="B185" s="68"/>
      <c r="C185" s="68"/>
      <c r="D185" s="415"/>
      <c r="E185" s="415"/>
      <c r="F185" s="415"/>
      <c r="G185" s="415"/>
      <c r="H185" s="415"/>
      <c r="I185" s="415"/>
      <c r="J185" s="415"/>
      <c r="K185" s="97"/>
      <c r="L185" s="97"/>
      <c r="M185" s="97"/>
      <c r="N185" s="97"/>
      <c r="O185" s="97"/>
      <c r="P185" s="97"/>
      <c r="Q185" s="97"/>
      <c r="R185" s="97"/>
      <c r="S185" s="97"/>
      <c r="T185" s="423">
        <v>182</v>
      </c>
      <c r="U185" s="424">
        <v>58805291670.670792</v>
      </c>
      <c r="V185" s="426"/>
      <c r="W185" s="97"/>
      <c r="X185" s="97"/>
      <c r="Y185" s="97"/>
      <c r="Z185" s="68"/>
      <c r="AA185" s="68"/>
      <c r="AB185" s="68"/>
      <c r="AC185" s="68"/>
      <c r="AD185" s="68"/>
    </row>
    <row r="186" spans="1:30" ht="17">
      <c r="A186" s="68"/>
      <c r="B186" s="68"/>
      <c r="C186" s="68"/>
      <c r="D186" s="415"/>
      <c r="E186" s="415"/>
      <c r="F186" s="415"/>
      <c r="G186" s="415"/>
      <c r="H186" s="415"/>
      <c r="I186" s="415"/>
      <c r="J186" s="415"/>
      <c r="K186" s="97"/>
      <c r="L186" s="97"/>
      <c r="M186" s="97"/>
      <c r="N186" s="97"/>
      <c r="O186" s="97"/>
      <c r="P186" s="97"/>
      <c r="Q186" s="97"/>
      <c r="R186" s="97"/>
      <c r="S186" s="97"/>
      <c r="T186" s="423">
        <v>183</v>
      </c>
      <c r="U186" s="424">
        <v>62656042385.302147</v>
      </c>
      <c r="V186" s="426"/>
      <c r="W186" s="97"/>
      <c r="X186" s="97"/>
      <c r="Y186" s="97"/>
      <c r="Z186" s="68"/>
      <c r="AA186" s="68"/>
      <c r="AB186" s="68"/>
      <c r="AC186" s="68"/>
      <c r="AD186" s="68"/>
    </row>
    <row r="187" spans="1:30" ht="17">
      <c r="A187" s="68"/>
      <c r="B187" s="68"/>
      <c r="C187" s="68"/>
      <c r="D187" s="415"/>
      <c r="E187" s="415"/>
      <c r="F187" s="415"/>
      <c r="G187" s="415"/>
      <c r="H187" s="415"/>
      <c r="I187" s="415"/>
      <c r="J187" s="415"/>
      <c r="K187" s="97"/>
      <c r="L187" s="97"/>
      <c r="M187" s="97"/>
      <c r="N187" s="97"/>
      <c r="O187" s="97"/>
      <c r="P187" s="97"/>
      <c r="Q187" s="97"/>
      <c r="R187" s="97"/>
      <c r="S187" s="97"/>
      <c r="T187" s="423">
        <v>184</v>
      </c>
      <c r="U187" s="424">
        <v>60323029143.78392</v>
      </c>
      <c r="V187" s="426"/>
      <c r="W187" s="97"/>
      <c r="X187" s="97"/>
      <c r="Y187" s="97"/>
      <c r="Z187" s="68"/>
      <c r="AA187" s="68"/>
      <c r="AB187" s="68"/>
      <c r="AC187" s="68"/>
      <c r="AD187" s="68"/>
    </row>
    <row r="188" spans="1:30" ht="17">
      <c r="A188" s="68"/>
      <c r="B188" s="68"/>
      <c r="C188" s="68"/>
      <c r="D188" s="415"/>
      <c r="E188" s="415"/>
      <c r="F188" s="415"/>
      <c r="G188" s="415"/>
      <c r="H188" s="415"/>
      <c r="I188" s="415"/>
      <c r="J188" s="415"/>
      <c r="K188" s="97"/>
      <c r="L188" s="97"/>
      <c r="M188" s="97"/>
      <c r="N188" s="97"/>
      <c r="O188" s="97"/>
      <c r="P188" s="97"/>
      <c r="Q188" s="97"/>
      <c r="R188" s="97"/>
      <c r="S188" s="97"/>
      <c r="T188" s="423">
        <v>185</v>
      </c>
      <c r="U188" s="424">
        <v>58113871412.450356</v>
      </c>
      <c r="V188" s="426"/>
      <c r="W188" s="97"/>
      <c r="X188" s="97"/>
      <c r="Y188" s="97"/>
      <c r="Z188" s="68"/>
      <c r="AA188" s="68"/>
      <c r="AB188" s="68"/>
      <c r="AC188" s="68"/>
      <c r="AD188" s="68"/>
    </row>
    <row r="189" spans="1:30" ht="17">
      <c r="A189" s="68"/>
      <c r="B189" s="68"/>
      <c r="C189" s="68"/>
      <c r="D189" s="415"/>
      <c r="E189" s="415"/>
      <c r="F189" s="415"/>
      <c r="G189" s="415"/>
      <c r="H189" s="415"/>
      <c r="I189" s="415"/>
      <c r="J189" s="415"/>
      <c r="K189" s="97"/>
      <c r="L189" s="97"/>
      <c r="M189" s="97"/>
      <c r="N189" s="97"/>
      <c r="O189" s="97"/>
      <c r="P189" s="97"/>
      <c r="Q189" s="97"/>
      <c r="R189" s="97"/>
      <c r="S189" s="97"/>
      <c r="T189" s="423">
        <v>186</v>
      </c>
      <c r="U189" s="424">
        <v>60129113023.942101</v>
      </c>
      <c r="V189" s="426"/>
      <c r="W189" s="97"/>
      <c r="X189" s="97"/>
      <c r="Y189" s="97"/>
      <c r="Z189" s="68"/>
      <c r="AA189" s="68"/>
      <c r="AB189" s="68"/>
      <c r="AC189" s="68"/>
      <c r="AD189" s="68"/>
    </row>
    <row r="190" spans="1:30" ht="17">
      <c r="A190" s="68"/>
      <c r="B190" s="68"/>
      <c r="C190" s="68"/>
      <c r="D190" s="415"/>
      <c r="E190" s="415"/>
      <c r="F190" s="415"/>
      <c r="G190" s="415"/>
      <c r="H190" s="415"/>
      <c r="I190" s="415"/>
      <c r="J190" s="415"/>
      <c r="K190" s="97"/>
      <c r="L190" s="97"/>
      <c r="M190" s="97"/>
      <c r="N190" s="97"/>
      <c r="O190" s="97"/>
      <c r="P190" s="97"/>
      <c r="Q190" s="97"/>
      <c r="R190" s="97"/>
      <c r="S190" s="97"/>
      <c r="T190" s="423">
        <v>187</v>
      </c>
      <c r="U190" s="424">
        <v>55718442663.609566</v>
      </c>
      <c r="V190" s="426"/>
      <c r="W190" s="97"/>
      <c r="X190" s="97"/>
      <c r="Y190" s="97"/>
      <c r="Z190" s="68"/>
      <c r="AA190" s="68"/>
      <c r="AB190" s="68"/>
      <c r="AC190" s="68"/>
      <c r="AD190" s="68"/>
    </row>
    <row r="191" spans="1:30" ht="17">
      <c r="A191" s="68"/>
      <c r="B191" s="68"/>
      <c r="C191" s="68"/>
      <c r="D191" s="415"/>
      <c r="E191" s="415"/>
      <c r="F191" s="415"/>
      <c r="G191" s="415"/>
      <c r="H191" s="415"/>
      <c r="I191" s="415"/>
      <c r="J191" s="415"/>
      <c r="K191" s="97"/>
      <c r="L191" s="97"/>
      <c r="M191" s="97"/>
      <c r="N191" s="97"/>
      <c r="O191" s="97"/>
      <c r="P191" s="97"/>
      <c r="Q191" s="97"/>
      <c r="R191" s="97"/>
      <c r="S191" s="97"/>
      <c r="T191" s="423">
        <v>188</v>
      </c>
      <c r="U191" s="424">
        <v>58120533406.516434</v>
      </c>
      <c r="V191" s="426"/>
      <c r="W191" s="97"/>
      <c r="X191" s="97"/>
      <c r="Y191" s="97"/>
      <c r="Z191" s="68"/>
      <c r="AA191" s="68"/>
      <c r="AB191" s="68"/>
      <c r="AC191" s="68"/>
      <c r="AD191" s="68"/>
    </row>
    <row r="192" spans="1:30" ht="17">
      <c r="A192" s="68"/>
      <c r="B192" s="68"/>
      <c r="C192" s="68"/>
      <c r="D192" s="415"/>
      <c r="E192" s="415"/>
      <c r="F192" s="415"/>
      <c r="G192" s="415"/>
      <c r="H192" s="415"/>
      <c r="I192" s="415"/>
      <c r="J192" s="415"/>
      <c r="K192" s="97"/>
      <c r="L192" s="97"/>
      <c r="M192" s="97"/>
      <c r="N192" s="97"/>
      <c r="O192" s="97"/>
      <c r="P192" s="97"/>
      <c r="Q192" s="97"/>
      <c r="R192" s="97"/>
      <c r="S192" s="97"/>
      <c r="T192" s="423">
        <v>189</v>
      </c>
      <c r="U192" s="424">
        <v>58182046960.79747</v>
      </c>
      <c r="V192" s="426"/>
      <c r="W192" s="97"/>
      <c r="X192" s="97"/>
      <c r="Y192" s="97"/>
      <c r="Z192" s="68"/>
      <c r="AA192" s="68"/>
      <c r="AB192" s="68"/>
      <c r="AC192" s="68"/>
      <c r="AD192" s="68"/>
    </row>
    <row r="193" spans="1:30" ht="17">
      <c r="A193" s="68"/>
      <c r="B193" s="68"/>
      <c r="C193" s="68"/>
      <c r="D193" s="415"/>
      <c r="E193" s="415"/>
      <c r="F193" s="415"/>
      <c r="G193" s="415"/>
      <c r="H193" s="415"/>
      <c r="I193" s="415"/>
      <c r="J193" s="415"/>
      <c r="K193" s="97"/>
      <c r="L193" s="97"/>
      <c r="M193" s="97"/>
      <c r="N193" s="97"/>
      <c r="O193" s="97"/>
      <c r="P193" s="97"/>
      <c r="Q193" s="97"/>
      <c r="R193" s="97"/>
      <c r="S193" s="97"/>
      <c r="T193" s="423">
        <v>190</v>
      </c>
      <c r="U193" s="424">
        <v>56977856300.206833</v>
      </c>
      <c r="V193" s="426"/>
      <c r="W193" s="97"/>
      <c r="X193" s="97"/>
      <c r="Y193" s="97"/>
      <c r="Z193" s="68"/>
      <c r="AA193" s="68"/>
      <c r="AB193" s="68"/>
      <c r="AC193" s="68"/>
      <c r="AD193" s="68"/>
    </row>
    <row r="194" spans="1:30" ht="17">
      <c r="A194" s="68"/>
      <c r="B194" s="68"/>
      <c r="C194" s="68"/>
      <c r="D194" s="415"/>
      <c r="E194" s="415"/>
      <c r="F194" s="415"/>
      <c r="G194" s="415"/>
      <c r="H194" s="415"/>
      <c r="I194" s="415"/>
      <c r="J194" s="415"/>
      <c r="K194" s="97"/>
      <c r="L194" s="97"/>
      <c r="M194" s="97"/>
      <c r="N194" s="97"/>
      <c r="O194" s="97"/>
      <c r="P194" s="97"/>
      <c r="Q194" s="97"/>
      <c r="R194" s="97"/>
      <c r="S194" s="97"/>
      <c r="T194" s="423">
        <v>191</v>
      </c>
      <c r="U194" s="424">
        <v>61077406295.738586</v>
      </c>
      <c r="V194" s="426"/>
      <c r="W194" s="97"/>
      <c r="X194" s="97"/>
      <c r="Y194" s="97"/>
      <c r="Z194" s="68"/>
      <c r="AA194" s="68"/>
      <c r="AB194" s="68"/>
      <c r="AC194" s="68"/>
      <c r="AD194" s="68"/>
    </row>
    <row r="195" spans="1:30" ht="17">
      <c r="A195" s="68"/>
      <c r="B195" s="68"/>
      <c r="C195" s="68"/>
      <c r="D195" s="415"/>
      <c r="E195" s="415"/>
      <c r="F195" s="415"/>
      <c r="G195" s="415"/>
      <c r="H195" s="415"/>
      <c r="I195" s="415"/>
      <c r="J195" s="415"/>
      <c r="K195" s="97"/>
      <c r="L195" s="97"/>
      <c r="M195" s="97"/>
      <c r="N195" s="97"/>
      <c r="O195" s="97"/>
      <c r="P195" s="97"/>
      <c r="Q195" s="97"/>
      <c r="R195" s="97"/>
      <c r="S195" s="97"/>
      <c r="T195" s="423">
        <v>192</v>
      </c>
      <c r="U195" s="424">
        <v>57083772448.805428</v>
      </c>
      <c r="V195" s="426"/>
      <c r="W195" s="97"/>
      <c r="X195" s="97"/>
      <c r="Y195" s="97"/>
      <c r="Z195" s="68"/>
      <c r="AA195" s="68"/>
      <c r="AB195" s="68"/>
      <c r="AC195" s="68"/>
      <c r="AD195" s="68"/>
    </row>
    <row r="196" spans="1:30" ht="17">
      <c r="A196" s="68"/>
      <c r="B196" s="68"/>
      <c r="C196" s="68"/>
      <c r="D196" s="415"/>
      <c r="E196" s="415"/>
      <c r="F196" s="415"/>
      <c r="G196" s="415"/>
      <c r="H196" s="415"/>
      <c r="I196" s="415"/>
      <c r="J196" s="415"/>
      <c r="K196" s="97"/>
      <c r="L196" s="97"/>
      <c r="M196" s="97"/>
      <c r="N196" s="97"/>
      <c r="O196" s="97"/>
      <c r="P196" s="97"/>
      <c r="Q196" s="97"/>
      <c r="R196" s="97"/>
      <c r="S196" s="97"/>
      <c r="T196" s="423">
        <v>193</v>
      </c>
      <c r="U196" s="424">
        <v>57739870054.556442</v>
      </c>
      <c r="V196" s="426"/>
      <c r="W196" s="97"/>
      <c r="X196" s="97"/>
      <c r="Y196" s="97"/>
      <c r="Z196" s="68"/>
      <c r="AA196" s="68"/>
      <c r="AB196" s="68"/>
      <c r="AC196" s="68"/>
      <c r="AD196" s="68"/>
    </row>
    <row r="197" spans="1:30" ht="17">
      <c r="A197" s="68"/>
      <c r="B197" s="68"/>
      <c r="C197" s="68"/>
      <c r="D197" s="415"/>
      <c r="E197" s="415"/>
      <c r="F197" s="415"/>
      <c r="G197" s="415"/>
      <c r="H197" s="415"/>
      <c r="I197" s="415"/>
      <c r="J197" s="415"/>
      <c r="K197" s="97"/>
      <c r="L197" s="97"/>
      <c r="M197" s="97"/>
      <c r="N197" s="97"/>
      <c r="O197" s="97"/>
      <c r="P197" s="97"/>
      <c r="Q197" s="97"/>
      <c r="R197" s="97"/>
      <c r="S197" s="97"/>
      <c r="T197" s="423">
        <v>194</v>
      </c>
      <c r="U197" s="424">
        <v>58404176668.777863</v>
      </c>
      <c r="V197" s="426"/>
      <c r="W197" s="97"/>
      <c r="X197" s="97"/>
      <c r="Y197" s="97"/>
      <c r="Z197" s="68"/>
      <c r="AA197" s="68"/>
      <c r="AB197" s="68"/>
      <c r="AC197" s="68"/>
      <c r="AD197" s="68"/>
    </row>
    <row r="198" spans="1:30" ht="17">
      <c r="A198" s="68"/>
      <c r="B198" s="68"/>
      <c r="C198" s="68"/>
      <c r="D198" s="415"/>
      <c r="E198" s="415"/>
      <c r="F198" s="415"/>
      <c r="G198" s="415"/>
      <c r="H198" s="415"/>
      <c r="I198" s="415"/>
      <c r="J198" s="415"/>
      <c r="K198" s="97"/>
      <c r="L198" s="97"/>
      <c r="M198" s="97"/>
      <c r="N198" s="97"/>
      <c r="O198" s="97"/>
      <c r="P198" s="97"/>
      <c r="Q198" s="97"/>
      <c r="R198" s="97"/>
      <c r="S198" s="97"/>
      <c r="T198" s="423">
        <v>195</v>
      </c>
      <c r="U198" s="424">
        <v>59017530362.341537</v>
      </c>
      <c r="V198" s="426"/>
      <c r="W198" s="97"/>
      <c r="X198" s="97"/>
      <c r="Y198" s="97"/>
      <c r="Z198" s="68"/>
      <c r="AA198" s="68"/>
      <c r="AB198" s="68"/>
      <c r="AC198" s="68"/>
      <c r="AD198" s="68"/>
    </row>
    <row r="199" spans="1:30" ht="17">
      <c r="A199" s="68"/>
      <c r="B199" s="68"/>
      <c r="C199" s="68"/>
      <c r="D199" s="415"/>
      <c r="E199" s="415"/>
      <c r="F199" s="415"/>
      <c r="G199" s="415"/>
      <c r="H199" s="415"/>
      <c r="I199" s="415"/>
      <c r="J199" s="415"/>
      <c r="K199" s="97"/>
      <c r="L199" s="97"/>
      <c r="M199" s="97"/>
      <c r="N199" s="97"/>
      <c r="O199" s="97"/>
      <c r="P199" s="97"/>
      <c r="Q199" s="97"/>
      <c r="R199" s="97"/>
      <c r="S199" s="97"/>
      <c r="T199" s="423">
        <v>196</v>
      </c>
      <c r="U199" s="424">
        <v>55930499320.959854</v>
      </c>
      <c r="V199" s="426"/>
      <c r="W199" s="97"/>
      <c r="X199" s="97"/>
      <c r="Y199" s="97"/>
      <c r="Z199" s="68"/>
      <c r="AA199" s="68"/>
      <c r="AB199" s="68"/>
      <c r="AC199" s="68"/>
      <c r="AD199" s="68"/>
    </row>
    <row r="200" spans="1:30" ht="17">
      <c r="A200" s="68"/>
      <c r="B200" s="68"/>
      <c r="C200" s="68"/>
      <c r="D200" s="415"/>
      <c r="E200" s="415"/>
      <c r="F200" s="415"/>
      <c r="G200" s="415"/>
      <c r="H200" s="415"/>
      <c r="I200" s="415"/>
      <c r="J200" s="415"/>
      <c r="K200" s="97"/>
      <c r="L200" s="97"/>
      <c r="M200" s="97"/>
      <c r="N200" s="97"/>
      <c r="O200" s="97"/>
      <c r="P200" s="97"/>
      <c r="Q200" s="97"/>
      <c r="R200" s="97"/>
      <c r="S200" s="97"/>
      <c r="T200" s="423">
        <v>197</v>
      </c>
      <c r="U200" s="424">
        <v>59181669715.618454</v>
      </c>
      <c r="V200" s="426"/>
      <c r="W200" s="97"/>
      <c r="X200" s="97"/>
      <c r="Y200" s="97"/>
      <c r="Z200" s="68"/>
      <c r="AA200" s="68"/>
      <c r="AB200" s="68"/>
      <c r="AC200" s="68"/>
      <c r="AD200" s="68"/>
    </row>
    <row r="201" spans="1:30" ht="17">
      <c r="A201" s="68"/>
      <c r="B201" s="68"/>
      <c r="C201" s="68"/>
      <c r="D201" s="415"/>
      <c r="E201" s="415"/>
      <c r="F201" s="415"/>
      <c r="G201" s="415"/>
      <c r="H201" s="415"/>
      <c r="I201" s="415"/>
      <c r="J201" s="415"/>
      <c r="K201" s="97"/>
      <c r="L201" s="97"/>
      <c r="M201" s="97"/>
      <c r="N201" s="97"/>
      <c r="O201" s="97"/>
      <c r="P201" s="97"/>
      <c r="Q201" s="97"/>
      <c r="R201" s="97"/>
      <c r="S201" s="97"/>
      <c r="T201" s="423">
        <v>198</v>
      </c>
      <c r="U201" s="424">
        <v>59940157218.543266</v>
      </c>
      <c r="V201" s="426"/>
      <c r="W201" s="97"/>
      <c r="X201" s="97"/>
      <c r="Y201" s="97"/>
      <c r="Z201" s="68"/>
      <c r="AA201" s="68"/>
      <c r="AB201" s="68"/>
      <c r="AC201" s="68"/>
      <c r="AD201" s="68"/>
    </row>
    <row r="202" spans="1:30" ht="17">
      <c r="A202" s="68"/>
      <c r="B202" s="68"/>
      <c r="C202" s="68"/>
      <c r="D202" s="415"/>
      <c r="E202" s="415"/>
      <c r="F202" s="415"/>
      <c r="G202" s="415"/>
      <c r="H202" s="415"/>
      <c r="I202" s="415"/>
      <c r="J202" s="415"/>
      <c r="K202" s="97"/>
      <c r="L202" s="97"/>
      <c r="M202" s="97"/>
      <c r="N202" s="97"/>
      <c r="O202" s="97"/>
      <c r="P202" s="97"/>
      <c r="Q202" s="97"/>
      <c r="R202" s="97"/>
      <c r="S202" s="97"/>
      <c r="T202" s="423">
        <v>199</v>
      </c>
      <c r="U202" s="424">
        <v>57792873622.266968</v>
      </c>
      <c r="V202" s="426"/>
      <c r="W202" s="97"/>
      <c r="X202" s="97"/>
      <c r="Y202" s="97"/>
      <c r="Z202" s="68"/>
      <c r="AA202" s="68"/>
      <c r="AB202" s="68"/>
      <c r="AC202" s="68"/>
      <c r="AD202" s="68"/>
    </row>
    <row r="203" spans="1:30" ht="17">
      <c r="A203" s="68"/>
      <c r="B203" s="68"/>
      <c r="C203" s="68"/>
      <c r="D203" s="415"/>
      <c r="E203" s="415"/>
      <c r="F203" s="415"/>
      <c r="G203" s="415"/>
      <c r="H203" s="415"/>
      <c r="I203" s="415"/>
      <c r="J203" s="415"/>
      <c r="K203" s="97"/>
      <c r="L203" s="97"/>
      <c r="M203" s="97"/>
      <c r="N203" s="97"/>
      <c r="O203" s="97"/>
      <c r="P203" s="97"/>
      <c r="Q203" s="97"/>
      <c r="R203" s="97"/>
      <c r="S203" s="97"/>
      <c r="T203" s="423">
        <v>200</v>
      </c>
      <c r="U203" s="424">
        <v>59681234903.143967</v>
      </c>
      <c r="V203" s="426"/>
      <c r="W203" s="97"/>
      <c r="X203" s="97"/>
      <c r="Y203" s="97"/>
      <c r="Z203" s="68"/>
      <c r="AA203" s="68"/>
      <c r="AB203" s="68"/>
      <c r="AC203" s="68"/>
      <c r="AD203" s="68"/>
    </row>
    <row r="204" spans="1:30" ht="17">
      <c r="A204" s="68"/>
      <c r="B204" s="68"/>
      <c r="C204" s="68"/>
      <c r="D204" s="415"/>
      <c r="E204" s="415"/>
      <c r="F204" s="415"/>
      <c r="G204" s="415"/>
      <c r="H204" s="415"/>
      <c r="I204" s="415"/>
      <c r="J204" s="415"/>
      <c r="K204" s="97"/>
      <c r="L204" s="97"/>
      <c r="M204" s="97"/>
      <c r="N204" s="97"/>
      <c r="O204" s="97"/>
      <c r="P204" s="97"/>
      <c r="Q204" s="97"/>
      <c r="R204" s="97"/>
      <c r="S204" s="97"/>
      <c r="T204" s="423">
        <v>201</v>
      </c>
      <c r="U204" s="424">
        <v>60159119757.376999</v>
      </c>
      <c r="V204" s="426"/>
      <c r="W204" s="97"/>
      <c r="X204" s="97"/>
      <c r="Y204" s="97"/>
      <c r="Z204" s="68"/>
      <c r="AA204" s="68"/>
      <c r="AB204" s="68"/>
      <c r="AC204" s="68"/>
      <c r="AD204" s="68"/>
    </row>
    <row r="205" spans="1:30" ht="17">
      <c r="A205" s="68"/>
      <c r="B205" s="68"/>
      <c r="C205" s="68"/>
      <c r="D205" s="415"/>
      <c r="E205" s="415"/>
      <c r="F205" s="415"/>
      <c r="G205" s="415"/>
      <c r="H205" s="415"/>
      <c r="I205" s="415"/>
      <c r="J205" s="415"/>
      <c r="K205" s="97"/>
      <c r="L205" s="97"/>
      <c r="M205" s="97"/>
      <c r="N205" s="97"/>
      <c r="O205" s="97"/>
      <c r="P205" s="97"/>
      <c r="Q205" s="97"/>
      <c r="R205" s="97"/>
      <c r="S205" s="97"/>
      <c r="T205" s="423">
        <v>202</v>
      </c>
      <c r="U205" s="424">
        <v>59672566040.688156</v>
      </c>
      <c r="V205" s="426"/>
      <c r="W205" s="97"/>
      <c r="X205" s="97"/>
      <c r="Y205" s="97"/>
      <c r="Z205" s="68"/>
      <c r="AA205" s="68"/>
      <c r="AB205" s="68"/>
      <c r="AC205" s="68"/>
      <c r="AD205" s="68"/>
    </row>
    <row r="206" spans="1:30" ht="17">
      <c r="A206" s="68"/>
      <c r="B206" s="68"/>
      <c r="C206" s="68"/>
      <c r="D206" s="415"/>
      <c r="E206" s="415"/>
      <c r="F206" s="415"/>
      <c r="G206" s="415"/>
      <c r="H206" s="415"/>
      <c r="I206" s="415"/>
      <c r="J206" s="415"/>
      <c r="K206" s="97"/>
      <c r="L206" s="97"/>
      <c r="M206" s="97"/>
      <c r="N206" s="97"/>
      <c r="O206" s="97"/>
      <c r="P206" s="97"/>
      <c r="Q206" s="97"/>
      <c r="R206" s="97"/>
      <c r="S206" s="97"/>
      <c r="T206" s="423">
        <v>203</v>
      </c>
      <c r="U206" s="424">
        <v>61362730868.759949</v>
      </c>
      <c r="V206" s="426"/>
      <c r="W206" s="97"/>
      <c r="X206" s="97"/>
      <c r="Y206" s="97"/>
      <c r="Z206" s="68"/>
      <c r="AA206" s="68"/>
      <c r="AB206" s="68"/>
      <c r="AC206" s="68"/>
      <c r="AD206" s="68"/>
    </row>
    <row r="207" spans="1:30" ht="17">
      <c r="A207" s="68"/>
      <c r="B207" s="68"/>
      <c r="C207" s="68"/>
      <c r="D207" s="415"/>
      <c r="E207" s="415"/>
      <c r="F207" s="415"/>
      <c r="G207" s="415"/>
      <c r="H207" s="415"/>
      <c r="I207" s="415"/>
      <c r="J207" s="415"/>
      <c r="K207" s="97"/>
      <c r="L207" s="97"/>
      <c r="M207" s="97"/>
      <c r="N207" s="97"/>
      <c r="O207" s="97"/>
      <c r="P207" s="97"/>
      <c r="Q207" s="97"/>
      <c r="R207" s="97"/>
      <c r="S207" s="97"/>
      <c r="T207" s="423">
        <v>204</v>
      </c>
      <c r="U207" s="424">
        <v>60053422737.042114</v>
      </c>
      <c r="V207" s="426"/>
      <c r="W207" s="97"/>
      <c r="X207" s="97"/>
      <c r="Y207" s="97"/>
      <c r="Z207" s="68"/>
      <c r="AA207" s="68"/>
      <c r="AB207" s="68"/>
      <c r="AC207" s="68"/>
      <c r="AD207" s="68"/>
    </row>
    <row r="208" spans="1:30" ht="17">
      <c r="A208" s="68"/>
      <c r="B208" s="68"/>
      <c r="C208" s="68"/>
      <c r="D208" s="415"/>
      <c r="E208" s="415"/>
      <c r="F208" s="415"/>
      <c r="G208" s="415"/>
      <c r="H208" s="415"/>
      <c r="I208" s="415"/>
      <c r="J208" s="415"/>
      <c r="K208" s="97"/>
      <c r="L208" s="97"/>
      <c r="M208" s="97"/>
      <c r="N208" s="97"/>
      <c r="O208" s="97"/>
      <c r="P208" s="97"/>
      <c r="Q208" s="97"/>
      <c r="R208" s="97"/>
      <c r="S208" s="97"/>
      <c r="T208" s="423">
        <v>205</v>
      </c>
      <c r="U208" s="424">
        <v>56862077169.276634</v>
      </c>
      <c r="V208" s="426"/>
      <c r="W208" s="97"/>
      <c r="X208" s="97"/>
      <c r="Y208" s="97"/>
      <c r="Z208" s="68"/>
      <c r="AA208" s="68"/>
      <c r="AB208" s="68"/>
      <c r="AC208" s="68"/>
      <c r="AD208" s="68"/>
    </row>
    <row r="209" spans="1:30" ht="17">
      <c r="A209" s="68"/>
      <c r="B209" s="68"/>
      <c r="C209" s="68"/>
      <c r="D209" s="415"/>
      <c r="E209" s="415"/>
      <c r="F209" s="415"/>
      <c r="G209" s="415"/>
      <c r="H209" s="415"/>
      <c r="I209" s="415"/>
      <c r="J209" s="415"/>
      <c r="K209" s="97"/>
      <c r="L209" s="97"/>
      <c r="M209" s="97"/>
      <c r="N209" s="97"/>
      <c r="O209" s="97"/>
      <c r="P209" s="97"/>
      <c r="Q209" s="97"/>
      <c r="R209" s="97"/>
      <c r="S209" s="97"/>
      <c r="T209" s="423">
        <v>206</v>
      </c>
      <c r="U209" s="424">
        <v>61344551618.883102</v>
      </c>
      <c r="V209" s="426"/>
      <c r="W209" s="97"/>
      <c r="X209" s="97"/>
      <c r="Y209" s="97"/>
      <c r="Z209" s="68"/>
      <c r="AA209" s="68"/>
      <c r="AB209" s="68"/>
      <c r="AC209" s="68"/>
      <c r="AD209" s="68"/>
    </row>
    <row r="210" spans="1:30" ht="17">
      <c r="A210" s="68"/>
      <c r="B210" s="68"/>
      <c r="C210" s="68"/>
      <c r="D210" s="415"/>
      <c r="E210" s="415"/>
      <c r="F210" s="415"/>
      <c r="G210" s="415"/>
      <c r="H210" s="415"/>
      <c r="I210" s="415"/>
      <c r="J210" s="415"/>
      <c r="K210" s="97"/>
      <c r="L210" s="97"/>
      <c r="M210" s="97"/>
      <c r="N210" s="97"/>
      <c r="O210" s="97"/>
      <c r="P210" s="97"/>
      <c r="Q210" s="97"/>
      <c r="R210" s="97"/>
      <c r="S210" s="97"/>
      <c r="T210" s="423">
        <v>207</v>
      </c>
      <c r="U210" s="424">
        <v>56689500512.255783</v>
      </c>
      <c r="V210" s="426"/>
      <c r="W210" s="97"/>
      <c r="X210" s="97"/>
      <c r="Y210" s="97"/>
      <c r="Z210" s="68"/>
      <c r="AA210" s="68"/>
      <c r="AB210" s="68"/>
      <c r="AC210" s="68"/>
      <c r="AD210" s="68"/>
    </row>
    <row r="211" spans="1:30" ht="17">
      <c r="A211" s="68"/>
      <c r="B211" s="68"/>
      <c r="C211" s="68"/>
      <c r="D211" s="415"/>
      <c r="E211" s="415"/>
      <c r="F211" s="415"/>
      <c r="G211" s="415"/>
      <c r="H211" s="415"/>
      <c r="I211" s="415"/>
      <c r="J211" s="415"/>
      <c r="K211" s="97"/>
      <c r="L211" s="97"/>
      <c r="M211" s="97"/>
      <c r="N211" s="97"/>
      <c r="O211" s="97"/>
      <c r="P211" s="97"/>
      <c r="Q211" s="97"/>
      <c r="R211" s="97"/>
      <c r="S211" s="97"/>
      <c r="T211" s="423">
        <v>208</v>
      </c>
      <c r="U211" s="424">
        <v>61345512373.739731</v>
      </c>
      <c r="V211" s="426"/>
      <c r="W211" s="97"/>
      <c r="X211" s="97"/>
      <c r="Y211" s="97"/>
      <c r="Z211" s="68"/>
      <c r="AA211" s="68"/>
      <c r="AB211" s="68"/>
      <c r="AC211" s="68"/>
      <c r="AD211" s="68"/>
    </row>
    <row r="212" spans="1:30" ht="17">
      <c r="A212" s="68"/>
      <c r="B212" s="68"/>
      <c r="C212" s="68"/>
      <c r="D212" s="415"/>
      <c r="E212" s="415"/>
      <c r="F212" s="415"/>
      <c r="G212" s="415"/>
      <c r="H212" s="415"/>
      <c r="I212" s="415"/>
      <c r="J212" s="415"/>
      <c r="K212" s="97"/>
      <c r="L212" s="97"/>
      <c r="M212" s="97"/>
      <c r="N212" s="97"/>
      <c r="O212" s="97"/>
      <c r="P212" s="97"/>
      <c r="Q212" s="97"/>
      <c r="R212" s="97"/>
      <c r="S212" s="97"/>
      <c r="T212" s="423">
        <v>209</v>
      </c>
      <c r="U212" s="424">
        <v>56839531188.900085</v>
      </c>
      <c r="V212" s="426"/>
      <c r="W212" s="97"/>
      <c r="X212" s="97"/>
      <c r="Y212" s="97"/>
      <c r="Z212" s="68"/>
      <c r="AA212" s="68"/>
      <c r="AB212" s="68"/>
      <c r="AC212" s="68"/>
      <c r="AD212" s="68"/>
    </row>
    <row r="213" spans="1:30" ht="17">
      <c r="A213" s="68"/>
      <c r="B213" s="68"/>
      <c r="C213" s="68"/>
      <c r="D213" s="415"/>
      <c r="E213" s="415"/>
      <c r="F213" s="415"/>
      <c r="G213" s="415"/>
      <c r="H213" s="415"/>
      <c r="I213" s="415"/>
      <c r="J213" s="415"/>
      <c r="K213" s="97"/>
      <c r="L213" s="97"/>
      <c r="M213" s="97"/>
      <c r="N213" s="97"/>
      <c r="O213" s="97"/>
      <c r="P213" s="97"/>
      <c r="Q213" s="97"/>
      <c r="R213" s="97"/>
      <c r="S213" s="97"/>
      <c r="T213" s="423">
        <v>210</v>
      </c>
      <c r="U213" s="424">
        <v>57296921014.351837</v>
      </c>
      <c r="V213" s="426"/>
      <c r="W213" s="97"/>
      <c r="X213" s="97"/>
      <c r="Y213" s="97"/>
      <c r="Z213" s="68"/>
      <c r="AA213" s="68"/>
      <c r="AB213" s="68"/>
      <c r="AC213" s="68"/>
      <c r="AD213" s="68"/>
    </row>
    <row r="214" spans="1:30" ht="17">
      <c r="A214" s="68"/>
      <c r="B214" s="68"/>
      <c r="C214" s="68"/>
      <c r="D214" s="415"/>
      <c r="E214" s="415"/>
      <c r="F214" s="415"/>
      <c r="G214" s="415"/>
      <c r="H214" s="415"/>
      <c r="I214" s="415"/>
      <c r="J214" s="415"/>
      <c r="K214" s="97"/>
      <c r="L214" s="97"/>
      <c r="M214" s="97"/>
      <c r="N214" s="97"/>
      <c r="O214" s="97"/>
      <c r="P214" s="97"/>
      <c r="Q214" s="97"/>
      <c r="R214" s="97"/>
      <c r="S214" s="97"/>
      <c r="T214" s="423">
        <v>211</v>
      </c>
      <c r="U214" s="424">
        <v>58472224682.925819</v>
      </c>
      <c r="V214" s="426"/>
      <c r="W214" s="97"/>
      <c r="X214" s="97"/>
      <c r="Y214" s="97"/>
      <c r="Z214" s="68"/>
      <c r="AA214" s="68"/>
      <c r="AB214" s="68"/>
      <c r="AC214" s="68"/>
      <c r="AD214" s="68"/>
    </row>
    <row r="215" spans="1:30" ht="17">
      <c r="A215" s="68"/>
      <c r="B215" s="68"/>
      <c r="C215" s="68"/>
      <c r="D215" s="415"/>
      <c r="E215" s="415"/>
      <c r="F215" s="415"/>
      <c r="G215" s="415"/>
      <c r="H215" s="415"/>
      <c r="I215" s="415"/>
      <c r="J215" s="415"/>
      <c r="K215" s="97"/>
      <c r="L215" s="97"/>
      <c r="M215" s="97"/>
      <c r="N215" s="97"/>
      <c r="O215" s="97"/>
      <c r="P215" s="97"/>
      <c r="Q215" s="97"/>
      <c r="R215" s="97"/>
      <c r="S215" s="97"/>
      <c r="T215" s="423">
        <v>212</v>
      </c>
      <c r="U215" s="424">
        <v>58537142867.160179</v>
      </c>
      <c r="V215" s="426"/>
      <c r="W215" s="97"/>
      <c r="X215" s="97"/>
      <c r="Y215" s="97"/>
      <c r="Z215" s="68"/>
      <c r="AA215" s="68"/>
      <c r="AB215" s="68"/>
      <c r="AC215" s="68"/>
      <c r="AD215" s="68"/>
    </row>
    <row r="216" spans="1:30" ht="17">
      <c r="A216" s="68"/>
      <c r="B216" s="68"/>
      <c r="C216" s="68"/>
      <c r="D216" s="415"/>
      <c r="E216" s="415"/>
      <c r="F216" s="415"/>
      <c r="G216" s="415"/>
      <c r="H216" s="415"/>
      <c r="I216" s="415"/>
      <c r="J216" s="415"/>
      <c r="K216" s="97"/>
      <c r="L216" s="97"/>
      <c r="M216" s="97"/>
      <c r="N216" s="97"/>
      <c r="O216" s="97"/>
      <c r="P216" s="97"/>
      <c r="Q216" s="97"/>
      <c r="R216" s="97"/>
      <c r="S216" s="97"/>
      <c r="T216" s="423">
        <v>213</v>
      </c>
      <c r="U216" s="424">
        <v>61292804827.570427</v>
      </c>
      <c r="V216" s="426"/>
      <c r="W216" s="97"/>
      <c r="X216" s="97"/>
      <c r="Y216" s="97"/>
      <c r="Z216" s="68"/>
      <c r="AA216" s="68"/>
      <c r="AB216" s="68"/>
      <c r="AC216" s="68"/>
      <c r="AD216" s="68"/>
    </row>
    <row r="217" spans="1:30" ht="17">
      <c r="A217" s="68"/>
      <c r="B217" s="68"/>
      <c r="C217" s="68"/>
      <c r="D217" s="415"/>
      <c r="E217" s="415"/>
      <c r="F217" s="415"/>
      <c r="G217" s="415"/>
      <c r="H217" s="415"/>
      <c r="I217" s="415"/>
      <c r="J217" s="415"/>
      <c r="K217" s="97"/>
      <c r="L217" s="97"/>
      <c r="M217" s="97"/>
      <c r="N217" s="97"/>
      <c r="O217" s="97"/>
      <c r="P217" s="97"/>
      <c r="Q217" s="97"/>
      <c r="R217" s="97"/>
      <c r="S217" s="97"/>
      <c r="T217" s="423">
        <v>214</v>
      </c>
      <c r="U217" s="424">
        <v>59714457878.930679</v>
      </c>
      <c r="V217" s="426"/>
      <c r="W217" s="97"/>
      <c r="X217" s="97"/>
      <c r="Y217" s="97"/>
      <c r="Z217" s="68"/>
      <c r="AA217" s="68"/>
      <c r="AB217" s="68"/>
      <c r="AC217" s="68"/>
      <c r="AD217" s="68"/>
    </row>
    <row r="218" spans="1:30" ht="17">
      <c r="A218" s="68"/>
      <c r="B218" s="68"/>
      <c r="C218" s="68"/>
      <c r="D218" s="415"/>
      <c r="E218" s="415"/>
      <c r="F218" s="415"/>
      <c r="G218" s="415"/>
      <c r="H218" s="415"/>
      <c r="I218" s="415"/>
      <c r="J218" s="415"/>
      <c r="K218" s="97"/>
      <c r="L218" s="97"/>
      <c r="M218" s="97"/>
      <c r="N218" s="97"/>
      <c r="O218" s="97"/>
      <c r="P218" s="97"/>
      <c r="Q218" s="97"/>
      <c r="R218" s="97"/>
      <c r="S218" s="97"/>
      <c r="T218" s="423">
        <v>215</v>
      </c>
      <c r="U218" s="424">
        <v>58639936542.46347</v>
      </c>
      <c r="V218" s="426"/>
      <c r="W218" s="97"/>
      <c r="X218" s="97"/>
      <c r="Y218" s="97"/>
      <c r="Z218" s="68"/>
      <c r="AA218" s="68"/>
      <c r="AB218" s="68"/>
      <c r="AC218" s="68"/>
      <c r="AD218" s="68"/>
    </row>
    <row r="219" spans="1:30" ht="17">
      <c r="A219" s="68"/>
      <c r="B219" s="68"/>
      <c r="C219" s="68"/>
      <c r="D219" s="415"/>
      <c r="E219" s="415"/>
      <c r="F219" s="415"/>
      <c r="G219" s="415"/>
      <c r="H219" s="415"/>
      <c r="I219" s="415"/>
      <c r="J219" s="415"/>
      <c r="K219" s="97"/>
      <c r="L219" s="97"/>
      <c r="M219" s="97"/>
      <c r="N219" s="97"/>
      <c r="O219" s="97"/>
      <c r="P219" s="97"/>
      <c r="Q219" s="97"/>
      <c r="R219" s="97"/>
      <c r="S219" s="97"/>
      <c r="T219" s="423">
        <v>216</v>
      </c>
      <c r="U219" s="424">
        <v>57326637684.680222</v>
      </c>
      <c r="V219" s="426"/>
      <c r="W219" s="97"/>
      <c r="X219" s="97"/>
      <c r="Y219" s="97"/>
      <c r="Z219" s="68"/>
      <c r="AA219" s="68"/>
      <c r="AB219" s="68"/>
      <c r="AC219" s="68"/>
      <c r="AD219" s="68"/>
    </row>
    <row r="220" spans="1:30" ht="17">
      <c r="A220" s="68"/>
      <c r="B220" s="68"/>
      <c r="C220" s="68"/>
      <c r="D220" s="415"/>
      <c r="E220" s="415"/>
      <c r="F220" s="415"/>
      <c r="G220" s="415"/>
      <c r="H220" s="415"/>
      <c r="I220" s="415"/>
      <c r="J220" s="415"/>
      <c r="K220" s="97"/>
      <c r="L220" s="97"/>
      <c r="M220" s="97"/>
      <c r="N220" s="97"/>
      <c r="O220" s="97"/>
      <c r="P220" s="97"/>
      <c r="Q220" s="97"/>
      <c r="R220" s="97"/>
      <c r="S220" s="97"/>
      <c r="T220" s="423">
        <v>217</v>
      </c>
      <c r="U220" s="424">
        <v>57937344962.699768</v>
      </c>
      <c r="V220" s="426"/>
      <c r="W220" s="97"/>
      <c r="X220" s="97"/>
      <c r="Y220" s="97"/>
      <c r="Z220" s="68"/>
      <c r="AA220" s="68"/>
      <c r="AB220" s="68"/>
      <c r="AC220" s="68"/>
      <c r="AD220" s="68"/>
    </row>
    <row r="221" spans="1:30" ht="17">
      <c r="A221" s="68"/>
      <c r="B221" s="68"/>
      <c r="C221" s="68"/>
      <c r="D221" s="415"/>
      <c r="E221" s="415"/>
      <c r="F221" s="415"/>
      <c r="G221" s="415"/>
      <c r="H221" s="415"/>
      <c r="I221" s="415"/>
      <c r="J221" s="415"/>
      <c r="K221" s="97"/>
      <c r="L221" s="97"/>
      <c r="M221" s="97"/>
      <c r="N221" s="97"/>
      <c r="O221" s="97"/>
      <c r="P221" s="97"/>
      <c r="Q221" s="97"/>
      <c r="R221" s="97"/>
      <c r="S221" s="97"/>
      <c r="T221" s="423">
        <v>218</v>
      </c>
      <c r="U221" s="424">
        <v>57511187590.51181</v>
      </c>
      <c r="V221" s="426"/>
      <c r="W221" s="97"/>
      <c r="X221" s="97"/>
      <c r="Y221" s="97"/>
      <c r="Z221" s="68"/>
      <c r="AA221" s="68"/>
      <c r="AB221" s="68"/>
      <c r="AC221" s="68"/>
      <c r="AD221" s="68"/>
    </row>
    <row r="222" spans="1:30" ht="17">
      <c r="A222" s="68"/>
      <c r="B222" s="68"/>
      <c r="C222" s="68"/>
      <c r="D222" s="415"/>
      <c r="E222" s="415"/>
      <c r="F222" s="415"/>
      <c r="G222" s="415"/>
      <c r="H222" s="415"/>
      <c r="I222" s="415"/>
      <c r="J222" s="415"/>
      <c r="K222" s="97"/>
      <c r="L222" s="97"/>
      <c r="M222" s="97"/>
      <c r="N222" s="97"/>
      <c r="O222" s="97"/>
      <c r="P222" s="97"/>
      <c r="Q222" s="97"/>
      <c r="R222" s="97"/>
      <c r="S222" s="97"/>
      <c r="T222" s="423">
        <v>219</v>
      </c>
      <c r="U222" s="424">
        <v>59831515023.171616</v>
      </c>
      <c r="V222" s="426"/>
      <c r="W222" s="97"/>
      <c r="X222" s="97"/>
      <c r="Y222" s="97"/>
      <c r="Z222" s="68"/>
      <c r="AA222" s="68"/>
      <c r="AB222" s="68"/>
      <c r="AC222" s="68"/>
      <c r="AD222" s="68"/>
    </row>
    <row r="223" spans="1:30" ht="17">
      <c r="A223" s="68"/>
      <c r="B223" s="68"/>
      <c r="C223" s="68"/>
      <c r="D223" s="415"/>
      <c r="E223" s="415"/>
      <c r="F223" s="415"/>
      <c r="G223" s="415"/>
      <c r="H223" s="415"/>
      <c r="I223" s="415"/>
      <c r="J223" s="415"/>
      <c r="K223" s="97"/>
      <c r="L223" s="97"/>
      <c r="M223" s="97"/>
      <c r="N223" s="97"/>
      <c r="O223" s="97"/>
      <c r="P223" s="97"/>
      <c r="Q223" s="97"/>
      <c r="R223" s="97"/>
      <c r="S223" s="97"/>
      <c r="T223" s="423">
        <v>220</v>
      </c>
      <c r="U223" s="424">
        <v>56541305744.671928</v>
      </c>
      <c r="V223" s="426"/>
      <c r="W223" s="97"/>
      <c r="X223" s="97"/>
      <c r="Y223" s="97"/>
      <c r="Z223" s="68"/>
      <c r="AA223" s="68"/>
      <c r="AB223" s="68"/>
      <c r="AC223" s="68"/>
      <c r="AD223" s="68"/>
    </row>
    <row r="224" spans="1:30" ht="17">
      <c r="A224" s="68"/>
      <c r="B224" s="68"/>
      <c r="C224" s="68"/>
      <c r="D224" s="415"/>
      <c r="E224" s="415"/>
      <c r="F224" s="415"/>
      <c r="G224" s="415"/>
      <c r="H224" s="415"/>
      <c r="I224" s="415"/>
      <c r="J224" s="415"/>
      <c r="K224" s="97"/>
      <c r="L224" s="97"/>
      <c r="M224" s="97"/>
      <c r="N224" s="97"/>
      <c r="O224" s="97"/>
      <c r="P224" s="97"/>
      <c r="Q224" s="97"/>
      <c r="R224" s="97"/>
      <c r="S224" s="97"/>
      <c r="T224" s="423">
        <v>221</v>
      </c>
      <c r="U224" s="424">
        <v>62159076580.211349</v>
      </c>
      <c r="V224" s="426"/>
      <c r="W224" s="97"/>
      <c r="X224" s="97"/>
      <c r="Y224" s="97"/>
      <c r="Z224" s="68"/>
      <c r="AA224" s="68"/>
      <c r="AB224" s="68"/>
      <c r="AC224" s="68"/>
      <c r="AD224" s="68"/>
    </row>
    <row r="225" spans="1:30" ht="17">
      <c r="A225" s="68"/>
      <c r="B225" s="68"/>
      <c r="C225" s="68"/>
      <c r="D225" s="415"/>
      <c r="E225" s="415"/>
      <c r="F225" s="415"/>
      <c r="G225" s="415"/>
      <c r="H225" s="415"/>
      <c r="I225" s="415"/>
      <c r="J225" s="415"/>
      <c r="K225" s="97"/>
      <c r="L225" s="97"/>
      <c r="M225" s="97"/>
      <c r="N225" s="97"/>
      <c r="O225" s="97"/>
      <c r="P225" s="97"/>
      <c r="Q225" s="97"/>
      <c r="R225" s="97"/>
      <c r="S225" s="97"/>
      <c r="T225" s="423">
        <v>222</v>
      </c>
      <c r="U225" s="424">
        <v>60124455989.336014</v>
      </c>
      <c r="V225" s="426"/>
      <c r="W225" s="97"/>
      <c r="X225" s="97"/>
      <c r="Y225" s="97"/>
      <c r="Z225" s="68"/>
      <c r="AA225" s="68"/>
      <c r="AB225" s="68"/>
      <c r="AC225" s="68"/>
      <c r="AD225" s="68"/>
    </row>
    <row r="226" spans="1:30" ht="17">
      <c r="A226" s="68"/>
      <c r="B226" s="68"/>
      <c r="C226" s="68"/>
      <c r="D226" s="415"/>
      <c r="E226" s="415"/>
      <c r="F226" s="415"/>
      <c r="G226" s="415"/>
      <c r="H226" s="415"/>
      <c r="I226" s="415"/>
      <c r="J226" s="415"/>
      <c r="K226" s="97"/>
      <c r="L226" s="97"/>
      <c r="M226" s="97"/>
      <c r="N226" s="97"/>
      <c r="O226" s="97"/>
      <c r="P226" s="97"/>
      <c r="Q226" s="97"/>
      <c r="R226" s="97"/>
      <c r="S226" s="97"/>
      <c r="T226" s="423">
        <v>223</v>
      </c>
      <c r="U226" s="424">
        <v>55554227004.133293</v>
      </c>
      <c r="V226" s="426"/>
      <c r="W226" s="97"/>
      <c r="X226" s="97"/>
      <c r="Y226" s="97"/>
      <c r="Z226" s="68"/>
      <c r="AA226" s="68"/>
      <c r="AB226" s="68"/>
      <c r="AC226" s="68"/>
      <c r="AD226" s="68"/>
    </row>
    <row r="227" spans="1:30" ht="17">
      <c r="A227" s="68"/>
      <c r="B227" s="68"/>
      <c r="C227" s="68"/>
      <c r="D227" s="415"/>
      <c r="E227" s="415"/>
      <c r="F227" s="415"/>
      <c r="G227" s="415"/>
      <c r="H227" s="415"/>
      <c r="I227" s="415"/>
      <c r="J227" s="415"/>
      <c r="K227" s="97"/>
      <c r="L227" s="97"/>
      <c r="M227" s="97"/>
      <c r="N227" s="97"/>
      <c r="O227" s="97"/>
      <c r="P227" s="97"/>
      <c r="Q227" s="97"/>
      <c r="R227" s="97"/>
      <c r="S227" s="97"/>
      <c r="T227" s="423">
        <v>224</v>
      </c>
      <c r="U227" s="424">
        <v>62398313194.150909</v>
      </c>
      <c r="V227" s="426"/>
      <c r="W227" s="97"/>
      <c r="X227" s="97"/>
      <c r="Y227" s="97"/>
      <c r="Z227" s="68"/>
      <c r="AA227" s="68"/>
      <c r="AB227" s="68"/>
      <c r="AC227" s="68"/>
      <c r="AD227" s="68"/>
    </row>
    <row r="228" spans="1:30" ht="17">
      <c r="A228" s="68"/>
      <c r="B228" s="68"/>
      <c r="C228" s="68"/>
      <c r="D228" s="415"/>
      <c r="E228" s="415"/>
      <c r="F228" s="415"/>
      <c r="G228" s="415"/>
      <c r="H228" s="415"/>
      <c r="I228" s="415"/>
      <c r="J228" s="415"/>
      <c r="K228" s="97"/>
      <c r="L228" s="97"/>
      <c r="M228" s="97"/>
      <c r="N228" s="97"/>
      <c r="O228" s="97"/>
      <c r="P228" s="97"/>
      <c r="Q228" s="97"/>
      <c r="R228" s="97"/>
      <c r="S228" s="97"/>
      <c r="T228" s="423">
        <v>225</v>
      </c>
      <c r="U228" s="424">
        <v>59177104421.882065</v>
      </c>
      <c r="V228" s="426"/>
      <c r="W228" s="97"/>
      <c r="X228" s="97"/>
      <c r="Y228" s="97"/>
      <c r="Z228" s="68"/>
      <c r="AA228" s="68"/>
      <c r="AB228" s="68"/>
      <c r="AC228" s="68"/>
      <c r="AD228" s="68"/>
    </row>
    <row r="229" spans="1:30" ht="17">
      <c r="A229" s="68"/>
      <c r="B229" s="68"/>
      <c r="C229" s="68"/>
      <c r="D229" s="415"/>
      <c r="E229" s="415"/>
      <c r="F229" s="415"/>
      <c r="G229" s="415"/>
      <c r="H229" s="415"/>
      <c r="I229" s="415"/>
      <c r="J229" s="415"/>
      <c r="K229" s="97"/>
      <c r="L229" s="97"/>
      <c r="M229" s="97"/>
      <c r="N229" s="97"/>
      <c r="O229" s="97"/>
      <c r="P229" s="97"/>
      <c r="Q229" s="97"/>
      <c r="R229" s="97"/>
      <c r="S229" s="97"/>
      <c r="T229" s="423">
        <v>226</v>
      </c>
      <c r="U229" s="424">
        <v>57340988653.45562</v>
      </c>
      <c r="V229" s="426"/>
      <c r="W229" s="97"/>
      <c r="X229" s="97"/>
      <c r="Y229" s="97"/>
      <c r="Z229" s="68"/>
      <c r="AA229" s="68"/>
      <c r="AB229" s="68"/>
      <c r="AC229" s="68"/>
      <c r="AD229" s="68"/>
    </row>
    <row r="230" spans="1:30" ht="17">
      <c r="A230" s="68"/>
      <c r="B230" s="68"/>
      <c r="C230" s="68"/>
      <c r="D230" s="415"/>
      <c r="E230" s="415"/>
      <c r="F230" s="415"/>
      <c r="G230" s="415"/>
      <c r="H230" s="415"/>
      <c r="I230" s="415"/>
      <c r="J230" s="415"/>
      <c r="K230" s="97"/>
      <c r="L230" s="97"/>
      <c r="M230" s="97"/>
      <c r="N230" s="97"/>
      <c r="O230" s="97"/>
      <c r="P230" s="97"/>
      <c r="Q230" s="97"/>
      <c r="R230" s="97"/>
      <c r="S230" s="97"/>
      <c r="T230" s="423">
        <v>227</v>
      </c>
      <c r="U230" s="424">
        <v>57329209270.079025</v>
      </c>
      <c r="V230" s="426"/>
      <c r="W230" s="97"/>
      <c r="X230" s="97"/>
      <c r="Y230" s="97"/>
      <c r="Z230" s="68"/>
      <c r="AA230" s="68"/>
      <c r="AB230" s="68"/>
      <c r="AC230" s="68"/>
      <c r="AD230" s="68"/>
    </row>
    <row r="231" spans="1:30" ht="17">
      <c r="A231" s="68"/>
      <c r="B231" s="68"/>
      <c r="C231" s="68"/>
      <c r="D231" s="415"/>
      <c r="E231" s="415"/>
      <c r="F231" s="415"/>
      <c r="G231" s="415"/>
      <c r="H231" s="415"/>
      <c r="I231" s="415"/>
      <c r="J231" s="415"/>
      <c r="K231" s="97"/>
      <c r="L231" s="97"/>
      <c r="M231" s="97"/>
      <c r="N231" s="97"/>
      <c r="O231" s="97"/>
      <c r="P231" s="97"/>
      <c r="Q231" s="97"/>
      <c r="R231" s="97"/>
      <c r="S231" s="97"/>
      <c r="T231" s="423">
        <v>228</v>
      </c>
      <c r="U231" s="424">
        <v>60939448613.370888</v>
      </c>
      <c r="V231" s="426"/>
      <c r="W231" s="97"/>
      <c r="X231" s="97"/>
      <c r="Y231" s="97"/>
      <c r="Z231" s="68"/>
      <c r="AA231" s="68"/>
      <c r="AB231" s="68"/>
      <c r="AC231" s="68"/>
      <c r="AD231" s="68"/>
    </row>
    <row r="232" spans="1:30" ht="17">
      <c r="A232" s="68"/>
      <c r="B232" s="68"/>
      <c r="C232" s="68"/>
      <c r="D232" s="415"/>
      <c r="E232" s="415"/>
      <c r="F232" s="415"/>
      <c r="G232" s="415"/>
      <c r="H232" s="415"/>
      <c r="I232" s="415"/>
      <c r="J232" s="415"/>
      <c r="K232" s="97"/>
      <c r="L232" s="97"/>
      <c r="M232" s="97"/>
      <c r="N232" s="97"/>
      <c r="O232" s="97"/>
      <c r="P232" s="97"/>
      <c r="Q232" s="97"/>
      <c r="R232" s="97"/>
      <c r="S232" s="97"/>
      <c r="T232" s="423">
        <v>229</v>
      </c>
      <c r="U232" s="424">
        <v>57163863508.078323</v>
      </c>
      <c r="V232" s="426"/>
      <c r="W232" s="97"/>
      <c r="X232" s="97"/>
      <c r="Y232" s="97"/>
      <c r="Z232" s="68"/>
      <c r="AA232" s="68"/>
      <c r="AB232" s="68"/>
      <c r="AC232" s="68"/>
      <c r="AD232" s="68"/>
    </row>
    <row r="233" spans="1:30" ht="17">
      <c r="A233" s="68"/>
      <c r="B233" s="68"/>
      <c r="C233" s="68"/>
      <c r="D233" s="415"/>
      <c r="E233" s="415"/>
      <c r="F233" s="415"/>
      <c r="G233" s="415"/>
      <c r="H233" s="415"/>
      <c r="I233" s="415"/>
      <c r="J233" s="415"/>
      <c r="K233" s="97"/>
      <c r="L233" s="97"/>
      <c r="M233" s="97"/>
      <c r="N233" s="97"/>
      <c r="O233" s="97"/>
      <c r="P233" s="97"/>
      <c r="Q233" s="97"/>
      <c r="R233" s="97"/>
      <c r="S233" s="97"/>
      <c r="T233" s="423">
        <v>230</v>
      </c>
      <c r="U233" s="424">
        <v>55175214661.755234</v>
      </c>
      <c r="V233" s="426"/>
      <c r="W233" s="97"/>
      <c r="X233" s="97"/>
      <c r="Y233" s="97"/>
      <c r="Z233" s="68"/>
      <c r="AA233" s="68"/>
      <c r="AB233" s="68"/>
      <c r="AC233" s="68"/>
      <c r="AD233" s="68"/>
    </row>
    <row r="234" spans="1:30" ht="17">
      <c r="A234" s="68"/>
      <c r="B234" s="68"/>
      <c r="C234" s="68"/>
      <c r="D234" s="415"/>
      <c r="E234" s="415"/>
      <c r="F234" s="415"/>
      <c r="G234" s="415"/>
      <c r="H234" s="415"/>
      <c r="I234" s="415"/>
      <c r="J234" s="415"/>
      <c r="K234" s="97"/>
      <c r="L234" s="97"/>
      <c r="M234" s="97"/>
      <c r="N234" s="97"/>
      <c r="O234" s="97"/>
      <c r="P234" s="97"/>
      <c r="Q234" s="97"/>
      <c r="R234" s="97"/>
      <c r="S234" s="97"/>
      <c r="T234" s="423">
        <v>231</v>
      </c>
      <c r="U234" s="424">
        <v>59183519141.568169</v>
      </c>
      <c r="V234" s="426"/>
      <c r="W234" s="97"/>
      <c r="X234" s="97"/>
      <c r="Y234" s="97"/>
      <c r="Z234" s="68"/>
      <c r="AA234" s="68"/>
      <c r="AB234" s="68"/>
      <c r="AC234" s="68"/>
      <c r="AD234" s="68"/>
    </row>
    <row r="235" spans="1:30" ht="17">
      <c r="A235" s="68"/>
      <c r="B235" s="68"/>
      <c r="C235" s="68"/>
      <c r="D235" s="415"/>
      <c r="E235" s="415"/>
      <c r="F235" s="415"/>
      <c r="G235" s="415"/>
      <c r="H235" s="415"/>
      <c r="I235" s="415"/>
      <c r="J235" s="415"/>
      <c r="K235" s="97"/>
      <c r="L235" s="97"/>
      <c r="M235" s="97"/>
      <c r="N235" s="97"/>
      <c r="O235" s="97"/>
      <c r="P235" s="97"/>
      <c r="Q235" s="97"/>
      <c r="R235" s="97"/>
      <c r="S235" s="97"/>
      <c r="T235" s="423">
        <v>232</v>
      </c>
      <c r="U235" s="424">
        <v>59469547944.237534</v>
      </c>
      <c r="V235" s="426"/>
      <c r="W235" s="97"/>
      <c r="X235" s="97"/>
      <c r="Y235" s="97"/>
      <c r="Z235" s="68"/>
      <c r="AA235" s="68"/>
      <c r="AB235" s="68"/>
      <c r="AC235" s="68"/>
      <c r="AD235" s="68"/>
    </row>
    <row r="236" spans="1:30" ht="17">
      <c r="A236" s="68"/>
      <c r="B236" s="68"/>
      <c r="C236" s="68"/>
      <c r="D236" s="415"/>
      <c r="E236" s="415"/>
      <c r="F236" s="415"/>
      <c r="G236" s="415"/>
      <c r="H236" s="415"/>
      <c r="I236" s="415"/>
      <c r="J236" s="415"/>
      <c r="K236" s="97"/>
      <c r="L236" s="97"/>
      <c r="M236" s="97"/>
      <c r="N236" s="97"/>
      <c r="O236" s="97"/>
      <c r="P236" s="97"/>
      <c r="Q236" s="97"/>
      <c r="R236" s="97"/>
      <c r="S236" s="97"/>
      <c r="T236" s="423">
        <v>233</v>
      </c>
      <c r="U236" s="424">
        <v>62669175695.759857</v>
      </c>
      <c r="V236" s="426"/>
      <c r="W236" s="97"/>
      <c r="X236" s="97"/>
      <c r="Y236" s="97"/>
      <c r="Z236" s="68"/>
      <c r="AA236" s="68"/>
      <c r="AB236" s="68"/>
      <c r="AC236" s="68"/>
      <c r="AD236" s="68"/>
    </row>
    <row r="237" spans="1:30" ht="17">
      <c r="A237" s="68"/>
      <c r="B237" s="68"/>
      <c r="C237" s="68"/>
      <c r="D237" s="415"/>
      <c r="E237" s="415"/>
      <c r="F237" s="415"/>
      <c r="G237" s="415"/>
      <c r="H237" s="415"/>
      <c r="I237" s="415"/>
      <c r="J237" s="415"/>
      <c r="K237" s="97"/>
      <c r="L237" s="97"/>
      <c r="M237" s="97"/>
      <c r="N237" s="97"/>
      <c r="O237" s="97"/>
      <c r="P237" s="97"/>
      <c r="Q237" s="97"/>
      <c r="R237" s="97"/>
      <c r="S237" s="97"/>
      <c r="T237" s="423">
        <v>234</v>
      </c>
      <c r="U237" s="424">
        <v>56996387665.536377</v>
      </c>
      <c r="V237" s="426"/>
      <c r="W237" s="97"/>
      <c r="X237" s="97"/>
      <c r="Y237" s="97"/>
      <c r="Z237" s="68"/>
      <c r="AA237" s="68"/>
      <c r="AB237" s="68"/>
      <c r="AC237" s="68"/>
      <c r="AD237" s="68"/>
    </row>
    <row r="238" spans="1:30" ht="17">
      <c r="A238" s="68"/>
      <c r="B238" s="68"/>
      <c r="C238" s="68"/>
      <c r="D238" s="415"/>
      <c r="E238" s="415"/>
      <c r="F238" s="415"/>
      <c r="G238" s="415"/>
      <c r="H238" s="415"/>
      <c r="I238" s="415"/>
      <c r="J238" s="415"/>
      <c r="K238" s="97"/>
      <c r="L238" s="97"/>
      <c r="M238" s="97"/>
      <c r="N238" s="97"/>
      <c r="O238" s="97"/>
      <c r="P238" s="97"/>
      <c r="Q238" s="97"/>
      <c r="R238" s="97"/>
      <c r="S238" s="97"/>
      <c r="T238" s="423">
        <v>235</v>
      </c>
      <c r="U238" s="424">
        <v>56674800401.843842</v>
      </c>
      <c r="V238" s="426"/>
      <c r="W238" s="97"/>
      <c r="X238" s="97"/>
      <c r="Y238" s="97"/>
      <c r="Z238" s="68"/>
      <c r="AA238" s="68"/>
      <c r="AB238" s="68"/>
      <c r="AC238" s="68"/>
      <c r="AD238" s="68"/>
    </row>
    <row r="239" spans="1:30" ht="17">
      <c r="A239" s="68"/>
      <c r="B239" s="68"/>
      <c r="C239" s="68"/>
      <c r="D239" s="415"/>
      <c r="E239" s="415"/>
      <c r="F239" s="415"/>
      <c r="G239" s="415"/>
      <c r="H239" s="415"/>
      <c r="I239" s="415"/>
      <c r="J239" s="415"/>
      <c r="K239" s="97"/>
      <c r="L239" s="97"/>
      <c r="M239" s="97"/>
      <c r="N239" s="97"/>
      <c r="O239" s="97"/>
      <c r="P239" s="97"/>
      <c r="Q239" s="97"/>
      <c r="R239" s="97"/>
      <c r="S239" s="97"/>
      <c r="T239" s="423">
        <v>236</v>
      </c>
      <c r="U239" s="424">
        <v>59455404538.712555</v>
      </c>
      <c r="V239" s="426"/>
      <c r="W239" s="97"/>
      <c r="X239" s="97"/>
      <c r="Y239" s="97"/>
      <c r="Z239" s="68"/>
      <c r="AA239" s="68"/>
      <c r="AB239" s="68"/>
      <c r="AC239" s="68"/>
      <c r="AD239" s="68"/>
    </row>
    <row r="240" spans="1:30" ht="17">
      <c r="A240" s="68"/>
      <c r="B240" s="68"/>
      <c r="C240" s="68"/>
      <c r="D240" s="415"/>
      <c r="E240" s="415"/>
      <c r="F240" s="415"/>
      <c r="G240" s="415"/>
      <c r="H240" s="415"/>
      <c r="I240" s="415"/>
      <c r="J240" s="415"/>
      <c r="K240" s="97"/>
      <c r="L240" s="97"/>
      <c r="M240" s="97"/>
      <c r="N240" s="97"/>
      <c r="O240" s="97"/>
      <c r="P240" s="97"/>
      <c r="Q240" s="97"/>
      <c r="R240" s="97"/>
      <c r="S240" s="97"/>
      <c r="T240" s="423">
        <v>237</v>
      </c>
      <c r="U240" s="424">
        <v>60058019618.335167</v>
      </c>
      <c r="V240" s="426"/>
      <c r="W240" s="97"/>
      <c r="X240" s="97"/>
      <c r="Y240" s="97"/>
      <c r="Z240" s="68"/>
      <c r="AA240" s="68"/>
      <c r="AB240" s="68"/>
      <c r="AC240" s="68"/>
      <c r="AD240" s="68"/>
    </row>
    <row r="241" spans="1:30" ht="17">
      <c r="A241" s="68"/>
      <c r="B241" s="68"/>
      <c r="C241" s="68"/>
      <c r="D241" s="415"/>
      <c r="E241" s="415"/>
      <c r="F241" s="415"/>
      <c r="G241" s="415"/>
      <c r="H241" s="415"/>
      <c r="I241" s="415"/>
      <c r="J241" s="415"/>
      <c r="K241" s="97"/>
      <c r="L241" s="97"/>
      <c r="M241" s="97"/>
      <c r="N241" s="97"/>
      <c r="O241" s="97"/>
      <c r="P241" s="97"/>
      <c r="Q241" s="97"/>
      <c r="R241" s="97"/>
      <c r="S241" s="97"/>
      <c r="T241" s="423">
        <v>238</v>
      </c>
      <c r="U241" s="424">
        <v>54883293790.657944</v>
      </c>
      <c r="V241" s="426"/>
      <c r="W241" s="97"/>
      <c r="X241" s="97"/>
      <c r="Y241" s="97"/>
      <c r="Z241" s="68"/>
      <c r="AA241" s="68"/>
      <c r="AB241" s="68"/>
      <c r="AC241" s="68"/>
      <c r="AD241" s="68"/>
    </row>
    <row r="242" spans="1:30" ht="17">
      <c r="A242" s="68"/>
      <c r="B242" s="68"/>
      <c r="C242" s="68"/>
      <c r="D242" s="415"/>
      <c r="E242" s="415"/>
      <c r="F242" s="415"/>
      <c r="G242" s="415"/>
      <c r="H242" s="415"/>
      <c r="I242" s="415"/>
      <c r="J242" s="415"/>
      <c r="K242" s="97"/>
      <c r="L242" s="97"/>
      <c r="M242" s="97"/>
      <c r="N242" s="97"/>
      <c r="O242" s="97"/>
      <c r="P242" s="97"/>
      <c r="Q242" s="97"/>
      <c r="R242" s="97"/>
      <c r="S242" s="97"/>
      <c r="T242" s="423">
        <v>239</v>
      </c>
      <c r="U242" s="424">
        <v>63324716997.183014</v>
      </c>
      <c r="V242" s="426"/>
      <c r="W242" s="97"/>
      <c r="X242" s="97"/>
      <c r="Y242" s="97"/>
      <c r="Z242" s="68"/>
      <c r="AA242" s="68"/>
      <c r="AB242" s="68"/>
      <c r="AC242" s="68"/>
      <c r="AD242" s="68"/>
    </row>
    <row r="243" spans="1:30" ht="17">
      <c r="A243" s="68"/>
      <c r="B243" s="68"/>
      <c r="C243" s="68"/>
      <c r="D243" s="415"/>
      <c r="E243" s="415"/>
      <c r="F243" s="415"/>
      <c r="G243" s="415"/>
      <c r="H243" s="415"/>
      <c r="I243" s="415"/>
      <c r="J243" s="415"/>
      <c r="K243" s="97"/>
      <c r="L243" s="97"/>
      <c r="M243" s="97"/>
      <c r="N243" s="97"/>
      <c r="O243" s="97"/>
      <c r="P243" s="97"/>
      <c r="Q243" s="97"/>
      <c r="R243" s="97"/>
      <c r="S243" s="97"/>
      <c r="T243" s="423">
        <v>240</v>
      </c>
      <c r="U243" s="424">
        <v>55668825488.660599</v>
      </c>
      <c r="V243" s="426"/>
      <c r="W243" s="97"/>
      <c r="X243" s="97"/>
      <c r="Y243" s="97"/>
      <c r="Z243" s="68"/>
      <c r="AA243" s="68"/>
      <c r="AB243" s="68"/>
      <c r="AC243" s="68"/>
      <c r="AD243" s="68"/>
    </row>
    <row r="244" spans="1:30" ht="17">
      <c r="A244" s="68"/>
      <c r="B244" s="68"/>
      <c r="C244" s="68"/>
      <c r="D244" s="415"/>
      <c r="E244" s="415"/>
      <c r="F244" s="415"/>
      <c r="G244" s="415"/>
      <c r="H244" s="415"/>
      <c r="I244" s="415"/>
      <c r="J244" s="415"/>
      <c r="K244" s="97"/>
      <c r="L244" s="97"/>
      <c r="M244" s="97"/>
      <c r="N244" s="97"/>
      <c r="O244" s="97"/>
      <c r="P244" s="97"/>
      <c r="Q244" s="97"/>
      <c r="R244" s="97"/>
      <c r="S244" s="97"/>
      <c r="T244" s="423">
        <v>241</v>
      </c>
      <c r="U244" s="424">
        <v>58211589383.136658</v>
      </c>
      <c r="V244" s="426"/>
      <c r="W244" s="97"/>
      <c r="X244" s="97"/>
      <c r="Y244" s="97"/>
      <c r="Z244" s="68"/>
      <c r="AA244" s="68"/>
      <c r="AB244" s="68"/>
      <c r="AC244" s="68"/>
      <c r="AD244" s="68"/>
    </row>
    <row r="245" spans="1:30" ht="17">
      <c r="A245" s="68"/>
      <c r="B245" s="68"/>
      <c r="C245" s="68"/>
      <c r="D245" s="415"/>
      <c r="E245" s="415"/>
      <c r="F245" s="415"/>
      <c r="G245" s="415"/>
      <c r="H245" s="415"/>
      <c r="I245" s="415"/>
      <c r="J245" s="415"/>
      <c r="K245" s="97"/>
      <c r="L245" s="97"/>
      <c r="M245" s="97"/>
      <c r="N245" s="97"/>
      <c r="O245" s="97"/>
      <c r="P245" s="97"/>
      <c r="Q245" s="97"/>
      <c r="R245" s="97"/>
      <c r="S245" s="97"/>
      <c r="T245" s="423">
        <v>242</v>
      </c>
      <c r="U245" s="424">
        <v>62214713581.306091</v>
      </c>
      <c r="V245" s="426"/>
      <c r="W245" s="97"/>
      <c r="X245" s="97"/>
      <c r="Y245" s="97"/>
      <c r="Z245" s="68"/>
      <c r="AA245" s="68"/>
      <c r="AB245" s="68"/>
      <c r="AC245" s="68"/>
      <c r="AD245" s="68"/>
    </row>
    <row r="246" spans="1:30" ht="17">
      <c r="A246" s="68"/>
      <c r="B246" s="68"/>
      <c r="C246" s="68"/>
      <c r="D246" s="415"/>
      <c r="E246" s="415"/>
      <c r="F246" s="415"/>
      <c r="G246" s="415"/>
      <c r="H246" s="415"/>
      <c r="I246" s="415"/>
      <c r="J246" s="415"/>
      <c r="K246" s="97"/>
      <c r="L246" s="97"/>
      <c r="M246" s="97"/>
      <c r="N246" s="97"/>
      <c r="O246" s="97"/>
      <c r="P246" s="97"/>
      <c r="Q246" s="97"/>
      <c r="R246" s="97"/>
      <c r="S246" s="97"/>
      <c r="T246" s="423">
        <v>243</v>
      </c>
      <c r="U246" s="424">
        <v>63976191226.504539</v>
      </c>
      <c r="V246" s="426"/>
      <c r="W246" s="97"/>
      <c r="X246" s="97"/>
      <c r="Y246" s="97"/>
      <c r="Z246" s="68"/>
      <c r="AA246" s="68"/>
      <c r="AB246" s="68"/>
      <c r="AC246" s="68"/>
      <c r="AD246" s="68"/>
    </row>
    <row r="247" spans="1:30" ht="17">
      <c r="A247" s="68"/>
      <c r="B247" s="68"/>
      <c r="C247" s="68"/>
      <c r="D247" s="415"/>
      <c r="E247" s="415"/>
      <c r="F247" s="415"/>
      <c r="G247" s="415"/>
      <c r="H247" s="415"/>
      <c r="I247" s="415"/>
      <c r="J247" s="415"/>
      <c r="K247" s="97"/>
      <c r="L247" s="97"/>
      <c r="M247" s="97"/>
      <c r="N247" s="97"/>
      <c r="O247" s="97"/>
      <c r="P247" s="97"/>
      <c r="Q247" s="97"/>
      <c r="R247" s="97"/>
      <c r="S247" s="97"/>
      <c r="T247" s="423">
        <v>244</v>
      </c>
      <c r="U247" s="424">
        <v>56817218681.675079</v>
      </c>
      <c r="V247" s="426"/>
      <c r="W247" s="97"/>
      <c r="X247" s="97"/>
      <c r="Y247" s="97"/>
      <c r="Z247" s="68"/>
      <c r="AA247" s="68"/>
      <c r="AB247" s="68"/>
      <c r="AC247" s="68"/>
      <c r="AD247" s="68"/>
    </row>
    <row r="248" spans="1:30" ht="17">
      <c r="A248" s="68"/>
      <c r="B248" s="68"/>
      <c r="C248" s="68"/>
      <c r="D248" s="415"/>
      <c r="E248" s="415"/>
      <c r="F248" s="415"/>
      <c r="G248" s="415"/>
      <c r="H248" s="415"/>
      <c r="I248" s="415"/>
      <c r="J248" s="415"/>
      <c r="K248" s="97"/>
      <c r="L248" s="97"/>
      <c r="M248" s="97"/>
      <c r="N248" s="97"/>
      <c r="O248" s="97"/>
      <c r="P248" s="97"/>
      <c r="Q248" s="97"/>
      <c r="R248" s="97"/>
      <c r="S248" s="97"/>
      <c r="T248" s="423">
        <v>245</v>
      </c>
      <c r="U248" s="424">
        <v>56022471098.822357</v>
      </c>
      <c r="V248" s="426"/>
      <c r="W248" s="97"/>
      <c r="X248" s="97"/>
      <c r="Y248" s="97"/>
      <c r="Z248" s="68"/>
      <c r="AA248" s="68"/>
      <c r="AB248" s="68"/>
      <c r="AC248" s="68"/>
      <c r="AD248" s="68"/>
    </row>
    <row r="249" spans="1:30" ht="17">
      <c r="A249" s="68"/>
      <c r="B249" s="68"/>
      <c r="C249" s="68"/>
      <c r="D249" s="415"/>
      <c r="E249" s="415"/>
      <c r="F249" s="415"/>
      <c r="G249" s="415"/>
      <c r="H249" s="415"/>
      <c r="I249" s="415"/>
      <c r="J249" s="415"/>
      <c r="K249" s="97"/>
      <c r="L249" s="97"/>
      <c r="M249" s="97"/>
      <c r="N249" s="97"/>
      <c r="O249" s="97"/>
      <c r="P249" s="97"/>
      <c r="Q249" s="97"/>
      <c r="R249" s="97"/>
      <c r="S249" s="97"/>
      <c r="T249" s="423">
        <v>246</v>
      </c>
      <c r="U249" s="424">
        <v>62311888694.233459</v>
      </c>
      <c r="V249" s="426"/>
      <c r="W249" s="97"/>
      <c r="X249" s="97"/>
      <c r="Y249" s="97"/>
      <c r="Z249" s="68"/>
      <c r="AA249" s="68"/>
      <c r="AB249" s="68"/>
      <c r="AC249" s="68"/>
      <c r="AD249" s="68"/>
    </row>
    <row r="250" spans="1:30" ht="17">
      <c r="A250" s="68"/>
      <c r="B250" s="68"/>
      <c r="C250" s="68"/>
      <c r="D250" s="415"/>
      <c r="E250" s="415"/>
      <c r="F250" s="415"/>
      <c r="G250" s="415"/>
      <c r="H250" s="415"/>
      <c r="I250" s="415"/>
      <c r="J250" s="415"/>
      <c r="K250" s="97"/>
      <c r="L250" s="97"/>
      <c r="M250" s="97"/>
      <c r="N250" s="97"/>
      <c r="O250" s="97"/>
      <c r="P250" s="97"/>
      <c r="Q250" s="97"/>
      <c r="R250" s="97"/>
      <c r="S250" s="97"/>
      <c r="T250" s="423">
        <v>247</v>
      </c>
      <c r="U250" s="424">
        <v>57518858849.890442</v>
      </c>
      <c r="V250" s="426"/>
      <c r="W250" s="97"/>
      <c r="X250" s="97"/>
      <c r="Y250" s="97"/>
      <c r="Z250" s="68"/>
      <c r="AA250" s="68"/>
      <c r="AB250" s="68"/>
      <c r="AC250" s="68"/>
      <c r="AD250" s="68"/>
    </row>
    <row r="251" spans="1:30" ht="17">
      <c r="A251" s="68"/>
      <c r="B251" s="68"/>
      <c r="C251" s="68"/>
      <c r="D251" s="415"/>
      <c r="E251" s="415"/>
      <c r="F251" s="415"/>
      <c r="G251" s="415"/>
      <c r="H251" s="415"/>
      <c r="I251" s="415"/>
      <c r="J251" s="415"/>
      <c r="K251" s="97"/>
      <c r="L251" s="97"/>
      <c r="M251" s="97"/>
      <c r="N251" s="97"/>
      <c r="O251" s="97"/>
      <c r="P251" s="97"/>
      <c r="Q251" s="97"/>
      <c r="R251" s="97"/>
      <c r="S251" s="97"/>
      <c r="T251" s="423">
        <v>248</v>
      </c>
      <c r="U251" s="424">
        <v>59306243659.590546</v>
      </c>
      <c r="V251" s="426"/>
      <c r="W251" s="97"/>
      <c r="X251" s="97"/>
      <c r="Y251" s="97"/>
      <c r="Z251" s="68"/>
      <c r="AA251" s="68"/>
      <c r="AB251" s="68"/>
      <c r="AC251" s="68"/>
      <c r="AD251" s="68"/>
    </row>
    <row r="252" spans="1:30" ht="17">
      <c r="A252" s="68"/>
      <c r="B252" s="68"/>
      <c r="C252" s="68"/>
      <c r="D252" s="415"/>
      <c r="E252" s="415"/>
      <c r="F252" s="415"/>
      <c r="G252" s="415"/>
      <c r="H252" s="415"/>
      <c r="I252" s="415"/>
      <c r="J252" s="415"/>
      <c r="K252" s="97"/>
      <c r="L252" s="97"/>
      <c r="M252" s="97"/>
      <c r="N252" s="97"/>
      <c r="O252" s="97"/>
      <c r="P252" s="97"/>
      <c r="Q252" s="97"/>
      <c r="R252" s="97"/>
      <c r="S252" s="97"/>
      <c r="T252" s="423">
        <v>249</v>
      </c>
      <c r="U252" s="424">
        <v>60593592491.636612</v>
      </c>
      <c r="V252" s="426"/>
      <c r="W252" s="97"/>
      <c r="X252" s="97"/>
      <c r="Y252" s="97"/>
      <c r="Z252" s="68"/>
      <c r="AA252" s="68"/>
      <c r="AB252" s="68"/>
      <c r="AC252" s="68"/>
      <c r="AD252" s="68"/>
    </row>
    <row r="253" spans="1:30" ht="17">
      <c r="A253" s="68"/>
      <c r="B253" s="68"/>
      <c r="C253" s="68"/>
      <c r="D253" s="415"/>
      <c r="E253" s="415"/>
      <c r="F253" s="415"/>
      <c r="G253" s="415"/>
      <c r="H253" s="415"/>
      <c r="I253" s="415"/>
      <c r="J253" s="415"/>
      <c r="K253" s="97"/>
      <c r="L253" s="97"/>
      <c r="M253" s="97"/>
      <c r="N253" s="97"/>
      <c r="O253" s="97"/>
      <c r="P253" s="97"/>
      <c r="Q253" s="97"/>
      <c r="R253" s="97"/>
      <c r="S253" s="97"/>
      <c r="T253" s="423">
        <v>250</v>
      </c>
      <c r="U253" s="424">
        <v>57727432934.346527</v>
      </c>
      <c r="V253" s="426"/>
      <c r="W253" s="97"/>
      <c r="X253" s="97"/>
      <c r="Y253" s="97"/>
      <c r="Z253" s="68"/>
      <c r="AA253" s="68"/>
      <c r="AB253" s="68"/>
      <c r="AC253" s="68"/>
      <c r="AD253" s="68"/>
    </row>
    <row r="254" spans="1:30" ht="17">
      <c r="A254" s="68"/>
      <c r="B254" s="68"/>
      <c r="C254" s="68"/>
      <c r="D254" s="415"/>
      <c r="E254" s="415"/>
      <c r="F254" s="415"/>
      <c r="G254" s="415"/>
      <c r="H254" s="415"/>
      <c r="I254" s="415"/>
      <c r="J254" s="415"/>
      <c r="K254" s="97"/>
      <c r="L254" s="97"/>
      <c r="M254" s="97"/>
      <c r="N254" s="97"/>
      <c r="O254" s="97"/>
      <c r="P254" s="97"/>
      <c r="Q254" s="97"/>
      <c r="R254" s="97"/>
      <c r="S254" s="97"/>
      <c r="T254" s="423">
        <v>251</v>
      </c>
      <c r="U254" s="424">
        <v>63396593821.752899</v>
      </c>
      <c r="V254" s="426"/>
      <c r="W254" s="97"/>
      <c r="X254" s="97"/>
      <c r="Y254" s="97"/>
      <c r="Z254" s="68"/>
      <c r="AA254" s="68"/>
      <c r="AB254" s="68"/>
      <c r="AC254" s="68"/>
      <c r="AD254" s="68"/>
    </row>
    <row r="255" spans="1:30" ht="17">
      <c r="A255" s="68"/>
      <c r="B255" s="68"/>
      <c r="C255" s="68"/>
      <c r="D255" s="415"/>
      <c r="E255" s="415"/>
      <c r="F255" s="415"/>
      <c r="G255" s="415"/>
      <c r="H255" s="415"/>
      <c r="I255" s="415"/>
      <c r="J255" s="415"/>
      <c r="K255" s="97"/>
      <c r="L255" s="97"/>
      <c r="M255" s="97"/>
      <c r="N255" s="97"/>
      <c r="O255" s="97"/>
      <c r="P255" s="97"/>
      <c r="Q255" s="97"/>
      <c r="R255" s="97"/>
      <c r="S255" s="97"/>
      <c r="T255" s="423">
        <v>252</v>
      </c>
      <c r="U255" s="424">
        <v>61944878651.171356</v>
      </c>
      <c r="V255" s="426"/>
      <c r="W255" s="97"/>
      <c r="X255" s="97"/>
      <c r="Y255" s="97"/>
      <c r="Z255" s="68"/>
      <c r="AA255" s="68"/>
      <c r="AB255" s="68"/>
      <c r="AC255" s="68"/>
      <c r="AD255" s="68"/>
    </row>
    <row r="256" spans="1:30" ht="17">
      <c r="A256" s="68"/>
      <c r="B256" s="68"/>
      <c r="C256" s="68"/>
      <c r="D256" s="415"/>
      <c r="E256" s="415"/>
      <c r="F256" s="415"/>
      <c r="G256" s="415"/>
      <c r="H256" s="415"/>
      <c r="I256" s="415"/>
      <c r="J256" s="415"/>
      <c r="K256" s="97"/>
      <c r="L256" s="97"/>
      <c r="M256" s="97"/>
      <c r="N256" s="97"/>
      <c r="O256" s="97"/>
      <c r="P256" s="97"/>
      <c r="Q256" s="97"/>
      <c r="R256" s="97"/>
      <c r="S256" s="97"/>
      <c r="T256" s="423">
        <v>253</v>
      </c>
      <c r="U256" s="424">
        <v>60712224724.859344</v>
      </c>
      <c r="V256" s="426"/>
      <c r="W256" s="97"/>
      <c r="X256" s="97"/>
      <c r="Y256" s="97"/>
      <c r="Z256" s="68"/>
      <c r="AA256" s="68"/>
      <c r="AB256" s="68"/>
      <c r="AC256" s="68"/>
      <c r="AD256" s="68"/>
    </row>
    <row r="257" spans="1:30" ht="17">
      <c r="A257" s="68"/>
      <c r="B257" s="68"/>
      <c r="C257" s="68"/>
      <c r="D257" s="415"/>
      <c r="E257" s="415"/>
      <c r="F257" s="415"/>
      <c r="G257" s="415"/>
      <c r="H257" s="415"/>
      <c r="I257" s="415"/>
      <c r="J257" s="415"/>
      <c r="K257" s="97"/>
      <c r="L257" s="97"/>
      <c r="M257" s="97"/>
      <c r="N257" s="97"/>
      <c r="O257" s="97"/>
      <c r="P257" s="97"/>
      <c r="Q257" s="97"/>
      <c r="R257" s="97"/>
      <c r="S257" s="97"/>
      <c r="T257" s="423">
        <v>254</v>
      </c>
      <c r="U257" s="424">
        <v>58767409669.690331</v>
      </c>
      <c r="V257" s="426"/>
      <c r="W257" s="97"/>
      <c r="X257" s="97"/>
      <c r="Y257" s="97"/>
      <c r="Z257" s="68"/>
      <c r="AA257" s="68"/>
      <c r="AB257" s="68"/>
      <c r="AC257" s="68"/>
      <c r="AD257" s="68"/>
    </row>
    <row r="258" spans="1:30" ht="17">
      <c r="A258" s="68"/>
      <c r="B258" s="68"/>
      <c r="C258" s="68"/>
      <c r="D258" s="415"/>
      <c r="E258" s="415"/>
      <c r="F258" s="415"/>
      <c r="G258" s="415"/>
      <c r="H258" s="415"/>
      <c r="I258" s="415"/>
      <c r="J258" s="415"/>
      <c r="K258" s="97"/>
      <c r="L258" s="97"/>
      <c r="M258" s="97"/>
      <c r="N258" s="97"/>
      <c r="O258" s="97"/>
      <c r="P258" s="97"/>
      <c r="Q258" s="97"/>
      <c r="R258" s="97"/>
      <c r="S258" s="97"/>
      <c r="T258" s="423">
        <v>255</v>
      </c>
      <c r="U258" s="424">
        <v>55994670397.371574</v>
      </c>
      <c r="V258" s="426"/>
      <c r="W258" s="97"/>
      <c r="X258" s="97"/>
      <c r="Y258" s="97"/>
      <c r="Z258" s="68"/>
      <c r="AA258" s="68"/>
      <c r="AB258" s="68"/>
      <c r="AC258" s="68"/>
      <c r="AD258" s="68"/>
    </row>
    <row r="259" spans="1:30" ht="17">
      <c r="A259" s="68"/>
      <c r="B259" s="68"/>
      <c r="C259" s="68"/>
      <c r="D259" s="415"/>
      <c r="E259" s="415"/>
      <c r="F259" s="415"/>
      <c r="G259" s="415"/>
      <c r="H259" s="415"/>
      <c r="I259" s="415"/>
      <c r="J259" s="415"/>
      <c r="K259" s="97"/>
      <c r="L259" s="97"/>
      <c r="M259" s="97"/>
      <c r="N259" s="97"/>
      <c r="O259" s="97"/>
      <c r="P259" s="97"/>
      <c r="Q259" s="97"/>
      <c r="R259" s="97"/>
      <c r="S259" s="97"/>
      <c r="T259" s="423">
        <v>256</v>
      </c>
      <c r="U259" s="424">
        <v>61237393656.819885</v>
      </c>
      <c r="V259" s="426"/>
      <c r="W259" s="97"/>
      <c r="X259" s="97"/>
      <c r="Y259" s="97"/>
      <c r="Z259" s="68"/>
      <c r="AA259" s="68"/>
      <c r="AB259" s="68"/>
      <c r="AC259" s="68"/>
      <c r="AD259" s="68"/>
    </row>
    <row r="260" spans="1:30" ht="17">
      <c r="A260" s="68"/>
      <c r="B260" s="68"/>
      <c r="C260" s="68"/>
      <c r="D260" s="415"/>
      <c r="E260" s="415"/>
      <c r="F260" s="415"/>
      <c r="G260" s="415"/>
      <c r="H260" s="415"/>
      <c r="I260" s="415"/>
      <c r="J260" s="415"/>
      <c r="K260" s="97"/>
      <c r="L260" s="97"/>
      <c r="M260" s="97"/>
      <c r="N260" s="97"/>
      <c r="O260" s="97"/>
      <c r="P260" s="97"/>
      <c r="Q260" s="97"/>
      <c r="R260" s="97"/>
      <c r="S260" s="97"/>
      <c r="T260" s="423">
        <v>257</v>
      </c>
      <c r="U260" s="424">
        <v>58494803926.123344</v>
      </c>
      <c r="V260" s="426"/>
      <c r="W260" s="97"/>
      <c r="X260" s="97"/>
      <c r="Y260" s="97"/>
      <c r="Z260" s="68"/>
      <c r="AA260" s="68"/>
      <c r="AB260" s="68"/>
      <c r="AC260" s="68"/>
      <c r="AD260" s="68"/>
    </row>
    <row r="261" spans="1:30" ht="17">
      <c r="A261" s="68"/>
      <c r="B261" s="68"/>
      <c r="C261" s="68"/>
      <c r="D261" s="415"/>
      <c r="E261" s="415"/>
      <c r="F261" s="415"/>
      <c r="G261" s="415"/>
      <c r="H261" s="415"/>
      <c r="I261" s="415"/>
      <c r="J261" s="415"/>
      <c r="K261" s="97"/>
      <c r="L261" s="97"/>
      <c r="M261" s="97"/>
      <c r="N261" s="97"/>
      <c r="O261" s="97"/>
      <c r="P261" s="97"/>
      <c r="Q261" s="97"/>
      <c r="R261" s="97"/>
      <c r="S261" s="97"/>
      <c r="T261" s="423">
        <v>258</v>
      </c>
      <c r="U261" s="424">
        <v>62176783631.116318</v>
      </c>
      <c r="V261" s="426"/>
      <c r="W261" s="97"/>
      <c r="X261" s="97"/>
      <c r="Y261" s="97"/>
      <c r="Z261" s="68"/>
      <c r="AA261" s="68"/>
      <c r="AB261" s="68"/>
      <c r="AC261" s="68"/>
      <c r="AD261" s="68"/>
    </row>
    <row r="262" spans="1:30" ht="17">
      <c r="A262" s="68"/>
      <c r="B262" s="68"/>
      <c r="C262" s="68"/>
      <c r="D262" s="415"/>
      <c r="E262" s="415"/>
      <c r="F262" s="415"/>
      <c r="G262" s="415"/>
      <c r="H262" s="415"/>
      <c r="I262" s="415"/>
      <c r="J262" s="415"/>
      <c r="K262" s="97"/>
      <c r="L262" s="97"/>
      <c r="M262" s="97"/>
      <c r="N262" s="97"/>
      <c r="O262" s="97"/>
      <c r="P262" s="97"/>
      <c r="Q262" s="97"/>
      <c r="R262" s="97"/>
      <c r="S262" s="97"/>
      <c r="T262" s="423">
        <v>259</v>
      </c>
      <c r="U262" s="424">
        <v>57292578111.030823</v>
      </c>
      <c r="V262" s="426"/>
      <c r="W262" s="97"/>
      <c r="X262" s="97"/>
      <c r="Y262" s="97"/>
      <c r="Z262" s="68"/>
      <c r="AA262" s="68"/>
      <c r="AB262" s="68"/>
      <c r="AC262" s="68"/>
      <c r="AD262" s="68"/>
    </row>
    <row r="263" spans="1:30" ht="17">
      <c r="A263" s="68"/>
      <c r="B263" s="68"/>
      <c r="C263" s="68"/>
      <c r="D263" s="415"/>
      <c r="E263" s="415"/>
      <c r="F263" s="415"/>
      <c r="G263" s="415"/>
      <c r="H263" s="415"/>
      <c r="I263" s="415"/>
      <c r="J263" s="415"/>
      <c r="K263" s="97"/>
      <c r="L263" s="97"/>
      <c r="M263" s="97"/>
      <c r="N263" s="97"/>
      <c r="O263" s="97"/>
      <c r="P263" s="97"/>
      <c r="Q263" s="97"/>
      <c r="R263" s="97"/>
      <c r="S263" s="97"/>
      <c r="T263" s="423">
        <v>260</v>
      </c>
      <c r="U263" s="424">
        <v>59650636764.780769</v>
      </c>
      <c r="V263" s="426"/>
      <c r="W263" s="97"/>
      <c r="X263" s="97"/>
      <c r="Y263" s="97"/>
      <c r="Z263" s="68"/>
      <c r="AA263" s="68"/>
      <c r="AB263" s="68"/>
      <c r="AC263" s="68"/>
      <c r="AD263" s="68"/>
    </row>
    <row r="264" spans="1:30" ht="17">
      <c r="A264" s="68"/>
      <c r="B264" s="68"/>
      <c r="C264" s="68"/>
      <c r="D264" s="415"/>
      <c r="E264" s="415"/>
      <c r="F264" s="415"/>
      <c r="G264" s="415"/>
      <c r="H264" s="415"/>
      <c r="I264" s="415"/>
      <c r="J264" s="415"/>
      <c r="K264" s="97"/>
      <c r="L264" s="97"/>
      <c r="M264" s="97"/>
      <c r="N264" s="97"/>
      <c r="O264" s="97"/>
      <c r="P264" s="97"/>
      <c r="Q264" s="97"/>
      <c r="R264" s="97"/>
      <c r="S264" s="97"/>
      <c r="T264" s="423">
        <v>261</v>
      </c>
      <c r="U264" s="424">
        <v>61148670943.981842</v>
      </c>
      <c r="V264" s="426"/>
      <c r="W264" s="97"/>
      <c r="X264" s="97"/>
      <c r="Y264" s="97"/>
      <c r="Z264" s="68"/>
      <c r="AA264" s="68"/>
      <c r="AB264" s="68"/>
      <c r="AC264" s="68"/>
      <c r="AD264" s="68"/>
    </row>
    <row r="265" spans="1:30" ht="17">
      <c r="A265" s="68"/>
      <c r="B265" s="68"/>
      <c r="C265" s="68"/>
      <c r="D265" s="415"/>
      <c r="E265" s="415"/>
      <c r="F265" s="415"/>
      <c r="G265" s="415"/>
      <c r="H265" s="415"/>
      <c r="I265" s="415"/>
      <c r="J265" s="415"/>
      <c r="K265" s="97"/>
      <c r="L265" s="97"/>
      <c r="M265" s="97"/>
      <c r="N265" s="97"/>
      <c r="O265" s="97"/>
      <c r="P265" s="97"/>
      <c r="Q265" s="97"/>
      <c r="R265" s="97"/>
      <c r="S265" s="97"/>
      <c r="T265" s="423">
        <v>262</v>
      </c>
      <c r="U265" s="424">
        <v>59587142725.827011</v>
      </c>
      <c r="V265" s="426"/>
      <c r="W265" s="97"/>
      <c r="X265" s="97"/>
      <c r="Y265" s="97"/>
      <c r="Z265" s="68"/>
      <c r="AA265" s="68"/>
      <c r="AB265" s="68"/>
      <c r="AC265" s="68"/>
      <c r="AD265" s="68"/>
    </row>
    <row r="266" spans="1:30" ht="17">
      <c r="A266" s="68"/>
      <c r="B266" s="68"/>
      <c r="C266" s="68"/>
      <c r="D266" s="415"/>
      <c r="E266" s="415"/>
      <c r="F266" s="415"/>
      <c r="G266" s="415"/>
      <c r="H266" s="415"/>
      <c r="I266" s="415"/>
      <c r="J266" s="415"/>
      <c r="K266" s="97"/>
      <c r="L266" s="97"/>
      <c r="M266" s="97"/>
      <c r="N266" s="97"/>
      <c r="O266" s="97"/>
      <c r="P266" s="97"/>
      <c r="Q266" s="97"/>
      <c r="R266" s="97"/>
      <c r="S266" s="97"/>
      <c r="T266" s="423">
        <v>263</v>
      </c>
      <c r="U266" s="424">
        <v>58875316358.852661</v>
      </c>
      <c r="V266" s="426"/>
      <c r="W266" s="97"/>
      <c r="X266" s="97"/>
      <c r="Y266" s="97"/>
      <c r="Z266" s="68"/>
      <c r="AA266" s="68"/>
      <c r="AB266" s="68"/>
      <c r="AC266" s="68"/>
      <c r="AD266" s="68"/>
    </row>
    <row r="267" spans="1:30" ht="17">
      <c r="A267" s="68"/>
      <c r="B267" s="68"/>
      <c r="C267" s="68"/>
      <c r="D267" s="415"/>
      <c r="E267" s="415"/>
      <c r="F267" s="415"/>
      <c r="G267" s="415"/>
      <c r="H267" s="415"/>
      <c r="I267" s="415"/>
      <c r="J267" s="415"/>
      <c r="K267" s="97"/>
      <c r="L267" s="97"/>
      <c r="M267" s="97"/>
      <c r="N267" s="97"/>
      <c r="O267" s="97"/>
      <c r="P267" s="97"/>
      <c r="Q267" s="97"/>
      <c r="R267" s="97"/>
      <c r="S267" s="97"/>
      <c r="T267" s="423">
        <v>264</v>
      </c>
      <c r="U267" s="424">
        <v>56328531308.584305</v>
      </c>
      <c r="V267" s="426"/>
      <c r="W267" s="97"/>
      <c r="X267" s="97"/>
      <c r="Y267" s="97"/>
      <c r="Z267" s="68"/>
      <c r="AA267" s="68"/>
      <c r="AB267" s="68"/>
      <c r="AC267" s="68"/>
      <c r="AD267" s="68"/>
    </row>
    <row r="268" spans="1:30" ht="17">
      <c r="A268" s="68"/>
      <c r="B268" s="68"/>
      <c r="C268" s="68"/>
      <c r="D268" s="415"/>
      <c r="E268" s="415"/>
      <c r="F268" s="415"/>
      <c r="G268" s="415"/>
      <c r="H268" s="415"/>
      <c r="I268" s="415"/>
      <c r="J268" s="415"/>
      <c r="K268" s="97"/>
      <c r="L268" s="97"/>
      <c r="M268" s="97"/>
      <c r="N268" s="97"/>
      <c r="O268" s="97"/>
      <c r="P268" s="97"/>
      <c r="Q268" s="97"/>
      <c r="R268" s="97"/>
      <c r="S268" s="97"/>
      <c r="T268" s="423">
        <v>265</v>
      </c>
      <c r="U268" s="424">
        <v>61245306344.055161</v>
      </c>
      <c r="V268" s="426"/>
      <c r="W268" s="97"/>
      <c r="X268" s="97"/>
      <c r="Y268" s="97"/>
      <c r="Z268" s="68"/>
      <c r="AA268" s="68"/>
      <c r="AB268" s="68"/>
      <c r="AC268" s="68"/>
      <c r="AD268" s="68"/>
    </row>
    <row r="269" spans="1:30" ht="17">
      <c r="A269" s="68"/>
      <c r="B269" s="68"/>
      <c r="C269" s="68"/>
      <c r="D269" s="415"/>
      <c r="E269" s="415"/>
      <c r="F269" s="415"/>
      <c r="G269" s="415"/>
      <c r="H269" s="415"/>
      <c r="I269" s="415"/>
      <c r="J269" s="415"/>
      <c r="K269" s="97"/>
      <c r="L269" s="97"/>
      <c r="M269" s="97"/>
      <c r="N269" s="97"/>
      <c r="O269" s="97"/>
      <c r="P269" s="97"/>
      <c r="Q269" s="97"/>
      <c r="R269" s="97"/>
      <c r="S269" s="97"/>
      <c r="T269" s="423">
        <v>266</v>
      </c>
      <c r="U269" s="424">
        <v>56070770497.124008</v>
      </c>
      <c r="V269" s="426"/>
      <c r="W269" s="97"/>
      <c r="X269" s="97"/>
      <c r="Y269" s="97"/>
      <c r="Z269" s="68"/>
      <c r="AA269" s="68"/>
      <c r="AB269" s="68"/>
      <c r="AC269" s="68"/>
      <c r="AD269" s="68"/>
    </row>
    <row r="270" spans="1:30" ht="17">
      <c r="A270" s="68"/>
      <c r="B270" s="68"/>
      <c r="C270" s="68"/>
      <c r="D270" s="415"/>
      <c r="E270" s="415"/>
      <c r="F270" s="415"/>
      <c r="G270" s="415"/>
      <c r="H270" s="415"/>
      <c r="I270" s="415"/>
      <c r="J270" s="415"/>
      <c r="K270" s="97"/>
      <c r="L270" s="97"/>
      <c r="M270" s="97"/>
      <c r="N270" s="97"/>
      <c r="O270" s="97"/>
      <c r="P270" s="97"/>
      <c r="Q270" s="97"/>
      <c r="R270" s="97"/>
      <c r="S270" s="97"/>
      <c r="T270" s="423">
        <v>267</v>
      </c>
      <c r="U270" s="424">
        <v>57574569939.389664</v>
      </c>
      <c r="V270" s="426"/>
      <c r="W270" s="97"/>
      <c r="X270" s="97"/>
      <c r="Y270" s="97"/>
      <c r="Z270" s="68"/>
      <c r="AA270" s="68"/>
      <c r="AB270" s="68"/>
      <c r="AC270" s="68"/>
      <c r="AD270" s="68"/>
    </row>
    <row r="271" spans="1:30" ht="17">
      <c r="A271" s="68"/>
      <c r="B271" s="68"/>
      <c r="C271" s="68"/>
      <c r="D271" s="415"/>
      <c r="E271" s="415"/>
      <c r="F271" s="415"/>
      <c r="G271" s="415"/>
      <c r="H271" s="415"/>
      <c r="I271" s="415"/>
      <c r="J271" s="415"/>
      <c r="K271" s="97"/>
      <c r="L271" s="97"/>
      <c r="M271" s="97"/>
      <c r="N271" s="97"/>
      <c r="O271" s="97"/>
      <c r="P271" s="97"/>
      <c r="Q271" s="97"/>
      <c r="R271" s="97"/>
      <c r="S271" s="97"/>
      <c r="T271" s="423">
        <v>268</v>
      </c>
      <c r="U271" s="424">
        <v>58279577786.687363</v>
      </c>
      <c r="V271" s="426"/>
      <c r="W271" s="97"/>
      <c r="X271" s="97"/>
      <c r="Y271" s="97"/>
      <c r="Z271" s="68"/>
      <c r="AA271" s="68"/>
      <c r="AB271" s="68"/>
      <c r="AC271" s="68"/>
      <c r="AD271" s="68"/>
    </row>
    <row r="272" spans="1:30" ht="17">
      <c r="A272" s="68"/>
      <c r="B272" s="68"/>
      <c r="C272" s="68"/>
      <c r="D272" s="415"/>
      <c r="E272" s="415"/>
      <c r="F272" s="415"/>
      <c r="G272" s="415"/>
      <c r="H272" s="415"/>
      <c r="I272" s="415"/>
      <c r="J272" s="415"/>
      <c r="K272" s="97"/>
      <c r="L272" s="97"/>
      <c r="M272" s="97"/>
      <c r="N272" s="97"/>
      <c r="O272" s="97"/>
      <c r="P272" s="97"/>
      <c r="Q272" s="97"/>
      <c r="R272" s="97"/>
      <c r="S272" s="97"/>
      <c r="T272" s="423">
        <v>269</v>
      </c>
      <c r="U272" s="424">
        <v>59432120704.666374</v>
      </c>
      <c r="V272" s="426"/>
      <c r="W272" s="97"/>
      <c r="X272" s="97"/>
      <c r="Y272" s="97"/>
      <c r="Z272" s="68"/>
      <c r="AA272" s="68"/>
      <c r="AB272" s="68"/>
      <c r="AC272" s="68"/>
      <c r="AD272" s="68"/>
    </row>
    <row r="273" spans="1:30" ht="17">
      <c r="A273" s="68"/>
      <c r="B273" s="68"/>
      <c r="C273" s="68"/>
      <c r="D273" s="415"/>
      <c r="E273" s="415"/>
      <c r="F273" s="415"/>
      <c r="G273" s="415"/>
      <c r="H273" s="415"/>
      <c r="I273" s="415"/>
      <c r="J273" s="415"/>
      <c r="K273" s="97"/>
      <c r="L273" s="97"/>
      <c r="M273" s="97"/>
      <c r="N273" s="97"/>
      <c r="O273" s="97"/>
      <c r="P273" s="97"/>
      <c r="Q273" s="97"/>
      <c r="R273" s="97"/>
      <c r="S273" s="97"/>
      <c r="T273" s="423">
        <v>270</v>
      </c>
      <c r="U273" s="424">
        <v>61772104887.9198</v>
      </c>
      <c r="V273" s="426"/>
      <c r="W273" s="97"/>
      <c r="X273" s="97"/>
      <c r="Y273" s="97"/>
      <c r="Z273" s="68"/>
      <c r="AA273" s="68"/>
      <c r="AB273" s="68"/>
      <c r="AC273" s="68"/>
      <c r="AD273" s="68"/>
    </row>
    <row r="274" spans="1:30" ht="17">
      <c r="A274" s="68"/>
      <c r="B274" s="68"/>
      <c r="C274" s="68"/>
      <c r="D274" s="415"/>
      <c r="E274" s="415"/>
      <c r="F274" s="415"/>
      <c r="G274" s="415"/>
      <c r="H274" s="415"/>
      <c r="I274" s="415"/>
      <c r="J274" s="415"/>
      <c r="K274" s="97"/>
      <c r="L274" s="97"/>
      <c r="M274" s="97"/>
      <c r="N274" s="97"/>
      <c r="O274" s="97"/>
      <c r="P274" s="97"/>
      <c r="Q274" s="97"/>
      <c r="R274" s="97"/>
      <c r="S274" s="97"/>
      <c r="T274" s="423">
        <v>271</v>
      </c>
      <c r="U274" s="424">
        <v>59374210080.983337</v>
      </c>
      <c r="V274" s="426"/>
      <c r="W274" s="97"/>
      <c r="X274" s="97"/>
      <c r="Y274" s="97"/>
      <c r="Z274" s="68"/>
      <c r="AA274" s="68"/>
      <c r="AB274" s="68"/>
      <c r="AC274" s="68"/>
      <c r="AD274" s="68"/>
    </row>
    <row r="275" spans="1:30" ht="17">
      <c r="A275" s="68"/>
      <c r="B275" s="68"/>
      <c r="C275" s="68"/>
      <c r="D275" s="415"/>
      <c r="E275" s="415"/>
      <c r="F275" s="415"/>
      <c r="G275" s="415"/>
      <c r="H275" s="415"/>
      <c r="I275" s="415"/>
      <c r="J275" s="415"/>
      <c r="K275" s="97"/>
      <c r="L275" s="97"/>
      <c r="M275" s="97"/>
      <c r="N275" s="97"/>
      <c r="O275" s="97"/>
      <c r="P275" s="97"/>
      <c r="Q275" s="97"/>
      <c r="R275" s="97"/>
      <c r="S275" s="97"/>
      <c r="T275" s="423">
        <v>272</v>
      </c>
      <c r="U275" s="424">
        <v>58489812178.169098</v>
      </c>
      <c r="V275" s="426"/>
      <c r="W275" s="97"/>
      <c r="X275" s="97"/>
      <c r="Y275" s="97"/>
      <c r="Z275" s="68"/>
      <c r="AA275" s="68"/>
      <c r="AB275" s="68"/>
      <c r="AC275" s="68"/>
      <c r="AD275" s="68"/>
    </row>
    <row r="276" spans="1:30" ht="17">
      <c r="A276" s="68"/>
      <c r="B276" s="68"/>
      <c r="C276" s="68"/>
      <c r="D276" s="415"/>
      <c r="E276" s="415"/>
      <c r="F276" s="415"/>
      <c r="G276" s="415"/>
      <c r="H276" s="415"/>
      <c r="I276" s="415"/>
      <c r="J276" s="415"/>
      <c r="K276" s="97"/>
      <c r="L276" s="97"/>
      <c r="M276" s="97"/>
      <c r="N276" s="97"/>
      <c r="O276" s="97"/>
      <c r="P276" s="97"/>
      <c r="Q276" s="97"/>
      <c r="R276" s="97"/>
      <c r="S276" s="97"/>
      <c r="T276" s="423">
        <v>273</v>
      </c>
      <c r="U276" s="424">
        <v>56988317570.272743</v>
      </c>
      <c r="V276" s="426"/>
      <c r="W276" s="97"/>
      <c r="X276" s="97"/>
      <c r="Y276" s="97"/>
      <c r="Z276" s="68"/>
      <c r="AA276" s="68"/>
      <c r="AB276" s="68"/>
      <c r="AC276" s="68"/>
      <c r="AD276" s="68"/>
    </row>
    <row r="277" spans="1:30" ht="17">
      <c r="A277" s="68"/>
      <c r="B277" s="68"/>
      <c r="C277" s="68"/>
      <c r="D277" s="415"/>
      <c r="E277" s="415"/>
      <c r="F277" s="415"/>
      <c r="G277" s="415"/>
      <c r="H277" s="415"/>
      <c r="I277" s="415"/>
      <c r="J277" s="415"/>
      <c r="K277" s="97"/>
      <c r="L277" s="97"/>
      <c r="M277" s="97"/>
      <c r="N277" s="97"/>
      <c r="O277" s="97"/>
      <c r="P277" s="97"/>
      <c r="Q277" s="97"/>
      <c r="R277" s="97"/>
      <c r="S277" s="97"/>
      <c r="T277" s="423">
        <v>274</v>
      </c>
      <c r="U277" s="424">
        <v>56613520853.50708</v>
      </c>
      <c r="V277" s="426"/>
      <c r="W277" s="97"/>
      <c r="X277" s="97"/>
      <c r="Y277" s="97"/>
      <c r="Z277" s="68"/>
      <c r="AA277" s="68"/>
      <c r="AB277" s="68"/>
      <c r="AC277" s="68"/>
      <c r="AD277" s="68"/>
    </row>
    <row r="278" spans="1:30" ht="17">
      <c r="A278" s="68"/>
      <c r="B278" s="68"/>
      <c r="C278" s="68"/>
      <c r="D278" s="415"/>
      <c r="E278" s="415"/>
      <c r="F278" s="415"/>
      <c r="G278" s="415"/>
      <c r="H278" s="415"/>
      <c r="I278" s="415"/>
      <c r="J278" s="415"/>
      <c r="K278" s="97"/>
      <c r="L278" s="97"/>
      <c r="M278" s="97"/>
      <c r="N278" s="97"/>
      <c r="O278" s="97"/>
      <c r="P278" s="97"/>
      <c r="Q278" s="97"/>
      <c r="R278" s="97"/>
      <c r="S278" s="97"/>
      <c r="T278" s="423">
        <v>275</v>
      </c>
      <c r="U278" s="424">
        <v>61193843532.511459</v>
      </c>
      <c r="V278" s="426"/>
      <c r="W278" s="97"/>
      <c r="X278" s="97"/>
      <c r="Y278" s="97"/>
      <c r="Z278" s="68"/>
      <c r="AA278" s="68"/>
      <c r="AB278" s="68"/>
      <c r="AC278" s="68"/>
      <c r="AD278" s="68"/>
    </row>
    <row r="279" spans="1:30" ht="17">
      <c r="A279" s="68"/>
      <c r="B279" s="68"/>
      <c r="C279" s="68"/>
      <c r="D279" s="415"/>
      <c r="E279" s="415"/>
      <c r="F279" s="415"/>
      <c r="G279" s="415"/>
      <c r="H279" s="415"/>
      <c r="I279" s="415"/>
      <c r="J279" s="415"/>
      <c r="K279" s="97"/>
      <c r="L279" s="97"/>
      <c r="M279" s="97"/>
      <c r="N279" s="97"/>
      <c r="O279" s="97"/>
      <c r="P279" s="97"/>
      <c r="Q279" s="97"/>
      <c r="R279" s="97"/>
      <c r="S279" s="97"/>
      <c r="T279" s="423">
        <v>276</v>
      </c>
      <c r="U279" s="424">
        <v>57985009592.850143</v>
      </c>
      <c r="V279" s="426"/>
      <c r="W279" s="97"/>
      <c r="X279" s="97"/>
      <c r="Y279" s="97"/>
      <c r="Z279" s="68"/>
      <c r="AA279" s="68"/>
      <c r="AB279" s="68"/>
      <c r="AC279" s="68"/>
      <c r="AD279" s="68"/>
    </row>
    <row r="280" spans="1:30" ht="17">
      <c r="A280" s="68"/>
      <c r="B280" s="68"/>
      <c r="C280" s="68"/>
      <c r="D280" s="415"/>
      <c r="E280" s="415"/>
      <c r="F280" s="415"/>
      <c r="G280" s="415"/>
      <c r="H280" s="415"/>
      <c r="I280" s="415"/>
      <c r="J280" s="415"/>
      <c r="K280" s="97"/>
      <c r="L280" s="97"/>
      <c r="M280" s="97"/>
      <c r="N280" s="97"/>
      <c r="O280" s="97"/>
      <c r="P280" s="97"/>
      <c r="Q280" s="97"/>
      <c r="R280" s="97"/>
      <c r="S280" s="97"/>
      <c r="T280" s="423">
        <v>277</v>
      </c>
      <c r="U280" s="424">
        <v>58248640285.983582</v>
      </c>
      <c r="V280" s="426"/>
      <c r="W280" s="97"/>
      <c r="X280" s="97"/>
      <c r="Y280" s="97"/>
      <c r="Z280" s="68"/>
      <c r="AA280" s="68"/>
      <c r="AB280" s="68"/>
      <c r="AC280" s="68"/>
      <c r="AD280" s="68"/>
    </row>
    <row r="281" spans="1:30" ht="17">
      <c r="A281" s="68"/>
      <c r="B281" s="68"/>
      <c r="C281" s="68"/>
      <c r="D281" s="415"/>
      <c r="E281" s="415"/>
      <c r="F281" s="415"/>
      <c r="G281" s="415"/>
      <c r="H281" s="415"/>
      <c r="I281" s="415"/>
      <c r="J281" s="415"/>
      <c r="K281" s="97"/>
      <c r="L281" s="97"/>
      <c r="M281" s="97"/>
      <c r="N281" s="97"/>
      <c r="O281" s="97"/>
      <c r="P281" s="97"/>
      <c r="Q281" s="97"/>
      <c r="R281" s="97"/>
      <c r="S281" s="97"/>
      <c r="T281" s="423">
        <v>278</v>
      </c>
      <c r="U281" s="424">
        <v>61292233310.907745</v>
      </c>
      <c r="V281" s="426"/>
      <c r="W281" s="97"/>
      <c r="X281" s="97"/>
      <c r="Y281" s="97"/>
      <c r="Z281" s="68"/>
      <c r="AA281" s="68"/>
      <c r="AB281" s="68"/>
      <c r="AC281" s="68"/>
      <c r="AD281" s="68"/>
    </row>
    <row r="282" spans="1:30" ht="17">
      <c r="A282" s="68"/>
      <c r="B282" s="68"/>
      <c r="C282" s="68"/>
      <c r="D282" s="415"/>
      <c r="E282" s="415"/>
      <c r="F282" s="415"/>
      <c r="G282" s="415"/>
      <c r="H282" s="415"/>
      <c r="I282" s="415"/>
      <c r="J282" s="415"/>
      <c r="K282" s="97"/>
      <c r="L282" s="97"/>
      <c r="M282" s="97"/>
      <c r="N282" s="97"/>
      <c r="O282" s="97"/>
      <c r="P282" s="97"/>
      <c r="Q282" s="97"/>
      <c r="R282" s="97"/>
      <c r="S282" s="97"/>
      <c r="T282" s="423">
        <v>279</v>
      </c>
      <c r="U282" s="424">
        <v>57184019137.508331</v>
      </c>
      <c r="V282" s="426"/>
      <c r="W282" s="97"/>
      <c r="X282" s="97"/>
      <c r="Y282" s="97"/>
      <c r="Z282" s="68"/>
      <c r="AA282" s="68"/>
      <c r="AB282" s="68"/>
      <c r="AC282" s="68"/>
      <c r="AD282" s="68"/>
    </row>
    <row r="283" spans="1:30" ht="17">
      <c r="A283" s="68"/>
      <c r="B283" s="68"/>
      <c r="C283" s="68"/>
      <c r="D283" s="415"/>
      <c r="E283" s="415"/>
      <c r="F283" s="415"/>
      <c r="G283" s="415"/>
      <c r="H283" s="415"/>
      <c r="I283" s="415"/>
      <c r="J283" s="415"/>
      <c r="K283" s="97"/>
      <c r="L283" s="97"/>
      <c r="M283" s="97"/>
      <c r="N283" s="97"/>
      <c r="O283" s="97"/>
      <c r="P283" s="97"/>
      <c r="Q283" s="97"/>
      <c r="R283" s="97"/>
      <c r="S283" s="97"/>
      <c r="T283" s="423">
        <v>280</v>
      </c>
      <c r="U283" s="424">
        <v>60601845665.442184</v>
      </c>
      <c r="V283" s="426"/>
      <c r="W283" s="97"/>
      <c r="X283" s="97"/>
      <c r="Y283" s="97"/>
      <c r="Z283" s="68"/>
      <c r="AA283" s="68"/>
      <c r="AB283" s="68"/>
      <c r="AC283" s="68"/>
      <c r="AD283" s="68"/>
    </row>
    <row r="284" spans="1:30" ht="17">
      <c r="A284" s="68"/>
      <c r="B284" s="68"/>
      <c r="C284" s="68"/>
      <c r="D284" s="415"/>
      <c r="E284" s="415"/>
      <c r="F284" s="415"/>
      <c r="G284" s="415"/>
      <c r="H284" s="415"/>
      <c r="I284" s="415"/>
      <c r="J284" s="415"/>
      <c r="K284" s="97"/>
      <c r="L284" s="97"/>
      <c r="M284" s="97"/>
      <c r="N284" s="97"/>
      <c r="O284" s="97"/>
      <c r="P284" s="97"/>
      <c r="Q284" s="97"/>
      <c r="R284" s="97"/>
      <c r="S284" s="97"/>
      <c r="T284" s="423">
        <v>281</v>
      </c>
      <c r="U284" s="424">
        <v>53616366200.754669</v>
      </c>
      <c r="V284" s="426"/>
      <c r="W284" s="97"/>
      <c r="X284" s="97"/>
      <c r="Y284" s="97"/>
      <c r="Z284" s="68"/>
      <c r="AA284" s="68"/>
      <c r="AB284" s="68"/>
      <c r="AC284" s="68"/>
      <c r="AD284" s="68"/>
    </row>
    <row r="285" spans="1:30" ht="17">
      <c r="A285" s="68"/>
      <c r="B285" s="68"/>
      <c r="C285" s="68"/>
      <c r="D285" s="415"/>
      <c r="E285" s="415"/>
      <c r="F285" s="415"/>
      <c r="G285" s="415"/>
      <c r="H285" s="415"/>
      <c r="I285" s="415"/>
      <c r="J285" s="415"/>
      <c r="K285" s="97"/>
      <c r="L285" s="97"/>
      <c r="M285" s="97"/>
      <c r="N285" s="97"/>
      <c r="O285" s="97"/>
      <c r="P285" s="97"/>
      <c r="Q285" s="97"/>
      <c r="R285" s="97"/>
      <c r="S285" s="97"/>
      <c r="T285" s="423">
        <v>282</v>
      </c>
      <c r="U285" s="424">
        <v>60048651473.691467</v>
      </c>
      <c r="V285" s="426"/>
      <c r="W285" s="97"/>
      <c r="X285" s="97"/>
      <c r="Y285" s="97"/>
      <c r="Z285" s="68"/>
      <c r="AA285" s="68"/>
      <c r="AB285" s="68"/>
      <c r="AC285" s="68"/>
      <c r="AD285" s="68"/>
    </row>
    <row r="286" spans="1:30" ht="17">
      <c r="A286" s="68"/>
      <c r="B286" s="68"/>
      <c r="C286" s="68"/>
      <c r="D286" s="415"/>
      <c r="E286" s="415"/>
      <c r="F286" s="415"/>
      <c r="G286" s="415"/>
      <c r="H286" s="415"/>
      <c r="I286" s="415"/>
      <c r="J286" s="415"/>
      <c r="K286" s="97"/>
      <c r="L286" s="97"/>
      <c r="M286" s="97"/>
      <c r="N286" s="97"/>
      <c r="O286" s="97"/>
      <c r="P286" s="97"/>
      <c r="Q286" s="97"/>
      <c r="R286" s="97"/>
      <c r="S286" s="97"/>
      <c r="T286" s="423">
        <v>283</v>
      </c>
      <c r="U286" s="424">
        <v>58298636598.574539</v>
      </c>
      <c r="V286" s="426"/>
      <c r="W286" s="97"/>
      <c r="X286" s="97"/>
      <c r="Y286" s="97"/>
      <c r="Z286" s="68"/>
      <c r="AA286" s="68"/>
      <c r="AB286" s="68"/>
      <c r="AC286" s="68"/>
      <c r="AD286" s="68"/>
    </row>
    <row r="287" spans="1:30" ht="17">
      <c r="A287" s="68"/>
      <c r="B287" s="68"/>
      <c r="C287" s="68"/>
      <c r="D287" s="415"/>
      <c r="E287" s="415"/>
      <c r="F287" s="415"/>
      <c r="G287" s="415"/>
      <c r="H287" s="415"/>
      <c r="I287" s="415"/>
      <c r="J287" s="415"/>
      <c r="K287" s="97"/>
      <c r="L287" s="97"/>
      <c r="M287" s="97"/>
      <c r="N287" s="97"/>
      <c r="O287" s="97"/>
      <c r="P287" s="97"/>
      <c r="Q287" s="97"/>
      <c r="R287" s="97"/>
      <c r="S287" s="97"/>
      <c r="T287" s="423">
        <v>284</v>
      </c>
      <c r="U287" s="424">
        <v>59081286797.620667</v>
      </c>
      <c r="V287" s="426"/>
      <c r="W287" s="97"/>
      <c r="X287" s="97"/>
      <c r="Y287" s="97"/>
      <c r="Z287" s="68"/>
      <c r="AA287" s="68"/>
      <c r="AB287" s="68"/>
      <c r="AC287" s="68"/>
      <c r="AD287" s="68"/>
    </row>
    <row r="288" spans="1:30" ht="17">
      <c r="A288" s="68"/>
      <c r="B288" s="68"/>
      <c r="C288" s="68"/>
      <c r="D288" s="415"/>
      <c r="E288" s="415"/>
      <c r="F288" s="415"/>
      <c r="G288" s="415"/>
      <c r="H288" s="415"/>
      <c r="I288" s="415"/>
      <c r="J288" s="415"/>
      <c r="K288" s="97"/>
      <c r="L288" s="97"/>
      <c r="M288" s="97"/>
      <c r="N288" s="97"/>
      <c r="O288" s="97"/>
      <c r="P288" s="97"/>
      <c r="Q288" s="97"/>
      <c r="R288" s="97"/>
      <c r="S288" s="97"/>
      <c r="T288" s="423">
        <v>285</v>
      </c>
      <c r="U288" s="424">
        <v>62694952690.89238</v>
      </c>
      <c r="V288" s="426"/>
      <c r="W288" s="97"/>
      <c r="X288" s="97"/>
      <c r="Y288" s="97"/>
      <c r="Z288" s="68"/>
      <c r="AA288" s="68"/>
      <c r="AB288" s="68"/>
      <c r="AC288" s="68"/>
      <c r="AD288" s="68"/>
    </row>
    <row r="289" spans="1:30" ht="17">
      <c r="A289" s="68"/>
      <c r="B289" s="68"/>
      <c r="C289" s="68"/>
      <c r="D289" s="415"/>
      <c r="E289" s="415"/>
      <c r="F289" s="415"/>
      <c r="G289" s="415"/>
      <c r="H289" s="415"/>
      <c r="I289" s="415"/>
      <c r="J289" s="415"/>
      <c r="K289" s="97"/>
      <c r="L289" s="97"/>
      <c r="M289" s="97"/>
      <c r="N289" s="97"/>
      <c r="O289" s="97"/>
      <c r="P289" s="97"/>
      <c r="Q289" s="97"/>
      <c r="R289" s="97"/>
      <c r="S289" s="97"/>
      <c r="T289" s="423">
        <v>286</v>
      </c>
      <c r="U289" s="424">
        <v>57753300310.375092</v>
      </c>
      <c r="V289" s="426"/>
      <c r="W289" s="97"/>
      <c r="X289" s="97"/>
      <c r="Y289" s="97"/>
      <c r="Z289" s="68"/>
      <c r="AA289" s="68"/>
      <c r="AB289" s="68"/>
      <c r="AC289" s="68"/>
      <c r="AD289" s="68"/>
    </row>
    <row r="290" spans="1:30" ht="17">
      <c r="A290" s="68"/>
      <c r="B290" s="68"/>
      <c r="C290" s="68"/>
      <c r="D290" s="415"/>
      <c r="E290" s="415"/>
      <c r="F290" s="415"/>
      <c r="G290" s="415"/>
      <c r="H290" s="415"/>
      <c r="I290" s="415"/>
      <c r="J290" s="415"/>
      <c r="K290" s="97"/>
      <c r="L290" s="97"/>
      <c r="M290" s="97"/>
      <c r="N290" s="97"/>
      <c r="O290" s="97"/>
      <c r="P290" s="97"/>
      <c r="Q290" s="97"/>
      <c r="R290" s="97"/>
      <c r="S290" s="97"/>
      <c r="T290" s="423">
        <v>287</v>
      </c>
      <c r="U290" s="424">
        <v>59526062752.490227</v>
      </c>
      <c r="V290" s="426"/>
      <c r="W290" s="97"/>
      <c r="X290" s="97"/>
      <c r="Y290" s="97"/>
      <c r="Z290" s="68"/>
      <c r="AA290" s="68"/>
      <c r="AB290" s="68"/>
      <c r="AC290" s="68"/>
      <c r="AD290" s="68"/>
    </row>
    <row r="291" spans="1:30" ht="17">
      <c r="A291" s="68"/>
      <c r="B291" s="68"/>
      <c r="C291" s="68"/>
      <c r="D291" s="415"/>
      <c r="E291" s="415"/>
      <c r="F291" s="415"/>
      <c r="G291" s="415"/>
      <c r="H291" s="415"/>
      <c r="I291" s="415"/>
      <c r="J291" s="415"/>
      <c r="K291" s="97"/>
      <c r="L291" s="97"/>
      <c r="M291" s="97"/>
      <c r="N291" s="97"/>
      <c r="O291" s="97"/>
      <c r="P291" s="97"/>
      <c r="Q291" s="97"/>
      <c r="R291" s="97"/>
      <c r="S291" s="97"/>
      <c r="T291" s="423">
        <v>288</v>
      </c>
      <c r="U291" s="424">
        <v>56250458115.209198</v>
      </c>
      <c r="V291" s="426"/>
      <c r="W291" s="97"/>
      <c r="X291" s="97"/>
      <c r="Y291" s="97"/>
      <c r="Z291" s="68"/>
      <c r="AA291" s="68"/>
      <c r="AB291" s="68"/>
      <c r="AC291" s="68"/>
      <c r="AD291" s="68"/>
    </row>
    <row r="292" spans="1:30" ht="17">
      <c r="A292" s="68"/>
      <c r="B292" s="68"/>
      <c r="C292" s="68"/>
      <c r="D292" s="415"/>
      <c r="E292" s="415"/>
      <c r="F292" s="415"/>
      <c r="G292" s="415"/>
      <c r="H292" s="415"/>
      <c r="I292" s="415"/>
      <c r="J292" s="415"/>
      <c r="K292" s="97"/>
      <c r="L292" s="97"/>
      <c r="M292" s="97"/>
      <c r="N292" s="97"/>
      <c r="O292" s="97"/>
      <c r="P292" s="97"/>
      <c r="Q292" s="97"/>
      <c r="R292" s="97"/>
      <c r="S292" s="97"/>
      <c r="T292" s="423">
        <v>289</v>
      </c>
      <c r="U292" s="424">
        <v>59229692726.954781</v>
      </c>
      <c r="V292" s="426"/>
      <c r="W292" s="97"/>
      <c r="X292" s="97"/>
      <c r="Y292" s="97"/>
      <c r="Z292" s="68"/>
      <c r="AA292" s="68"/>
      <c r="AB292" s="68"/>
      <c r="AC292" s="68"/>
      <c r="AD292" s="68"/>
    </row>
    <row r="293" spans="1:30" ht="17">
      <c r="A293" s="68"/>
      <c r="B293" s="68"/>
      <c r="C293" s="68"/>
      <c r="D293" s="415"/>
      <c r="E293" s="415"/>
      <c r="F293" s="415"/>
      <c r="G293" s="415"/>
      <c r="H293" s="415"/>
      <c r="I293" s="415"/>
      <c r="J293" s="415"/>
      <c r="K293" s="97"/>
      <c r="L293" s="97"/>
      <c r="M293" s="97"/>
      <c r="N293" s="97"/>
      <c r="O293" s="97"/>
      <c r="P293" s="97"/>
      <c r="Q293" s="97"/>
      <c r="R293" s="97"/>
      <c r="S293" s="97"/>
      <c r="T293" s="423">
        <v>290</v>
      </c>
      <c r="U293" s="424">
        <v>61167866550.189301</v>
      </c>
      <c r="V293" s="426"/>
      <c r="W293" s="97"/>
      <c r="X293" s="97"/>
      <c r="Y293" s="97"/>
      <c r="Z293" s="68"/>
      <c r="AA293" s="68"/>
      <c r="AB293" s="68"/>
      <c r="AC293" s="68"/>
      <c r="AD293" s="68"/>
    </row>
    <row r="294" spans="1:30" ht="17">
      <c r="A294" s="68"/>
      <c r="B294" s="68"/>
      <c r="C294" s="68"/>
      <c r="D294" s="415"/>
      <c r="E294" s="415"/>
      <c r="F294" s="415"/>
      <c r="G294" s="415"/>
      <c r="H294" s="415"/>
      <c r="I294" s="415"/>
      <c r="J294" s="415"/>
      <c r="K294" s="97"/>
      <c r="L294" s="97"/>
      <c r="M294" s="97"/>
      <c r="N294" s="97"/>
      <c r="O294" s="97"/>
      <c r="P294" s="97"/>
      <c r="Q294" s="97"/>
      <c r="R294" s="97"/>
      <c r="S294" s="97"/>
      <c r="T294" s="423">
        <v>291</v>
      </c>
      <c r="U294" s="424">
        <v>56132232236.854736</v>
      </c>
      <c r="V294" s="426"/>
      <c r="W294" s="97"/>
      <c r="X294" s="97"/>
      <c r="Y294" s="97"/>
      <c r="Z294" s="68"/>
      <c r="AA294" s="68"/>
      <c r="AB294" s="68"/>
      <c r="AC294" s="68"/>
      <c r="AD294" s="68"/>
    </row>
    <row r="295" spans="1:30" ht="17">
      <c r="A295" s="68"/>
      <c r="B295" s="68"/>
      <c r="C295" s="68"/>
      <c r="D295" s="415"/>
      <c r="E295" s="415"/>
      <c r="F295" s="415"/>
      <c r="G295" s="415"/>
      <c r="H295" s="415"/>
      <c r="I295" s="415"/>
      <c r="J295" s="415"/>
      <c r="K295" s="97"/>
      <c r="L295" s="97"/>
      <c r="M295" s="97"/>
      <c r="N295" s="97"/>
      <c r="O295" s="97"/>
      <c r="P295" s="97"/>
      <c r="Q295" s="97"/>
      <c r="R295" s="97"/>
      <c r="S295" s="97"/>
      <c r="T295" s="423">
        <v>292</v>
      </c>
      <c r="U295" s="424">
        <v>60059389484.316711</v>
      </c>
      <c r="V295" s="426"/>
      <c r="W295" s="97"/>
      <c r="X295" s="97"/>
      <c r="Y295" s="97"/>
      <c r="Z295" s="68"/>
      <c r="AA295" s="68"/>
      <c r="AB295" s="68"/>
      <c r="AC295" s="68"/>
      <c r="AD295" s="68"/>
    </row>
    <row r="296" spans="1:30" ht="17">
      <c r="A296" s="68"/>
      <c r="B296" s="68"/>
      <c r="C296" s="68"/>
      <c r="D296" s="415"/>
      <c r="E296" s="415"/>
      <c r="F296" s="415"/>
      <c r="G296" s="415"/>
      <c r="H296" s="415"/>
      <c r="I296" s="415"/>
      <c r="J296" s="415"/>
      <c r="K296" s="97"/>
      <c r="L296" s="97"/>
      <c r="M296" s="97"/>
      <c r="N296" s="97"/>
      <c r="O296" s="97"/>
      <c r="P296" s="97"/>
      <c r="Q296" s="97"/>
      <c r="R296" s="97"/>
      <c r="S296" s="97"/>
      <c r="T296" s="423">
        <v>293</v>
      </c>
      <c r="U296" s="424">
        <v>55506630841.621948</v>
      </c>
      <c r="V296" s="426"/>
      <c r="W296" s="97"/>
      <c r="X296" s="97"/>
      <c r="Y296" s="97"/>
      <c r="Z296" s="68"/>
      <c r="AA296" s="68"/>
      <c r="AB296" s="68"/>
      <c r="AC296" s="68"/>
      <c r="AD296" s="68"/>
    </row>
    <row r="297" spans="1:30" ht="17">
      <c r="A297" s="68"/>
      <c r="B297" s="68"/>
      <c r="C297" s="68"/>
      <c r="D297" s="415"/>
      <c r="E297" s="415"/>
      <c r="F297" s="415"/>
      <c r="G297" s="415"/>
      <c r="H297" s="415"/>
      <c r="I297" s="415"/>
      <c r="J297" s="415"/>
      <c r="K297" s="97"/>
      <c r="L297" s="97"/>
      <c r="M297" s="97"/>
      <c r="N297" s="97"/>
      <c r="O297" s="97"/>
      <c r="P297" s="97"/>
      <c r="Q297" s="97"/>
      <c r="R297" s="97"/>
      <c r="S297" s="97"/>
      <c r="T297" s="423">
        <v>294</v>
      </c>
      <c r="U297" s="424">
        <v>63004438757.721909</v>
      </c>
      <c r="V297" s="426"/>
      <c r="W297" s="97"/>
      <c r="X297" s="97"/>
      <c r="Y297" s="97"/>
      <c r="Z297" s="68"/>
      <c r="AA297" s="68"/>
      <c r="AB297" s="68"/>
      <c r="AC297" s="68"/>
      <c r="AD297" s="68"/>
    </row>
    <row r="298" spans="1:30" ht="17">
      <c r="A298" s="68"/>
      <c r="B298" s="68"/>
      <c r="C298" s="68"/>
      <c r="D298" s="415"/>
      <c r="E298" s="415"/>
      <c r="F298" s="415"/>
      <c r="G298" s="415"/>
      <c r="H298" s="415"/>
      <c r="I298" s="415"/>
      <c r="J298" s="415"/>
      <c r="K298" s="97"/>
      <c r="L298" s="97"/>
      <c r="M298" s="97"/>
      <c r="N298" s="97"/>
      <c r="O298" s="97"/>
      <c r="P298" s="97"/>
      <c r="Q298" s="97"/>
      <c r="R298" s="97"/>
      <c r="S298" s="97"/>
      <c r="T298" s="423">
        <v>295</v>
      </c>
      <c r="U298" s="424">
        <v>60654886735.445457</v>
      </c>
      <c r="V298" s="426"/>
      <c r="W298" s="97"/>
      <c r="X298" s="97"/>
      <c r="Y298" s="97"/>
      <c r="Z298" s="68"/>
      <c r="AA298" s="68"/>
      <c r="AB298" s="68"/>
      <c r="AC298" s="68"/>
      <c r="AD298" s="68"/>
    </row>
    <row r="299" spans="1:30" ht="17">
      <c r="A299" s="68"/>
      <c r="B299" s="68"/>
      <c r="C299" s="68"/>
      <c r="D299" s="415"/>
      <c r="E299" s="415"/>
      <c r="F299" s="415"/>
      <c r="G299" s="415"/>
      <c r="H299" s="415"/>
      <c r="I299" s="415"/>
      <c r="J299" s="415"/>
      <c r="K299" s="97"/>
      <c r="L299" s="97"/>
      <c r="M299" s="97"/>
      <c r="N299" s="97"/>
      <c r="O299" s="97"/>
      <c r="P299" s="97"/>
      <c r="Q299" s="97"/>
      <c r="R299" s="97"/>
      <c r="S299" s="97"/>
      <c r="T299" s="423">
        <v>296</v>
      </c>
      <c r="U299" s="424">
        <v>62585334409.200317</v>
      </c>
      <c r="V299" s="426"/>
      <c r="W299" s="97"/>
      <c r="X299" s="97"/>
      <c r="Y299" s="97"/>
      <c r="Z299" s="68"/>
      <c r="AA299" s="68"/>
      <c r="AB299" s="68"/>
      <c r="AC299" s="68"/>
      <c r="AD299" s="68"/>
    </row>
    <row r="300" spans="1:30" ht="17">
      <c r="A300" s="68"/>
      <c r="B300" s="68"/>
      <c r="C300" s="68"/>
      <c r="D300" s="415"/>
      <c r="E300" s="415"/>
      <c r="F300" s="415"/>
      <c r="G300" s="415"/>
      <c r="H300" s="415"/>
      <c r="I300" s="415"/>
      <c r="J300" s="415"/>
      <c r="K300" s="97"/>
      <c r="L300" s="97"/>
      <c r="M300" s="97"/>
      <c r="N300" s="97"/>
      <c r="O300" s="97"/>
      <c r="P300" s="97"/>
      <c r="Q300" s="97"/>
      <c r="R300" s="97"/>
      <c r="S300" s="97"/>
      <c r="T300" s="423">
        <v>297</v>
      </c>
      <c r="U300" s="424">
        <v>57840679325.207703</v>
      </c>
      <c r="V300" s="426"/>
      <c r="W300" s="97"/>
      <c r="X300" s="97"/>
      <c r="Y300" s="97"/>
      <c r="Z300" s="68"/>
      <c r="AA300" s="68"/>
      <c r="AB300" s="68"/>
      <c r="AC300" s="68"/>
      <c r="AD300" s="68"/>
    </row>
    <row r="301" spans="1:30" ht="17">
      <c r="A301" s="68"/>
      <c r="B301" s="68"/>
      <c r="C301" s="68"/>
      <c r="D301" s="415"/>
      <c r="E301" s="415"/>
      <c r="F301" s="415"/>
      <c r="G301" s="415"/>
      <c r="H301" s="415"/>
      <c r="I301" s="415"/>
      <c r="J301" s="415"/>
      <c r="K301" s="97"/>
      <c r="L301" s="97"/>
      <c r="M301" s="97"/>
      <c r="N301" s="97"/>
      <c r="O301" s="97"/>
      <c r="P301" s="97"/>
      <c r="Q301" s="97"/>
      <c r="R301" s="97"/>
      <c r="S301" s="97"/>
      <c r="T301" s="423">
        <v>298</v>
      </c>
      <c r="U301" s="424">
        <v>58438509228.942657</v>
      </c>
      <c r="V301" s="426"/>
      <c r="W301" s="97"/>
      <c r="X301" s="97"/>
      <c r="Y301" s="97"/>
      <c r="Z301" s="68"/>
      <c r="AA301" s="68"/>
      <c r="AB301" s="68"/>
      <c r="AC301" s="68"/>
      <c r="AD301" s="68"/>
    </row>
    <row r="302" spans="1:30" ht="17">
      <c r="A302" s="68"/>
      <c r="B302" s="68"/>
      <c r="C302" s="68"/>
      <c r="D302" s="415"/>
      <c r="E302" s="415"/>
      <c r="F302" s="415"/>
      <c r="G302" s="415"/>
      <c r="H302" s="415"/>
      <c r="I302" s="415"/>
      <c r="J302" s="415"/>
      <c r="K302" s="97"/>
      <c r="L302" s="97"/>
      <c r="M302" s="97"/>
      <c r="N302" s="97"/>
      <c r="O302" s="97"/>
      <c r="P302" s="97"/>
      <c r="Q302" s="97"/>
      <c r="R302" s="97"/>
      <c r="S302" s="97"/>
      <c r="T302" s="423">
        <v>299</v>
      </c>
      <c r="U302" s="424">
        <v>58996903778.886566</v>
      </c>
      <c r="V302" s="426"/>
      <c r="W302" s="97"/>
      <c r="X302" s="97"/>
      <c r="Y302" s="97"/>
      <c r="Z302" s="68"/>
      <c r="AA302" s="68"/>
      <c r="AB302" s="68"/>
      <c r="AC302" s="68"/>
      <c r="AD302" s="68"/>
    </row>
    <row r="303" spans="1:30" ht="17">
      <c r="A303" s="68"/>
      <c r="B303" s="68"/>
      <c r="C303" s="68"/>
      <c r="D303" s="415"/>
      <c r="E303" s="415"/>
      <c r="F303" s="415"/>
      <c r="G303" s="415"/>
      <c r="H303" s="415"/>
      <c r="I303" s="415"/>
      <c r="J303" s="415"/>
      <c r="K303" s="97"/>
      <c r="L303" s="97"/>
      <c r="M303" s="97"/>
      <c r="N303" s="97"/>
      <c r="O303" s="97"/>
      <c r="P303" s="97"/>
      <c r="Q303" s="97"/>
      <c r="R303" s="97"/>
      <c r="S303" s="97"/>
      <c r="T303" s="423">
        <v>300</v>
      </c>
      <c r="U303" s="424">
        <v>59863359612.264633</v>
      </c>
      <c r="V303" s="426"/>
      <c r="W303" s="97"/>
      <c r="X303" s="97"/>
      <c r="Y303" s="97"/>
      <c r="Z303" s="68"/>
      <c r="AA303" s="68"/>
      <c r="AB303" s="68"/>
      <c r="AC303" s="68"/>
      <c r="AD303" s="68"/>
    </row>
    <row r="304" spans="1:30" ht="17">
      <c r="A304" s="68"/>
      <c r="B304" s="68"/>
      <c r="C304" s="68"/>
      <c r="D304" s="415"/>
      <c r="E304" s="415"/>
      <c r="F304" s="415"/>
      <c r="G304" s="415"/>
      <c r="H304" s="415"/>
      <c r="I304" s="415"/>
      <c r="J304" s="415"/>
      <c r="K304" s="97"/>
      <c r="L304" s="97"/>
      <c r="M304" s="97"/>
      <c r="N304" s="97"/>
      <c r="O304" s="97"/>
      <c r="P304" s="97"/>
      <c r="Q304" s="97"/>
      <c r="R304" s="97"/>
      <c r="S304" s="97"/>
      <c r="T304" s="423">
        <v>301</v>
      </c>
      <c r="U304" s="424">
        <v>62741126879.572052</v>
      </c>
      <c r="V304" s="426"/>
      <c r="W304" s="97"/>
      <c r="X304" s="97"/>
      <c r="Y304" s="97"/>
      <c r="Z304" s="68"/>
      <c r="AA304" s="68"/>
      <c r="AB304" s="68"/>
      <c r="AC304" s="68"/>
      <c r="AD304" s="68"/>
    </row>
    <row r="305" spans="1:30" ht="17">
      <c r="A305" s="68"/>
      <c r="B305" s="68"/>
      <c r="C305" s="68"/>
      <c r="D305" s="415"/>
      <c r="E305" s="415"/>
      <c r="F305" s="415"/>
      <c r="G305" s="415"/>
      <c r="H305" s="415"/>
      <c r="I305" s="415"/>
      <c r="J305" s="415"/>
      <c r="K305" s="97"/>
      <c r="L305" s="97"/>
      <c r="M305" s="97"/>
      <c r="N305" s="97"/>
      <c r="O305" s="97"/>
      <c r="P305" s="97"/>
      <c r="Q305" s="97"/>
      <c r="R305" s="97"/>
      <c r="S305" s="97"/>
      <c r="T305" s="423">
        <v>302</v>
      </c>
      <c r="U305" s="424">
        <v>58389669633.139999</v>
      </c>
      <c r="V305" s="426"/>
      <c r="W305" s="97"/>
      <c r="X305" s="97"/>
      <c r="Y305" s="97"/>
      <c r="Z305" s="68"/>
      <c r="AA305" s="68"/>
      <c r="AB305" s="68"/>
      <c r="AC305" s="68"/>
      <c r="AD305" s="68"/>
    </row>
    <row r="306" spans="1:30" ht="17">
      <c r="A306" s="68"/>
      <c r="B306" s="68"/>
      <c r="C306" s="68"/>
      <c r="D306" s="415"/>
      <c r="E306" s="415"/>
      <c r="F306" s="415"/>
      <c r="G306" s="415"/>
      <c r="H306" s="415"/>
      <c r="I306" s="415"/>
      <c r="J306" s="415"/>
      <c r="K306" s="97"/>
      <c r="L306" s="97"/>
      <c r="M306" s="97"/>
      <c r="N306" s="97"/>
      <c r="O306" s="97"/>
      <c r="P306" s="97"/>
      <c r="Q306" s="97"/>
      <c r="R306" s="97"/>
      <c r="S306" s="97"/>
      <c r="T306" s="423">
        <v>303</v>
      </c>
      <c r="U306" s="424">
        <v>58393184229.146866</v>
      </c>
      <c r="V306" s="426"/>
      <c r="W306" s="97"/>
      <c r="X306" s="97"/>
      <c r="Y306" s="97"/>
      <c r="Z306" s="68"/>
      <c r="AA306" s="68"/>
      <c r="AB306" s="68"/>
      <c r="AC306" s="68"/>
      <c r="AD306" s="68"/>
    </row>
    <row r="307" spans="1:30" ht="17">
      <c r="A307" s="68"/>
      <c r="B307" s="68"/>
      <c r="C307" s="68"/>
      <c r="D307" s="415"/>
      <c r="E307" s="415"/>
      <c r="F307" s="415"/>
      <c r="G307" s="415"/>
      <c r="H307" s="415"/>
      <c r="I307" s="415"/>
      <c r="J307" s="415"/>
      <c r="K307" s="97"/>
      <c r="L307" s="97"/>
      <c r="M307" s="97"/>
      <c r="N307" s="97"/>
      <c r="O307" s="97"/>
      <c r="P307" s="97"/>
      <c r="Q307" s="97"/>
      <c r="R307" s="97"/>
      <c r="S307" s="97"/>
      <c r="T307" s="423">
        <v>304</v>
      </c>
      <c r="U307" s="424">
        <v>59688940136.545578</v>
      </c>
      <c r="V307" s="426"/>
      <c r="W307" s="97"/>
      <c r="X307" s="97"/>
      <c r="Y307" s="97"/>
      <c r="Z307" s="68"/>
      <c r="AA307" s="68"/>
      <c r="AB307" s="68"/>
      <c r="AC307" s="68"/>
      <c r="AD307" s="68"/>
    </row>
    <row r="308" spans="1:30" ht="17">
      <c r="A308" s="68"/>
      <c r="B308" s="68"/>
      <c r="C308" s="68"/>
      <c r="D308" s="415"/>
      <c r="E308" s="415"/>
      <c r="F308" s="415"/>
      <c r="G308" s="415"/>
      <c r="H308" s="415"/>
      <c r="I308" s="415"/>
      <c r="J308" s="415"/>
      <c r="K308" s="97"/>
      <c r="L308" s="97"/>
      <c r="M308" s="97"/>
      <c r="N308" s="97"/>
      <c r="O308" s="97"/>
      <c r="P308" s="97"/>
      <c r="Q308" s="97"/>
      <c r="R308" s="97"/>
      <c r="S308" s="97"/>
      <c r="T308" s="423">
        <v>305</v>
      </c>
      <c r="U308" s="424">
        <v>57451227415.959534</v>
      </c>
      <c r="V308" s="426"/>
      <c r="W308" s="97"/>
      <c r="X308" s="97"/>
      <c r="Y308" s="97"/>
      <c r="Z308" s="68"/>
      <c r="AA308" s="68"/>
      <c r="AB308" s="68"/>
      <c r="AC308" s="68"/>
      <c r="AD308" s="68"/>
    </row>
    <row r="309" spans="1:30" ht="17">
      <c r="A309" s="68"/>
      <c r="B309" s="68"/>
      <c r="C309" s="68"/>
      <c r="D309" s="415"/>
      <c r="E309" s="415"/>
      <c r="F309" s="415"/>
      <c r="G309" s="415"/>
      <c r="H309" s="415"/>
      <c r="I309" s="415"/>
      <c r="J309" s="415"/>
      <c r="K309" s="97"/>
      <c r="L309" s="97"/>
      <c r="M309" s="97"/>
      <c r="N309" s="97"/>
      <c r="O309" s="97"/>
      <c r="P309" s="97"/>
      <c r="Q309" s="97"/>
      <c r="R309" s="97"/>
      <c r="S309" s="97"/>
      <c r="T309" s="423">
        <v>306</v>
      </c>
      <c r="U309" s="424">
        <v>58359760182.849915</v>
      </c>
      <c r="V309" s="426"/>
      <c r="W309" s="97"/>
      <c r="X309" s="97"/>
      <c r="Y309" s="97"/>
      <c r="Z309" s="68"/>
      <c r="AA309" s="68"/>
      <c r="AB309" s="68"/>
      <c r="AC309" s="68"/>
      <c r="AD309" s="68"/>
    </row>
    <row r="310" spans="1:30" ht="17">
      <c r="A310" s="68"/>
      <c r="B310" s="68"/>
      <c r="C310" s="68"/>
      <c r="D310" s="415"/>
      <c r="E310" s="415"/>
      <c r="F310" s="415"/>
      <c r="G310" s="415"/>
      <c r="H310" s="415"/>
      <c r="I310" s="415"/>
      <c r="J310" s="415"/>
      <c r="K310" s="97"/>
      <c r="L310" s="97"/>
      <c r="M310" s="97"/>
      <c r="N310" s="97"/>
      <c r="O310" s="97"/>
      <c r="P310" s="97"/>
      <c r="Q310" s="97"/>
      <c r="R310" s="97"/>
      <c r="S310" s="97"/>
      <c r="T310" s="423">
        <v>307</v>
      </c>
      <c r="U310" s="424">
        <v>60744756560.602081</v>
      </c>
      <c r="V310" s="426"/>
      <c r="W310" s="97"/>
      <c r="X310" s="97"/>
      <c r="Y310" s="97"/>
      <c r="Z310" s="68"/>
      <c r="AA310" s="68"/>
      <c r="AB310" s="68"/>
      <c r="AC310" s="68"/>
      <c r="AD310" s="68"/>
    </row>
    <row r="311" spans="1:30" ht="17">
      <c r="A311" s="68"/>
      <c r="B311" s="68"/>
      <c r="C311" s="68"/>
      <c r="D311" s="415"/>
      <c r="E311" s="415"/>
      <c r="F311" s="415"/>
      <c r="G311" s="415"/>
      <c r="H311" s="415"/>
      <c r="I311" s="415"/>
      <c r="J311" s="415"/>
      <c r="K311" s="97"/>
      <c r="L311" s="97"/>
      <c r="M311" s="97"/>
      <c r="N311" s="97"/>
      <c r="O311" s="97"/>
      <c r="P311" s="97"/>
      <c r="Q311" s="97"/>
      <c r="R311" s="97"/>
      <c r="S311" s="97"/>
      <c r="T311" s="423">
        <v>308</v>
      </c>
      <c r="U311" s="424">
        <v>61833073203.630524</v>
      </c>
      <c r="V311" s="426"/>
      <c r="W311" s="97"/>
      <c r="X311" s="97"/>
      <c r="Y311" s="97"/>
      <c r="Z311" s="68"/>
      <c r="AA311" s="68"/>
      <c r="AB311" s="68"/>
      <c r="AC311" s="68"/>
      <c r="AD311" s="68"/>
    </row>
    <row r="312" spans="1:30" ht="17">
      <c r="A312" s="68"/>
      <c r="B312" s="68"/>
      <c r="C312" s="68"/>
      <c r="D312" s="415"/>
      <c r="E312" s="415"/>
      <c r="F312" s="415"/>
      <c r="G312" s="415"/>
      <c r="H312" s="415"/>
      <c r="I312" s="415"/>
      <c r="J312" s="415"/>
      <c r="K312" s="97"/>
      <c r="L312" s="97"/>
      <c r="M312" s="97"/>
      <c r="N312" s="97"/>
      <c r="O312" s="97"/>
      <c r="P312" s="97"/>
      <c r="Q312" s="97"/>
      <c r="R312" s="97"/>
      <c r="S312" s="97"/>
      <c r="T312" s="423">
        <v>309</v>
      </c>
      <c r="U312" s="424">
        <v>60587461907.690109</v>
      </c>
      <c r="V312" s="426"/>
      <c r="W312" s="97"/>
      <c r="X312" s="97"/>
      <c r="Y312" s="97"/>
      <c r="Z312" s="68"/>
      <c r="AA312" s="68"/>
      <c r="AB312" s="68"/>
      <c r="AC312" s="68"/>
      <c r="AD312" s="68"/>
    </row>
    <row r="313" spans="1:30" ht="17">
      <c r="A313" s="68"/>
      <c r="B313" s="68"/>
      <c r="C313" s="68"/>
      <c r="D313" s="415"/>
      <c r="E313" s="415"/>
      <c r="F313" s="415"/>
      <c r="G313" s="415"/>
      <c r="H313" s="415"/>
      <c r="I313" s="415"/>
      <c r="J313" s="415"/>
      <c r="K313" s="97"/>
      <c r="L313" s="97"/>
      <c r="M313" s="97"/>
      <c r="N313" s="97"/>
      <c r="O313" s="97"/>
      <c r="P313" s="97"/>
      <c r="Q313" s="97"/>
      <c r="R313" s="97"/>
      <c r="S313" s="97"/>
      <c r="T313" s="423">
        <v>310</v>
      </c>
      <c r="U313" s="424">
        <v>55459930306.900223</v>
      </c>
      <c r="V313" s="426"/>
      <c r="W313" s="97"/>
      <c r="X313" s="97"/>
      <c r="Y313" s="97"/>
      <c r="Z313" s="68"/>
      <c r="AA313" s="68"/>
      <c r="AB313" s="68"/>
      <c r="AC313" s="68"/>
      <c r="AD313" s="68"/>
    </row>
    <row r="314" spans="1:30" ht="17">
      <c r="A314" s="68"/>
      <c r="B314" s="68"/>
      <c r="C314" s="68"/>
      <c r="D314" s="415"/>
      <c r="E314" s="415"/>
      <c r="F314" s="415"/>
      <c r="G314" s="415"/>
      <c r="H314" s="415"/>
      <c r="I314" s="415"/>
      <c r="J314" s="415"/>
      <c r="K314" s="97"/>
      <c r="L314" s="97"/>
      <c r="M314" s="97"/>
      <c r="N314" s="97"/>
      <c r="O314" s="97"/>
      <c r="P314" s="97"/>
      <c r="Q314" s="97"/>
      <c r="R314" s="97"/>
      <c r="S314" s="97"/>
      <c r="T314" s="423">
        <v>311</v>
      </c>
      <c r="U314" s="424">
        <v>61116514365.821259</v>
      </c>
      <c r="V314" s="426"/>
      <c r="W314" s="97"/>
      <c r="X314" s="97"/>
      <c r="Y314" s="97"/>
      <c r="Z314" s="68"/>
      <c r="AA314" s="68"/>
      <c r="AB314" s="68"/>
      <c r="AC314" s="68"/>
      <c r="AD314" s="68"/>
    </row>
    <row r="315" spans="1:30" ht="17">
      <c r="A315" s="68"/>
      <c r="B315" s="68"/>
      <c r="C315" s="68"/>
      <c r="D315" s="415"/>
      <c r="E315" s="415"/>
      <c r="F315" s="415"/>
      <c r="G315" s="415"/>
      <c r="H315" s="415"/>
      <c r="I315" s="415"/>
      <c r="J315" s="415"/>
      <c r="K315" s="97"/>
      <c r="L315" s="97"/>
      <c r="M315" s="97"/>
      <c r="N315" s="97"/>
      <c r="O315" s="97"/>
      <c r="P315" s="97"/>
      <c r="Q315" s="97"/>
      <c r="R315" s="97"/>
      <c r="S315" s="97"/>
      <c r="T315" s="423">
        <v>312</v>
      </c>
      <c r="U315" s="424">
        <v>58227973211.51712</v>
      </c>
      <c r="V315" s="426"/>
      <c r="W315" s="97"/>
      <c r="X315" s="97"/>
      <c r="Y315" s="97"/>
      <c r="Z315" s="68"/>
      <c r="AA315" s="68"/>
      <c r="AB315" s="68"/>
      <c r="AC315" s="68"/>
      <c r="AD315" s="68"/>
    </row>
    <row r="316" spans="1:30" ht="17">
      <c r="A316" s="68"/>
      <c r="B316" s="68"/>
      <c r="C316" s="68"/>
      <c r="D316" s="415"/>
      <c r="E316" s="415"/>
      <c r="F316" s="415"/>
      <c r="G316" s="415"/>
      <c r="H316" s="415"/>
      <c r="I316" s="415"/>
      <c r="J316" s="415"/>
      <c r="K316" s="97"/>
      <c r="L316" s="97"/>
      <c r="M316" s="97"/>
      <c r="N316" s="97"/>
      <c r="O316" s="97"/>
      <c r="P316" s="97"/>
      <c r="Q316" s="97"/>
      <c r="R316" s="97"/>
      <c r="S316" s="97"/>
      <c r="T316" s="423">
        <v>313</v>
      </c>
      <c r="U316" s="424">
        <v>57127428511.232063</v>
      </c>
      <c r="V316" s="426"/>
      <c r="W316" s="97"/>
      <c r="X316" s="97"/>
      <c r="Y316" s="97"/>
      <c r="Z316" s="68"/>
      <c r="AA316" s="68"/>
      <c r="AB316" s="68"/>
      <c r="AC316" s="68"/>
      <c r="AD316" s="68"/>
    </row>
    <row r="317" spans="1:30" ht="17">
      <c r="A317" s="68"/>
      <c r="B317" s="68"/>
      <c r="C317" s="68"/>
      <c r="D317" s="415"/>
      <c r="E317" s="415"/>
      <c r="F317" s="415"/>
      <c r="G317" s="415"/>
      <c r="H317" s="415"/>
      <c r="I317" s="415"/>
      <c r="J317" s="415"/>
      <c r="K317" s="97"/>
      <c r="L317" s="97"/>
      <c r="M317" s="97"/>
      <c r="N317" s="97"/>
      <c r="O317" s="97"/>
      <c r="P317" s="97"/>
      <c r="Q317" s="97"/>
      <c r="R317" s="97"/>
      <c r="S317" s="97"/>
      <c r="T317" s="423">
        <v>314</v>
      </c>
      <c r="U317" s="424">
        <v>61551495158.853867</v>
      </c>
      <c r="V317" s="426"/>
      <c r="W317" s="97"/>
      <c r="X317" s="97"/>
      <c r="Y317" s="97"/>
      <c r="Z317" s="68"/>
      <c r="AA317" s="68"/>
      <c r="AB317" s="68"/>
      <c r="AC317" s="68"/>
      <c r="AD317" s="68"/>
    </row>
    <row r="318" spans="1:30" ht="17">
      <c r="A318" s="68"/>
      <c r="B318" s="68"/>
      <c r="C318" s="68"/>
      <c r="D318" s="415"/>
      <c r="E318" s="415"/>
      <c r="F318" s="415"/>
      <c r="G318" s="415"/>
      <c r="H318" s="415"/>
      <c r="I318" s="415"/>
      <c r="J318" s="415"/>
      <c r="K318" s="97"/>
      <c r="L318" s="97"/>
      <c r="M318" s="97"/>
      <c r="N318" s="97"/>
      <c r="O318" s="97"/>
      <c r="P318" s="97"/>
      <c r="Q318" s="97"/>
      <c r="R318" s="97"/>
      <c r="S318" s="97"/>
      <c r="T318" s="423">
        <v>315</v>
      </c>
      <c r="U318" s="424">
        <v>55750555156.065353</v>
      </c>
      <c r="V318" s="426"/>
      <c r="W318" s="97"/>
      <c r="X318" s="97"/>
      <c r="Y318" s="97"/>
      <c r="Z318" s="68"/>
      <c r="AA318" s="68"/>
      <c r="AB318" s="68"/>
      <c r="AC318" s="68"/>
      <c r="AD318" s="68"/>
    </row>
    <row r="319" spans="1:30" ht="17">
      <c r="A319" s="68"/>
      <c r="B319" s="68"/>
      <c r="C319" s="68"/>
      <c r="D319" s="415"/>
      <c r="E319" s="415"/>
      <c r="F319" s="415"/>
      <c r="G319" s="415"/>
      <c r="H319" s="415"/>
      <c r="I319" s="415"/>
      <c r="J319" s="415"/>
      <c r="K319" s="97"/>
      <c r="L319" s="97"/>
      <c r="M319" s="97"/>
      <c r="N319" s="97"/>
      <c r="O319" s="97"/>
      <c r="P319" s="97"/>
      <c r="Q319" s="97"/>
      <c r="R319" s="97"/>
      <c r="S319" s="97"/>
      <c r="T319" s="423">
        <v>316</v>
      </c>
      <c r="U319" s="424">
        <v>57807151907.805252</v>
      </c>
      <c r="V319" s="426"/>
      <c r="W319" s="97"/>
      <c r="X319" s="97"/>
      <c r="Y319" s="97"/>
      <c r="Z319" s="68"/>
      <c r="AA319" s="68"/>
      <c r="AB319" s="68"/>
      <c r="AC319" s="68"/>
      <c r="AD319" s="68"/>
    </row>
    <row r="320" spans="1:30" ht="17">
      <c r="A320" s="68"/>
      <c r="B320" s="68"/>
      <c r="C320" s="68"/>
      <c r="D320" s="415"/>
      <c r="E320" s="415"/>
      <c r="F320" s="415"/>
      <c r="G320" s="415"/>
      <c r="H320" s="415"/>
      <c r="I320" s="415"/>
      <c r="J320" s="415"/>
      <c r="K320" s="97"/>
      <c r="L320" s="97"/>
      <c r="M320" s="97"/>
      <c r="N320" s="97"/>
      <c r="O320" s="97"/>
      <c r="P320" s="97"/>
      <c r="Q320" s="97"/>
      <c r="R320" s="97"/>
      <c r="S320" s="97"/>
      <c r="T320" s="423">
        <v>317</v>
      </c>
      <c r="U320" s="424">
        <v>57981412991.65033</v>
      </c>
      <c r="V320" s="426"/>
      <c r="W320" s="97"/>
      <c r="X320" s="97"/>
      <c r="Y320" s="97"/>
      <c r="Z320" s="68"/>
      <c r="AA320" s="68"/>
      <c r="AB320" s="68"/>
      <c r="AC320" s="68"/>
      <c r="AD320" s="68"/>
    </row>
    <row r="321" spans="1:30" ht="17">
      <c r="A321" s="68"/>
      <c r="B321" s="68"/>
      <c r="C321" s="68"/>
      <c r="D321" s="415"/>
      <c r="E321" s="415"/>
      <c r="F321" s="415"/>
      <c r="G321" s="415"/>
      <c r="H321" s="415"/>
      <c r="I321" s="415"/>
      <c r="J321" s="415"/>
      <c r="K321" s="97"/>
      <c r="L321" s="97"/>
      <c r="M321" s="97"/>
      <c r="N321" s="97"/>
      <c r="O321" s="97"/>
      <c r="P321" s="97"/>
      <c r="Q321" s="97"/>
      <c r="R321" s="97"/>
      <c r="S321" s="97"/>
      <c r="T321" s="423">
        <v>318</v>
      </c>
      <c r="U321" s="424">
        <v>57928086485.71817</v>
      </c>
      <c r="V321" s="426"/>
      <c r="W321" s="97"/>
      <c r="X321" s="97"/>
      <c r="Y321" s="97"/>
      <c r="Z321" s="68"/>
      <c r="AA321" s="68"/>
      <c r="AB321" s="68"/>
      <c r="AC321" s="68"/>
      <c r="AD321" s="68"/>
    </row>
    <row r="322" spans="1:30" ht="17">
      <c r="A322" s="68"/>
      <c r="B322" s="68"/>
      <c r="C322" s="68"/>
      <c r="D322" s="415"/>
      <c r="E322" s="415"/>
      <c r="F322" s="415"/>
      <c r="G322" s="415"/>
      <c r="H322" s="415"/>
      <c r="I322" s="415"/>
      <c r="J322" s="415"/>
      <c r="K322" s="97"/>
      <c r="L322" s="97"/>
      <c r="M322" s="97"/>
      <c r="N322" s="97"/>
      <c r="O322" s="97"/>
      <c r="P322" s="97"/>
      <c r="Q322" s="97"/>
      <c r="R322" s="97"/>
      <c r="S322" s="97"/>
      <c r="T322" s="423">
        <v>319</v>
      </c>
      <c r="U322" s="424">
        <v>55657044831.97197</v>
      </c>
      <c r="V322" s="426"/>
      <c r="W322" s="97"/>
      <c r="X322" s="97"/>
      <c r="Y322" s="97"/>
      <c r="Z322" s="68"/>
      <c r="AA322" s="68"/>
      <c r="AB322" s="68"/>
      <c r="AC322" s="68"/>
      <c r="AD322" s="68"/>
    </row>
    <row r="323" spans="1:30" ht="17">
      <c r="A323" s="68"/>
      <c r="B323" s="68"/>
      <c r="C323" s="68"/>
      <c r="D323" s="415"/>
      <c r="E323" s="415"/>
      <c r="F323" s="415"/>
      <c r="G323" s="415"/>
      <c r="H323" s="415"/>
      <c r="I323" s="415"/>
      <c r="J323" s="415"/>
      <c r="K323" s="97"/>
      <c r="L323" s="97"/>
      <c r="M323" s="97"/>
      <c r="N323" s="97"/>
      <c r="O323" s="97"/>
      <c r="P323" s="97"/>
      <c r="Q323" s="97"/>
      <c r="R323" s="97"/>
      <c r="S323" s="97"/>
      <c r="T323" s="423">
        <v>320</v>
      </c>
      <c r="U323" s="424">
        <v>58067067934.375832</v>
      </c>
      <c r="V323" s="426"/>
      <c r="W323" s="97"/>
      <c r="X323" s="97"/>
      <c r="Y323" s="97"/>
      <c r="Z323" s="68"/>
      <c r="AA323" s="68"/>
      <c r="AB323" s="68"/>
      <c r="AC323" s="68"/>
      <c r="AD323" s="68"/>
    </row>
    <row r="324" spans="1:30" ht="17">
      <c r="A324" s="68"/>
      <c r="B324" s="68"/>
      <c r="C324" s="68"/>
      <c r="D324" s="415"/>
      <c r="E324" s="415"/>
      <c r="F324" s="415"/>
      <c r="G324" s="415"/>
      <c r="H324" s="415"/>
      <c r="I324" s="415"/>
      <c r="J324" s="415"/>
      <c r="K324" s="97"/>
      <c r="L324" s="97"/>
      <c r="M324" s="97"/>
      <c r="N324" s="97"/>
      <c r="O324" s="97"/>
      <c r="P324" s="97"/>
      <c r="Q324" s="97"/>
      <c r="R324" s="97"/>
      <c r="S324" s="97"/>
      <c r="T324" s="423">
        <v>321</v>
      </c>
      <c r="U324" s="424">
        <v>58518347229.879166</v>
      </c>
      <c r="V324" s="426"/>
      <c r="W324" s="97"/>
      <c r="X324" s="97"/>
      <c r="Y324" s="97"/>
      <c r="Z324" s="68"/>
      <c r="AA324" s="68"/>
      <c r="AB324" s="68"/>
      <c r="AC324" s="68"/>
      <c r="AD324" s="68"/>
    </row>
    <row r="325" spans="1:30" ht="17">
      <c r="A325" s="68"/>
      <c r="B325" s="68"/>
      <c r="C325" s="68"/>
      <c r="D325" s="415"/>
      <c r="E325" s="415"/>
      <c r="F325" s="415"/>
      <c r="G325" s="415"/>
      <c r="H325" s="415"/>
      <c r="I325" s="415"/>
      <c r="J325" s="415"/>
      <c r="K325" s="97"/>
      <c r="L325" s="97"/>
      <c r="M325" s="97"/>
      <c r="N325" s="97"/>
      <c r="O325" s="97"/>
      <c r="P325" s="97"/>
      <c r="Q325" s="97"/>
      <c r="R325" s="97"/>
      <c r="S325" s="97"/>
      <c r="T325" s="423">
        <v>322</v>
      </c>
      <c r="U325" s="424">
        <v>61047673783.894409</v>
      </c>
      <c r="V325" s="426"/>
      <c r="W325" s="97"/>
      <c r="X325" s="97"/>
      <c r="Y325" s="97"/>
      <c r="Z325" s="68"/>
      <c r="AA325" s="68"/>
      <c r="AB325" s="68"/>
      <c r="AC325" s="68"/>
      <c r="AD325" s="68"/>
    </row>
    <row r="326" spans="1:30" ht="17">
      <c r="A326" s="68"/>
      <c r="B326" s="68"/>
      <c r="C326" s="68"/>
      <c r="D326" s="415"/>
      <c r="E326" s="415"/>
      <c r="F326" s="415"/>
      <c r="G326" s="415"/>
      <c r="H326" s="415"/>
      <c r="I326" s="415"/>
      <c r="J326" s="415"/>
      <c r="K326" s="97"/>
      <c r="L326" s="97"/>
      <c r="M326" s="97"/>
      <c r="N326" s="97"/>
      <c r="O326" s="97"/>
      <c r="P326" s="97"/>
      <c r="Q326" s="97"/>
      <c r="R326" s="97"/>
      <c r="S326" s="97"/>
      <c r="T326" s="423">
        <v>323</v>
      </c>
      <c r="U326" s="424">
        <v>58846827382.93457</v>
      </c>
      <c r="V326" s="426"/>
      <c r="W326" s="97"/>
      <c r="X326" s="97"/>
      <c r="Y326" s="97"/>
      <c r="Z326" s="68"/>
      <c r="AA326" s="68"/>
      <c r="AB326" s="68"/>
      <c r="AC326" s="68"/>
      <c r="AD326" s="68"/>
    </row>
    <row r="327" spans="1:30" ht="17">
      <c r="A327" s="68"/>
      <c r="B327" s="68"/>
      <c r="C327" s="68"/>
      <c r="D327" s="415"/>
      <c r="E327" s="415"/>
      <c r="F327" s="415"/>
      <c r="G327" s="415"/>
      <c r="H327" s="415"/>
      <c r="I327" s="415"/>
      <c r="J327" s="415"/>
      <c r="K327" s="97"/>
      <c r="L327" s="97"/>
      <c r="M327" s="97"/>
      <c r="N327" s="97"/>
      <c r="O327" s="97"/>
      <c r="P327" s="97"/>
      <c r="Q327" s="97"/>
      <c r="R327" s="97"/>
      <c r="S327" s="97"/>
      <c r="T327" s="423">
        <v>324</v>
      </c>
      <c r="U327" s="424">
        <v>60301532552.037704</v>
      </c>
      <c r="V327" s="426"/>
      <c r="W327" s="97"/>
      <c r="X327" s="97"/>
      <c r="Y327" s="97"/>
      <c r="Z327" s="68"/>
      <c r="AA327" s="68"/>
      <c r="AB327" s="68"/>
      <c r="AC327" s="68"/>
      <c r="AD327" s="68"/>
    </row>
    <row r="328" spans="1:30" ht="17">
      <c r="A328" s="68"/>
      <c r="B328" s="68"/>
      <c r="C328" s="68"/>
      <c r="D328" s="415"/>
      <c r="E328" s="415"/>
      <c r="F328" s="415"/>
      <c r="G328" s="415"/>
      <c r="H328" s="415"/>
      <c r="I328" s="415"/>
      <c r="J328" s="415"/>
      <c r="K328" s="97"/>
      <c r="L328" s="97"/>
      <c r="M328" s="97"/>
      <c r="N328" s="97"/>
      <c r="O328" s="97"/>
      <c r="P328" s="97"/>
      <c r="Q328" s="97"/>
      <c r="R328" s="97"/>
      <c r="S328" s="97"/>
      <c r="T328" s="423">
        <v>325</v>
      </c>
      <c r="U328" s="424">
        <v>59099323230.517807</v>
      </c>
      <c r="V328" s="426"/>
      <c r="W328" s="97"/>
      <c r="X328" s="97"/>
      <c r="Y328" s="97"/>
      <c r="Z328" s="68"/>
      <c r="AA328" s="68"/>
      <c r="AB328" s="68"/>
      <c r="AC328" s="68"/>
      <c r="AD328" s="68"/>
    </row>
    <row r="329" spans="1:30" ht="17">
      <c r="A329" s="68"/>
      <c r="B329" s="68"/>
      <c r="C329" s="68"/>
      <c r="D329" s="415"/>
      <c r="E329" s="415"/>
      <c r="F329" s="415"/>
      <c r="G329" s="415"/>
      <c r="H329" s="415"/>
      <c r="I329" s="415"/>
      <c r="J329" s="415"/>
      <c r="K329" s="97"/>
      <c r="L329" s="97"/>
      <c r="M329" s="97"/>
      <c r="N329" s="97"/>
      <c r="O329" s="97"/>
      <c r="P329" s="97"/>
      <c r="Q329" s="97"/>
      <c r="R329" s="97"/>
      <c r="S329" s="97"/>
      <c r="T329" s="423">
        <v>326</v>
      </c>
      <c r="U329" s="424">
        <v>58424320723.344444</v>
      </c>
      <c r="V329" s="426"/>
      <c r="W329" s="97"/>
      <c r="X329" s="97"/>
      <c r="Y329" s="97"/>
      <c r="Z329" s="68"/>
      <c r="AA329" s="68"/>
      <c r="AB329" s="68"/>
      <c r="AC329" s="68"/>
      <c r="AD329" s="68"/>
    </row>
    <row r="330" spans="1:30" ht="17">
      <c r="A330" s="68"/>
      <c r="B330" s="68"/>
      <c r="C330" s="68"/>
      <c r="D330" s="415"/>
      <c r="E330" s="415"/>
      <c r="F330" s="415"/>
      <c r="G330" s="415"/>
      <c r="H330" s="415"/>
      <c r="I330" s="415"/>
      <c r="J330" s="415"/>
      <c r="K330" s="97"/>
      <c r="L330" s="97"/>
      <c r="M330" s="97"/>
      <c r="N330" s="97"/>
      <c r="O330" s="97"/>
      <c r="P330" s="97"/>
      <c r="Q330" s="97"/>
      <c r="R330" s="97"/>
      <c r="S330" s="97"/>
      <c r="T330" s="423">
        <v>327</v>
      </c>
      <c r="U330" s="424">
        <v>57427256150.43705</v>
      </c>
      <c r="V330" s="426"/>
      <c r="W330" s="97"/>
      <c r="X330" s="97"/>
      <c r="Y330" s="97"/>
      <c r="Z330" s="68"/>
      <c r="AA330" s="68"/>
      <c r="AB330" s="68"/>
      <c r="AC330" s="68"/>
      <c r="AD330" s="68"/>
    </row>
    <row r="331" spans="1:30" ht="17">
      <c r="A331" s="68"/>
      <c r="B331" s="68"/>
      <c r="C331" s="68"/>
      <c r="D331" s="415"/>
      <c r="E331" s="415"/>
      <c r="F331" s="415"/>
      <c r="G331" s="415"/>
      <c r="H331" s="415"/>
      <c r="I331" s="415"/>
      <c r="J331" s="415"/>
      <c r="K331" s="97"/>
      <c r="L331" s="97"/>
      <c r="M331" s="97"/>
      <c r="N331" s="97"/>
      <c r="O331" s="97"/>
      <c r="P331" s="97"/>
      <c r="Q331" s="97"/>
      <c r="R331" s="97"/>
      <c r="S331" s="97"/>
      <c r="T331" s="423">
        <v>328</v>
      </c>
      <c r="U331" s="424">
        <v>60528372400.344986</v>
      </c>
      <c r="V331" s="426"/>
      <c r="W331" s="97"/>
      <c r="X331" s="97"/>
      <c r="Y331" s="97"/>
      <c r="Z331" s="68"/>
      <c r="AA331" s="68"/>
      <c r="AB331" s="68"/>
      <c r="AC331" s="68"/>
      <c r="AD331" s="68"/>
    </row>
    <row r="332" spans="1:30" ht="17">
      <c r="A332" s="68"/>
      <c r="B332" s="68"/>
      <c r="C332" s="68"/>
      <c r="D332" s="415"/>
      <c r="E332" s="415"/>
      <c r="F332" s="415"/>
      <c r="G332" s="415"/>
      <c r="H332" s="415"/>
      <c r="I332" s="415"/>
      <c r="J332" s="415"/>
      <c r="K332" s="97"/>
      <c r="L332" s="97"/>
      <c r="M332" s="97"/>
      <c r="N332" s="97"/>
      <c r="O332" s="97"/>
      <c r="P332" s="97"/>
      <c r="Q332" s="97"/>
      <c r="R332" s="97"/>
      <c r="S332" s="97"/>
      <c r="T332" s="423">
        <v>329</v>
      </c>
      <c r="U332" s="424">
        <v>63402562153.893326</v>
      </c>
      <c r="V332" s="426"/>
      <c r="W332" s="97"/>
      <c r="X332" s="97"/>
      <c r="Y332" s="97"/>
      <c r="Z332" s="68"/>
      <c r="AA332" s="68"/>
      <c r="AB332" s="68"/>
      <c r="AC332" s="68"/>
      <c r="AD332" s="68"/>
    </row>
    <row r="333" spans="1:30" ht="17">
      <c r="A333" s="68"/>
      <c r="B333" s="68"/>
      <c r="C333" s="68"/>
      <c r="D333" s="415"/>
      <c r="E333" s="415"/>
      <c r="F333" s="415"/>
      <c r="G333" s="415"/>
      <c r="H333" s="415"/>
      <c r="I333" s="415"/>
      <c r="J333" s="415"/>
      <c r="K333" s="97"/>
      <c r="L333" s="97"/>
      <c r="M333" s="97"/>
      <c r="N333" s="97"/>
      <c r="O333" s="97"/>
      <c r="P333" s="97"/>
      <c r="Q333" s="97"/>
      <c r="R333" s="97"/>
      <c r="S333" s="97"/>
      <c r="T333" s="423">
        <v>330</v>
      </c>
      <c r="U333" s="424">
        <v>58151803785.617027</v>
      </c>
      <c r="V333" s="426"/>
      <c r="W333" s="97"/>
      <c r="X333" s="97"/>
      <c r="Y333" s="97"/>
      <c r="Z333" s="68"/>
      <c r="AA333" s="68"/>
      <c r="AB333" s="68"/>
      <c r="AC333" s="68"/>
      <c r="AD333" s="68"/>
    </row>
    <row r="334" spans="1:30" ht="17">
      <c r="A334" s="68"/>
      <c r="B334" s="68"/>
      <c r="C334" s="68"/>
      <c r="D334" s="415"/>
      <c r="E334" s="415"/>
      <c r="F334" s="415"/>
      <c r="G334" s="415"/>
      <c r="H334" s="415"/>
      <c r="I334" s="415"/>
      <c r="J334" s="415"/>
      <c r="K334" s="97"/>
      <c r="L334" s="97"/>
      <c r="M334" s="97"/>
      <c r="N334" s="97"/>
      <c r="O334" s="97"/>
      <c r="P334" s="97"/>
      <c r="Q334" s="97"/>
      <c r="R334" s="97"/>
      <c r="S334" s="97"/>
      <c r="T334" s="423">
        <v>331</v>
      </c>
      <c r="U334" s="424">
        <v>58967889914.727631</v>
      </c>
      <c r="V334" s="426"/>
      <c r="W334" s="97"/>
      <c r="X334" s="97"/>
      <c r="Y334" s="97"/>
      <c r="Z334" s="68"/>
      <c r="AA334" s="68"/>
      <c r="AB334" s="68"/>
      <c r="AC334" s="68"/>
      <c r="AD334" s="68"/>
    </row>
    <row r="335" spans="1:30" ht="17">
      <c r="A335" s="68"/>
      <c r="B335" s="68"/>
      <c r="C335" s="68"/>
      <c r="D335" s="415"/>
      <c r="E335" s="415"/>
      <c r="F335" s="415"/>
      <c r="G335" s="415"/>
      <c r="H335" s="415"/>
      <c r="I335" s="415"/>
      <c r="J335" s="415"/>
      <c r="K335" s="97"/>
      <c r="L335" s="97"/>
      <c r="M335" s="97"/>
      <c r="N335" s="97"/>
      <c r="O335" s="97"/>
      <c r="P335" s="97"/>
      <c r="Q335" s="97"/>
      <c r="R335" s="97"/>
      <c r="S335" s="97"/>
      <c r="T335" s="423">
        <v>332</v>
      </c>
      <c r="U335" s="424">
        <v>59715381895.059616</v>
      </c>
      <c r="V335" s="426"/>
      <c r="W335" s="97"/>
      <c r="X335" s="97"/>
      <c r="Y335" s="97"/>
      <c r="Z335" s="68"/>
      <c r="AA335" s="68"/>
      <c r="AB335" s="68"/>
      <c r="AC335" s="68"/>
      <c r="AD335" s="68"/>
    </row>
    <row r="336" spans="1:30" ht="17">
      <c r="A336" s="68"/>
      <c r="B336" s="68"/>
      <c r="C336" s="68"/>
      <c r="D336" s="415"/>
      <c r="E336" s="415"/>
      <c r="F336" s="415"/>
      <c r="G336" s="415"/>
      <c r="H336" s="415"/>
      <c r="I336" s="415"/>
      <c r="J336" s="415"/>
      <c r="K336" s="97"/>
      <c r="L336" s="97"/>
      <c r="M336" s="97"/>
      <c r="N336" s="97"/>
      <c r="O336" s="97"/>
      <c r="P336" s="97"/>
      <c r="Q336" s="97"/>
      <c r="R336" s="97"/>
      <c r="S336" s="97"/>
      <c r="T336" s="423">
        <v>333</v>
      </c>
      <c r="U336" s="424">
        <v>58647468339.500656</v>
      </c>
      <c r="V336" s="426"/>
      <c r="W336" s="97"/>
      <c r="X336" s="97"/>
      <c r="Y336" s="97"/>
      <c r="Z336" s="68"/>
      <c r="AA336" s="68"/>
      <c r="AB336" s="68"/>
      <c r="AC336" s="68"/>
      <c r="AD336" s="68"/>
    </row>
    <row r="337" spans="1:30" ht="17">
      <c r="A337" s="68"/>
      <c r="B337" s="68"/>
      <c r="C337" s="68"/>
      <c r="D337" s="415"/>
      <c r="E337" s="415"/>
      <c r="F337" s="415"/>
      <c r="G337" s="415"/>
      <c r="H337" s="415"/>
      <c r="I337" s="415"/>
      <c r="J337" s="415"/>
      <c r="K337" s="97"/>
      <c r="L337" s="97"/>
      <c r="M337" s="97"/>
      <c r="N337" s="97"/>
      <c r="O337" s="97"/>
      <c r="P337" s="97"/>
      <c r="Q337" s="97"/>
      <c r="R337" s="97"/>
      <c r="S337" s="97"/>
      <c r="T337" s="423">
        <v>334</v>
      </c>
      <c r="U337" s="424">
        <v>60135052991.574181</v>
      </c>
      <c r="V337" s="426"/>
      <c r="W337" s="97"/>
      <c r="X337" s="97"/>
      <c r="Y337" s="97"/>
      <c r="Z337" s="68"/>
      <c r="AA337" s="68"/>
      <c r="AB337" s="68"/>
      <c r="AC337" s="68"/>
      <c r="AD337" s="68"/>
    </row>
    <row r="338" spans="1:30" ht="17">
      <c r="A338" s="68"/>
      <c r="B338" s="68"/>
      <c r="C338" s="68"/>
      <c r="D338" s="415"/>
      <c r="E338" s="415"/>
      <c r="F338" s="415"/>
      <c r="G338" s="415"/>
      <c r="H338" s="415"/>
      <c r="I338" s="415"/>
      <c r="J338" s="415"/>
      <c r="K338" s="97"/>
      <c r="L338" s="97"/>
      <c r="M338" s="97"/>
      <c r="N338" s="97"/>
      <c r="O338" s="97"/>
      <c r="P338" s="97"/>
      <c r="Q338" s="97"/>
      <c r="R338" s="97"/>
      <c r="S338" s="97"/>
      <c r="T338" s="423">
        <v>335</v>
      </c>
      <c r="U338" s="424">
        <v>58652693338.290756</v>
      </c>
      <c r="V338" s="426"/>
      <c r="W338" s="97"/>
      <c r="X338" s="97"/>
      <c r="Y338" s="97"/>
      <c r="Z338" s="68"/>
      <c r="AA338" s="68"/>
      <c r="AB338" s="68"/>
      <c r="AC338" s="68"/>
      <c r="AD338" s="68"/>
    </row>
    <row r="339" spans="1:30" ht="17">
      <c r="A339" s="68"/>
      <c r="B339" s="68"/>
      <c r="C339" s="68"/>
      <c r="D339" s="415"/>
      <c r="E339" s="415"/>
      <c r="F339" s="415"/>
      <c r="G339" s="415"/>
      <c r="H339" s="415"/>
      <c r="I339" s="415"/>
      <c r="J339" s="415"/>
      <c r="K339" s="97"/>
      <c r="L339" s="97"/>
      <c r="M339" s="97"/>
      <c r="N339" s="97"/>
      <c r="O339" s="97"/>
      <c r="P339" s="97"/>
      <c r="Q339" s="97"/>
      <c r="R339" s="97"/>
      <c r="S339" s="97"/>
      <c r="T339" s="423">
        <v>336</v>
      </c>
      <c r="U339" s="424">
        <v>60473923408.917007</v>
      </c>
      <c r="V339" s="426"/>
      <c r="W339" s="97"/>
      <c r="X339" s="97"/>
      <c r="Y339" s="97"/>
      <c r="Z339" s="68"/>
      <c r="AA339" s="68"/>
      <c r="AB339" s="68"/>
      <c r="AC339" s="68"/>
      <c r="AD339" s="68"/>
    </row>
    <row r="340" spans="1:30" ht="17">
      <c r="A340" s="68"/>
      <c r="B340" s="68"/>
      <c r="C340" s="68"/>
      <c r="D340" s="415"/>
      <c r="E340" s="415"/>
      <c r="F340" s="415"/>
      <c r="G340" s="415"/>
      <c r="H340" s="415"/>
      <c r="I340" s="415"/>
      <c r="J340" s="415"/>
      <c r="K340" s="97"/>
      <c r="L340" s="97"/>
      <c r="M340" s="97"/>
      <c r="N340" s="97"/>
      <c r="O340" s="97"/>
      <c r="P340" s="97"/>
      <c r="Q340" s="97"/>
      <c r="R340" s="97"/>
      <c r="S340" s="97"/>
      <c r="T340" s="423">
        <v>337</v>
      </c>
      <c r="U340" s="424">
        <v>58817352854.986153</v>
      </c>
      <c r="V340" s="426"/>
      <c r="W340" s="97"/>
      <c r="X340" s="97"/>
      <c r="Y340" s="97"/>
      <c r="Z340" s="68"/>
      <c r="AA340" s="68"/>
      <c r="AB340" s="68"/>
      <c r="AC340" s="68"/>
      <c r="AD340" s="68"/>
    </row>
    <row r="341" spans="1:30" ht="17">
      <c r="A341" s="68"/>
      <c r="B341" s="68"/>
      <c r="C341" s="68"/>
      <c r="D341" s="415"/>
      <c r="E341" s="415"/>
      <c r="F341" s="415"/>
      <c r="G341" s="415"/>
      <c r="H341" s="415"/>
      <c r="I341" s="415"/>
      <c r="J341" s="415"/>
      <c r="K341" s="97"/>
      <c r="L341" s="97"/>
      <c r="M341" s="97"/>
      <c r="N341" s="97"/>
      <c r="O341" s="97"/>
      <c r="P341" s="97"/>
      <c r="Q341" s="97"/>
      <c r="R341" s="97"/>
      <c r="S341" s="97"/>
      <c r="T341" s="423">
        <v>338</v>
      </c>
      <c r="U341" s="424">
        <v>58543497442.403442</v>
      </c>
      <c r="V341" s="426"/>
      <c r="W341" s="97"/>
      <c r="X341" s="97"/>
      <c r="Y341" s="97"/>
      <c r="Z341" s="68"/>
      <c r="AA341" s="68"/>
      <c r="AB341" s="68"/>
      <c r="AC341" s="68"/>
      <c r="AD341" s="68"/>
    </row>
    <row r="342" spans="1:30" ht="17">
      <c r="A342" s="68"/>
      <c r="B342" s="68"/>
      <c r="C342" s="68"/>
      <c r="D342" s="415"/>
      <c r="E342" s="415"/>
      <c r="F342" s="415"/>
      <c r="G342" s="415"/>
      <c r="H342" s="415"/>
      <c r="I342" s="415"/>
      <c r="J342" s="415"/>
      <c r="K342" s="97"/>
      <c r="L342" s="97"/>
      <c r="M342" s="97"/>
      <c r="N342" s="97"/>
      <c r="O342" s="97"/>
      <c r="P342" s="97"/>
      <c r="Q342" s="97"/>
      <c r="R342" s="97"/>
      <c r="S342" s="97"/>
      <c r="T342" s="423">
        <v>339</v>
      </c>
      <c r="U342" s="424">
        <v>60627639313.970169</v>
      </c>
      <c r="V342" s="426"/>
      <c r="W342" s="97"/>
      <c r="X342" s="97"/>
      <c r="Y342" s="97"/>
      <c r="Z342" s="68"/>
      <c r="AA342" s="68"/>
      <c r="AB342" s="68"/>
      <c r="AC342" s="68"/>
      <c r="AD342" s="68"/>
    </row>
    <row r="343" spans="1:30" ht="17">
      <c r="A343" s="68"/>
      <c r="B343" s="68"/>
      <c r="C343" s="68"/>
      <c r="D343" s="415"/>
      <c r="E343" s="415"/>
      <c r="F343" s="415"/>
      <c r="G343" s="415"/>
      <c r="H343" s="415"/>
      <c r="I343" s="415"/>
      <c r="J343" s="415"/>
      <c r="K343" s="97"/>
      <c r="L343" s="97"/>
      <c r="M343" s="97"/>
      <c r="N343" s="97"/>
      <c r="O343" s="97"/>
      <c r="P343" s="97"/>
      <c r="Q343" s="97"/>
      <c r="R343" s="97"/>
      <c r="S343" s="97"/>
      <c r="T343" s="423">
        <v>340</v>
      </c>
      <c r="U343" s="424">
        <v>56500201261.258041</v>
      </c>
      <c r="V343" s="426"/>
      <c r="W343" s="97"/>
      <c r="X343" s="97"/>
      <c r="Y343" s="97"/>
      <c r="Z343" s="68"/>
      <c r="AA343" s="68"/>
      <c r="AB343" s="68"/>
      <c r="AC343" s="68"/>
      <c r="AD343" s="68"/>
    </row>
    <row r="344" spans="1:30" ht="17">
      <c r="A344" s="68"/>
      <c r="B344" s="68"/>
      <c r="C344" s="68"/>
      <c r="D344" s="415"/>
      <c r="E344" s="415"/>
      <c r="F344" s="415"/>
      <c r="G344" s="415"/>
      <c r="H344" s="415"/>
      <c r="I344" s="415"/>
      <c r="J344" s="415"/>
      <c r="K344" s="97"/>
      <c r="L344" s="97"/>
      <c r="M344" s="97"/>
      <c r="N344" s="97"/>
      <c r="O344" s="97"/>
      <c r="P344" s="97"/>
      <c r="Q344" s="97"/>
      <c r="R344" s="97"/>
      <c r="S344" s="97"/>
      <c r="T344" s="423">
        <v>341</v>
      </c>
      <c r="U344" s="424">
        <v>57121711231.35022</v>
      </c>
      <c r="V344" s="426"/>
      <c r="W344" s="97"/>
      <c r="X344" s="97"/>
      <c r="Y344" s="97"/>
      <c r="Z344" s="68"/>
      <c r="AA344" s="68"/>
      <c r="AB344" s="68"/>
      <c r="AC344" s="68"/>
      <c r="AD344" s="68"/>
    </row>
    <row r="345" spans="1:30" ht="17">
      <c r="A345" s="68"/>
      <c r="B345" s="68"/>
      <c r="C345" s="68"/>
      <c r="D345" s="415"/>
      <c r="E345" s="415"/>
      <c r="F345" s="415"/>
      <c r="G345" s="415"/>
      <c r="H345" s="415"/>
      <c r="I345" s="415"/>
      <c r="J345" s="415"/>
      <c r="K345" s="97"/>
      <c r="L345" s="97"/>
      <c r="M345" s="97"/>
      <c r="N345" s="97"/>
      <c r="O345" s="97"/>
      <c r="P345" s="97"/>
      <c r="Q345" s="97"/>
      <c r="R345" s="97"/>
      <c r="S345" s="97"/>
      <c r="T345" s="423">
        <v>342</v>
      </c>
      <c r="U345" s="424">
        <v>57451815547.597763</v>
      </c>
      <c r="V345" s="426"/>
      <c r="W345" s="97"/>
      <c r="X345" s="97"/>
      <c r="Y345" s="97"/>
      <c r="Z345" s="68"/>
      <c r="AA345" s="68"/>
      <c r="AB345" s="68"/>
      <c r="AC345" s="68"/>
      <c r="AD345" s="68"/>
    </row>
    <row r="346" spans="1:30" ht="17">
      <c r="A346" s="68"/>
      <c r="B346" s="68"/>
      <c r="C346" s="68"/>
      <c r="D346" s="415"/>
      <c r="E346" s="415"/>
      <c r="F346" s="415"/>
      <c r="G346" s="415"/>
      <c r="H346" s="415"/>
      <c r="I346" s="415"/>
      <c r="J346" s="415"/>
      <c r="K346" s="97"/>
      <c r="L346" s="97"/>
      <c r="M346" s="97"/>
      <c r="N346" s="97"/>
      <c r="O346" s="97"/>
      <c r="P346" s="97"/>
      <c r="Q346" s="97"/>
      <c r="R346" s="97"/>
      <c r="S346" s="97"/>
      <c r="T346" s="423">
        <v>343</v>
      </c>
      <c r="U346" s="424">
        <v>62324123813.740677</v>
      </c>
      <c r="V346" s="426"/>
      <c r="W346" s="97"/>
      <c r="X346" s="97"/>
      <c r="Y346" s="97"/>
      <c r="Z346" s="68"/>
      <c r="AA346" s="68"/>
      <c r="AB346" s="68"/>
      <c r="AC346" s="68"/>
      <c r="AD346" s="68"/>
    </row>
    <row r="347" spans="1:30" ht="17">
      <c r="A347" s="68"/>
      <c r="B347" s="68"/>
      <c r="C347" s="68"/>
      <c r="D347" s="415"/>
      <c r="E347" s="415"/>
      <c r="F347" s="415"/>
      <c r="G347" s="415"/>
      <c r="H347" s="415"/>
      <c r="I347" s="415"/>
      <c r="J347" s="415"/>
      <c r="K347" s="97"/>
      <c r="L347" s="97"/>
      <c r="M347" s="97"/>
      <c r="N347" s="97"/>
      <c r="O347" s="97"/>
      <c r="P347" s="97"/>
      <c r="Q347" s="97"/>
      <c r="R347" s="97"/>
      <c r="S347" s="97"/>
      <c r="T347" s="423">
        <v>344</v>
      </c>
      <c r="U347" s="424">
        <v>61676609586.999527</v>
      </c>
      <c r="V347" s="426"/>
      <c r="W347" s="97"/>
      <c r="X347" s="97"/>
      <c r="Y347" s="97"/>
      <c r="Z347" s="68"/>
      <c r="AA347" s="68"/>
      <c r="AB347" s="68"/>
      <c r="AC347" s="68"/>
      <c r="AD347" s="68"/>
    </row>
    <row r="348" spans="1:30" ht="17">
      <c r="A348" s="68"/>
      <c r="B348" s="68"/>
      <c r="C348" s="68"/>
      <c r="D348" s="415"/>
      <c r="E348" s="415"/>
      <c r="F348" s="415"/>
      <c r="G348" s="415"/>
      <c r="H348" s="415"/>
      <c r="I348" s="415"/>
      <c r="J348" s="415"/>
      <c r="K348" s="97"/>
      <c r="L348" s="97"/>
      <c r="M348" s="97"/>
      <c r="N348" s="97"/>
      <c r="O348" s="97"/>
      <c r="P348" s="97"/>
      <c r="Q348" s="97"/>
      <c r="R348" s="97"/>
      <c r="S348" s="97"/>
      <c r="T348" s="423">
        <v>345</v>
      </c>
      <c r="U348" s="424">
        <v>58914273670.255585</v>
      </c>
      <c r="V348" s="426"/>
      <c r="W348" s="97"/>
      <c r="X348" s="97"/>
      <c r="Y348" s="97"/>
      <c r="Z348" s="68"/>
      <c r="AA348" s="68"/>
      <c r="AB348" s="68"/>
      <c r="AC348" s="68"/>
      <c r="AD348" s="68"/>
    </row>
    <row r="349" spans="1:30" ht="17">
      <c r="A349" s="68"/>
      <c r="B349" s="68"/>
      <c r="C349" s="68"/>
      <c r="D349" s="415"/>
      <c r="E349" s="415"/>
      <c r="F349" s="415"/>
      <c r="G349" s="415"/>
      <c r="H349" s="415"/>
      <c r="I349" s="415"/>
      <c r="J349" s="415"/>
      <c r="K349" s="97"/>
      <c r="L349" s="97"/>
      <c r="M349" s="97"/>
      <c r="N349" s="97"/>
      <c r="O349" s="97"/>
      <c r="P349" s="97"/>
      <c r="Q349" s="97"/>
      <c r="R349" s="97"/>
      <c r="S349" s="97"/>
      <c r="T349" s="423">
        <v>346</v>
      </c>
      <c r="U349" s="424">
        <v>58205054502.93573</v>
      </c>
      <c r="V349" s="426"/>
      <c r="W349" s="97"/>
      <c r="X349" s="97"/>
      <c r="Y349" s="97"/>
      <c r="Z349" s="68"/>
      <c r="AA349" s="68"/>
      <c r="AB349" s="68"/>
      <c r="AC349" s="68"/>
      <c r="AD349" s="68"/>
    </row>
    <row r="350" spans="1:30" ht="17">
      <c r="A350" s="68"/>
      <c r="B350" s="68"/>
      <c r="C350" s="68"/>
      <c r="D350" s="415"/>
      <c r="E350" s="415"/>
      <c r="F350" s="415"/>
      <c r="G350" s="415"/>
      <c r="H350" s="415"/>
      <c r="I350" s="415"/>
      <c r="J350" s="415"/>
      <c r="K350" s="97"/>
      <c r="L350" s="97"/>
      <c r="M350" s="97"/>
      <c r="N350" s="97"/>
      <c r="O350" s="97"/>
      <c r="P350" s="97"/>
      <c r="Q350" s="97"/>
      <c r="R350" s="97"/>
      <c r="S350" s="97"/>
      <c r="T350" s="423">
        <v>347</v>
      </c>
      <c r="U350" s="424">
        <v>60256818374.349152</v>
      </c>
      <c r="V350" s="426"/>
      <c r="W350" s="97"/>
      <c r="X350" s="97"/>
      <c r="Y350" s="97"/>
      <c r="Z350" s="68"/>
      <c r="AA350" s="68"/>
      <c r="AB350" s="68"/>
      <c r="AC350" s="68"/>
      <c r="AD350" s="68"/>
    </row>
    <row r="351" spans="1:30" ht="17">
      <c r="A351" s="68"/>
      <c r="B351" s="68"/>
      <c r="C351" s="68"/>
      <c r="D351" s="415"/>
      <c r="E351" s="415"/>
      <c r="F351" s="415"/>
      <c r="G351" s="415"/>
      <c r="H351" s="415"/>
      <c r="I351" s="415"/>
      <c r="J351" s="415"/>
      <c r="K351" s="97"/>
      <c r="L351" s="97"/>
      <c r="M351" s="97"/>
      <c r="N351" s="97"/>
      <c r="O351" s="97"/>
      <c r="P351" s="97"/>
      <c r="Q351" s="97"/>
      <c r="R351" s="97"/>
      <c r="S351" s="97"/>
      <c r="T351" s="423">
        <v>348</v>
      </c>
      <c r="U351" s="424">
        <v>57761611189.482971</v>
      </c>
      <c r="V351" s="426"/>
      <c r="W351" s="97"/>
      <c r="X351" s="97"/>
      <c r="Y351" s="97"/>
      <c r="Z351" s="68"/>
      <c r="AA351" s="68"/>
      <c r="AB351" s="68"/>
      <c r="AC351" s="68"/>
      <c r="AD351" s="68"/>
    </row>
    <row r="352" spans="1:30" ht="17">
      <c r="A352" s="68"/>
      <c r="B352" s="68"/>
      <c r="C352" s="68"/>
      <c r="D352" s="415"/>
      <c r="E352" s="415"/>
      <c r="F352" s="415"/>
      <c r="G352" s="415"/>
      <c r="H352" s="415"/>
      <c r="I352" s="415"/>
      <c r="J352" s="415"/>
      <c r="K352" s="97"/>
      <c r="L352" s="97"/>
      <c r="M352" s="97"/>
      <c r="N352" s="97"/>
      <c r="O352" s="97"/>
      <c r="P352" s="97"/>
      <c r="Q352" s="97"/>
      <c r="R352" s="97"/>
      <c r="S352" s="97"/>
      <c r="T352" s="423">
        <v>349</v>
      </c>
      <c r="U352" s="424">
        <v>58589356199.309685</v>
      </c>
      <c r="V352" s="426"/>
      <c r="W352" s="97"/>
      <c r="X352" s="97"/>
      <c r="Y352" s="97"/>
      <c r="Z352" s="68"/>
      <c r="AA352" s="68"/>
      <c r="AB352" s="68"/>
      <c r="AC352" s="68"/>
      <c r="AD352" s="68"/>
    </row>
    <row r="353" spans="1:30" ht="17">
      <c r="A353" s="68"/>
      <c r="B353" s="68"/>
      <c r="C353" s="68"/>
      <c r="D353" s="415"/>
      <c r="E353" s="415"/>
      <c r="F353" s="415"/>
      <c r="G353" s="415"/>
      <c r="H353" s="415"/>
      <c r="I353" s="415"/>
      <c r="J353" s="415"/>
      <c r="K353" s="97"/>
      <c r="L353" s="97"/>
      <c r="M353" s="97"/>
      <c r="N353" s="97"/>
      <c r="O353" s="97"/>
      <c r="P353" s="97"/>
      <c r="Q353" s="97"/>
      <c r="R353" s="97"/>
      <c r="S353" s="97"/>
      <c r="T353" s="423">
        <v>350</v>
      </c>
      <c r="U353" s="424">
        <v>55208477003.630592</v>
      </c>
      <c r="V353" s="426"/>
      <c r="W353" s="97"/>
      <c r="X353" s="97"/>
      <c r="Y353" s="97"/>
      <c r="Z353" s="68"/>
      <c r="AA353" s="68"/>
      <c r="AB353" s="68"/>
      <c r="AC353" s="68"/>
      <c r="AD353" s="68"/>
    </row>
    <row r="354" spans="1:30" ht="17">
      <c r="A354" s="68"/>
      <c r="B354" s="68"/>
      <c r="C354" s="68"/>
      <c r="D354" s="415"/>
      <c r="E354" s="415"/>
      <c r="F354" s="415"/>
      <c r="G354" s="415"/>
      <c r="H354" s="415"/>
      <c r="I354" s="415"/>
      <c r="J354" s="415"/>
      <c r="K354" s="97"/>
      <c r="L354" s="97"/>
      <c r="M354" s="97"/>
      <c r="N354" s="97"/>
      <c r="O354" s="97"/>
      <c r="P354" s="97"/>
      <c r="Q354" s="97"/>
      <c r="R354" s="97"/>
      <c r="S354" s="97"/>
      <c r="T354" s="423">
        <v>351</v>
      </c>
      <c r="U354" s="424">
        <v>57938965856.359161</v>
      </c>
      <c r="V354" s="426"/>
      <c r="W354" s="97"/>
      <c r="X354" s="97"/>
      <c r="Y354" s="97"/>
      <c r="Z354" s="68"/>
      <c r="AA354" s="68"/>
      <c r="AB354" s="68"/>
      <c r="AC354" s="68"/>
      <c r="AD354" s="68"/>
    </row>
    <row r="355" spans="1:30" ht="17">
      <c r="A355" s="68"/>
      <c r="B355" s="68"/>
      <c r="C355" s="68"/>
      <c r="D355" s="415"/>
      <c r="E355" s="415"/>
      <c r="F355" s="415"/>
      <c r="G355" s="415"/>
      <c r="H355" s="415"/>
      <c r="I355" s="415"/>
      <c r="J355" s="415"/>
      <c r="K355" s="97"/>
      <c r="L355" s="97"/>
      <c r="M355" s="97"/>
      <c r="N355" s="97"/>
      <c r="O355" s="97"/>
      <c r="P355" s="97"/>
      <c r="Q355" s="97"/>
      <c r="R355" s="97"/>
      <c r="S355" s="97"/>
      <c r="T355" s="423">
        <v>352</v>
      </c>
      <c r="U355" s="424">
        <v>59441144717.681244</v>
      </c>
      <c r="V355" s="426"/>
      <c r="W355" s="97"/>
      <c r="X355" s="97"/>
      <c r="Y355" s="97"/>
      <c r="Z355" s="68"/>
      <c r="AA355" s="68"/>
      <c r="AB355" s="68"/>
      <c r="AC355" s="68"/>
      <c r="AD355" s="68"/>
    </row>
    <row r="356" spans="1:30" ht="17">
      <c r="A356" s="68"/>
      <c r="B356" s="68"/>
      <c r="C356" s="68"/>
      <c r="D356" s="415"/>
      <c r="E356" s="415"/>
      <c r="F356" s="415"/>
      <c r="G356" s="415"/>
      <c r="H356" s="415"/>
      <c r="I356" s="415"/>
      <c r="J356" s="415"/>
      <c r="K356" s="97"/>
      <c r="L356" s="97"/>
      <c r="M356" s="97"/>
      <c r="N356" s="97"/>
      <c r="O356" s="97"/>
      <c r="P356" s="97"/>
      <c r="Q356" s="97"/>
      <c r="R356" s="97"/>
      <c r="S356" s="97"/>
      <c r="T356" s="423">
        <v>353</v>
      </c>
      <c r="U356" s="424">
        <v>61118382373.014603</v>
      </c>
      <c r="V356" s="426"/>
      <c r="W356" s="97"/>
      <c r="X356" s="97"/>
      <c r="Y356" s="97"/>
      <c r="Z356" s="68"/>
      <c r="AA356" s="68"/>
      <c r="AB356" s="68"/>
      <c r="AC356" s="68"/>
      <c r="AD356" s="68"/>
    </row>
    <row r="357" spans="1:30" ht="17">
      <c r="A357" s="68"/>
      <c r="B357" s="68"/>
      <c r="C357" s="68"/>
      <c r="D357" s="415"/>
      <c r="E357" s="415"/>
      <c r="F357" s="415"/>
      <c r="G357" s="415"/>
      <c r="H357" s="415"/>
      <c r="I357" s="415"/>
      <c r="J357" s="415"/>
      <c r="K357" s="97"/>
      <c r="L357" s="97"/>
      <c r="M357" s="97"/>
      <c r="N357" s="97"/>
      <c r="O357" s="97"/>
      <c r="P357" s="97"/>
      <c r="Q357" s="97"/>
      <c r="R357" s="97"/>
      <c r="S357" s="97"/>
      <c r="T357" s="423">
        <v>354</v>
      </c>
      <c r="U357" s="424">
        <v>57866926200.646561</v>
      </c>
      <c r="V357" s="426"/>
      <c r="W357" s="97"/>
      <c r="X357" s="97"/>
      <c r="Y357" s="97"/>
      <c r="Z357" s="68"/>
      <c r="AA357" s="68"/>
      <c r="AB357" s="68"/>
      <c r="AC357" s="68"/>
      <c r="AD357" s="68"/>
    </row>
    <row r="358" spans="1:30" ht="17">
      <c r="A358" s="68"/>
      <c r="B358" s="68"/>
      <c r="C358" s="68"/>
      <c r="D358" s="415"/>
      <c r="E358" s="415"/>
      <c r="F358" s="415"/>
      <c r="G358" s="415"/>
      <c r="H358" s="415"/>
      <c r="I358" s="415"/>
      <c r="J358" s="415"/>
      <c r="K358" s="97"/>
      <c r="L358" s="97"/>
      <c r="M358" s="97"/>
      <c r="N358" s="97"/>
      <c r="O358" s="97"/>
      <c r="P358" s="97"/>
      <c r="Q358" s="97"/>
      <c r="R358" s="97"/>
      <c r="S358" s="97"/>
      <c r="T358" s="423">
        <v>355</v>
      </c>
      <c r="U358" s="424">
        <v>59783040337.402016</v>
      </c>
      <c r="V358" s="426"/>
      <c r="W358" s="97"/>
      <c r="X358" s="97"/>
      <c r="Y358" s="97"/>
      <c r="Z358" s="68"/>
      <c r="AA358" s="68"/>
      <c r="AB358" s="68"/>
      <c r="AC358" s="68"/>
      <c r="AD358" s="68"/>
    </row>
    <row r="359" spans="1:30" ht="17">
      <c r="A359" s="68"/>
      <c r="B359" s="68"/>
      <c r="C359" s="68"/>
      <c r="D359" s="415"/>
      <c r="E359" s="415"/>
      <c r="F359" s="415"/>
      <c r="G359" s="415"/>
      <c r="H359" s="415"/>
      <c r="I359" s="415"/>
      <c r="J359" s="415"/>
      <c r="K359" s="97"/>
      <c r="L359" s="97"/>
      <c r="M359" s="97"/>
      <c r="N359" s="97"/>
      <c r="O359" s="97"/>
      <c r="P359" s="97"/>
      <c r="Q359" s="97"/>
      <c r="R359" s="97"/>
      <c r="S359" s="97"/>
      <c r="T359" s="423">
        <v>356</v>
      </c>
      <c r="U359" s="424">
        <v>56684725962.857971</v>
      </c>
      <c r="V359" s="426"/>
      <c r="W359" s="97"/>
      <c r="X359" s="97"/>
      <c r="Y359" s="97"/>
      <c r="Z359" s="68"/>
      <c r="AA359" s="68"/>
      <c r="AB359" s="68"/>
      <c r="AC359" s="68"/>
      <c r="AD359" s="68"/>
    </row>
    <row r="360" spans="1:30" ht="17">
      <c r="A360" s="68"/>
      <c r="B360" s="68"/>
      <c r="C360" s="68"/>
      <c r="D360" s="415"/>
      <c r="E360" s="415"/>
      <c r="F360" s="415"/>
      <c r="G360" s="415"/>
      <c r="H360" s="415"/>
      <c r="I360" s="415"/>
      <c r="J360" s="415"/>
      <c r="K360" s="97"/>
      <c r="L360" s="97"/>
      <c r="M360" s="97"/>
      <c r="N360" s="97"/>
      <c r="O360" s="97"/>
      <c r="P360" s="97"/>
      <c r="Q360" s="97"/>
      <c r="R360" s="97"/>
      <c r="S360" s="97"/>
      <c r="T360" s="423">
        <v>357</v>
      </c>
      <c r="U360" s="424">
        <v>64229606450.136986</v>
      </c>
      <c r="V360" s="426"/>
      <c r="W360" s="97"/>
      <c r="X360" s="97"/>
      <c r="Y360" s="97"/>
      <c r="Z360" s="68"/>
      <c r="AA360" s="68"/>
      <c r="AB360" s="68"/>
      <c r="AC360" s="68"/>
      <c r="AD360" s="68"/>
    </row>
    <row r="361" spans="1:30" ht="17">
      <c r="A361" s="68"/>
      <c r="B361" s="68"/>
      <c r="C361" s="68"/>
      <c r="D361" s="415"/>
      <c r="E361" s="415"/>
      <c r="F361" s="415"/>
      <c r="G361" s="415"/>
      <c r="H361" s="415"/>
      <c r="I361" s="415"/>
      <c r="J361" s="415"/>
      <c r="K361" s="97"/>
      <c r="L361" s="97"/>
      <c r="M361" s="97"/>
      <c r="N361" s="97"/>
      <c r="O361" s="97"/>
      <c r="P361" s="97"/>
      <c r="Q361" s="97"/>
      <c r="R361" s="97"/>
      <c r="S361" s="97"/>
      <c r="T361" s="423">
        <v>358</v>
      </c>
      <c r="U361" s="424">
        <v>59077259294.704521</v>
      </c>
      <c r="V361" s="426"/>
      <c r="W361" s="97"/>
      <c r="X361" s="97"/>
      <c r="Y361" s="97"/>
      <c r="Z361" s="68"/>
      <c r="AA361" s="68"/>
      <c r="AB361" s="68"/>
      <c r="AC361" s="68"/>
      <c r="AD361" s="68"/>
    </row>
    <row r="362" spans="1:30" ht="17">
      <c r="A362" s="68"/>
      <c r="B362" s="68"/>
      <c r="C362" s="68"/>
      <c r="D362" s="415"/>
      <c r="E362" s="415"/>
      <c r="F362" s="415"/>
      <c r="G362" s="415"/>
      <c r="H362" s="415"/>
      <c r="I362" s="415"/>
      <c r="J362" s="415"/>
      <c r="K362" s="97"/>
      <c r="L362" s="97"/>
      <c r="M362" s="97"/>
      <c r="N362" s="97"/>
      <c r="O362" s="97"/>
      <c r="P362" s="97"/>
      <c r="Q362" s="97"/>
      <c r="R362" s="97"/>
      <c r="S362" s="97"/>
      <c r="T362" s="423">
        <v>359</v>
      </c>
      <c r="U362" s="424">
        <v>56691235748.742935</v>
      </c>
      <c r="V362" s="426"/>
      <c r="W362" s="97"/>
      <c r="X362" s="97"/>
      <c r="Y362" s="97"/>
      <c r="Z362" s="68"/>
      <c r="AA362" s="68"/>
      <c r="AB362" s="68"/>
      <c r="AC362" s="68"/>
      <c r="AD362" s="68"/>
    </row>
    <row r="363" spans="1:30" ht="17">
      <c r="A363" s="68"/>
      <c r="B363" s="68"/>
      <c r="C363" s="68"/>
      <c r="D363" s="415"/>
      <c r="E363" s="415"/>
      <c r="F363" s="415"/>
      <c r="G363" s="415"/>
      <c r="H363" s="415"/>
      <c r="I363" s="415"/>
      <c r="J363" s="415"/>
      <c r="K363" s="97"/>
      <c r="L363" s="97"/>
      <c r="M363" s="97"/>
      <c r="N363" s="97"/>
      <c r="O363" s="97"/>
      <c r="P363" s="97"/>
      <c r="Q363" s="97"/>
      <c r="R363" s="97"/>
      <c r="S363" s="97"/>
      <c r="T363" s="423">
        <v>360</v>
      </c>
      <c r="U363" s="424">
        <v>58761167256.789169</v>
      </c>
      <c r="V363" s="426"/>
      <c r="W363" s="97"/>
      <c r="X363" s="97"/>
      <c r="Y363" s="97"/>
      <c r="Z363" s="68"/>
      <c r="AA363" s="68"/>
      <c r="AB363" s="68"/>
      <c r="AC363" s="68"/>
      <c r="AD363" s="68"/>
    </row>
    <row r="364" spans="1:30" ht="17">
      <c r="A364" s="68"/>
      <c r="B364" s="68"/>
      <c r="C364" s="68"/>
      <c r="D364" s="415"/>
      <c r="E364" s="415"/>
      <c r="F364" s="415"/>
      <c r="G364" s="415"/>
      <c r="H364" s="415"/>
      <c r="I364" s="415"/>
      <c r="J364" s="415"/>
      <c r="K364" s="97"/>
      <c r="L364" s="97"/>
      <c r="M364" s="97"/>
      <c r="N364" s="97"/>
      <c r="O364" s="97"/>
      <c r="P364" s="97"/>
      <c r="Q364" s="97"/>
      <c r="R364" s="97"/>
      <c r="S364" s="97"/>
      <c r="T364" s="423">
        <v>361</v>
      </c>
      <c r="U364" s="424">
        <v>58859481292.279404</v>
      </c>
      <c r="V364" s="426"/>
      <c r="W364" s="97"/>
      <c r="X364" s="97"/>
      <c r="Y364" s="97"/>
      <c r="Z364" s="68"/>
      <c r="AA364" s="68"/>
      <c r="AB364" s="68"/>
      <c r="AC364" s="68"/>
      <c r="AD364" s="68"/>
    </row>
    <row r="365" spans="1:30" ht="17">
      <c r="A365" s="68"/>
      <c r="B365" s="68"/>
      <c r="C365" s="68"/>
      <c r="D365" s="415"/>
      <c r="E365" s="415"/>
      <c r="F365" s="415"/>
      <c r="G365" s="415"/>
      <c r="H365" s="415"/>
      <c r="I365" s="415"/>
      <c r="J365" s="415"/>
      <c r="K365" s="97"/>
      <c r="L365" s="97"/>
      <c r="M365" s="97"/>
      <c r="N365" s="97"/>
      <c r="O365" s="97"/>
      <c r="P365" s="97"/>
      <c r="Q365" s="97"/>
      <c r="R365" s="97"/>
      <c r="S365" s="97"/>
      <c r="T365" s="423">
        <v>362</v>
      </c>
      <c r="U365" s="424">
        <v>59626540053.536896</v>
      </c>
      <c r="V365" s="426"/>
      <c r="W365" s="97"/>
      <c r="X365" s="97"/>
      <c r="Y365" s="97"/>
      <c r="Z365" s="68"/>
      <c r="AA365" s="68"/>
      <c r="AB365" s="68"/>
      <c r="AC365" s="68"/>
      <c r="AD365" s="68"/>
    </row>
    <row r="366" spans="1:30" ht="17">
      <c r="A366" s="68"/>
      <c r="B366" s="68"/>
      <c r="C366" s="68"/>
      <c r="D366" s="415"/>
      <c r="E366" s="415"/>
      <c r="F366" s="415"/>
      <c r="G366" s="415"/>
      <c r="H366" s="415"/>
      <c r="I366" s="415"/>
      <c r="J366" s="415"/>
      <c r="K366" s="97"/>
      <c r="L366" s="97"/>
      <c r="M366" s="97"/>
      <c r="N366" s="97"/>
      <c r="O366" s="97"/>
      <c r="P366" s="97"/>
      <c r="Q366" s="97"/>
      <c r="R366" s="97"/>
      <c r="S366" s="97"/>
      <c r="T366" s="423">
        <v>363</v>
      </c>
      <c r="U366" s="424">
        <v>60508714695.77446</v>
      </c>
      <c r="V366" s="426"/>
      <c r="W366" s="97"/>
      <c r="X366" s="97"/>
      <c r="Y366" s="97"/>
      <c r="Z366" s="68"/>
      <c r="AA366" s="68"/>
      <c r="AB366" s="68"/>
      <c r="AC366" s="68"/>
      <c r="AD366" s="68"/>
    </row>
    <row r="367" spans="1:30" ht="17">
      <c r="A367" s="68"/>
      <c r="B367" s="68"/>
      <c r="C367" s="68"/>
      <c r="D367" s="415"/>
      <c r="E367" s="415"/>
      <c r="F367" s="415"/>
      <c r="G367" s="415"/>
      <c r="H367" s="415"/>
      <c r="I367" s="415"/>
      <c r="J367" s="415"/>
      <c r="K367" s="97"/>
      <c r="L367" s="97"/>
      <c r="M367" s="97"/>
      <c r="N367" s="97"/>
      <c r="O367" s="97"/>
      <c r="P367" s="97"/>
      <c r="Q367" s="97"/>
      <c r="R367" s="97"/>
      <c r="S367" s="97"/>
      <c r="T367" s="423">
        <v>364</v>
      </c>
      <c r="U367" s="424">
        <v>60449540008.226715</v>
      </c>
      <c r="V367" s="426"/>
      <c r="W367" s="97"/>
      <c r="X367" s="97"/>
      <c r="Y367" s="97"/>
      <c r="Z367" s="68"/>
      <c r="AA367" s="68"/>
      <c r="AB367" s="68"/>
      <c r="AC367" s="68"/>
      <c r="AD367" s="68"/>
    </row>
    <row r="368" spans="1:30" ht="17">
      <c r="A368" s="68"/>
      <c r="B368" s="68"/>
      <c r="C368" s="68"/>
      <c r="D368" s="415"/>
      <c r="E368" s="415"/>
      <c r="F368" s="415"/>
      <c r="G368" s="415"/>
      <c r="H368" s="415"/>
      <c r="I368" s="415"/>
      <c r="J368" s="415"/>
      <c r="K368" s="97"/>
      <c r="L368" s="97"/>
      <c r="M368" s="97"/>
      <c r="N368" s="97"/>
      <c r="O368" s="97"/>
      <c r="P368" s="97"/>
      <c r="Q368" s="97"/>
      <c r="R368" s="97"/>
      <c r="S368" s="97"/>
      <c r="T368" s="423">
        <v>365</v>
      </c>
      <c r="U368" s="424">
        <v>53712771386.815872</v>
      </c>
      <c r="V368" s="426"/>
      <c r="W368" s="97"/>
      <c r="X368" s="97"/>
      <c r="Y368" s="97"/>
      <c r="Z368" s="68"/>
      <c r="AA368" s="68"/>
      <c r="AB368" s="68"/>
      <c r="AC368" s="68"/>
      <c r="AD368" s="68"/>
    </row>
    <row r="369" spans="1:30" ht="17">
      <c r="A369" s="68"/>
      <c r="B369" s="68"/>
      <c r="C369" s="68"/>
      <c r="D369" s="415"/>
      <c r="E369" s="415"/>
      <c r="F369" s="415"/>
      <c r="G369" s="415"/>
      <c r="H369" s="415"/>
      <c r="I369" s="415"/>
      <c r="J369" s="415"/>
      <c r="K369" s="97"/>
      <c r="L369" s="97"/>
      <c r="M369" s="97"/>
      <c r="N369" s="97"/>
      <c r="O369" s="97"/>
      <c r="P369" s="97"/>
      <c r="Q369" s="97"/>
      <c r="R369" s="97"/>
      <c r="S369" s="97"/>
      <c r="T369" s="423">
        <v>366</v>
      </c>
      <c r="U369" s="424">
        <v>58782606149.81546</v>
      </c>
      <c r="V369" s="426"/>
      <c r="W369" s="97"/>
      <c r="X369" s="97"/>
      <c r="Y369" s="97"/>
      <c r="Z369" s="68"/>
      <c r="AA369" s="68"/>
      <c r="AB369" s="68"/>
      <c r="AC369" s="68"/>
      <c r="AD369" s="68"/>
    </row>
    <row r="370" spans="1:30" ht="17">
      <c r="A370" s="68"/>
      <c r="B370" s="68"/>
      <c r="C370" s="68"/>
      <c r="D370" s="415"/>
      <c r="E370" s="415"/>
      <c r="F370" s="415"/>
      <c r="G370" s="415"/>
      <c r="H370" s="415"/>
      <c r="I370" s="415"/>
      <c r="J370" s="415"/>
      <c r="K370" s="97"/>
      <c r="L370" s="97"/>
      <c r="M370" s="97"/>
      <c r="N370" s="97"/>
      <c r="O370" s="97"/>
      <c r="P370" s="97"/>
      <c r="Q370" s="97"/>
      <c r="R370" s="97"/>
      <c r="S370" s="97"/>
      <c r="T370" s="423">
        <v>367</v>
      </c>
      <c r="U370" s="424">
        <v>59041576245.287659</v>
      </c>
      <c r="V370" s="426"/>
      <c r="W370" s="97"/>
      <c r="X370" s="97"/>
      <c r="Y370" s="97"/>
      <c r="Z370" s="68"/>
      <c r="AA370" s="68"/>
      <c r="AB370" s="68"/>
      <c r="AC370" s="68"/>
      <c r="AD370" s="68"/>
    </row>
    <row r="371" spans="1:30" ht="17">
      <c r="A371" s="68"/>
      <c r="B371" s="68"/>
      <c r="C371" s="68"/>
      <c r="D371" s="415"/>
      <c r="E371" s="415"/>
      <c r="F371" s="415"/>
      <c r="G371" s="415"/>
      <c r="H371" s="415"/>
      <c r="I371" s="415"/>
      <c r="J371" s="415"/>
      <c r="K371" s="97"/>
      <c r="L371" s="97"/>
      <c r="M371" s="97"/>
      <c r="N371" s="97"/>
      <c r="O371" s="97"/>
      <c r="P371" s="97"/>
      <c r="Q371" s="97"/>
      <c r="R371" s="97"/>
      <c r="S371" s="97"/>
      <c r="T371" s="423">
        <v>368</v>
      </c>
      <c r="U371" s="424">
        <v>56606197100.995102</v>
      </c>
      <c r="V371" s="426"/>
      <c r="W371" s="97"/>
      <c r="X371" s="97"/>
      <c r="Y371" s="97"/>
      <c r="Z371" s="68"/>
      <c r="AA371" s="68"/>
      <c r="AB371" s="68"/>
      <c r="AC371" s="68"/>
      <c r="AD371" s="68"/>
    </row>
    <row r="372" spans="1:30" ht="17">
      <c r="A372" s="68"/>
      <c r="B372" s="68"/>
      <c r="C372" s="68"/>
      <c r="D372" s="415"/>
      <c r="E372" s="415"/>
      <c r="F372" s="415"/>
      <c r="G372" s="415"/>
      <c r="H372" s="415"/>
      <c r="I372" s="415"/>
      <c r="J372" s="415"/>
      <c r="K372" s="97"/>
      <c r="L372" s="97"/>
      <c r="M372" s="97"/>
      <c r="N372" s="97"/>
      <c r="O372" s="97"/>
      <c r="P372" s="97"/>
      <c r="Q372" s="97"/>
      <c r="R372" s="97"/>
      <c r="S372" s="97"/>
      <c r="T372" s="423">
        <v>369</v>
      </c>
      <c r="U372" s="424">
        <v>58377641732.33519</v>
      </c>
      <c r="V372" s="426"/>
      <c r="W372" s="97"/>
      <c r="X372" s="97"/>
      <c r="Y372" s="97"/>
      <c r="Z372" s="68"/>
      <c r="AA372" s="68"/>
      <c r="AB372" s="68"/>
      <c r="AC372" s="68"/>
      <c r="AD372" s="68"/>
    </row>
    <row r="373" spans="1:30" ht="17">
      <c r="A373" s="68"/>
      <c r="B373" s="68"/>
      <c r="C373" s="68"/>
      <c r="D373" s="415"/>
      <c r="E373" s="415"/>
      <c r="F373" s="415"/>
      <c r="G373" s="415"/>
      <c r="H373" s="415"/>
      <c r="I373" s="415"/>
      <c r="J373" s="415"/>
      <c r="K373" s="97"/>
      <c r="L373" s="97"/>
      <c r="M373" s="97"/>
      <c r="N373" s="97"/>
      <c r="O373" s="97"/>
      <c r="P373" s="97"/>
      <c r="Q373" s="97"/>
      <c r="R373" s="97"/>
      <c r="S373" s="97"/>
      <c r="T373" s="423">
        <v>370</v>
      </c>
      <c r="U373" s="424">
        <v>60153156090.163986</v>
      </c>
      <c r="V373" s="426"/>
      <c r="W373" s="97"/>
      <c r="X373" s="97"/>
      <c r="Y373" s="97"/>
      <c r="Z373" s="68"/>
      <c r="AA373" s="68"/>
      <c r="AB373" s="68"/>
      <c r="AC373" s="68"/>
      <c r="AD373" s="68"/>
    </row>
    <row r="374" spans="1:30" ht="17">
      <c r="A374" s="68"/>
      <c r="B374" s="68"/>
      <c r="C374" s="68"/>
      <c r="D374" s="415"/>
      <c r="E374" s="415"/>
      <c r="F374" s="415"/>
      <c r="G374" s="415"/>
      <c r="H374" s="415"/>
      <c r="I374" s="415"/>
      <c r="J374" s="415"/>
      <c r="K374" s="97"/>
      <c r="L374" s="97"/>
      <c r="M374" s="97"/>
      <c r="N374" s="97"/>
      <c r="O374" s="97"/>
      <c r="P374" s="97"/>
      <c r="Q374" s="97"/>
      <c r="R374" s="97"/>
      <c r="S374" s="97"/>
      <c r="T374" s="423">
        <v>371</v>
      </c>
      <c r="U374" s="424">
        <v>60586350484.470688</v>
      </c>
      <c r="V374" s="426"/>
      <c r="W374" s="97"/>
      <c r="X374" s="97"/>
      <c r="Y374" s="97"/>
      <c r="Z374" s="68"/>
      <c r="AA374" s="68"/>
      <c r="AB374" s="68"/>
      <c r="AC374" s="68"/>
      <c r="AD374" s="68"/>
    </row>
    <row r="375" spans="1:30" ht="17">
      <c r="A375" s="68"/>
      <c r="B375" s="68"/>
      <c r="C375" s="68"/>
      <c r="D375" s="415"/>
      <c r="E375" s="415"/>
      <c r="F375" s="415"/>
      <c r="G375" s="415"/>
      <c r="H375" s="415"/>
      <c r="I375" s="415"/>
      <c r="J375" s="415"/>
      <c r="K375" s="97"/>
      <c r="L375" s="97"/>
      <c r="M375" s="97"/>
      <c r="N375" s="97"/>
      <c r="O375" s="97"/>
      <c r="P375" s="97"/>
      <c r="Q375" s="97"/>
      <c r="R375" s="97"/>
      <c r="S375" s="97"/>
      <c r="T375" s="423">
        <v>372</v>
      </c>
      <c r="U375" s="424">
        <v>57780864783.610847</v>
      </c>
      <c r="V375" s="426"/>
      <c r="W375" s="97"/>
      <c r="X375" s="97"/>
      <c r="Y375" s="97"/>
      <c r="Z375" s="68"/>
      <c r="AA375" s="68"/>
      <c r="AB375" s="68"/>
      <c r="AC375" s="68"/>
      <c r="AD375" s="68"/>
    </row>
    <row r="376" spans="1:30" ht="17">
      <c r="A376" s="68"/>
      <c r="B376" s="68"/>
      <c r="C376" s="68"/>
      <c r="D376" s="415"/>
      <c r="E376" s="415"/>
      <c r="F376" s="415"/>
      <c r="G376" s="415"/>
      <c r="H376" s="415"/>
      <c r="I376" s="415"/>
      <c r="J376" s="415"/>
      <c r="K376" s="97"/>
      <c r="L376" s="97"/>
      <c r="M376" s="97"/>
      <c r="N376" s="97"/>
      <c r="O376" s="97"/>
      <c r="P376" s="97"/>
      <c r="Q376" s="97"/>
      <c r="R376" s="97"/>
      <c r="S376" s="97"/>
      <c r="T376" s="423">
        <v>373</v>
      </c>
      <c r="U376" s="424">
        <v>58134621808.936386</v>
      </c>
      <c r="V376" s="426"/>
      <c r="W376" s="97"/>
      <c r="X376" s="97"/>
      <c r="Y376" s="97"/>
      <c r="Z376" s="68"/>
      <c r="AA376" s="68"/>
      <c r="AB376" s="68"/>
      <c r="AC376" s="68"/>
      <c r="AD376" s="68"/>
    </row>
    <row r="377" spans="1:30" ht="17">
      <c r="A377" s="68"/>
      <c r="B377" s="68"/>
      <c r="C377" s="68"/>
      <c r="D377" s="415"/>
      <c r="E377" s="415"/>
      <c r="F377" s="415"/>
      <c r="G377" s="415"/>
      <c r="H377" s="415"/>
      <c r="I377" s="415"/>
      <c r="J377" s="415"/>
      <c r="K377" s="97"/>
      <c r="L377" s="97"/>
      <c r="M377" s="97"/>
      <c r="N377" s="97"/>
      <c r="O377" s="97"/>
      <c r="P377" s="97"/>
      <c r="Q377" s="97"/>
      <c r="R377" s="97"/>
      <c r="S377" s="97"/>
      <c r="T377" s="423">
        <v>374</v>
      </c>
      <c r="U377" s="424">
        <v>61622817813.01635</v>
      </c>
      <c r="V377" s="426"/>
      <c r="W377" s="97"/>
      <c r="X377" s="97"/>
      <c r="Y377" s="97"/>
      <c r="Z377" s="68"/>
      <c r="AA377" s="68"/>
      <c r="AB377" s="68"/>
      <c r="AC377" s="68"/>
      <c r="AD377" s="68"/>
    </row>
    <row r="378" spans="1:30" ht="17">
      <c r="A378" s="68"/>
      <c r="B378" s="68"/>
      <c r="C378" s="68"/>
      <c r="D378" s="415"/>
      <c r="E378" s="415"/>
      <c r="F378" s="415"/>
      <c r="G378" s="415"/>
      <c r="H378" s="415"/>
      <c r="I378" s="415"/>
      <c r="J378" s="415"/>
      <c r="K378" s="97"/>
      <c r="L378" s="97"/>
      <c r="M378" s="97"/>
      <c r="N378" s="97"/>
      <c r="O378" s="97"/>
      <c r="P378" s="97"/>
      <c r="Q378" s="97"/>
      <c r="R378" s="97"/>
      <c r="S378" s="97"/>
      <c r="T378" s="423">
        <v>375</v>
      </c>
      <c r="U378" s="424">
        <v>59681535554.613831</v>
      </c>
      <c r="V378" s="426"/>
      <c r="W378" s="97"/>
      <c r="X378" s="97"/>
      <c r="Y378" s="97"/>
      <c r="Z378" s="68"/>
      <c r="AA378" s="68"/>
      <c r="AB378" s="68"/>
      <c r="AC378" s="68"/>
      <c r="AD378" s="68"/>
    </row>
    <row r="379" spans="1:30" ht="17">
      <c r="A379" s="68"/>
      <c r="B379" s="68"/>
      <c r="C379" s="68"/>
      <c r="D379" s="415"/>
      <c r="E379" s="415"/>
      <c r="F379" s="415"/>
      <c r="G379" s="415"/>
      <c r="H379" s="415"/>
      <c r="I379" s="415"/>
      <c r="J379" s="415"/>
      <c r="K379" s="97"/>
      <c r="L379" s="97"/>
      <c r="M379" s="97"/>
      <c r="N379" s="97"/>
      <c r="O379" s="97"/>
      <c r="P379" s="97"/>
      <c r="Q379" s="97"/>
      <c r="R379" s="97"/>
      <c r="S379" s="97"/>
      <c r="T379" s="423">
        <v>376</v>
      </c>
      <c r="U379" s="424">
        <v>58131897301.053673</v>
      </c>
      <c r="V379" s="426"/>
      <c r="W379" s="97"/>
      <c r="X379" s="97"/>
      <c r="Y379" s="97"/>
      <c r="Z379" s="68"/>
      <c r="AA379" s="68"/>
      <c r="AB379" s="68"/>
      <c r="AC379" s="68"/>
      <c r="AD379" s="68"/>
    </row>
    <row r="380" spans="1:30" ht="17">
      <c r="A380" s="68"/>
      <c r="B380" s="68"/>
      <c r="C380" s="68"/>
      <c r="D380" s="415"/>
      <c r="E380" s="415"/>
      <c r="F380" s="415"/>
      <c r="G380" s="415"/>
      <c r="H380" s="415"/>
      <c r="I380" s="415"/>
      <c r="J380" s="415"/>
      <c r="K380" s="97"/>
      <c r="L380" s="97"/>
      <c r="M380" s="97"/>
      <c r="N380" s="97"/>
      <c r="O380" s="97"/>
      <c r="P380" s="97"/>
      <c r="Q380" s="97"/>
      <c r="R380" s="97"/>
      <c r="S380" s="97"/>
      <c r="T380" s="423">
        <v>377</v>
      </c>
      <c r="U380" s="424">
        <v>56989507124.044144</v>
      </c>
      <c r="V380" s="426"/>
      <c r="W380" s="97"/>
      <c r="X380" s="97"/>
      <c r="Y380" s="97"/>
      <c r="Z380" s="68"/>
      <c r="AA380" s="68"/>
      <c r="AB380" s="68"/>
      <c r="AC380" s="68"/>
      <c r="AD380" s="68"/>
    </row>
    <row r="381" spans="1:30" ht="17">
      <c r="A381" s="68"/>
      <c r="B381" s="68"/>
      <c r="C381" s="68"/>
      <c r="D381" s="415"/>
      <c r="E381" s="415"/>
      <c r="F381" s="415"/>
      <c r="G381" s="415"/>
      <c r="H381" s="415"/>
      <c r="I381" s="415"/>
      <c r="J381" s="415"/>
      <c r="K381" s="97"/>
      <c r="L381" s="97"/>
      <c r="M381" s="97"/>
      <c r="N381" s="97"/>
      <c r="O381" s="97"/>
      <c r="P381" s="97"/>
      <c r="Q381" s="97"/>
      <c r="R381" s="97"/>
      <c r="S381" s="97"/>
      <c r="T381" s="423">
        <v>378</v>
      </c>
      <c r="U381" s="424">
        <v>56037582320.170227</v>
      </c>
      <c r="V381" s="426"/>
      <c r="W381" s="97"/>
      <c r="X381" s="97"/>
      <c r="Y381" s="97"/>
      <c r="Z381" s="68"/>
      <c r="AA381" s="68"/>
      <c r="AB381" s="68"/>
      <c r="AC381" s="68"/>
      <c r="AD381" s="68"/>
    </row>
    <row r="382" spans="1:30" ht="17">
      <c r="A382" s="68"/>
      <c r="B382" s="68"/>
      <c r="C382" s="68"/>
      <c r="D382" s="415"/>
      <c r="E382" s="415"/>
      <c r="F382" s="415"/>
      <c r="G382" s="415"/>
      <c r="H382" s="415"/>
      <c r="I382" s="415"/>
      <c r="J382" s="415"/>
      <c r="K382" s="97"/>
      <c r="L382" s="97"/>
      <c r="M382" s="97"/>
      <c r="N382" s="97"/>
      <c r="O382" s="97"/>
      <c r="P382" s="97"/>
      <c r="Q382" s="97"/>
      <c r="R382" s="97"/>
      <c r="S382" s="97"/>
      <c r="T382" s="423">
        <v>379</v>
      </c>
      <c r="U382" s="424">
        <v>59894201506.986771</v>
      </c>
      <c r="V382" s="426"/>
      <c r="W382" s="97"/>
      <c r="X382" s="97"/>
      <c r="Y382" s="97"/>
      <c r="Z382" s="68"/>
      <c r="AA382" s="68"/>
      <c r="AB382" s="68"/>
      <c r="AC382" s="68"/>
      <c r="AD382" s="68"/>
    </row>
    <row r="383" spans="1:30" ht="17">
      <c r="A383" s="68"/>
      <c r="B383" s="68"/>
      <c r="C383" s="68"/>
      <c r="D383" s="415"/>
      <c r="E383" s="415"/>
      <c r="F383" s="415"/>
      <c r="G383" s="415"/>
      <c r="H383" s="415"/>
      <c r="I383" s="415"/>
      <c r="J383" s="415"/>
      <c r="K383" s="97"/>
      <c r="L383" s="97"/>
      <c r="M383" s="97"/>
      <c r="N383" s="97"/>
      <c r="O383" s="97"/>
      <c r="P383" s="97"/>
      <c r="Q383" s="97"/>
      <c r="R383" s="97"/>
      <c r="S383" s="97"/>
      <c r="T383" s="423">
        <v>380</v>
      </c>
      <c r="U383" s="424">
        <v>57321244425.447411</v>
      </c>
      <c r="V383" s="426"/>
      <c r="W383" s="97"/>
      <c r="X383" s="97"/>
      <c r="Y383" s="97"/>
      <c r="Z383" s="68"/>
      <c r="AA383" s="68"/>
      <c r="AB383" s="68"/>
      <c r="AC383" s="68"/>
      <c r="AD383" s="68"/>
    </row>
    <row r="384" spans="1:30" ht="17">
      <c r="A384" s="68"/>
      <c r="B384" s="68"/>
      <c r="C384" s="68"/>
      <c r="D384" s="415"/>
      <c r="E384" s="415"/>
      <c r="F384" s="415"/>
      <c r="G384" s="415"/>
      <c r="H384" s="415"/>
      <c r="I384" s="415"/>
      <c r="J384" s="415"/>
      <c r="K384" s="97"/>
      <c r="L384" s="97"/>
      <c r="M384" s="97"/>
      <c r="N384" s="97"/>
      <c r="O384" s="97"/>
      <c r="P384" s="97"/>
      <c r="Q384" s="97"/>
      <c r="R384" s="97"/>
      <c r="S384" s="97"/>
      <c r="T384" s="423">
        <v>381</v>
      </c>
      <c r="U384" s="424">
        <v>59074516161.985657</v>
      </c>
      <c r="V384" s="426"/>
      <c r="W384" s="97"/>
      <c r="X384" s="97"/>
      <c r="Y384" s="97"/>
      <c r="Z384" s="68"/>
      <c r="AA384" s="68"/>
      <c r="AB384" s="68"/>
      <c r="AC384" s="68"/>
      <c r="AD384" s="68"/>
    </row>
    <row r="385" spans="1:30" ht="17">
      <c r="A385" s="68"/>
      <c r="B385" s="68"/>
      <c r="C385" s="68"/>
      <c r="D385" s="415"/>
      <c r="E385" s="415"/>
      <c r="F385" s="415"/>
      <c r="G385" s="415"/>
      <c r="H385" s="415"/>
      <c r="I385" s="415"/>
      <c r="J385" s="415"/>
      <c r="K385" s="97"/>
      <c r="L385" s="97"/>
      <c r="M385" s="97"/>
      <c r="N385" s="97"/>
      <c r="O385" s="97"/>
      <c r="P385" s="97"/>
      <c r="Q385" s="97"/>
      <c r="R385" s="97"/>
      <c r="S385" s="97"/>
      <c r="T385" s="423">
        <v>382</v>
      </c>
      <c r="U385" s="424">
        <v>57607433811.964287</v>
      </c>
      <c r="V385" s="426"/>
      <c r="W385" s="97"/>
      <c r="X385" s="97"/>
      <c r="Y385" s="97"/>
      <c r="Z385" s="68"/>
      <c r="AA385" s="68"/>
      <c r="AB385" s="68"/>
      <c r="AC385" s="68"/>
      <c r="AD385" s="68"/>
    </row>
    <row r="386" spans="1:30" ht="17">
      <c r="A386" s="68"/>
      <c r="B386" s="68"/>
      <c r="C386" s="68"/>
      <c r="D386" s="415"/>
      <c r="E386" s="415"/>
      <c r="F386" s="415"/>
      <c r="G386" s="415"/>
      <c r="H386" s="415"/>
      <c r="I386" s="415"/>
      <c r="J386" s="415"/>
      <c r="K386" s="97"/>
      <c r="L386" s="97"/>
      <c r="M386" s="97"/>
      <c r="N386" s="97"/>
      <c r="O386" s="97"/>
      <c r="P386" s="97"/>
      <c r="Q386" s="97"/>
      <c r="R386" s="97"/>
      <c r="S386" s="97"/>
      <c r="T386" s="423">
        <v>383</v>
      </c>
      <c r="U386" s="424">
        <v>60981478087.461502</v>
      </c>
      <c r="V386" s="426"/>
      <c r="W386" s="97"/>
      <c r="X386" s="97"/>
      <c r="Y386" s="97"/>
      <c r="Z386" s="68"/>
      <c r="AA386" s="68"/>
      <c r="AB386" s="68"/>
      <c r="AC386" s="68"/>
      <c r="AD386" s="68"/>
    </row>
    <row r="387" spans="1:30" ht="17">
      <c r="A387" s="68"/>
      <c r="B387" s="68"/>
      <c r="C387" s="68"/>
      <c r="D387" s="415"/>
      <c r="E387" s="415"/>
      <c r="F387" s="415"/>
      <c r="G387" s="415"/>
      <c r="H387" s="415"/>
      <c r="I387" s="415"/>
      <c r="J387" s="415"/>
      <c r="K387" s="97"/>
      <c r="L387" s="97"/>
      <c r="M387" s="97"/>
      <c r="N387" s="97"/>
      <c r="O387" s="97"/>
      <c r="P387" s="97"/>
      <c r="Q387" s="97"/>
      <c r="R387" s="97"/>
      <c r="S387" s="97"/>
      <c r="T387" s="423">
        <v>384</v>
      </c>
      <c r="U387" s="424">
        <v>59133611060.88446</v>
      </c>
      <c r="V387" s="426"/>
      <c r="W387" s="97"/>
      <c r="X387" s="97"/>
      <c r="Y387" s="97"/>
      <c r="Z387" s="68"/>
      <c r="AA387" s="68"/>
      <c r="AB387" s="68"/>
      <c r="AC387" s="68"/>
      <c r="AD387" s="68"/>
    </row>
    <row r="388" spans="1:30" ht="17">
      <c r="A388" s="68"/>
      <c r="B388" s="68"/>
      <c r="C388" s="68"/>
      <c r="D388" s="415"/>
      <c r="E388" s="415"/>
      <c r="F388" s="415"/>
      <c r="G388" s="415"/>
      <c r="H388" s="415"/>
      <c r="I388" s="415"/>
      <c r="J388" s="415"/>
      <c r="K388" s="97"/>
      <c r="L388" s="97"/>
      <c r="M388" s="97"/>
      <c r="N388" s="97"/>
      <c r="O388" s="97"/>
      <c r="P388" s="97"/>
      <c r="Q388" s="97"/>
      <c r="R388" s="97"/>
      <c r="S388" s="97"/>
      <c r="T388" s="423">
        <v>385</v>
      </c>
      <c r="U388" s="424">
        <v>58500052411.472198</v>
      </c>
      <c r="V388" s="426"/>
      <c r="W388" s="97"/>
      <c r="X388" s="97"/>
      <c r="Y388" s="97"/>
      <c r="Z388" s="68"/>
      <c r="AA388" s="68"/>
      <c r="AB388" s="68"/>
      <c r="AC388" s="68"/>
      <c r="AD388" s="68"/>
    </row>
    <row r="389" spans="1:30" ht="17">
      <c r="A389" s="68"/>
      <c r="B389" s="68"/>
      <c r="C389" s="68"/>
      <c r="D389" s="415"/>
      <c r="E389" s="415"/>
      <c r="F389" s="415"/>
      <c r="G389" s="415"/>
      <c r="H389" s="415"/>
      <c r="I389" s="415"/>
      <c r="J389" s="415"/>
      <c r="K389" s="97"/>
      <c r="L389" s="97"/>
      <c r="M389" s="97"/>
      <c r="N389" s="97"/>
      <c r="O389" s="97"/>
      <c r="P389" s="97"/>
      <c r="Q389" s="97"/>
      <c r="R389" s="97"/>
      <c r="S389" s="97"/>
      <c r="T389" s="423">
        <v>386</v>
      </c>
      <c r="U389" s="424">
        <v>58248165962.110489</v>
      </c>
      <c r="V389" s="426"/>
      <c r="W389" s="97"/>
      <c r="X389" s="97"/>
      <c r="Y389" s="97"/>
      <c r="Z389" s="68"/>
      <c r="AA389" s="68"/>
      <c r="AB389" s="68"/>
      <c r="AC389" s="68"/>
      <c r="AD389" s="68"/>
    </row>
    <row r="390" spans="1:30" ht="17">
      <c r="A390" s="68"/>
      <c r="B390" s="68"/>
      <c r="C390" s="68"/>
      <c r="D390" s="415"/>
      <c r="E390" s="415"/>
      <c r="F390" s="415"/>
      <c r="G390" s="415"/>
      <c r="H390" s="415"/>
      <c r="I390" s="415"/>
      <c r="J390" s="415"/>
      <c r="K390" s="97"/>
      <c r="L390" s="97"/>
      <c r="M390" s="97"/>
      <c r="N390" s="97"/>
      <c r="O390" s="97"/>
      <c r="P390" s="97"/>
      <c r="Q390" s="97"/>
      <c r="R390" s="97"/>
      <c r="S390" s="97"/>
      <c r="T390" s="423">
        <v>387</v>
      </c>
      <c r="U390" s="424">
        <v>59284891698.241974</v>
      </c>
      <c r="V390" s="426"/>
      <c r="W390" s="97"/>
      <c r="X390" s="97"/>
      <c r="Y390" s="97"/>
      <c r="Z390" s="68"/>
      <c r="AA390" s="68"/>
      <c r="AB390" s="68"/>
      <c r="AC390" s="68"/>
      <c r="AD390" s="68"/>
    </row>
    <row r="391" spans="1:30" ht="17">
      <c r="A391" s="68"/>
      <c r="B391" s="68"/>
      <c r="C391" s="68"/>
      <c r="D391" s="415"/>
      <c r="E391" s="415"/>
      <c r="F391" s="415"/>
      <c r="G391" s="415"/>
      <c r="H391" s="415"/>
      <c r="I391" s="415"/>
      <c r="J391" s="415"/>
      <c r="K391" s="97"/>
      <c r="L391" s="97"/>
      <c r="M391" s="97"/>
      <c r="N391" s="97"/>
      <c r="O391" s="97"/>
      <c r="P391" s="97"/>
      <c r="Q391" s="97"/>
      <c r="R391" s="97"/>
      <c r="S391" s="97"/>
      <c r="T391" s="423">
        <v>388</v>
      </c>
      <c r="U391" s="424">
        <v>60733040065.486542</v>
      </c>
      <c r="V391" s="426"/>
      <c r="W391" s="97"/>
      <c r="X391" s="97"/>
      <c r="Y391" s="97"/>
      <c r="Z391" s="68"/>
      <c r="AA391" s="68"/>
      <c r="AB391" s="68"/>
      <c r="AC391" s="68"/>
      <c r="AD391" s="68"/>
    </row>
    <row r="392" spans="1:30" ht="17">
      <c r="A392" s="68"/>
      <c r="B392" s="68"/>
      <c r="C392" s="68"/>
      <c r="D392" s="415"/>
      <c r="E392" s="415"/>
      <c r="F392" s="415"/>
      <c r="G392" s="415"/>
      <c r="H392" s="415"/>
      <c r="I392" s="415"/>
      <c r="J392" s="415"/>
      <c r="K392" s="97"/>
      <c r="L392" s="97"/>
      <c r="M392" s="97"/>
      <c r="N392" s="97"/>
      <c r="O392" s="97"/>
      <c r="P392" s="97"/>
      <c r="Q392" s="97"/>
      <c r="R392" s="97"/>
      <c r="S392" s="97"/>
      <c r="T392" s="423">
        <v>389</v>
      </c>
      <c r="U392" s="424">
        <v>58353182504.174759</v>
      </c>
      <c r="V392" s="426"/>
      <c r="W392" s="97"/>
      <c r="X392" s="97"/>
      <c r="Y392" s="97"/>
      <c r="Z392" s="68"/>
      <c r="AA392" s="68"/>
      <c r="AB392" s="68"/>
      <c r="AC392" s="68"/>
      <c r="AD392" s="68"/>
    </row>
    <row r="393" spans="1:30" ht="17">
      <c r="A393" s="68"/>
      <c r="B393" s="68"/>
      <c r="C393" s="68"/>
      <c r="D393" s="415"/>
      <c r="E393" s="415"/>
      <c r="F393" s="415"/>
      <c r="G393" s="415"/>
      <c r="H393" s="415"/>
      <c r="I393" s="415"/>
      <c r="J393" s="415"/>
      <c r="K393" s="97"/>
      <c r="L393" s="97"/>
      <c r="M393" s="97"/>
      <c r="N393" s="97"/>
      <c r="O393" s="97"/>
      <c r="P393" s="97"/>
      <c r="Q393" s="97"/>
      <c r="R393" s="97"/>
      <c r="S393" s="97"/>
      <c r="T393" s="423">
        <v>390</v>
      </c>
      <c r="U393" s="424">
        <v>56539646192.957184</v>
      </c>
      <c r="V393" s="426"/>
      <c r="W393" s="97"/>
      <c r="X393" s="97"/>
      <c r="Y393" s="97"/>
      <c r="Z393" s="68"/>
      <c r="AA393" s="68"/>
      <c r="AB393" s="68"/>
      <c r="AC393" s="68"/>
      <c r="AD393" s="68"/>
    </row>
    <row r="394" spans="1:30" ht="17">
      <c r="A394" s="68"/>
      <c r="B394" s="68"/>
      <c r="C394" s="68"/>
      <c r="D394" s="415"/>
      <c r="E394" s="415"/>
      <c r="F394" s="415"/>
      <c r="G394" s="415"/>
      <c r="H394" s="415"/>
      <c r="I394" s="415"/>
      <c r="J394" s="415"/>
      <c r="K394" s="97"/>
      <c r="L394" s="97"/>
      <c r="M394" s="97"/>
      <c r="N394" s="97"/>
      <c r="O394" s="97"/>
      <c r="P394" s="97"/>
      <c r="Q394" s="97"/>
      <c r="R394" s="97"/>
      <c r="S394" s="97"/>
      <c r="T394" s="423">
        <v>391</v>
      </c>
      <c r="U394" s="424">
        <v>62476573239.748695</v>
      </c>
      <c r="V394" s="426"/>
      <c r="W394" s="97"/>
      <c r="X394" s="97"/>
      <c r="Y394" s="97"/>
      <c r="Z394" s="68"/>
      <c r="AA394" s="68"/>
      <c r="AB394" s="68"/>
      <c r="AC394" s="68"/>
      <c r="AD394" s="68"/>
    </row>
    <row r="395" spans="1:30" ht="17">
      <c r="A395" s="68"/>
      <c r="B395" s="68"/>
      <c r="C395" s="68"/>
      <c r="D395" s="415"/>
      <c r="E395" s="415"/>
      <c r="F395" s="415"/>
      <c r="G395" s="415"/>
      <c r="H395" s="415"/>
      <c r="I395" s="415"/>
      <c r="J395" s="415"/>
      <c r="K395" s="97"/>
      <c r="L395" s="97"/>
      <c r="M395" s="97"/>
      <c r="N395" s="97"/>
      <c r="O395" s="97"/>
      <c r="P395" s="97"/>
      <c r="Q395" s="97"/>
      <c r="R395" s="97"/>
      <c r="S395" s="97"/>
      <c r="T395" s="423">
        <v>392</v>
      </c>
      <c r="U395" s="424">
        <v>57475887740.350975</v>
      </c>
      <c r="V395" s="426"/>
      <c r="W395" s="97"/>
      <c r="X395" s="97"/>
      <c r="Y395" s="97"/>
      <c r="Z395" s="68"/>
      <c r="AA395" s="68"/>
      <c r="AB395" s="68"/>
      <c r="AC395" s="68"/>
      <c r="AD395" s="68"/>
    </row>
    <row r="396" spans="1:30" ht="17">
      <c r="A396" s="68"/>
      <c r="B396" s="68"/>
      <c r="C396" s="68"/>
      <c r="D396" s="415"/>
      <c r="E396" s="415"/>
      <c r="F396" s="415"/>
      <c r="G396" s="415"/>
      <c r="H396" s="415"/>
      <c r="I396" s="415"/>
      <c r="J396" s="415"/>
      <c r="K396" s="97"/>
      <c r="L396" s="97"/>
      <c r="M396" s="97"/>
      <c r="N396" s="97"/>
      <c r="O396" s="97"/>
      <c r="P396" s="97"/>
      <c r="Q396" s="97"/>
      <c r="R396" s="97"/>
      <c r="S396" s="97"/>
      <c r="T396" s="423">
        <v>393</v>
      </c>
      <c r="U396" s="424">
        <v>60912367286.573181</v>
      </c>
      <c r="V396" s="426"/>
      <c r="W396" s="97"/>
      <c r="X396" s="97"/>
      <c r="Y396" s="97"/>
      <c r="Z396" s="68"/>
      <c r="AA396" s="68"/>
      <c r="AB396" s="68"/>
      <c r="AC396" s="68"/>
      <c r="AD396" s="68"/>
    </row>
    <row r="397" spans="1:30" ht="17">
      <c r="A397" s="68"/>
      <c r="B397" s="68"/>
      <c r="C397" s="68"/>
      <c r="D397" s="415"/>
      <c r="E397" s="415"/>
      <c r="F397" s="415"/>
      <c r="G397" s="415"/>
      <c r="H397" s="415"/>
      <c r="I397" s="415"/>
      <c r="J397" s="415"/>
      <c r="K397" s="97"/>
      <c r="L397" s="97"/>
      <c r="M397" s="97"/>
      <c r="N397" s="97"/>
      <c r="O397" s="97"/>
      <c r="P397" s="97"/>
      <c r="Q397" s="97"/>
      <c r="R397" s="97"/>
      <c r="S397" s="97"/>
      <c r="T397" s="423">
        <v>394</v>
      </c>
      <c r="U397" s="424">
        <v>58276089703.016396</v>
      </c>
      <c r="V397" s="426"/>
      <c r="W397" s="97"/>
      <c r="X397" s="97"/>
      <c r="Y397" s="97"/>
      <c r="Z397" s="68"/>
      <c r="AA397" s="68"/>
      <c r="AB397" s="68"/>
      <c r="AC397" s="68"/>
      <c r="AD397" s="68"/>
    </row>
    <row r="398" spans="1:30" ht="17">
      <c r="A398" s="68"/>
      <c r="B398" s="68"/>
      <c r="C398" s="68"/>
      <c r="D398" s="415"/>
      <c r="E398" s="415"/>
      <c r="F398" s="415"/>
      <c r="G398" s="415"/>
      <c r="H398" s="415"/>
      <c r="I398" s="415"/>
      <c r="J398" s="415"/>
      <c r="K398" s="97"/>
      <c r="L398" s="97"/>
      <c r="M398" s="97"/>
      <c r="N398" s="97"/>
      <c r="O398" s="97"/>
      <c r="P398" s="97"/>
      <c r="Q398" s="97"/>
      <c r="R398" s="97"/>
      <c r="S398" s="97"/>
      <c r="T398" s="423">
        <v>395</v>
      </c>
      <c r="U398" s="424">
        <v>57098327797.176483</v>
      </c>
      <c r="V398" s="426"/>
      <c r="W398" s="97"/>
      <c r="X398" s="97"/>
      <c r="Y398" s="97"/>
      <c r="Z398" s="68"/>
      <c r="AA398" s="68"/>
      <c r="AB398" s="68"/>
      <c r="AC398" s="68"/>
      <c r="AD398" s="68"/>
    </row>
    <row r="399" spans="1:30" ht="17">
      <c r="A399" s="68"/>
      <c r="B399" s="68"/>
      <c r="C399" s="68"/>
      <c r="D399" s="415"/>
      <c r="E399" s="415"/>
      <c r="F399" s="415"/>
      <c r="G399" s="415"/>
      <c r="H399" s="415"/>
      <c r="I399" s="415"/>
      <c r="J399" s="415"/>
      <c r="K399" s="97"/>
      <c r="L399" s="97"/>
      <c r="M399" s="97"/>
      <c r="N399" s="97"/>
      <c r="O399" s="97"/>
      <c r="P399" s="97"/>
      <c r="Q399" s="97"/>
      <c r="R399" s="97"/>
      <c r="S399" s="97"/>
      <c r="T399" s="423">
        <v>396</v>
      </c>
      <c r="U399" s="424">
        <v>60686325373.08255</v>
      </c>
      <c r="V399" s="426"/>
      <c r="W399" s="97"/>
      <c r="X399" s="97"/>
      <c r="Y399" s="97"/>
      <c r="Z399" s="68"/>
      <c r="AA399" s="68"/>
      <c r="AB399" s="68"/>
      <c r="AC399" s="68"/>
      <c r="AD399" s="68"/>
    </row>
    <row r="400" spans="1:30" ht="17">
      <c r="A400" s="68"/>
      <c r="B400" s="68"/>
      <c r="C400" s="68"/>
      <c r="D400" s="415"/>
      <c r="E400" s="415"/>
      <c r="F400" s="415"/>
      <c r="G400" s="415"/>
      <c r="H400" s="415"/>
      <c r="I400" s="415"/>
      <c r="J400" s="415"/>
      <c r="K400" s="97"/>
      <c r="L400" s="97"/>
      <c r="M400" s="97"/>
      <c r="N400" s="97"/>
      <c r="O400" s="97"/>
      <c r="P400" s="97"/>
      <c r="Q400" s="97"/>
      <c r="R400" s="97"/>
      <c r="S400" s="97"/>
      <c r="T400" s="423">
        <v>397</v>
      </c>
      <c r="U400" s="424">
        <v>56318212432.164818</v>
      </c>
      <c r="V400" s="426"/>
      <c r="W400" s="97"/>
      <c r="X400" s="97"/>
      <c r="Y400" s="97"/>
      <c r="Z400" s="68"/>
      <c r="AA400" s="68"/>
      <c r="AB400" s="68"/>
      <c r="AC400" s="68"/>
      <c r="AD400" s="68"/>
    </row>
    <row r="401" spans="1:30" ht="17">
      <c r="A401" s="68"/>
      <c r="B401" s="68"/>
      <c r="C401" s="68"/>
      <c r="D401" s="415"/>
      <c r="E401" s="415"/>
      <c r="F401" s="415"/>
      <c r="G401" s="415"/>
      <c r="H401" s="415"/>
      <c r="I401" s="415"/>
      <c r="J401" s="415"/>
      <c r="K401" s="97"/>
      <c r="L401" s="97"/>
      <c r="M401" s="97"/>
      <c r="N401" s="97"/>
      <c r="O401" s="97"/>
      <c r="P401" s="97"/>
      <c r="Q401" s="97"/>
      <c r="R401" s="97"/>
      <c r="S401" s="97"/>
      <c r="T401" s="423">
        <v>398</v>
      </c>
      <c r="U401" s="424">
        <v>57704943223.912735</v>
      </c>
      <c r="V401" s="426"/>
      <c r="W401" s="97"/>
      <c r="X401" s="97"/>
      <c r="Y401" s="97"/>
      <c r="Z401" s="68"/>
      <c r="AA401" s="68"/>
      <c r="AB401" s="68"/>
      <c r="AC401" s="68"/>
      <c r="AD401" s="68"/>
    </row>
    <row r="402" spans="1:30" ht="17">
      <c r="A402" s="68"/>
      <c r="B402" s="68"/>
      <c r="C402" s="68"/>
      <c r="D402" s="415"/>
      <c r="E402" s="415"/>
      <c r="F402" s="415"/>
      <c r="G402" s="415"/>
      <c r="H402" s="415"/>
      <c r="I402" s="415"/>
      <c r="J402" s="415"/>
      <c r="K402" s="97"/>
      <c r="L402" s="97"/>
      <c r="M402" s="97"/>
      <c r="N402" s="97"/>
      <c r="O402" s="97"/>
      <c r="P402" s="97"/>
      <c r="Q402" s="97"/>
      <c r="R402" s="97"/>
      <c r="S402" s="97"/>
      <c r="T402" s="423">
        <v>399</v>
      </c>
      <c r="U402" s="424">
        <v>60994294192.007462</v>
      </c>
      <c r="V402" s="426"/>
      <c r="W402" s="97"/>
      <c r="X402" s="97"/>
      <c r="Y402" s="97"/>
      <c r="Z402" s="68"/>
      <c r="AA402" s="68"/>
      <c r="AB402" s="68"/>
      <c r="AC402" s="68"/>
      <c r="AD402" s="68"/>
    </row>
    <row r="403" spans="1:30" ht="17">
      <c r="A403" s="68"/>
      <c r="B403" s="68"/>
      <c r="C403" s="68"/>
      <c r="D403" s="415"/>
      <c r="E403" s="415"/>
      <c r="F403" s="415"/>
      <c r="G403" s="415"/>
      <c r="H403" s="415"/>
      <c r="I403" s="415"/>
      <c r="J403" s="415"/>
      <c r="K403" s="97"/>
      <c r="L403" s="97"/>
      <c r="M403" s="97"/>
      <c r="N403" s="97"/>
      <c r="O403" s="97"/>
      <c r="P403" s="97"/>
      <c r="Q403" s="97"/>
      <c r="R403" s="97"/>
      <c r="S403" s="97"/>
      <c r="T403" s="423">
        <v>400</v>
      </c>
      <c r="U403" s="424">
        <v>56897165611.731567</v>
      </c>
      <c r="V403" s="426"/>
      <c r="W403" s="97"/>
      <c r="X403" s="97"/>
      <c r="Y403" s="97"/>
      <c r="Z403" s="68"/>
      <c r="AA403" s="68"/>
      <c r="AB403" s="68"/>
      <c r="AC403" s="68"/>
      <c r="AD403" s="68"/>
    </row>
    <row r="404" spans="1:30" ht="17">
      <c r="A404" s="68"/>
      <c r="B404" s="68"/>
      <c r="C404" s="68"/>
      <c r="D404" s="415"/>
      <c r="E404" s="415"/>
      <c r="F404" s="415"/>
      <c r="G404" s="415"/>
      <c r="H404" s="415"/>
      <c r="I404" s="415"/>
      <c r="J404" s="415"/>
      <c r="K404" s="97"/>
      <c r="L404" s="97"/>
      <c r="M404" s="97"/>
      <c r="N404" s="97"/>
      <c r="O404" s="97"/>
      <c r="P404" s="97"/>
      <c r="Q404" s="97"/>
      <c r="R404" s="97"/>
      <c r="S404" s="97"/>
      <c r="T404" s="423">
        <v>401</v>
      </c>
      <c r="U404" s="424">
        <v>60377418465.992798</v>
      </c>
      <c r="V404" s="426"/>
      <c r="W404" s="97"/>
      <c r="X404" s="97"/>
      <c r="Y404" s="97"/>
      <c r="Z404" s="68"/>
      <c r="AA404" s="68"/>
      <c r="AB404" s="68"/>
      <c r="AC404" s="68"/>
      <c r="AD404" s="68"/>
    </row>
    <row r="405" spans="1:30" ht="17">
      <c r="A405" s="68"/>
      <c r="B405" s="68"/>
      <c r="C405" s="68"/>
      <c r="D405" s="415"/>
      <c r="E405" s="415"/>
      <c r="F405" s="415"/>
      <c r="G405" s="415"/>
      <c r="H405" s="415"/>
      <c r="I405" s="415"/>
      <c r="J405" s="415"/>
      <c r="K405" s="97"/>
      <c r="L405" s="97"/>
      <c r="M405" s="97"/>
      <c r="N405" s="97"/>
      <c r="O405" s="97"/>
      <c r="P405" s="97"/>
      <c r="Q405" s="97"/>
      <c r="R405" s="97"/>
      <c r="S405" s="97"/>
      <c r="T405" s="423">
        <v>402</v>
      </c>
      <c r="U405" s="424">
        <v>61369682495.548431</v>
      </c>
      <c r="V405" s="426"/>
      <c r="W405" s="97"/>
      <c r="X405" s="97"/>
      <c r="Y405" s="97"/>
      <c r="Z405" s="68"/>
      <c r="AA405" s="68"/>
      <c r="AB405" s="68"/>
      <c r="AC405" s="68"/>
      <c r="AD405" s="68"/>
    </row>
    <row r="406" spans="1:30" ht="17">
      <c r="A406" s="68"/>
      <c r="B406" s="68"/>
      <c r="C406" s="68"/>
      <c r="D406" s="415"/>
      <c r="E406" s="415"/>
      <c r="F406" s="415"/>
      <c r="G406" s="415"/>
      <c r="H406" s="415"/>
      <c r="I406" s="415"/>
      <c r="J406" s="415"/>
      <c r="K406" s="97"/>
      <c r="L406" s="97"/>
      <c r="M406" s="97"/>
      <c r="N406" s="97"/>
      <c r="O406" s="97"/>
      <c r="P406" s="97"/>
      <c r="Q406" s="97"/>
      <c r="R406" s="97"/>
      <c r="S406" s="97"/>
      <c r="T406" s="423">
        <v>403</v>
      </c>
      <c r="U406" s="424">
        <v>58114599889.216278</v>
      </c>
      <c r="V406" s="426"/>
      <c r="W406" s="97"/>
      <c r="X406" s="97"/>
      <c r="Y406" s="97"/>
      <c r="Z406" s="68"/>
      <c r="AA406" s="68"/>
      <c r="AB406" s="68"/>
      <c r="AC406" s="68"/>
      <c r="AD406" s="68"/>
    </row>
    <row r="407" spans="1:30" ht="17">
      <c r="A407" s="68"/>
      <c r="B407" s="68"/>
      <c r="C407" s="68"/>
      <c r="D407" s="415"/>
      <c r="E407" s="415"/>
      <c r="F407" s="415"/>
      <c r="G407" s="415"/>
      <c r="H407" s="415"/>
      <c r="I407" s="415"/>
      <c r="J407" s="415"/>
      <c r="K407" s="97"/>
      <c r="L407" s="97"/>
      <c r="M407" s="97"/>
      <c r="N407" s="97"/>
      <c r="O407" s="97"/>
      <c r="P407" s="97"/>
      <c r="Q407" s="97"/>
      <c r="R407" s="97"/>
      <c r="S407" s="97"/>
      <c r="T407" s="423">
        <v>404</v>
      </c>
      <c r="U407" s="424">
        <v>59513170158.366913</v>
      </c>
      <c r="V407" s="426"/>
      <c r="W407" s="97"/>
      <c r="X407" s="97"/>
      <c r="Y407" s="97"/>
      <c r="Z407" s="68"/>
      <c r="AA407" s="68"/>
      <c r="AB407" s="68"/>
      <c r="AC407" s="68"/>
      <c r="AD407" s="68"/>
    </row>
    <row r="408" spans="1:30" ht="17">
      <c r="A408" s="68"/>
      <c r="B408" s="68"/>
      <c r="C408" s="68"/>
      <c r="D408" s="415"/>
      <c r="E408" s="415"/>
      <c r="F408" s="415"/>
      <c r="G408" s="415"/>
      <c r="H408" s="415"/>
      <c r="I408" s="415"/>
      <c r="J408" s="415"/>
      <c r="K408" s="97"/>
      <c r="L408" s="97"/>
      <c r="M408" s="97"/>
      <c r="N408" s="97"/>
      <c r="O408" s="97"/>
      <c r="P408" s="97"/>
      <c r="Q408" s="97"/>
      <c r="R408" s="97"/>
      <c r="S408" s="97"/>
      <c r="T408" s="423">
        <v>405</v>
      </c>
      <c r="U408" s="424">
        <v>56359941496.24437</v>
      </c>
      <c r="V408" s="426"/>
      <c r="W408" s="97"/>
      <c r="X408" s="97"/>
      <c r="Y408" s="97"/>
      <c r="Z408" s="68"/>
      <c r="AA408" s="68"/>
      <c r="AB408" s="68"/>
      <c r="AC408" s="68"/>
      <c r="AD408" s="68"/>
    </row>
    <row r="409" spans="1:30" ht="17">
      <c r="A409" s="68"/>
      <c r="B409" s="68"/>
      <c r="C409" s="68"/>
      <c r="D409" s="415"/>
      <c r="E409" s="415"/>
      <c r="F409" s="415"/>
      <c r="G409" s="415"/>
      <c r="H409" s="415"/>
      <c r="I409" s="415"/>
      <c r="J409" s="415"/>
      <c r="K409" s="97"/>
      <c r="L409" s="97"/>
      <c r="M409" s="97"/>
      <c r="N409" s="97"/>
      <c r="O409" s="97"/>
      <c r="P409" s="97"/>
      <c r="Q409" s="97"/>
      <c r="R409" s="97"/>
      <c r="S409" s="97"/>
      <c r="T409" s="423">
        <v>406</v>
      </c>
      <c r="U409" s="424">
        <v>60740370924.136063</v>
      </c>
      <c r="V409" s="426"/>
      <c r="W409" s="97"/>
      <c r="X409" s="97"/>
      <c r="Y409" s="97"/>
      <c r="Z409" s="68"/>
      <c r="AA409" s="68"/>
      <c r="AB409" s="68"/>
      <c r="AC409" s="68"/>
      <c r="AD409" s="68"/>
    </row>
    <row r="410" spans="1:30" ht="17">
      <c r="A410" s="68"/>
      <c r="B410" s="68"/>
      <c r="C410" s="68"/>
      <c r="D410" s="415"/>
      <c r="E410" s="415"/>
      <c r="F410" s="415"/>
      <c r="G410" s="415"/>
      <c r="H410" s="415"/>
      <c r="I410" s="415"/>
      <c r="J410" s="415"/>
      <c r="K410" s="97"/>
      <c r="L410" s="97"/>
      <c r="M410" s="97"/>
      <c r="N410" s="97"/>
      <c r="O410" s="97"/>
      <c r="P410" s="97"/>
      <c r="Q410" s="97"/>
      <c r="R410" s="97"/>
      <c r="S410" s="97"/>
      <c r="T410" s="423">
        <v>407</v>
      </c>
      <c r="U410" s="424">
        <v>56907642047.065643</v>
      </c>
      <c r="V410" s="426"/>
      <c r="W410" s="97"/>
      <c r="X410" s="97"/>
      <c r="Y410" s="97"/>
      <c r="Z410" s="68"/>
      <c r="AA410" s="68"/>
      <c r="AB410" s="68"/>
      <c r="AC410" s="68"/>
      <c r="AD410" s="68"/>
    </row>
    <row r="411" spans="1:30" ht="17">
      <c r="A411" s="68"/>
      <c r="B411" s="68"/>
      <c r="C411" s="68"/>
      <c r="D411" s="415"/>
      <c r="E411" s="415"/>
      <c r="F411" s="415"/>
      <c r="G411" s="415"/>
      <c r="H411" s="415"/>
      <c r="I411" s="415"/>
      <c r="J411" s="415"/>
      <c r="K411" s="97"/>
      <c r="L411" s="97"/>
      <c r="M411" s="97"/>
      <c r="N411" s="97"/>
      <c r="O411" s="97"/>
      <c r="P411" s="97"/>
      <c r="Q411" s="97"/>
      <c r="R411" s="97"/>
      <c r="S411" s="97"/>
      <c r="T411" s="423">
        <v>408</v>
      </c>
      <c r="U411" s="424">
        <v>58253322156.114944</v>
      </c>
      <c r="V411" s="426"/>
      <c r="W411" s="97"/>
      <c r="X411" s="97"/>
      <c r="Y411" s="97"/>
      <c r="Z411" s="68"/>
      <c r="AA411" s="68"/>
      <c r="AB411" s="68"/>
      <c r="AC411" s="68"/>
      <c r="AD411" s="68"/>
    </row>
    <row r="412" spans="1:30" ht="17">
      <c r="A412" s="68"/>
      <c r="B412" s="68"/>
      <c r="C412" s="68"/>
      <c r="D412" s="415"/>
      <c r="E412" s="415"/>
      <c r="F412" s="415"/>
      <c r="G412" s="415"/>
      <c r="H412" s="415"/>
      <c r="I412" s="415"/>
      <c r="J412" s="415"/>
      <c r="K412" s="97"/>
      <c r="L412" s="97"/>
      <c r="M412" s="97"/>
      <c r="N412" s="97"/>
      <c r="O412" s="97"/>
      <c r="P412" s="97"/>
      <c r="Q412" s="97"/>
      <c r="R412" s="97"/>
      <c r="S412" s="97"/>
      <c r="T412" s="423">
        <v>409</v>
      </c>
      <c r="U412" s="424">
        <v>61090030098.389343</v>
      </c>
      <c r="V412" s="426"/>
      <c r="W412" s="97"/>
      <c r="X412" s="97"/>
      <c r="Y412" s="97"/>
      <c r="Z412" s="68"/>
      <c r="AA412" s="68"/>
      <c r="AB412" s="68"/>
      <c r="AC412" s="68"/>
      <c r="AD412" s="68"/>
    </row>
    <row r="413" spans="1:30" ht="17">
      <c r="A413" s="68"/>
      <c r="B413" s="68"/>
      <c r="C413" s="68"/>
      <c r="D413" s="415"/>
      <c r="E413" s="415"/>
      <c r="F413" s="415"/>
      <c r="G413" s="415"/>
      <c r="H413" s="415"/>
      <c r="I413" s="415"/>
      <c r="J413" s="415"/>
      <c r="K413" s="97"/>
      <c r="L413" s="97"/>
      <c r="M413" s="97"/>
      <c r="N413" s="97"/>
      <c r="O413" s="97"/>
      <c r="P413" s="97"/>
      <c r="Q413" s="97"/>
      <c r="R413" s="97"/>
      <c r="S413" s="97"/>
      <c r="T413" s="423">
        <v>410</v>
      </c>
      <c r="U413" s="424">
        <v>58947273435.515053</v>
      </c>
      <c r="V413" s="426"/>
      <c r="W413" s="97"/>
      <c r="X413" s="97"/>
      <c r="Y413" s="97"/>
      <c r="Z413" s="68"/>
      <c r="AA413" s="68"/>
      <c r="AB413" s="68"/>
      <c r="AC413" s="68"/>
      <c r="AD413" s="68"/>
    </row>
    <row r="414" spans="1:30" ht="17">
      <c r="A414" s="68"/>
      <c r="B414" s="68"/>
      <c r="C414" s="68"/>
      <c r="D414" s="415"/>
      <c r="E414" s="415"/>
      <c r="F414" s="415"/>
      <c r="G414" s="415"/>
      <c r="H414" s="415"/>
      <c r="I414" s="415"/>
      <c r="J414" s="415"/>
      <c r="K414" s="97"/>
      <c r="L414" s="97"/>
      <c r="M414" s="97"/>
      <c r="N414" s="97"/>
      <c r="O414" s="97"/>
      <c r="P414" s="97"/>
      <c r="Q414" s="97"/>
      <c r="R414" s="97"/>
      <c r="S414" s="97"/>
      <c r="T414" s="423">
        <v>411</v>
      </c>
      <c r="U414" s="424">
        <v>60321092910.882889</v>
      </c>
      <c r="V414" s="426"/>
      <c r="W414" s="97"/>
      <c r="X414" s="97"/>
      <c r="Y414" s="97"/>
      <c r="Z414" s="68"/>
      <c r="AA414" s="68"/>
      <c r="AB414" s="68"/>
      <c r="AC414" s="68"/>
      <c r="AD414" s="68"/>
    </row>
    <row r="415" spans="1:30" ht="17">
      <c r="A415" s="68"/>
      <c r="B415" s="68"/>
      <c r="C415" s="68"/>
      <c r="D415" s="415"/>
      <c r="E415" s="415"/>
      <c r="F415" s="415"/>
      <c r="G415" s="415"/>
      <c r="H415" s="415"/>
      <c r="I415" s="415"/>
      <c r="J415" s="415"/>
      <c r="K415" s="97"/>
      <c r="L415" s="97"/>
      <c r="M415" s="97"/>
      <c r="N415" s="97"/>
      <c r="O415" s="97"/>
      <c r="P415" s="97"/>
      <c r="Q415" s="97"/>
      <c r="R415" s="97"/>
      <c r="S415" s="97"/>
      <c r="T415" s="423">
        <v>412</v>
      </c>
      <c r="U415" s="424">
        <v>60852122916.685547</v>
      </c>
      <c r="V415" s="426"/>
      <c r="W415" s="97"/>
      <c r="X415" s="97"/>
      <c r="Y415" s="97"/>
      <c r="Z415" s="68"/>
      <c r="AA415" s="68"/>
      <c r="AB415" s="68"/>
      <c r="AC415" s="68"/>
      <c r="AD415" s="68"/>
    </row>
    <row r="416" spans="1:30" ht="17">
      <c r="A416" s="68"/>
      <c r="B416" s="68"/>
      <c r="C416" s="68"/>
      <c r="D416" s="415"/>
      <c r="E416" s="415"/>
      <c r="F416" s="415"/>
      <c r="G416" s="415"/>
      <c r="H416" s="415"/>
      <c r="I416" s="415"/>
      <c r="J416" s="415"/>
      <c r="K416" s="97"/>
      <c r="L416" s="97"/>
      <c r="M416" s="97"/>
      <c r="N416" s="97"/>
      <c r="O416" s="97"/>
      <c r="P416" s="97"/>
      <c r="Q416" s="97"/>
      <c r="R416" s="97"/>
      <c r="S416" s="97"/>
      <c r="T416" s="423">
        <v>413</v>
      </c>
      <c r="U416" s="424">
        <v>54140367127.907913</v>
      </c>
      <c r="V416" s="426"/>
      <c r="W416" s="97"/>
      <c r="X416" s="97"/>
      <c r="Y416" s="97"/>
      <c r="Z416" s="68"/>
      <c r="AA416" s="68"/>
      <c r="AB416" s="68"/>
      <c r="AC416" s="68"/>
      <c r="AD416" s="68"/>
    </row>
    <row r="417" spans="1:30" ht="17">
      <c r="A417" s="68"/>
      <c r="B417" s="68"/>
      <c r="C417" s="68"/>
      <c r="D417" s="415"/>
      <c r="E417" s="415"/>
      <c r="F417" s="415"/>
      <c r="G417" s="415"/>
      <c r="H417" s="415"/>
      <c r="I417" s="415"/>
      <c r="J417" s="415"/>
      <c r="K417" s="97"/>
      <c r="L417" s="97"/>
      <c r="M417" s="97"/>
      <c r="N417" s="97"/>
      <c r="O417" s="97"/>
      <c r="P417" s="97"/>
      <c r="Q417" s="97"/>
      <c r="R417" s="97"/>
      <c r="S417" s="97"/>
      <c r="T417" s="423">
        <v>414</v>
      </c>
      <c r="U417" s="424">
        <v>58064033939.92569</v>
      </c>
      <c r="V417" s="426"/>
      <c r="W417" s="97"/>
      <c r="X417" s="97"/>
      <c r="Y417" s="97"/>
      <c r="Z417" s="68"/>
      <c r="AA417" s="68"/>
      <c r="AB417" s="68"/>
      <c r="AC417" s="68"/>
      <c r="AD417" s="68"/>
    </row>
    <row r="418" spans="1:30" ht="17">
      <c r="A418" s="68"/>
      <c r="B418" s="68"/>
      <c r="C418" s="68"/>
      <c r="D418" s="415"/>
      <c r="E418" s="415"/>
      <c r="F418" s="415"/>
      <c r="G418" s="415"/>
      <c r="H418" s="415"/>
      <c r="I418" s="415"/>
      <c r="J418" s="415"/>
      <c r="K418" s="97"/>
      <c r="L418" s="97"/>
      <c r="M418" s="97"/>
      <c r="N418" s="97"/>
      <c r="O418" s="97"/>
      <c r="P418" s="97"/>
      <c r="Q418" s="97"/>
      <c r="R418" s="97"/>
      <c r="S418" s="97"/>
      <c r="T418" s="423">
        <v>415</v>
      </c>
      <c r="U418" s="424">
        <v>59226015762.023544</v>
      </c>
      <c r="V418" s="426"/>
      <c r="W418" s="97"/>
      <c r="X418" s="97"/>
      <c r="Y418" s="97"/>
      <c r="Z418" s="68"/>
      <c r="AA418" s="68"/>
      <c r="AB418" s="68"/>
      <c r="AC418" s="68"/>
      <c r="AD418" s="68"/>
    </row>
    <row r="419" spans="1:30" ht="17">
      <c r="A419" s="68"/>
      <c r="B419" s="68"/>
      <c r="C419" s="68"/>
      <c r="D419" s="415"/>
      <c r="E419" s="415"/>
      <c r="F419" s="415"/>
      <c r="G419" s="415"/>
      <c r="H419" s="415"/>
      <c r="I419" s="415"/>
      <c r="J419" s="415"/>
      <c r="K419" s="97"/>
      <c r="L419" s="97"/>
      <c r="M419" s="97"/>
      <c r="N419" s="97"/>
      <c r="O419" s="97"/>
      <c r="P419" s="97"/>
      <c r="Q419" s="97"/>
      <c r="R419" s="97"/>
      <c r="S419" s="97"/>
      <c r="T419" s="423">
        <v>416</v>
      </c>
      <c r="U419" s="424">
        <v>61658651483.465363</v>
      </c>
      <c r="V419" s="426"/>
      <c r="W419" s="97"/>
      <c r="X419" s="97"/>
      <c r="Y419" s="97"/>
      <c r="Z419" s="68"/>
      <c r="AA419" s="68"/>
      <c r="AB419" s="68"/>
      <c r="AC419" s="68"/>
      <c r="AD419" s="68"/>
    </row>
    <row r="420" spans="1:30" ht="17">
      <c r="A420" s="68"/>
      <c r="B420" s="68"/>
      <c r="C420" s="68"/>
      <c r="D420" s="415"/>
      <c r="E420" s="415"/>
      <c r="F420" s="415"/>
      <c r="G420" s="415"/>
      <c r="H420" s="415"/>
      <c r="I420" s="415"/>
      <c r="J420" s="415"/>
      <c r="K420" s="97"/>
      <c r="L420" s="97"/>
      <c r="M420" s="97"/>
      <c r="N420" s="97"/>
      <c r="O420" s="97"/>
      <c r="P420" s="97"/>
      <c r="Q420" s="97"/>
      <c r="R420" s="97"/>
      <c r="S420" s="97"/>
      <c r="T420" s="423">
        <v>417</v>
      </c>
      <c r="U420" s="424">
        <v>57266346013.072296</v>
      </c>
      <c r="V420" s="426"/>
      <c r="W420" s="97"/>
      <c r="X420" s="97"/>
      <c r="Y420" s="97"/>
      <c r="Z420" s="68"/>
      <c r="AA420" s="68"/>
      <c r="AB420" s="68"/>
      <c r="AC420" s="68"/>
      <c r="AD420" s="68"/>
    </row>
    <row r="421" spans="1:30" ht="17">
      <c r="A421" s="68"/>
      <c r="B421" s="68"/>
      <c r="C421" s="68"/>
      <c r="D421" s="415"/>
      <c r="E421" s="415"/>
      <c r="F421" s="415"/>
      <c r="G421" s="415"/>
      <c r="H421" s="415"/>
      <c r="I421" s="415"/>
      <c r="J421" s="415"/>
      <c r="K421" s="97"/>
      <c r="L421" s="97"/>
      <c r="M421" s="97"/>
      <c r="N421" s="97"/>
      <c r="O421" s="97"/>
      <c r="P421" s="97"/>
      <c r="Q421" s="97"/>
      <c r="R421" s="97"/>
      <c r="S421" s="97"/>
      <c r="T421" s="423">
        <v>418</v>
      </c>
      <c r="U421" s="424">
        <v>60913822453.008064</v>
      </c>
      <c r="V421" s="426"/>
      <c r="W421" s="97"/>
      <c r="X421" s="97"/>
      <c r="Y421" s="97"/>
      <c r="Z421" s="68"/>
      <c r="AA421" s="68"/>
      <c r="AB421" s="68"/>
      <c r="AC421" s="68"/>
      <c r="AD421" s="68"/>
    </row>
    <row r="422" spans="1:30" ht="17">
      <c r="A422" s="68"/>
      <c r="B422" s="68"/>
      <c r="C422" s="68"/>
      <c r="D422" s="415"/>
      <c r="E422" s="415"/>
      <c r="F422" s="415"/>
      <c r="G422" s="415"/>
      <c r="H422" s="415"/>
      <c r="I422" s="415"/>
      <c r="J422" s="415"/>
      <c r="K422" s="97"/>
      <c r="L422" s="97"/>
      <c r="M422" s="97"/>
      <c r="N422" s="97"/>
      <c r="O422" s="97"/>
      <c r="P422" s="97"/>
      <c r="Q422" s="97"/>
      <c r="R422" s="97"/>
      <c r="S422" s="97"/>
      <c r="T422" s="423">
        <v>419</v>
      </c>
      <c r="U422" s="424">
        <v>57961272574.071259</v>
      </c>
      <c r="V422" s="426"/>
      <c r="W422" s="97"/>
      <c r="X422" s="97"/>
      <c r="Y422" s="97"/>
      <c r="Z422" s="68"/>
      <c r="AA422" s="68"/>
      <c r="AB422" s="68"/>
      <c r="AC422" s="68"/>
      <c r="AD422" s="68"/>
    </row>
    <row r="423" spans="1:30" ht="17">
      <c r="A423" s="68"/>
      <c r="B423" s="68"/>
      <c r="C423" s="68"/>
      <c r="D423" s="415"/>
      <c r="E423" s="415"/>
      <c r="F423" s="415"/>
      <c r="G423" s="415"/>
      <c r="H423" s="415"/>
      <c r="I423" s="415"/>
      <c r="J423" s="415"/>
      <c r="K423" s="97"/>
      <c r="L423" s="97"/>
      <c r="M423" s="97"/>
      <c r="N423" s="97"/>
      <c r="O423" s="97"/>
      <c r="P423" s="97"/>
      <c r="Q423" s="97"/>
      <c r="R423" s="97"/>
      <c r="S423" s="97"/>
      <c r="T423" s="423">
        <v>420</v>
      </c>
      <c r="U423" s="424">
        <v>63275383402.97644</v>
      </c>
      <c r="V423" s="426"/>
      <c r="W423" s="97"/>
      <c r="X423" s="97"/>
      <c r="Y423" s="97"/>
      <c r="Z423" s="68"/>
      <c r="AA423" s="68"/>
      <c r="AB423" s="68"/>
      <c r="AC423" s="68"/>
      <c r="AD423" s="68"/>
    </row>
    <row r="424" spans="1:30" ht="17">
      <c r="A424" s="68"/>
      <c r="B424" s="68"/>
      <c r="C424" s="68"/>
      <c r="D424" s="415"/>
      <c r="E424" s="415"/>
      <c r="F424" s="415"/>
      <c r="G424" s="415"/>
      <c r="H424" s="415"/>
      <c r="I424" s="415"/>
      <c r="J424" s="415"/>
      <c r="K424" s="97"/>
      <c r="L424" s="97"/>
      <c r="M424" s="97"/>
      <c r="N424" s="97"/>
      <c r="O424" s="97"/>
      <c r="P424" s="97"/>
      <c r="Q424" s="97"/>
      <c r="R424" s="97"/>
      <c r="S424" s="97"/>
      <c r="T424" s="423">
        <v>421</v>
      </c>
      <c r="U424" s="424">
        <v>61140100796.111504</v>
      </c>
      <c r="V424" s="426"/>
      <c r="W424" s="97"/>
      <c r="X424" s="97"/>
      <c r="Y424" s="97"/>
      <c r="Z424" s="68"/>
      <c r="AA424" s="68"/>
      <c r="AB424" s="68"/>
      <c r="AC424" s="68"/>
      <c r="AD424" s="68"/>
    </row>
    <row r="425" spans="1:30" ht="17">
      <c r="A425" s="68"/>
      <c r="B425" s="68"/>
      <c r="C425" s="68"/>
      <c r="D425" s="415"/>
      <c r="E425" s="415"/>
      <c r="F425" s="415"/>
      <c r="G425" s="415"/>
      <c r="H425" s="415"/>
      <c r="I425" s="415"/>
      <c r="J425" s="415"/>
      <c r="K425" s="97"/>
      <c r="L425" s="97"/>
      <c r="M425" s="97"/>
      <c r="N425" s="97"/>
      <c r="O425" s="97"/>
      <c r="P425" s="97"/>
      <c r="Q425" s="97"/>
      <c r="R425" s="97"/>
      <c r="S425" s="97"/>
      <c r="T425" s="423">
        <v>422</v>
      </c>
      <c r="U425" s="424">
        <v>56122141320.856018</v>
      </c>
      <c r="V425" s="426"/>
      <c r="W425" s="97"/>
      <c r="X425" s="97"/>
      <c r="Y425" s="97"/>
      <c r="Z425" s="68"/>
      <c r="AA425" s="68"/>
      <c r="AB425" s="68"/>
      <c r="AC425" s="68"/>
      <c r="AD425" s="68"/>
    </row>
    <row r="426" spans="1:30" ht="17">
      <c r="A426" s="68"/>
      <c r="B426" s="68"/>
      <c r="C426" s="68"/>
      <c r="D426" s="415"/>
      <c r="E426" s="415"/>
      <c r="F426" s="415"/>
      <c r="G426" s="415"/>
      <c r="H426" s="415"/>
      <c r="I426" s="415"/>
      <c r="J426" s="415"/>
      <c r="K426" s="97"/>
      <c r="L426" s="97"/>
      <c r="M426" s="97"/>
      <c r="N426" s="97"/>
      <c r="O426" s="97"/>
      <c r="P426" s="97"/>
      <c r="Q426" s="97"/>
      <c r="R426" s="97"/>
      <c r="S426" s="97"/>
      <c r="T426" s="423">
        <v>423</v>
      </c>
      <c r="U426" s="424">
        <v>59064780822.104004</v>
      </c>
      <c r="V426" s="426"/>
      <c r="W426" s="97"/>
      <c r="X426" s="97"/>
      <c r="Y426" s="97"/>
      <c r="Z426" s="68"/>
      <c r="AA426" s="68"/>
      <c r="AB426" s="68"/>
      <c r="AC426" s="68"/>
      <c r="AD426" s="68"/>
    </row>
    <row r="427" spans="1:30" ht="17">
      <c r="A427" s="68"/>
      <c r="B427" s="68"/>
      <c r="C427" s="68"/>
      <c r="D427" s="415"/>
      <c r="E427" s="415"/>
      <c r="F427" s="415"/>
      <c r="G427" s="415"/>
      <c r="H427" s="415"/>
      <c r="I427" s="415"/>
      <c r="J427" s="415"/>
      <c r="K427" s="97"/>
      <c r="L427" s="97"/>
      <c r="M427" s="97"/>
      <c r="N427" s="97"/>
      <c r="O427" s="97"/>
      <c r="P427" s="97"/>
      <c r="Q427" s="97"/>
      <c r="R427" s="97"/>
      <c r="S427" s="97"/>
      <c r="T427" s="423">
        <v>424</v>
      </c>
      <c r="U427" s="424">
        <v>56627892135.837852</v>
      </c>
      <c r="V427" s="426"/>
      <c r="W427" s="97"/>
      <c r="X427" s="97"/>
      <c r="Y427" s="97"/>
      <c r="Z427" s="68"/>
      <c r="AA427" s="68"/>
      <c r="AB427" s="68"/>
      <c r="AC427" s="68"/>
      <c r="AD427" s="68"/>
    </row>
    <row r="428" spans="1:30" ht="17">
      <c r="A428" s="68"/>
      <c r="B428" s="68"/>
      <c r="C428" s="68"/>
      <c r="D428" s="415"/>
      <c r="E428" s="415"/>
      <c r="F428" s="415"/>
      <c r="G428" s="415"/>
      <c r="H428" s="415"/>
      <c r="I428" s="415"/>
      <c r="J428" s="415"/>
      <c r="K428" s="97"/>
      <c r="L428" s="97"/>
      <c r="M428" s="97"/>
      <c r="N428" s="97"/>
      <c r="O428" s="97"/>
      <c r="P428" s="97"/>
      <c r="Q428" s="97"/>
      <c r="R428" s="97"/>
      <c r="S428" s="97"/>
      <c r="T428" s="423">
        <v>425</v>
      </c>
      <c r="U428" s="424">
        <v>58470254266.907471</v>
      </c>
      <c r="V428" s="426"/>
      <c r="W428" s="97"/>
      <c r="X428" s="97"/>
      <c r="Y428" s="97"/>
      <c r="Z428" s="68"/>
      <c r="AA428" s="68"/>
      <c r="AB428" s="68"/>
      <c r="AC428" s="68"/>
      <c r="AD428" s="68"/>
    </row>
    <row r="429" spans="1:30" ht="17">
      <c r="A429" s="68"/>
      <c r="B429" s="68"/>
      <c r="C429" s="68"/>
      <c r="D429" s="415"/>
      <c r="E429" s="415"/>
      <c r="F429" s="415"/>
      <c r="G429" s="415"/>
      <c r="H429" s="415"/>
      <c r="I429" s="415"/>
      <c r="J429" s="415"/>
      <c r="K429" s="97"/>
      <c r="L429" s="97"/>
      <c r="M429" s="97"/>
      <c r="N429" s="97"/>
      <c r="O429" s="97"/>
      <c r="P429" s="97"/>
      <c r="Q429" s="97"/>
      <c r="R429" s="97"/>
      <c r="S429" s="97"/>
      <c r="T429" s="423">
        <v>426</v>
      </c>
      <c r="U429" s="424">
        <v>58060833944.766083</v>
      </c>
      <c r="V429" s="426"/>
      <c r="W429" s="97"/>
      <c r="X429" s="97"/>
      <c r="Y429" s="97"/>
      <c r="Z429" s="68"/>
      <c r="AA429" s="68"/>
      <c r="AB429" s="68"/>
      <c r="AC429" s="68"/>
      <c r="AD429" s="68"/>
    </row>
    <row r="430" spans="1:30" ht="17">
      <c r="A430" s="68"/>
      <c r="B430" s="68"/>
      <c r="C430" s="68"/>
      <c r="D430" s="415"/>
      <c r="E430" s="415"/>
      <c r="F430" s="415"/>
      <c r="G430" s="415"/>
      <c r="H430" s="415"/>
      <c r="I430" s="415"/>
      <c r="J430" s="415"/>
      <c r="K430" s="97"/>
      <c r="L430" s="97"/>
      <c r="M430" s="97"/>
      <c r="N430" s="97"/>
      <c r="O430" s="97"/>
      <c r="P430" s="97"/>
      <c r="Q430" s="97"/>
      <c r="R430" s="97"/>
      <c r="S430" s="97"/>
      <c r="T430" s="423">
        <v>427</v>
      </c>
      <c r="U430" s="424">
        <v>60127018392.481606</v>
      </c>
      <c r="V430" s="426"/>
      <c r="W430" s="97"/>
      <c r="X430" s="97"/>
      <c r="Y430" s="97"/>
      <c r="Z430" s="68"/>
      <c r="AA430" s="68"/>
      <c r="AB430" s="68"/>
      <c r="AC430" s="68"/>
      <c r="AD430" s="68"/>
    </row>
    <row r="431" spans="1:30" ht="17">
      <c r="A431" s="68"/>
      <c r="B431" s="68"/>
      <c r="C431" s="68"/>
      <c r="D431" s="415"/>
      <c r="E431" s="415"/>
      <c r="F431" s="415"/>
      <c r="G431" s="415"/>
      <c r="H431" s="415"/>
      <c r="I431" s="415"/>
      <c r="J431" s="415"/>
      <c r="K431" s="97"/>
      <c r="L431" s="97"/>
      <c r="M431" s="97"/>
      <c r="N431" s="97"/>
      <c r="O431" s="97"/>
      <c r="P431" s="97"/>
      <c r="Q431" s="97"/>
      <c r="R431" s="97"/>
      <c r="S431" s="97"/>
      <c r="T431" s="423">
        <v>428</v>
      </c>
      <c r="U431" s="424">
        <v>55173338231.500305</v>
      </c>
      <c r="V431" s="426"/>
      <c r="W431" s="97"/>
      <c r="X431" s="97"/>
      <c r="Y431" s="97"/>
      <c r="Z431" s="68"/>
      <c r="AA431" s="68"/>
      <c r="AB431" s="68"/>
      <c r="AC431" s="68"/>
      <c r="AD431" s="68"/>
    </row>
    <row r="432" spans="1:30" ht="17">
      <c r="A432" s="68"/>
      <c r="B432" s="68"/>
      <c r="C432" s="68"/>
      <c r="D432" s="415"/>
      <c r="E432" s="415"/>
      <c r="F432" s="415"/>
      <c r="G432" s="415"/>
      <c r="H432" s="415"/>
      <c r="I432" s="415"/>
      <c r="J432" s="415"/>
      <c r="K432" s="97"/>
      <c r="L432" s="97"/>
      <c r="M432" s="97"/>
      <c r="N432" s="97"/>
      <c r="O432" s="97"/>
      <c r="P432" s="97"/>
      <c r="Q432" s="97"/>
      <c r="R432" s="97"/>
      <c r="S432" s="97"/>
      <c r="T432" s="423">
        <v>429</v>
      </c>
      <c r="U432" s="424">
        <v>59164165911.051048</v>
      </c>
      <c r="V432" s="426"/>
      <c r="W432" s="97"/>
      <c r="X432" s="97"/>
      <c r="Y432" s="97"/>
      <c r="Z432" s="68"/>
      <c r="AA432" s="68"/>
      <c r="AB432" s="68"/>
      <c r="AC432" s="68"/>
      <c r="AD432" s="68"/>
    </row>
    <row r="433" spans="1:30" ht="17">
      <c r="A433" s="68"/>
      <c r="B433" s="68"/>
      <c r="C433" s="68"/>
      <c r="D433" s="415"/>
      <c r="E433" s="415"/>
      <c r="F433" s="415"/>
      <c r="G433" s="415"/>
      <c r="H433" s="415"/>
      <c r="I433" s="415"/>
      <c r="J433" s="415"/>
      <c r="K433" s="97"/>
      <c r="L433" s="97"/>
      <c r="M433" s="97"/>
      <c r="N433" s="97"/>
      <c r="O433" s="97"/>
      <c r="P433" s="97"/>
      <c r="Q433" s="97"/>
      <c r="R433" s="97"/>
      <c r="S433" s="97"/>
      <c r="T433" s="423">
        <v>430</v>
      </c>
      <c r="U433" s="424">
        <v>58281695656.718071</v>
      </c>
      <c r="V433" s="426"/>
      <c r="W433" s="97"/>
      <c r="X433" s="97"/>
      <c r="Y433" s="97"/>
      <c r="Z433" s="68"/>
      <c r="AA433" s="68"/>
      <c r="AB433" s="68"/>
      <c r="AC433" s="68"/>
      <c r="AD433" s="68"/>
    </row>
    <row r="434" spans="1:30" ht="17">
      <c r="A434" s="68"/>
      <c r="B434" s="68"/>
      <c r="C434" s="68"/>
      <c r="D434" s="415"/>
      <c r="E434" s="415"/>
      <c r="F434" s="415"/>
      <c r="G434" s="415"/>
      <c r="H434" s="415"/>
      <c r="I434" s="415"/>
      <c r="J434" s="415"/>
      <c r="K434" s="97"/>
      <c r="L434" s="97"/>
      <c r="M434" s="97"/>
      <c r="N434" s="97"/>
      <c r="O434" s="97"/>
      <c r="P434" s="97"/>
      <c r="Q434" s="97"/>
      <c r="R434" s="97"/>
      <c r="S434" s="97"/>
      <c r="T434" s="423">
        <v>431</v>
      </c>
      <c r="U434" s="424">
        <v>58983848984.108162</v>
      </c>
      <c r="V434" s="426"/>
      <c r="W434" s="97"/>
      <c r="X434" s="97"/>
      <c r="Y434" s="97"/>
      <c r="Z434" s="68"/>
      <c r="AA434" s="68"/>
      <c r="AB434" s="68"/>
      <c r="AC434" s="68"/>
      <c r="AD434" s="68"/>
    </row>
    <row r="435" spans="1:30" ht="17">
      <c r="A435" s="68"/>
      <c r="B435" s="68"/>
      <c r="C435" s="68"/>
      <c r="D435" s="415"/>
      <c r="E435" s="415"/>
      <c r="F435" s="415"/>
      <c r="G435" s="415"/>
      <c r="H435" s="415"/>
      <c r="I435" s="415"/>
      <c r="J435" s="415"/>
      <c r="K435" s="97"/>
      <c r="L435" s="97"/>
      <c r="M435" s="97"/>
      <c r="N435" s="97"/>
      <c r="O435" s="97"/>
      <c r="P435" s="97"/>
      <c r="Q435" s="97"/>
      <c r="R435" s="97"/>
      <c r="S435" s="97"/>
      <c r="T435" s="423">
        <v>432</v>
      </c>
      <c r="U435" s="424">
        <v>58791885624.875206</v>
      </c>
      <c r="V435" s="426"/>
      <c r="W435" s="97"/>
      <c r="X435" s="97"/>
      <c r="Y435" s="97"/>
      <c r="Z435" s="68"/>
      <c r="AA435" s="68"/>
      <c r="AB435" s="68"/>
      <c r="AC435" s="68"/>
      <c r="AD435" s="68"/>
    </row>
    <row r="436" spans="1:30" ht="17">
      <c r="A436" s="68"/>
      <c r="B436" s="68"/>
      <c r="C436" s="68"/>
      <c r="D436" s="415"/>
      <c r="E436" s="415"/>
      <c r="F436" s="415"/>
      <c r="G436" s="415"/>
      <c r="H436" s="415"/>
      <c r="I436" s="415"/>
      <c r="J436" s="415"/>
      <c r="K436" s="97"/>
      <c r="L436" s="97"/>
      <c r="M436" s="97"/>
      <c r="N436" s="97"/>
      <c r="O436" s="97"/>
      <c r="P436" s="97"/>
      <c r="Q436" s="97"/>
      <c r="R436" s="97"/>
      <c r="S436" s="97"/>
      <c r="T436" s="423">
        <v>433</v>
      </c>
      <c r="U436" s="424">
        <v>62993098262.45285</v>
      </c>
      <c r="V436" s="426"/>
      <c r="W436" s="97"/>
      <c r="X436" s="97"/>
      <c r="Y436" s="97"/>
      <c r="Z436" s="68"/>
      <c r="AA436" s="68"/>
      <c r="AB436" s="68"/>
      <c r="AC436" s="68"/>
      <c r="AD436" s="68"/>
    </row>
    <row r="437" spans="1:30" ht="17">
      <c r="A437" s="68"/>
      <c r="B437" s="68"/>
      <c r="C437" s="68"/>
      <c r="D437" s="415"/>
      <c r="E437" s="415"/>
      <c r="F437" s="415"/>
      <c r="G437" s="415"/>
      <c r="H437" s="415"/>
      <c r="I437" s="415"/>
      <c r="J437" s="415"/>
      <c r="K437" s="97"/>
      <c r="L437" s="97"/>
      <c r="M437" s="97"/>
      <c r="N437" s="97"/>
      <c r="O437" s="97"/>
      <c r="P437" s="97"/>
      <c r="Q437" s="97"/>
      <c r="R437" s="97"/>
      <c r="S437" s="97"/>
      <c r="T437" s="423">
        <v>434</v>
      </c>
      <c r="U437" s="424">
        <v>56930166755.000397</v>
      </c>
      <c r="V437" s="426"/>
      <c r="W437" s="97"/>
      <c r="X437" s="97"/>
      <c r="Y437" s="97"/>
      <c r="Z437" s="68"/>
      <c r="AA437" s="68"/>
      <c r="AB437" s="68"/>
      <c r="AC437" s="68"/>
      <c r="AD437" s="68"/>
    </row>
    <row r="438" spans="1:30" ht="17">
      <c r="A438" s="68"/>
      <c r="B438" s="68"/>
      <c r="C438" s="68"/>
      <c r="D438" s="415"/>
      <c r="E438" s="415"/>
      <c r="F438" s="415"/>
      <c r="G438" s="415"/>
      <c r="H438" s="415"/>
      <c r="I438" s="415"/>
      <c r="J438" s="415"/>
      <c r="K438" s="97"/>
      <c r="L438" s="97"/>
      <c r="M438" s="97"/>
      <c r="N438" s="97"/>
      <c r="O438" s="97"/>
      <c r="P438" s="97"/>
      <c r="Q438" s="97"/>
      <c r="R438" s="97"/>
      <c r="S438" s="97"/>
      <c r="T438" s="423">
        <v>435</v>
      </c>
      <c r="U438" s="424">
        <v>61598226522.933838</v>
      </c>
      <c r="V438" s="426"/>
      <c r="W438" s="97"/>
      <c r="X438" s="97"/>
      <c r="Y438" s="97"/>
      <c r="Z438" s="68"/>
      <c r="AA438" s="68"/>
      <c r="AB438" s="68"/>
      <c r="AC438" s="68"/>
      <c r="AD438" s="68"/>
    </row>
    <row r="439" spans="1:30" ht="17">
      <c r="A439" s="68"/>
      <c r="B439" s="68"/>
      <c r="C439" s="68"/>
      <c r="D439" s="415"/>
      <c r="E439" s="415"/>
      <c r="F439" s="415"/>
      <c r="G439" s="415"/>
      <c r="H439" s="415"/>
      <c r="I439" s="415"/>
      <c r="J439" s="415"/>
      <c r="K439" s="97"/>
      <c r="L439" s="97"/>
      <c r="M439" s="97"/>
      <c r="N439" s="97"/>
      <c r="O439" s="97"/>
      <c r="P439" s="97"/>
      <c r="Q439" s="97"/>
      <c r="R439" s="97"/>
      <c r="S439" s="97"/>
      <c r="T439" s="423">
        <v>436</v>
      </c>
      <c r="U439" s="424">
        <v>60690423466.773254</v>
      </c>
      <c r="V439" s="426"/>
      <c r="W439" s="97"/>
      <c r="X439" s="97"/>
      <c r="Y439" s="97"/>
      <c r="Z439" s="68"/>
      <c r="AA439" s="68"/>
      <c r="AB439" s="68"/>
      <c r="AC439" s="68"/>
      <c r="AD439" s="68"/>
    </row>
    <row r="440" spans="1:30" ht="17">
      <c r="A440" s="68"/>
      <c r="B440" s="68"/>
      <c r="C440" s="68"/>
      <c r="D440" s="415"/>
      <c r="E440" s="415"/>
      <c r="F440" s="415"/>
      <c r="G440" s="415"/>
      <c r="H440" s="415"/>
      <c r="I440" s="415"/>
      <c r="J440" s="415"/>
      <c r="K440" s="97"/>
      <c r="L440" s="97"/>
      <c r="M440" s="97"/>
      <c r="N440" s="97"/>
      <c r="O440" s="97"/>
      <c r="P440" s="97"/>
      <c r="Q440" s="97"/>
      <c r="R440" s="97"/>
      <c r="S440" s="97"/>
      <c r="T440" s="423">
        <v>437</v>
      </c>
      <c r="U440" s="424">
        <v>60491783462.76297</v>
      </c>
      <c r="V440" s="426"/>
      <c r="W440" s="97"/>
      <c r="X440" s="97"/>
      <c r="Y440" s="97"/>
      <c r="Z440" s="68"/>
      <c r="AA440" s="68"/>
      <c r="AB440" s="68"/>
      <c r="AC440" s="68"/>
      <c r="AD440" s="68"/>
    </row>
    <row r="441" spans="1:30" ht="17">
      <c r="A441" s="68"/>
      <c r="B441" s="68"/>
      <c r="C441" s="68"/>
      <c r="D441" s="415"/>
      <c r="E441" s="415"/>
      <c r="F441" s="415"/>
      <c r="G441" s="415"/>
      <c r="H441" s="415"/>
      <c r="I441" s="415"/>
      <c r="J441" s="415"/>
      <c r="K441" s="97"/>
      <c r="L441" s="97"/>
      <c r="M441" s="97"/>
      <c r="N441" s="97"/>
      <c r="O441" s="97"/>
      <c r="P441" s="97"/>
      <c r="Q441" s="97"/>
      <c r="R441" s="97"/>
      <c r="S441" s="97"/>
      <c r="T441" s="423">
        <v>438</v>
      </c>
      <c r="U441" s="424">
        <v>59833875610.862801</v>
      </c>
      <c r="V441" s="426"/>
      <c r="W441" s="97"/>
      <c r="X441" s="97"/>
      <c r="Y441" s="97"/>
      <c r="Z441" s="68"/>
      <c r="AA441" s="68"/>
      <c r="AB441" s="68"/>
      <c r="AC441" s="68"/>
      <c r="AD441" s="68"/>
    </row>
    <row r="442" spans="1:30" ht="17">
      <c r="A442" s="68"/>
      <c r="B442" s="68"/>
      <c r="C442" s="68"/>
      <c r="D442" s="415"/>
      <c r="E442" s="415"/>
      <c r="F442" s="415"/>
      <c r="G442" s="415"/>
      <c r="H442" s="415"/>
      <c r="I442" s="415"/>
      <c r="J442" s="415"/>
      <c r="K442" s="97"/>
      <c r="L442" s="97"/>
      <c r="M442" s="97"/>
      <c r="N442" s="97"/>
      <c r="O442" s="97"/>
      <c r="P442" s="97"/>
      <c r="Q442" s="97"/>
      <c r="R442" s="97"/>
      <c r="S442" s="97"/>
      <c r="T442" s="423">
        <v>439</v>
      </c>
      <c r="U442" s="424">
        <v>55715477827.024826</v>
      </c>
      <c r="V442" s="426"/>
      <c r="W442" s="97"/>
      <c r="X442" s="97"/>
      <c r="Y442" s="97"/>
      <c r="Z442" s="68"/>
      <c r="AA442" s="68"/>
      <c r="AB442" s="68"/>
      <c r="AC442" s="68"/>
      <c r="AD442" s="68"/>
    </row>
    <row r="443" spans="1:30" ht="17">
      <c r="A443" s="68"/>
      <c r="B443" s="68"/>
      <c r="C443" s="68"/>
      <c r="D443" s="415"/>
      <c r="E443" s="415"/>
      <c r="F443" s="415"/>
      <c r="G443" s="415"/>
      <c r="H443" s="415"/>
      <c r="I443" s="415"/>
      <c r="J443" s="415"/>
      <c r="K443" s="97"/>
      <c r="L443" s="97"/>
      <c r="M443" s="97"/>
      <c r="N443" s="97"/>
      <c r="O443" s="97"/>
      <c r="P443" s="97"/>
      <c r="Q443" s="97"/>
      <c r="R443" s="97"/>
      <c r="S443" s="97"/>
      <c r="T443" s="423">
        <v>440</v>
      </c>
      <c r="U443" s="424">
        <v>58417026614.729179</v>
      </c>
      <c r="V443" s="426"/>
      <c r="W443" s="97"/>
      <c r="X443" s="97"/>
      <c r="Y443" s="97"/>
      <c r="Z443" s="68"/>
      <c r="AA443" s="68"/>
      <c r="AB443" s="68"/>
      <c r="AC443" s="68"/>
      <c r="AD443" s="68"/>
    </row>
    <row r="444" spans="1:30" ht="17">
      <c r="A444" s="68"/>
      <c r="B444" s="68"/>
      <c r="C444" s="68"/>
      <c r="D444" s="415"/>
      <c r="E444" s="415"/>
      <c r="F444" s="415"/>
      <c r="G444" s="415"/>
      <c r="H444" s="415"/>
      <c r="I444" s="415"/>
      <c r="J444" s="415"/>
      <c r="K444" s="97"/>
      <c r="L444" s="97"/>
      <c r="M444" s="97"/>
      <c r="N444" s="97"/>
      <c r="O444" s="97"/>
      <c r="P444" s="97"/>
      <c r="Q444" s="97"/>
      <c r="R444" s="97"/>
      <c r="S444" s="97"/>
      <c r="T444" s="423">
        <v>441</v>
      </c>
      <c r="U444" s="424">
        <v>57523727831.481201</v>
      </c>
      <c r="V444" s="426"/>
      <c r="W444" s="97"/>
      <c r="X444" s="97"/>
      <c r="Y444" s="97"/>
      <c r="Z444" s="68"/>
      <c r="AA444" s="68"/>
      <c r="AB444" s="68"/>
      <c r="AC444" s="68"/>
      <c r="AD444" s="68"/>
    </row>
    <row r="445" spans="1:30" ht="17">
      <c r="A445" s="68"/>
      <c r="B445" s="68"/>
      <c r="C445" s="68"/>
      <c r="D445" s="415"/>
      <c r="E445" s="415"/>
      <c r="F445" s="415"/>
      <c r="G445" s="415"/>
      <c r="H445" s="415"/>
      <c r="I445" s="415"/>
      <c r="J445" s="415"/>
      <c r="K445" s="97"/>
      <c r="L445" s="97"/>
      <c r="M445" s="97"/>
      <c r="N445" s="97"/>
      <c r="O445" s="97"/>
      <c r="P445" s="97"/>
      <c r="Q445" s="97"/>
      <c r="R445" s="97"/>
      <c r="S445" s="97"/>
      <c r="T445" s="423">
        <v>442</v>
      </c>
      <c r="U445" s="424">
        <v>59355183534.741661</v>
      </c>
      <c r="V445" s="426"/>
      <c r="W445" s="97"/>
      <c r="X445" s="97"/>
      <c r="Y445" s="97"/>
      <c r="Z445" s="68"/>
      <c r="AA445" s="68"/>
      <c r="AB445" s="68"/>
      <c r="AC445" s="68"/>
      <c r="AD445" s="68"/>
    </row>
    <row r="446" spans="1:30" ht="17">
      <c r="A446" s="68"/>
      <c r="B446" s="68"/>
      <c r="C446" s="68"/>
      <c r="D446" s="415"/>
      <c r="E446" s="415"/>
      <c r="F446" s="415"/>
      <c r="G446" s="415"/>
      <c r="H446" s="415"/>
      <c r="I446" s="415"/>
      <c r="J446" s="415"/>
      <c r="K446" s="97"/>
      <c r="L446" s="97"/>
      <c r="M446" s="97"/>
      <c r="N446" s="97"/>
      <c r="O446" s="97"/>
      <c r="P446" s="97"/>
      <c r="Q446" s="97"/>
      <c r="R446" s="97"/>
      <c r="S446" s="97"/>
      <c r="T446" s="423">
        <v>443</v>
      </c>
      <c r="U446" s="424">
        <v>57356064585.338394</v>
      </c>
      <c r="V446" s="426"/>
      <c r="W446" s="97"/>
      <c r="X446" s="97"/>
      <c r="Y446" s="97"/>
      <c r="Z446" s="68"/>
      <c r="AA446" s="68"/>
      <c r="AB446" s="68"/>
      <c r="AC446" s="68"/>
      <c r="AD446" s="68"/>
    </row>
    <row r="447" spans="1:30" ht="17">
      <c r="A447" s="68"/>
      <c r="B447" s="68"/>
      <c r="C447" s="68"/>
      <c r="D447" s="415"/>
      <c r="E447" s="415"/>
      <c r="F447" s="415"/>
      <c r="G447" s="415"/>
      <c r="H447" s="415"/>
      <c r="I447" s="415"/>
      <c r="J447" s="415"/>
      <c r="K447" s="97"/>
      <c r="L447" s="97"/>
      <c r="M447" s="97"/>
      <c r="N447" s="97"/>
      <c r="O447" s="97"/>
      <c r="P447" s="97"/>
      <c r="Q447" s="97"/>
      <c r="R447" s="97"/>
      <c r="S447" s="97"/>
      <c r="T447" s="423">
        <v>444</v>
      </c>
      <c r="U447" s="424">
        <v>57482672700.731194</v>
      </c>
      <c r="V447" s="426"/>
      <c r="W447" s="97"/>
      <c r="X447" s="97"/>
      <c r="Y447" s="97"/>
      <c r="Z447" s="68"/>
      <c r="AA447" s="68"/>
      <c r="AB447" s="68"/>
      <c r="AC447" s="68"/>
      <c r="AD447" s="68"/>
    </row>
    <row r="448" spans="1:30" ht="17">
      <c r="A448" s="68"/>
      <c r="B448" s="68"/>
      <c r="C448" s="68"/>
      <c r="D448" s="415"/>
      <c r="E448" s="415"/>
      <c r="F448" s="415"/>
      <c r="G448" s="415"/>
      <c r="H448" s="415"/>
      <c r="I448" s="415"/>
      <c r="J448" s="415"/>
      <c r="K448" s="97"/>
      <c r="L448" s="97"/>
      <c r="M448" s="97"/>
      <c r="N448" s="97"/>
      <c r="O448" s="97"/>
      <c r="P448" s="97"/>
      <c r="Q448" s="97"/>
      <c r="R448" s="97"/>
      <c r="S448" s="97"/>
      <c r="T448" s="423">
        <v>445</v>
      </c>
      <c r="U448" s="424">
        <v>56287607408.562752</v>
      </c>
      <c r="V448" s="426"/>
      <c r="W448" s="97"/>
      <c r="X448" s="97"/>
      <c r="Y448" s="97"/>
      <c r="Z448" s="68"/>
      <c r="AA448" s="68"/>
      <c r="AB448" s="68"/>
      <c r="AC448" s="68"/>
      <c r="AD448" s="68"/>
    </row>
    <row r="449" spans="1:30" ht="17">
      <c r="A449" s="68"/>
      <c r="B449" s="68"/>
      <c r="C449" s="68"/>
      <c r="D449" s="415"/>
      <c r="E449" s="415"/>
      <c r="F449" s="415"/>
      <c r="G449" s="415"/>
      <c r="H449" s="415"/>
      <c r="I449" s="415"/>
      <c r="J449" s="415"/>
      <c r="K449" s="97"/>
      <c r="L449" s="97"/>
      <c r="M449" s="97"/>
      <c r="N449" s="97"/>
      <c r="O449" s="97"/>
      <c r="P449" s="97"/>
      <c r="Q449" s="97"/>
      <c r="R449" s="97"/>
      <c r="S449" s="97"/>
      <c r="T449" s="423">
        <v>446</v>
      </c>
      <c r="U449" s="424">
        <v>59144577798.410324</v>
      </c>
      <c r="V449" s="426"/>
      <c r="W449" s="97"/>
      <c r="X449" s="97"/>
      <c r="Y449" s="97"/>
      <c r="Z449" s="68"/>
      <c r="AA449" s="68"/>
      <c r="AB449" s="68"/>
      <c r="AC449" s="68"/>
      <c r="AD449" s="68"/>
    </row>
    <row r="450" spans="1:30" ht="17">
      <c r="A450" s="68"/>
      <c r="B450" s="68"/>
      <c r="C450" s="68"/>
      <c r="D450" s="415"/>
      <c r="E450" s="415"/>
      <c r="F450" s="415"/>
      <c r="G450" s="415"/>
      <c r="H450" s="415"/>
      <c r="I450" s="415"/>
      <c r="J450" s="415"/>
      <c r="K450" s="97"/>
      <c r="L450" s="97"/>
      <c r="M450" s="97"/>
      <c r="N450" s="97"/>
      <c r="O450" s="97"/>
      <c r="P450" s="97"/>
      <c r="Q450" s="97"/>
      <c r="R450" s="97"/>
      <c r="S450" s="97"/>
      <c r="T450" s="423">
        <v>447</v>
      </c>
      <c r="U450" s="424">
        <v>55194430594.263992</v>
      </c>
      <c r="V450" s="426"/>
      <c r="W450" s="97"/>
      <c r="X450" s="97"/>
      <c r="Y450" s="97"/>
      <c r="Z450" s="68"/>
      <c r="AA450" s="68"/>
      <c r="AB450" s="68"/>
      <c r="AC450" s="68"/>
      <c r="AD450" s="68"/>
    </row>
    <row r="451" spans="1:30" ht="17">
      <c r="A451" s="68"/>
      <c r="B451" s="68"/>
      <c r="C451" s="68"/>
      <c r="D451" s="415"/>
      <c r="E451" s="415"/>
      <c r="F451" s="415"/>
      <c r="G451" s="415"/>
      <c r="H451" s="415"/>
      <c r="I451" s="415"/>
      <c r="J451" s="415"/>
      <c r="K451" s="97"/>
      <c r="L451" s="97"/>
      <c r="M451" s="97"/>
      <c r="N451" s="97"/>
      <c r="O451" s="97"/>
      <c r="P451" s="97"/>
      <c r="Q451" s="97"/>
      <c r="R451" s="97"/>
      <c r="S451" s="97"/>
      <c r="T451" s="423">
        <v>448</v>
      </c>
      <c r="U451" s="424">
        <v>57546669402.13678</v>
      </c>
      <c r="V451" s="426"/>
      <c r="W451" s="97"/>
      <c r="X451" s="97"/>
      <c r="Y451" s="97"/>
      <c r="Z451" s="68"/>
      <c r="AA451" s="68"/>
      <c r="AB451" s="68"/>
      <c r="AC451" s="68"/>
      <c r="AD451" s="68"/>
    </row>
    <row r="452" spans="1:30" ht="17">
      <c r="A452" s="68"/>
      <c r="B452" s="68"/>
      <c r="C452" s="68"/>
      <c r="D452" s="415"/>
      <c r="E452" s="415"/>
      <c r="F452" s="415"/>
      <c r="G452" s="415"/>
      <c r="H452" s="415"/>
      <c r="I452" s="415"/>
      <c r="J452" s="415"/>
      <c r="K452" s="97"/>
      <c r="L452" s="97"/>
      <c r="M452" s="97"/>
      <c r="N452" s="97"/>
      <c r="O452" s="97"/>
      <c r="P452" s="97"/>
      <c r="Q452" s="97"/>
      <c r="R452" s="97"/>
      <c r="S452" s="97"/>
      <c r="T452" s="423">
        <v>449</v>
      </c>
      <c r="U452" s="424">
        <v>58292074460.317322</v>
      </c>
      <c r="V452" s="426"/>
      <c r="W452" s="97"/>
      <c r="X452" s="97"/>
      <c r="Y452" s="97"/>
      <c r="Z452" s="68"/>
      <c r="AA452" s="68"/>
      <c r="AB452" s="68"/>
      <c r="AC452" s="68"/>
      <c r="AD452" s="68"/>
    </row>
    <row r="453" spans="1:30" ht="17">
      <c r="A453" s="68"/>
      <c r="B453" s="68"/>
      <c r="C453" s="68"/>
      <c r="D453" s="415"/>
      <c r="E453" s="415"/>
      <c r="F453" s="415"/>
      <c r="G453" s="415"/>
      <c r="H453" s="415"/>
      <c r="I453" s="415"/>
      <c r="J453" s="415"/>
      <c r="K453" s="97"/>
      <c r="L453" s="97"/>
      <c r="M453" s="97"/>
      <c r="N453" s="97"/>
      <c r="O453" s="97"/>
      <c r="P453" s="97"/>
      <c r="Q453" s="97"/>
      <c r="R453" s="97"/>
      <c r="S453" s="97"/>
      <c r="T453" s="423">
        <v>450</v>
      </c>
      <c r="U453" s="424">
        <v>59108354350.976471</v>
      </c>
      <c r="V453" s="426"/>
      <c r="W453" s="97"/>
      <c r="X453" s="97"/>
      <c r="Y453" s="97"/>
      <c r="Z453" s="68"/>
      <c r="AA453" s="68"/>
      <c r="AB453" s="68"/>
      <c r="AC453" s="68"/>
      <c r="AD453" s="68"/>
    </row>
    <row r="454" spans="1:30" ht="17">
      <c r="A454" s="68"/>
      <c r="B454" s="68"/>
      <c r="C454" s="68"/>
      <c r="D454" s="415"/>
      <c r="E454" s="415"/>
      <c r="F454" s="415"/>
      <c r="G454" s="415"/>
      <c r="H454" s="415"/>
      <c r="I454" s="415"/>
      <c r="J454" s="415"/>
      <c r="K454" s="97"/>
      <c r="L454" s="97"/>
      <c r="M454" s="97"/>
      <c r="N454" s="97"/>
      <c r="O454" s="97"/>
      <c r="P454" s="97"/>
      <c r="Q454" s="97"/>
      <c r="R454" s="97"/>
      <c r="S454" s="97"/>
      <c r="T454" s="423">
        <v>451</v>
      </c>
      <c r="U454" s="424">
        <v>64872753079.589584</v>
      </c>
      <c r="V454" s="426"/>
      <c r="W454" s="97"/>
      <c r="X454" s="97"/>
      <c r="Y454" s="97"/>
      <c r="Z454" s="68"/>
      <c r="AA454" s="68"/>
      <c r="AB454" s="68"/>
      <c r="AC454" s="68"/>
      <c r="AD454" s="68"/>
    </row>
    <row r="455" spans="1:30" ht="17">
      <c r="A455" s="68"/>
      <c r="B455" s="68"/>
      <c r="C455" s="68"/>
      <c r="D455" s="415"/>
      <c r="E455" s="415"/>
      <c r="F455" s="415"/>
      <c r="G455" s="415"/>
      <c r="H455" s="415"/>
      <c r="I455" s="415"/>
      <c r="J455" s="415"/>
      <c r="K455" s="97"/>
      <c r="L455" s="97"/>
      <c r="M455" s="97"/>
      <c r="N455" s="97"/>
      <c r="O455" s="97"/>
      <c r="P455" s="97"/>
      <c r="Q455" s="97"/>
      <c r="R455" s="97"/>
      <c r="S455" s="97"/>
      <c r="T455" s="423">
        <v>452</v>
      </c>
      <c r="U455" s="424">
        <v>58263316517.1409</v>
      </c>
      <c r="V455" s="426"/>
      <c r="W455" s="97"/>
      <c r="X455" s="97"/>
      <c r="Y455" s="97"/>
      <c r="Z455" s="68"/>
      <c r="AA455" s="68"/>
      <c r="AB455" s="68"/>
      <c r="AC455" s="68"/>
      <c r="AD455" s="68"/>
    </row>
    <row r="456" spans="1:30" ht="17">
      <c r="A456" s="68"/>
      <c r="B456" s="68"/>
      <c r="C456" s="68"/>
      <c r="D456" s="415"/>
      <c r="E456" s="415"/>
      <c r="F456" s="415"/>
      <c r="G456" s="415"/>
      <c r="H456" s="415"/>
      <c r="I456" s="415"/>
      <c r="J456" s="415"/>
      <c r="K456" s="97"/>
      <c r="L456" s="97"/>
      <c r="M456" s="97"/>
      <c r="N456" s="97"/>
      <c r="O456" s="97"/>
      <c r="P456" s="97"/>
      <c r="Q456" s="97"/>
      <c r="R456" s="97"/>
      <c r="S456" s="97"/>
      <c r="T456" s="423">
        <v>453</v>
      </c>
      <c r="U456" s="424">
        <v>58332855076.856232</v>
      </c>
      <c r="V456" s="426"/>
      <c r="W456" s="97"/>
      <c r="X456" s="97"/>
      <c r="Y456" s="97"/>
      <c r="Z456" s="68"/>
      <c r="AA456" s="68"/>
      <c r="AB456" s="68"/>
      <c r="AC456" s="68"/>
      <c r="AD456" s="68"/>
    </row>
    <row r="457" spans="1:30" ht="17">
      <c r="A457" s="68"/>
      <c r="B457" s="68"/>
      <c r="C457" s="68"/>
      <c r="D457" s="415"/>
      <c r="E457" s="415"/>
      <c r="F457" s="415"/>
      <c r="G457" s="415"/>
      <c r="H457" s="415"/>
      <c r="I457" s="415"/>
      <c r="J457" s="415"/>
      <c r="K457" s="97"/>
      <c r="L457" s="97"/>
      <c r="M457" s="97"/>
      <c r="N457" s="97"/>
      <c r="O457" s="97"/>
      <c r="P457" s="97"/>
      <c r="Q457" s="97"/>
      <c r="R457" s="97"/>
      <c r="S457" s="97"/>
      <c r="T457" s="423">
        <v>454</v>
      </c>
      <c r="U457" s="424">
        <v>57550383796.775726</v>
      </c>
      <c r="V457" s="426"/>
      <c r="W457" s="97"/>
      <c r="X457" s="97"/>
      <c r="Y457" s="97"/>
      <c r="Z457" s="68"/>
      <c r="AA457" s="68"/>
      <c r="AB457" s="68"/>
      <c r="AC457" s="68"/>
      <c r="AD457" s="68"/>
    </row>
    <row r="458" spans="1:30" ht="17">
      <c r="A458" s="68"/>
      <c r="B458" s="68"/>
      <c r="C458" s="68"/>
      <c r="D458" s="415"/>
      <c r="E458" s="415"/>
      <c r="F458" s="415"/>
      <c r="G458" s="415"/>
      <c r="H458" s="415"/>
      <c r="I458" s="415"/>
      <c r="J458" s="415"/>
      <c r="K458" s="97"/>
      <c r="L458" s="97"/>
      <c r="M458" s="97"/>
      <c r="N458" s="97"/>
      <c r="O458" s="97"/>
      <c r="P458" s="97"/>
      <c r="Q458" s="97"/>
      <c r="R458" s="97"/>
      <c r="S458" s="97"/>
      <c r="T458" s="423">
        <v>455</v>
      </c>
      <c r="U458" s="424">
        <v>55783898809.227058</v>
      </c>
      <c r="V458" s="426"/>
      <c r="W458" s="97"/>
      <c r="X458" s="97"/>
      <c r="Y458" s="97"/>
      <c r="Z458" s="68"/>
      <c r="AA458" s="68"/>
      <c r="AB458" s="68"/>
      <c r="AC458" s="68"/>
      <c r="AD458" s="68"/>
    </row>
    <row r="459" spans="1:30" ht="17">
      <c r="A459" s="68"/>
      <c r="B459" s="68"/>
      <c r="C459" s="68"/>
      <c r="D459" s="415"/>
      <c r="E459" s="415"/>
      <c r="F459" s="415"/>
      <c r="G459" s="415"/>
      <c r="H459" s="415"/>
      <c r="I459" s="415"/>
      <c r="J459" s="415"/>
      <c r="K459" s="97"/>
      <c r="L459" s="97"/>
      <c r="M459" s="97"/>
      <c r="N459" s="97"/>
      <c r="O459" s="97"/>
      <c r="P459" s="97"/>
      <c r="Q459" s="97"/>
      <c r="R459" s="97"/>
      <c r="S459" s="97"/>
      <c r="T459" s="423">
        <v>456</v>
      </c>
      <c r="U459" s="424">
        <v>61497359097.594833</v>
      </c>
      <c r="V459" s="426"/>
      <c r="W459" s="97"/>
      <c r="X459" s="97"/>
      <c r="Y459" s="97"/>
      <c r="Z459" s="68"/>
      <c r="AA459" s="68"/>
      <c r="AB459" s="68"/>
      <c r="AC459" s="68"/>
      <c r="AD459" s="68"/>
    </row>
    <row r="460" spans="1:30" ht="17">
      <c r="A460" s="68"/>
      <c r="B460" s="68"/>
      <c r="C460" s="68"/>
      <c r="D460" s="415"/>
      <c r="E460" s="415"/>
      <c r="F460" s="415"/>
      <c r="G460" s="415"/>
      <c r="H460" s="415"/>
      <c r="I460" s="415"/>
      <c r="J460" s="415"/>
      <c r="K460" s="97"/>
      <c r="L460" s="97"/>
      <c r="M460" s="97"/>
      <c r="N460" s="97"/>
      <c r="O460" s="97"/>
      <c r="P460" s="97"/>
      <c r="Q460" s="97"/>
      <c r="R460" s="97"/>
      <c r="S460" s="97"/>
      <c r="T460" s="423">
        <v>457</v>
      </c>
      <c r="U460" s="424">
        <v>62368224380.763748</v>
      </c>
      <c r="V460" s="426"/>
      <c r="W460" s="97"/>
      <c r="X460" s="97"/>
      <c r="Y460" s="97"/>
      <c r="Z460" s="68"/>
      <c r="AA460" s="68"/>
      <c r="AB460" s="68"/>
      <c r="AC460" s="68"/>
      <c r="AD460" s="68"/>
    </row>
    <row r="461" spans="1:30" ht="17">
      <c r="A461" s="68"/>
      <c r="B461" s="68"/>
      <c r="C461" s="68"/>
      <c r="D461" s="415"/>
      <c r="E461" s="415"/>
      <c r="F461" s="415"/>
      <c r="G461" s="415"/>
      <c r="H461" s="415"/>
      <c r="I461" s="415"/>
      <c r="J461" s="415"/>
      <c r="K461" s="97"/>
      <c r="L461" s="97"/>
      <c r="M461" s="97"/>
      <c r="N461" s="97"/>
      <c r="O461" s="97"/>
      <c r="P461" s="97"/>
      <c r="Q461" s="97"/>
      <c r="R461" s="97"/>
      <c r="S461" s="97"/>
      <c r="T461" s="423">
        <v>458</v>
      </c>
      <c r="U461" s="424">
        <v>55453571032.081085</v>
      </c>
      <c r="V461" s="426"/>
      <c r="W461" s="97"/>
      <c r="X461" s="97"/>
      <c r="Y461" s="97"/>
      <c r="Z461" s="68"/>
      <c r="AA461" s="68"/>
      <c r="AB461" s="68"/>
      <c r="AC461" s="68"/>
      <c r="AD461" s="68"/>
    </row>
    <row r="462" spans="1:30" ht="17">
      <c r="A462" s="68"/>
      <c r="B462" s="68"/>
      <c r="C462" s="68"/>
      <c r="D462" s="415"/>
      <c r="E462" s="415"/>
      <c r="F462" s="415"/>
      <c r="G462" s="415"/>
      <c r="H462" s="415"/>
      <c r="I462" s="415"/>
      <c r="J462" s="415"/>
      <c r="K462" s="97"/>
      <c r="L462" s="97"/>
      <c r="M462" s="97"/>
      <c r="N462" s="97"/>
      <c r="O462" s="97"/>
      <c r="P462" s="97"/>
      <c r="Q462" s="97"/>
      <c r="R462" s="97"/>
      <c r="S462" s="97"/>
      <c r="T462" s="423">
        <v>459</v>
      </c>
      <c r="U462" s="424">
        <v>57048758526.753342</v>
      </c>
      <c r="V462" s="426"/>
      <c r="W462" s="97"/>
      <c r="X462" s="97"/>
      <c r="Y462" s="97"/>
      <c r="Z462" s="68"/>
      <c r="AA462" s="68"/>
      <c r="AB462" s="68"/>
      <c r="AC462" s="68"/>
      <c r="AD462" s="68"/>
    </row>
    <row r="463" spans="1:30" ht="17">
      <c r="A463" s="68"/>
      <c r="B463" s="68"/>
      <c r="C463" s="68"/>
      <c r="D463" s="415"/>
      <c r="E463" s="415"/>
      <c r="F463" s="415"/>
      <c r="G463" s="415"/>
      <c r="H463" s="415"/>
      <c r="I463" s="415"/>
      <c r="J463" s="415"/>
      <c r="K463" s="97"/>
      <c r="L463" s="97"/>
      <c r="M463" s="97"/>
      <c r="N463" s="97"/>
      <c r="O463" s="97"/>
      <c r="P463" s="97"/>
      <c r="Q463" s="97"/>
      <c r="R463" s="97"/>
      <c r="S463" s="97"/>
      <c r="T463" s="423">
        <v>460</v>
      </c>
      <c r="U463" s="424">
        <v>53804718958.804672</v>
      </c>
      <c r="V463" s="426"/>
      <c r="W463" s="97"/>
      <c r="X463" s="97"/>
      <c r="Y463" s="97"/>
      <c r="Z463" s="68"/>
      <c r="AA463" s="68"/>
      <c r="AB463" s="68"/>
      <c r="AC463" s="68"/>
      <c r="AD463" s="68"/>
    </row>
    <row r="464" spans="1:30" ht="17">
      <c r="A464" s="68"/>
      <c r="B464" s="68"/>
      <c r="C464" s="68"/>
      <c r="D464" s="415"/>
      <c r="E464" s="415"/>
      <c r="F464" s="415"/>
      <c r="G464" s="415"/>
      <c r="H464" s="415"/>
      <c r="I464" s="415"/>
      <c r="J464" s="415"/>
      <c r="K464" s="97"/>
      <c r="L464" s="97"/>
      <c r="M464" s="97"/>
      <c r="N464" s="97"/>
      <c r="O464" s="97"/>
      <c r="P464" s="97"/>
      <c r="Q464" s="97"/>
      <c r="R464" s="97"/>
      <c r="S464" s="97"/>
      <c r="T464" s="423">
        <v>461</v>
      </c>
      <c r="U464" s="424">
        <v>60488917482.650742</v>
      </c>
      <c r="V464" s="426"/>
      <c r="W464" s="97"/>
      <c r="X464" s="97"/>
      <c r="Y464" s="97"/>
      <c r="Z464" s="68"/>
      <c r="AA464" s="68"/>
      <c r="AB464" s="68"/>
      <c r="AC464" s="68"/>
      <c r="AD464" s="68"/>
    </row>
    <row r="465" spans="1:30" ht="17">
      <c r="A465" s="68"/>
      <c r="B465" s="68"/>
      <c r="C465" s="68"/>
      <c r="D465" s="415"/>
      <c r="E465" s="415"/>
      <c r="F465" s="415"/>
      <c r="G465" s="415"/>
      <c r="H465" s="415"/>
      <c r="I465" s="415"/>
      <c r="J465" s="415"/>
      <c r="K465" s="97"/>
      <c r="L465" s="97"/>
      <c r="M465" s="97"/>
      <c r="N465" s="97"/>
      <c r="O465" s="97"/>
      <c r="P465" s="97"/>
      <c r="Q465" s="97"/>
      <c r="R465" s="97"/>
      <c r="S465" s="97"/>
      <c r="T465" s="423">
        <v>462</v>
      </c>
      <c r="U465" s="424">
        <v>62620351402.109505</v>
      </c>
      <c r="V465" s="426"/>
      <c r="W465" s="97"/>
      <c r="X465" s="97"/>
      <c r="Y465" s="97"/>
      <c r="Z465" s="68"/>
      <c r="AA465" s="68"/>
      <c r="AB465" s="68"/>
      <c r="AC465" s="68"/>
      <c r="AD465" s="68"/>
    </row>
    <row r="466" spans="1:30" ht="17">
      <c r="A466" s="68"/>
      <c r="B466" s="68"/>
      <c r="C466" s="68"/>
      <c r="D466" s="415"/>
      <c r="E466" s="415"/>
      <c r="F466" s="415"/>
      <c r="G466" s="415"/>
      <c r="H466" s="415"/>
      <c r="I466" s="415"/>
      <c r="J466" s="415"/>
      <c r="K466" s="97"/>
      <c r="L466" s="97"/>
      <c r="M466" s="97"/>
      <c r="N466" s="97"/>
      <c r="O466" s="97"/>
      <c r="P466" s="97"/>
      <c r="Q466" s="97"/>
      <c r="R466" s="97"/>
      <c r="S466" s="97"/>
      <c r="T466" s="423">
        <v>463</v>
      </c>
      <c r="U466" s="424">
        <v>56891693634.211288</v>
      </c>
      <c r="V466" s="426"/>
      <c r="W466" s="97"/>
      <c r="X466" s="97"/>
      <c r="Y466" s="97"/>
      <c r="Z466" s="68"/>
      <c r="AA466" s="68"/>
      <c r="AB466" s="68"/>
      <c r="AC466" s="68"/>
      <c r="AD466" s="68"/>
    </row>
    <row r="467" spans="1:30" ht="17">
      <c r="A467" s="68"/>
      <c r="B467" s="68"/>
      <c r="C467" s="68"/>
      <c r="D467" s="415"/>
      <c r="E467" s="415"/>
      <c r="F467" s="415"/>
      <c r="G467" s="415"/>
      <c r="H467" s="415"/>
      <c r="I467" s="415"/>
      <c r="J467" s="415"/>
      <c r="K467" s="97"/>
      <c r="L467" s="97"/>
      <c r="M467" s="97"/>
      <c r="N467" s="97"/>
      <c r="O467" s="97"/>
      <c r="P467" s="97"/>
      <c r="Q467" s="97"/>
      <c r="R467" s="97"/>
      <c r="S467" s="97"/>
      <c r="T467" s="423">
        <v>464</v>
      </c>
      <c r="U467" s="424">
        <v>57565320725.203735</v>
      </c>
      <c r="V467" s="426"/>
      <c r="W467" s="97"/>
      <c r="X467" s="97"/>
      <c r="Y467" s="97"/>
      <c r="Z467" s="68"/>
      <c r="AA467" s="68"/>
      <c r="AB467" s="68"/>
      <c r="AC467" s="68"/>
      <c r="AD467" s="68"/>
    </row>
    <row r="468" spans="1:30" ht="17">
      <c r="A468" s="68"/>
      <c r="B468" s="68"/>
      <c r="C468" s="68"/>
      <c r="D468" s="415"/>
      <c r="E468" s="415"/>
      <c r="F468" s="415"/>
      <c r="G468" s="415"/>
      <c r="H468" s="415"/>
      <c r="I468" s="415"/>
      <c r="J468" s="415"/>
      <c r="K468" s="97"/>
      <c r="L468" s="97"/>
      <c r="M468" s="97"/>
      <c r="N468" s="97"/>
      <c r="O468" s="97"/>
      <c r="P468" s="97"/>
      <c r="Q468" s="97"/>
      <c r="R468" s="97"/>
      <c r="S468" s="97"/>
      <c r="T468" s="423">
        <v>465</v>
      </c>
      <c r="U468" s="424">
        <v>60422671119.60553</v>
      </c>
      <c r="V468" s="426"/>
      <c r="W468" s="97"/>
      <c r="X468" s="97"/>
      <c r="Y468" s="97"/>
      <c r="Z468" s="68"/>
      <c r="AA468" s="68"/>
      <c r="AB468" s="68"/>
      <c r="AC468" s="68"/>
      <c r="AD468" s="68"/>
    </row>
    <row r="469" spans="1:30" ht="17">
      <c r="A469" s="68"/>
      <c r="B469" s="68"/>
      <c r="C469" s="68"/>
      <c r="D469" s="415"/>
      <c r="E469" s="415"/>
      <c r="F469" s="415"/>
      <c r="G469" s="415"/>
      <c r="H469" s="415"/>
      <c r="I469" s="415"/>
      <c r="J469" s="415"/>
      <c r="K469" s="97"/>
      <c r="L469" s="97"/>
      <c r="M469" s="97"/>
      <c r="N469" s="97"/>
      <c r="O469" s="97"/>
      <c r="P469" s="97"/>
      <c r="Q469" s="97"/>
      <c r="R469" s="97"/>
      <c r="S469" s="97"/>
      <c r="T469" s="423">
        <v>466</v>
      </c>
      <c r="U469" s="424">
        <v>58413563127.326965</v>
      </c>
      <c r="V469" s="426"/>
      <c r="W469" s="97"/>
      <c r="X469" s="97"/>
      <c r="Y469" s="97"/>
      <c r="Z469" s="68"/>
      <c r="AA469" s="68"/>
      <c r="AB469" s="68"/>
      <c r="AC469" s="68"/>
      <c r="AD469" s="68"/>
    </row>
    <row r="470" spans="1:30" ht="17">
      <c r="A470" s="68"/>
      <c r="B470" s="68"/>
      <c r="C470" s="68"/>
      <c r="D470" s="415"/>
      <c r="E470" s="415"/>
      <c r="F470" s="415"/>
      <c r="G470" s="415"/>
      <c r="H470" s="415"/>
      <c r="I470" s="415"/>
      <c r="J470" s="415"/>
      <c r="K470" s="97"/>
      <c r="L470" s="97"/>
      <c r="M470" s="97"/>
      <c r="N470" s="97"/>
      <c r="O470" s="97"/>
      <c r="P470" s="97"/>
      <c r="Q470" s="97"/>
      <c r="R470" s="97"/>
      <c r="S470" s="97"/>
      <c r="T470" s="423">
        <v>467</v>
      </c>
      <c r="U470" s="424">
        <v>60125654675.289963</v>
      </c>
      <c r="V470" s="426"/>
      <c r="W470" s="97"/>
      <c r="X470" s="97"/>
      <c r="Y470" s="97"/>
      <c r="Z470" s="68"/>
      <c r="AA470" s="68"/>
      <c r="AB470" s="68"/>
      <c r="AC470" s="68"/>
      <c r="AD470" s="68"/>
    </row>
    <row r="471" spans="1:30" ht="17">
      <c r="A471" s="68"/>
      <c r="B471" s="68"/>
      <c r="C471" s="68"/>
      <c r="D471" s="415"/>
      <c r="E471" s="415"/>
      <c r="F471" s="415"/>
      <c r="G471" s="415"/>
      <c r="H471" s="415"/>
      <c r="I471" s="415"/>
      <c r="J471" s="415"/>
      <c r="K471" s="97"/>
      <c r="L471" s="97"/>
      <c r="M471" s="97"/>
      <c r="N471" s="97"/>
      <c r="O471" s="97"/>
      <c r="P471" s="97"/>
      <c r="Q471" s="97"/>
      <c r="R471" s="97"/>
      <c r="S471" s="97"/>
      <c r="T471" s="423">
        <v>468</v>
      </c>
      <c r="U471" s="424">
        <v>57079374673.205963</v>
      </c>
      <c r="V471" s="426"/>
      <c r="W471" s="97"/>
      <c r="X471" s="97"/>
      <c r="Y471" s="97"/>
      <c r="Z471" s="68"/>
      <c r="AA471" s="68"/>
      <c r="AB471" s="68"/>
      <c r="AC471" s="68"/>
      <c r="AD471" s="68"/>
    </row>
    <row r="472" spans="1:30" ht="17">
      <c r="A472" s="68"/>
      <c r="B472" s="68"/>
      <c r="C472" s="68"/>
      <c r="D472" s="415"/>
      <c r="E472" s="415"/>
      <c r="F472" s="415"/>
      <c r="G472" s="415"/>
      <c r="H472" s="415"/>
      <c r="I472" s="415"/>
      <c r="J472" s="415"/>
      <c r="K472" s="97"/>
      <c r="L472" s="97"/>
      <c r="M472" s="97"/>
      <c r="N472" s="97"/>
      <c r="O472" s="97"/>
      <c r="P472" s="97"/>
      <c r="Q472" s="97"/>
      <c r="R472" s="97"/>
      <c r="S472" s="97"/>
      <c r="T472" s="423">
        <v>469</v>
      </c>
      <c r="U472" s="424">
        <v>63378748005.234406</v>
      </c>
      <c r="V472" s="426"/>
      <c r="W472" s="97"/>
      <c r="X472" s="97"/>
      <c r="Y472" s="97"/>
      <c r="Z472" s="68"/>
      <c r="AA472" s="68"/>
      <c r="AB472" s="68"/>
      <c r="AC472" s="68"/>
      <c r="AD472" s="68"/>
    </row>
    <row r="473" spans="1:30" ht="17">
      <c r="A473" s="68"/>
      <c r="B473" s="68"/>
      <c r="C473" s="68"/>
      <c r="D473" s="415"/>
      <c r="E473" s="415"/>
      <c r="F473" s="415"/>
      <c r="G473" s="415"/>
      <c r="H473" s="415"/>
      <c r="I473" s="415"/>
      <c r="J473" s="415"/>
      <c r="K473" s="97"/>
      <c r="L473" s="97"/>
      <c r="M473" s="97"/>
      <c r="N473" s="97"/>
      <c r="O473" s="97"/>
      <c r="P473" s="97"/>
      <c r="Q473" s="97"/>
      <c r="R473" s="97"/>
      <c r="S473" s="97"/>
      <c r="T473" s="423">
        <v>470</v>
      </c>
      <c r="U473" s="424">
        <v>59632821825.882477</v>
      </c>
      <c r="V473" s="426"/>
      <c r="W473" s="97"/>
      <c r="X473" s="97"/>
      <c r="Y473" s="97"/>
      <c r="Z473" s="68"/>
      <c r="AA473" s="68"/>
      <c r="AB473" s="68"/>
      <c r="AC473" s="68"/>
      <c r="AD473" s="68"/>
    </row>
    <row r="474" spans="1:30" ht="17">
      <c r="A474" s="68"/>
      <c r="B474" s="68"/>
      <c r="C474" s="68"/>
      <c r="D474" s="415"/>
      <c r="E474" s="415"/>
      <c r="F474" s="415"/>
      <c r="G474" s="415"/>
      <c r="H474" s="415"/>
      <c r="I474" s="415"/>
      <c r="J474" s="415"/>
      <c r="K474" s="97"/>
      <c r="L474" s="97"/>
      <c r="M474" s="97"/>
      <c r="N474" s="97"/>
      <c r="O474" s="97"/>
      <c r="P474" s="97"/>
      <c r="Q474" s="97"/>
      <c r="R474" s="97"/>
      <c r="S474" s="97"/>
      <c r="T474" s="423">
        <v>471</v>
      </c>
      <c r="U474" s="424">
        <v>59149213918.218163</v>
      </c>
      <c r="V474" s="426"/>
      <c r="W474" s="97"/>
      <c r="X474" s="97"/>
      <c r="Y474" s="97"/>
      <c r="Z474" s="68"/>
      <c r="AA474" s="68"/>
      <c r="AB474" s="68"/>
      <c r="AC474" s="68"/>
      <c r="AD474" s="68"/>
    </row>
    <row r="475" spans="1:30" ht="17">
      <c r="A475" s="68"/>
      <c r="B475" s="68"/>
      <c r="C475" s="68"/>
      <c r="D475" s="415"/>
      <c r="E475" s="415"/>
      <c r="F475" s="415"/>
      <c r="G475" s="415"/>
      <c r="H475" s="415"/>
      <c r="I475" s="415"/>
      <c r="J475" s="415"/>
      <c r="K475" s="97"/>
      <c r="L475" s="97"/>
      <c r="M475" s="97"/>
      <c r="N475" s="97"/>
      <c r="O475" s="97"/>
      <c r="P475" s="97"/>
      <c r="Q475" s="97"/>
      <c r="R475" s="97"/>
      <c r="S475" s="97"/>
      <c r="T475" s="423">
        <v>472</v>
      </c>
      <c r="U475" s="424">
        <v>56617612837.393265</v>
      </c>
      <c r="V475" s="426"/>
      <c r="W475" s="97"/>
      <c r="X475" s="97"/>
      <c r="Y475" s="97"/>
      <c r="Z475" s="68"/>
      <c r="AA475" s="68"/>
      <c r="AB475" s="68"/>
      <c r="AC475" s="68"/>
      <c r="AD475" s="68"/>
    </row>
    <row r="476" spans="1:30" ht="17">
      <c r="A476" s="68"/>
      <c r="B476" s="68"/>
      <c r="C476" s="68"/>
      <c r="D476" s="415"/>
      <c r="E476" s="415"/>
      <c r="F476" s="415"/>
      <c r="G476" s="415"/>
      <c r="H476" s="415"/>
      <c r="I476" s="415"/>
      <c r="J476" s="415"/>
      <c r="K476" s="97"/>
      <c r="L476" s="97"/>
      <c r="M476" s="97"/>
      <c r="N476" s="97"/>
      <c r="O476" s="97"/>
      <c r="P476" s="97"/>
      <c r="Q476" s="97"/>
      <c r="R476" s="97"/>
      <c r="S476" s="97"/>
      <c r="T476" s="423">
        <v>473</v>
      </c>
      <c r="U476" s="424">
        <v>58752908952.740982</v>
      </c>
      <c r="V476" s="426"/>
      <c r="W476" s="97"/>
      <c r="X476" s="97"/>
      <c r="Y476" s="97"/>
      <c r="Z476" s="68"/>
      <c r="AA476" s="68"/>
      <c r="AB476" s="68"/>
      <c r="AC476" s="68"/>
      <c r="AD476" s="68"/>
    </row>
    <row r="477" spans="1:30" ht="17">
      <c r="A477" s="68"/>
      <c r="B477" s="68"/>
      <c r="C477" s="68"/>
      <c r="D477" s="415"/>
      <c r="E477" s="415"/>
      <c r="F477" s="415"/>
      <c r="G477" s="415"/>
      <c r="H477" s="415"/>
      <c r="I477" s="415"/>
      <c r="J477" s="415"/>
      <c r="K477" s="97"/>
      <c r="L477" s="97"/>
      <c r="M477" s="97"/>
      <c r="N477" s="97"/>
      <c r="O477" s="97"/>
      <c r="P477" s="97"/>
      <c r="Q477" s="97"/>
      <c r="R477" s="97"/>
      <c r="S477" s="97"/>
      <c r="T477" s="423">
        <v>474</v>
      </c>
      <c r="U477" s="424">
        <v>59233051197.60627</v>
      </c>
      <c r="V477" s="426"/>
      <c r="W477" s="97"/>
      <c r="X477" s="97"/>
      <c r="Y477" s="97"/>
      <c r="Z477" s="68"/>
      <c r="AA477" s="68"/>
      <c r="AB477" s="68"/>
      <c r="AC477" s="68"/>
      <c r="AD477" s="68"/>
    </row>
    <row r="478" spans="1:30" ht="17">
      <c r="A478" s="68"/>
      <c r="B478" s="68"/>
      <c r="C478" s="68"/>
      <c r="D478" s="415"/>
      <c r="E478" s="415"/>
      <c r="F478" s="415"/>
      <c r="G478" s="415"/>
      <c r="H478" s="415"/>
      <c r="I478" s="415"/>
      <c r="J478" s="415"/>
      <c r="K478" s="97"/>
      <c r="L478" s="97"/>
      <c r="M478" s="97"/>
      <c r="N478" s="97"/>
      <c r="O478" s="97"/>
      <c r="P478" s="97"/>
      <c r="Q478" s="97"/>
      <c r="R478" s="97"/>
      <c r="S478" s="97"/>
      <c r="T478" s="423">
        <v>475</v>
      </c>
      <c r="U478" s="424">
        <v>56953783024.32209</v>
      </c>
      <c r="V478" s="426"/>
      <c r="W478" s="97"/>
      <c r="X478" s="97"/>
      <c r="Y478" s="97"/>
      <c r="Z478" s="68"/>
      <c r="AA478" s="68"/>
      <c r="AB478" s="68"/>
      <c r="AC478" s="68"/>
      <c r="AD478" s="68"/>
    </row>
    <row r="479" spans="1:30" ht="17">
      <c r="A479" s="68"/>
      <c r="B479" s="68"/>
      <c r="C479" s="68"/>
      <c r="D479" s="415"/>
      <c r="E479" s="415"/>
      <c r="F479" s="415"/>
      <c r="G479" s="415"/>
      <c r="H479" s="415"/>
      <c r="I479" s="415"/>
      <c r="J479" s="415"/>
      <c r="K479" s="97"/>
      <c r="L479" s="97"/>
      <c r="M479" s="97"/>
      <c r="N479" s="97"/>
      <c r="O479" s="97"/>
      <c r="P479" s="97"/>
      <c r="Q479" s="97"/>
      <c r="R479" s="97"/>
      <c r="S479" s="97"/>
      <c r="T479" s="423">
        <v>476</v>
      </c>
      <c r="U479" s="424">
        <v>58646156221.849495</v>
      </c>
      <c r="V479" s="426"/>
      <c r="W479" s="97"/>
      <c r="X479" s="97"/>
      <c r="Y479" s="97"/>
      <c r="Z479" s="68"/>
      <c r="AA479" s="68"/>
      <c r="AB479" s="68"/>
      <c r="AC479" s="68"/>
      <c r="AD479" s="68"/>
    </row>
    <row r="480" spans="1:30" ht="17">
      <c r="A480" s="68"/>
      <c r="B480" s="68"/>
      <c r="C480" s="68"/>
      <c r="D480" s="415"/>
      <c r="E480" s="415"/>
      <c r="F480" s="415"/>
      <c r="G480" s="415"/>
      <c r="H480" s="415"/>
      <c r="I480" s="415"/>
      <c r="J480" s="415"/>
      <c r="K480" s="97"/>
      <c r="L480" s="97"/>
      <c r="M480" s="97"/>
      <c r="N480" s="97"/>
      <c r="O480" s="97"/>
      <c r="P480" s="97"/>
      <c r="Q480" s="97"/>
      <c r="R480" s="97"/>
      <c r="S480" s="97"/>
      <c r="T480" s="423">
        <v>477</v>
      </c>
      <c r="U480" s="424">
        <v>60593197777.391541</v>
      </c>
      <c r="V480" s="426"/>
      <c r="W480" s="97"/>
      <c r="X480" s="97"/>
      <c r="Y480" s="97"/>
      <c r="Z480" s="68"/>
      <c r="AA480" s="68"/>
      <c r="AB480" s="68"/>
      <c r="AC480" s="68"/>
      <c r="AD480" s="68"/>
    </row>
    <row r="481" spans="1:30" ht="17">
      <c r="A481" s="68"/>
      <c r="B481" s="68"/>
      <c r="C481" s="68"/>
      <c r="D481" s="415"/>
      <c r="E481" s="415"/>
      <c r="F481" s="415"/>
      <c r="G481" s="415"/>
      <c r="H481" s="415"/>
      <c r="I481" s="415"/>
      <c r="J481" s="415"/>
      <c r="K481" s="97"/>
      <c r="L481" s="97"/>
      <c r="M481" s="97"/>
      <c r="N481" s="97"/>
      <c r="O481" s="97"/>
      <c r="P481" s="97"/>
      <c r="Q481" s="97"/>
      <c r="R481" s="97"/>
      <c r="S481" s="97"/>
      <c r="T481" s="423">
        <v>478</v>
      </c>
      <c r="U481" s="424">
        <v>60171295017.670853</v>
      </c>
      <c r="V481" s="426"/>
      <c r="W481" s="97"/>
      <c r="X481" s="97"/>
      <c r="Y481" s="97"/>
      <c r="Z481" s="68"/>
      <c r="AA481" s="68"/>
      <c r="AB481" s="68"/>
      <c r="AC481" s="68"/>
      <c r="AD481" s="68"/>
    </row>
    <row r="482" spans="1:30" ht="17">
      <c r="A482" s="68"/>
      <c r="B482" s="68"/>
      <c r="C482" s="68"/>
      <c r="D482" s="415"/>
      <c r="E482" s="415"/>
      <c r="F482" s="415"/>
      <c r="G482" s="415"/>
      <c r="H482" s="415"/>
      <c r="I482" s="415"/>
      <c r="J482" s="415"/>
      <c r="K482" s="97"/>
      <c r="L482" s="97"/>
      <c r="M482" s="97"/>
      <c r="N482" s="97"/>
      <c r="O482" s="97"/>
      <c r="P482" s="97"/>
      <c r="Q482" s="97"/>
      <c r="R482" s="97"/>
      <c r="S482" s="97"/>
      <c r="T482" s="423">
        <v>479</v>
      </c>
      <c r="U482" s="424">
        <v>57627981612.266014</v>
      </c>
      <c r="V482" s="426"/>
      <c r="W482" s="97"/>
      <c r="X482" s="97"/>
      <c r="Y482" s="97"/>
      <c r="Z482" s="68"/>
      <c r="AA482" s="68"/>
      <c r="AB482" s="68"/>
      <c r="AC482" s="68"/>
      <c r="AD482" s="68"/>
    </row>
    <row r="483" spans="1:30" ht="17">
      <c r="A483" s="68"/>
      <c r="B483" s="68"/>
      <c r="C483" s="68"/>
      <c r="D483" s="415"/>
      <c r="E483" s="415"/>
      <c r="F483" s="415"/>
      <c r="G483" s="415"/>
      <c r="H483" s="415"/>
      <c r="I483" s="415"/>
      <c r="J483" s="415"/>
      <c r="K483" s="97"/>
      <c r="L483" s="97"/>
      <c r="M483" s="97"/>
      <c r="N483" s="97"/>
      <c r="O483" s="97"/>
      <c r="P483" s="97"/>
      <c r="Q483" s="97"/>
      <c r="R483" s="97"/>
      <c r="S483" s="97"/>
      <c r="T483" s="423">
        <v>480</v>
      </c>
      <c r="U483" s="424">
        <v>61177495947.102905</v>
      </c>
      <c r="V483" s="426"/>
      <c r="W483" s="97"/>
      <c r="X483" s="97"/>
      <c r="Y483" s="97"/>
      <c r="Z483" s="68"/>
      <c r="AA483" s="68"/>
      <c r="AB483" s="68"/>
      <c r="AC483" s="68"/>
      <c r="AD483" s="68"/>
    </row>
    <row r="484" spans="1:30" ht="17">
      <c r="A484" s="68"/>
      <c r="B484" s="68"/>
      <c r="C484" s="68"/>
      <c r="D484" s="415"/>
      <c r="E484" s="415"/>
      <c r="F484" s="415"/>
      <c r="G484" s="415"/>
      <c r="H484" s="415"/>
      <c r="I484" s="415"/>
      <c r="J484" s="415"/>
      <c r="K484" s="97"/>
      <c r="L484" s="97"/>
      <c r="M484" s="97"/>
      <c r="N484" s="97"/>
      <c r="O484" s="97"/>
      <c r="P484" s="97"/>
      <c r="Q484" s="97"/>
      <c r="R484" s="97"/>
      <c r="S484" s="97"/>
      <c r="T484" s="423">
        <v>481</v>
      </c>
      <c r="U484" s="424">
        <v>59016189899.502525</v>
      </c>
      <c r="V484" s="426"/>
      <c r="W484" s="97"/>
      <c r="X484" s="97"/>
      <c r="Y484" s="97"/>
      <c r="Z484" s="68"/>
      <c r="AA484" s="68"/>
      <c r="AB484" s="68"/>
      <c r="AC484" s="68"/>
      <c r="AD484" s="68"/>
    </row>
    <row r="485" spans="1:30" ht="17">
      <c r="A485" s="68"/>
      <c r="B485" s="68"/>
      <c r="C485" s="68"/>
      <c r="D485" s="415"/>
      <c r="E485" s="415"/>
      <c r="F485" s="415"/>
      <c r="G485" s="415"/>
      <c r="H485" s="415"/>
      <c r="I485" s="415"/>
      <c r="J485" s="415"/>
      <c r="K485" s="97"/>
      <c r="L485" s="97"/>
      <c r="M485" s="97"/>
      <c r="N485" s="97"/>
      <c r="O485" s="97"/>
      <c r="P485" s="97"/>
      <c r="Q485" s="97"/>
      <c r="R485" s="97"/>
      <c r="S485" s="97"/>
      <c r="T485" s="423">
        <v>482</v>
      </c>
      <c r="U485" s="424">
        <v>58523159697.186874</v>
      </c>
      <c r="V485" s="426"/>
      <c r="W485" s="97"/>
      <c r="X485" s="97"/>
      <c r="Y485" s="97"/>
      <c r="Z485" s="68"/>
      <c r="AA485" s="68"/>
      <c r="AB485" s="68"/>
      <c r="AC485" s="68"/>
      <c r="AD485" s="68"/>
    </row>
    <row r="486" spans="1:30" ht="17">
      <c r="A486" s="68"/>
      <c r="B486" s="68"/>
      <c r="C486" s="68"/>
      <c r="D486" s="415"/>
      <c r="E486" s="415"/>
      <c r="F486" s="415"/>
      <c r="G486" s="415"/>
      <c r="H486" s="415"/>
      <c r="I486" s="415"/>
      <c r="J486" s="415"/>
      <c r="K486" s="97"/>
      <c r="L486" s="97"/>
      <c r="M486" s="97"/>
      <c r="N486" s="97"/>
      <c r="O486" s="97"/>
      <c r="P486" s="97"/>
      <c r="Q486" s="97"/>
      <c r="R486" s="97"/>
      <c r="S486" s="97"/>
      <c r="T486" s="423">
        <v>483</v>
      </c>
      <c r="U486" s="424">
        <v>58457777471.503998</v>
      </c>
      <c r="V486" s="426"/>
      <c r="W486" s="97"/>
      <c r="X486" s="97"/>
      <c r="Y486" s="97"/>
      <c r="Z486" s="68"/>
      <c r="AA486" s="68"/>
      <c r="AB486" s="68"/>
      <c r="AC486" s="68"/>
      <c r="AD486" s="68"/>
    </row>
    <row r="487" spans="1:30" ht="17">
      <c r="A487" s="68"/>
      <c r="B487" s="68"/>
      <c r="C487" s="68"/>
      <c r="D487" s="415"/>
      <c r="E487" s="415"/>
      <c r="F487" s="415"/>
      <c r="G487" s="415"/>
      <c r="H487" s="415"/>
      <c r="I487" s="415"/>
      <c r="J487" s="415"/>
      <c r="K487" s="97"/>
      <c r="L487" s="97"/>
      <c r="M487" s="97"/>
      <c r="N487" s="97"/>
      <c r="O487" s="97"/>
      <c r="P487" s="97"/>
      <c r="Q487" s="97"/>
      <c r="R487" s="97"/>
      <c r="S487" s="97"/>
      <c r="T487" s="423">
        <v>484</v>
      </c>
      <c r="U487" s="424">
        <v>58645242506.087418</v>
      </c>
      <c r="V487" s="426"/>
      <c r="W487" s="97"/>
      <c r="X487" s="97"/>
      <c r="Y487" s="97"/>
      <c r="Z487" s="68"/>
      <c r="AA487" s="68"/>
      <c r="AB487" s="68"/>
      <c r="AC487" s="68"/>
      <c r="AD487" s="68"/>
    </row>
    <row r="488" spans="1:30" ht="17">
      <c r="A488" s="68"/>
      <c r="B488" s="68"/>
      <c r="C488" s="68"/>
      <c r="D488" s="415"/>
      <c r="E488" s="415"/>
      <c r="F488" s="415"/>
      <c r="G488" s="415"/>
      <c r="H488" s="415"/>
      <c r="I488" s="415"/>
      <c r="J488" s="415"/>
      <c r="K488" s="97"/>
      <c r="L488" s="97"/>
      <c r="M488" s="97"/>
      <c r="N488" s="97"/>
      <c r="O488" s="97"/>
      <c r="P488" s="97"/>
      <c r="Q488" s="97"/>
      <c r="R488" s="97"/>
      <c r="S488" s="97"/>
      <c r="T488" s="423">
        <v>485</v>
      </c>
      <c r="U488" s="424">
        <v>58187779782.84761</v>
      </c>
      <c r="V488" s="426"/>
      <c r="W488" s="97"/>
      <c r="X488" s="97"/>
      <c r="Y488" s="97"/>
      <c r="Z488" s="68"/>
      <c r="AA488" s="68"/>
      <c r="AB488" s="68"/>
      <c r="AC488" s="68"/>
      <c r="AD488" s="68"/>
    </row>
    <row r="489" spans="1:30" ht="17">
      <c r="A489" s="68"/>
      <c r="B489" s="68"/>
      <c r="C489" s="68"/>
      <c r="D489" s="415"/>
      <c r="E489" s="415"/>
      <c r="F489" s="415"/>
      <c r="G489" s="415"/>
      <c r="H489" s="415"/>
      <c r="I489" s="415"/>
      <c r="J489" s="415"/>
      <c r="K489" s="97"/>
      <c r="L489" s="97"/>
      <c r="M489" s="97"/>
      <c r="N489" s="97"/>
      <c r="O489" s="97"/>
      <c r="P489" s="97"/>
      <c r="Q489" s="97"/>
      <c r="R489" s="97"/>
      <c r="S489" s="97"/>
      <c r="T489" s="423">
        <v>486</v>
      </c>
      <c r="U489" s="424">
        <v>61424642632.020248</v>
      </c>
      <c r="V489" s="426"/>
      <c r="W489" s="97"/>
      <c r="X489" s="97"/>
      <c r="Y489" s="97"/>
      <c r="Z489" s="68"/>
      <c r="AA489" s="68"/>
      <c r="AB489" s="68"/>
      <c r="AC489" s="68"/>
      <c r="AD489" s="68"/>
    </row>
    <row r="490" spans="1:30" ht="17">
      <c r="A490" s="68"/>
      <c r="B490" s="68"/>
      <c r="C490" s="68"/>
      <c r="D490" s="415"/>
      <c r="E490" s="415"/>
      <c r="F490" s="415"/>
      <c r="G490" s="415"/>
      <c r="H490" s="415"/>
      <c r="I490" s="415"/>
      <c r="J490" s="415"/>
      <c r="K490" s="97"/>
      <c r="L490" s="97"/>
      <c r="M490" s="97"/>
      <c r="N490" s="97"/>
      <c r="O490" s="97"/>
      <c r="P490" s="97"/>
      <c r="Q490" s="97"/>
      <c r="R490" s="97"/>
      <c r="S490" s="97"/>
      <c r="T490" s="423">
        <v>487</v>
      </c>
      <c r="U490" s="424">
        <v>59679495844.718277</v>
      </c>
      <c r="V490" s="426"/>
      <c r="W490" s="97"/>
      <c r="X490" s="97"/>
      <c r="Y490" s="97"/>
      <c r="Z490" s="68"/>
      <c r="AA490" s="68"/>
      <c r="AB490" s="68"/>
      <c r="AC490" s="68"/>
      <c r="AD490" s="68"/>
    </row>
    <row r="491" spans="1:30" ht="17">
      <c r="A491" s="68"/>
      <c r="B491" s="68"/>
      <c r="C491" s="68"/>
      <c r="D491" s="415"/>
      <c r="E491" s="415"/>
      <c r="F491" s="415"/>
      <c r="G491" s="415"/>
      <c r="H491" s="415"/>
      <c r="I491" s="415"/>
      <c r="J491" s="415"/>
      <c r="K491" s="97"/>
      <c r="L491" s="97"/>
      <c r="M491" s="97"/>
      <c r="N491" s="97"/>
      <c r="O491" s="97"/>
      <c r="P491" s="97"/>
      <c r="Q491" s="97"/>
      <c r="R491" s="97"/>
      <c r="S491" s="97"/>
      <c r="T491" s="423">
        <v>488</v>
      </c>
      <c r="U491" s="424">
        <v>58063113335.522247</v>
      </c>
      <c r="V491" s="426"/>
      <c r="W491" s="97"/>
      <c r="X491" s="97"/>
      <c r="Y491" s="97"/>
      <c r="Z491" s="68"/>
      <c r="AA491" s="68"/>
      <c r="AB491" s="68"/>
      <c r="AC491" s="68"/>
      <c r="AD491" s="68"/>
    </row>
    <row r="492" spans="1:30" ht="17">
      <c r="A492" s="68"/>
      <c r="B492" s="68"/>
      <c r="C492" s="68"/>
      <c r="D492" s="415"/>
      <c r="E492" s="415"/>
      <c r="F492" s="415"/>
      <c r="G492" s="415"/>
      <c r="H492" s="415"/>
      <c r="I492" s="415"/>
      <c r="J492" s="415"/>
      <c r="K492" s="97"/>
      <c r="L492" s="97"/>
      <c r="M492" s="97"/>
      <c r="N492" s="97"/>
      <c r="O492" s="97"/>
      <c r="P492" s="97"/>
      <c r="Q492" s="97"/>
      <c r="R492" s="97"/>
      <c r="S492" s="97"/>
      <c r="T492" s="423">
        <v>489</v>
      </c>
      <c r="U492" s="424">
        <v>57812309467.64579</v>
      </c>
      <c r="V492" s="426"/>
      <c r="W492" s="97"/>
      <c r="X492" s="97"/>
      <c r="Y492" s="97"/>
      <c r="Z492" s="68"/>
      <c r="AA492" s="68"/>
      <c r="AB492" s="68"/>
      <c r="AC492" s="68"/>
      <c r="AD492" s="68"/>
    </row>
    <row r="493" spans="1:30" ht="17">
      <c r="A493" s="68"/>
      <c r="B493" s="68"/>
      <c r="C493" s="68"/>
      <c r="D493" s="415"/>
      <c r="E493" s="415"/>
      <c r="F493" s="415"/>
      <c r="G493" s="415"/>
      <c r="H493" s="415"/>
      <c r="I493" s="415"/>
      <c r="J493" s="415"/>
      <c r="K493" s="97"/>
      <c r="L493" s="97"/>
      <c r="M493" s="97"/>
      <c r="N493" s="97"/>
      <c r="O493" s="97"/>
      <c r="P493" s="97"/>
      <c r="Q493" s="97"/>
      <c r="R493" s="97"/>
      <c r="S493" s="97"/>
      <c r="T493" s="423">
        <v>490</v>
      </c>
      <c r="U493" s="424">
        <v>59765335397.834015</v>
      </c>
      <c r="V493" s="426"/>
      <c r="W493" s="97"/>
      <c r="X493" s="97"/>
      <c r="Y493" s="97"/>
      <c r="Z493" s="68"/>
      <c r="AA493" s="68"/>
      <c r="AB493" s="68"/>
      <c r="AC493" s="68"/>
      <c r="AD493" s="68"/>
    </row>
    <row r="494" spans="1:30" ht="17">
      <c r="A494" s="68"/>
      <c r="B494" s="68"/>
      <c r="C494" s="68"/>
      <c r="D494" s="415"/>
      <c r="E494" s="415"/>
      <c r="F494" s="415"/>
      <c r="G494" s="415"/>
      <c r="H494" s="415"/>
      <c r="I494" s="415"/>
      <c r="J494" s="415"/>
      <c r="K494" s="97"/>
      <c r="L494" s="97"/>
      <c r="M494" s="97"/>
      <c r="N494" s="97"/>
      <c r="O494" s="97"/>
      <c r="P494" s="97"/>
      <c r="Q494" s="97"/>
      <c r="R494" s="97"/>
      <c r="S494" s="97"/>
      <c r="T494" s="423">
        <v>491</v>
      </c>
      <c r="U494" s="424">
        <v>60064047060.552475</v>
      </c>
      <c r="V494" s="426"/>
      <c r="W494" s="97"/>
      <c r="X494" s="97"/>
      <c r="Y494" s="97"/>
      <c r="Z494" s="68"/>
      <c r="AA494" s="68"/>
      <c r="AB494" s="68"/>
      <c r="AC494" s="68"/>
      <c r="AD494" s="68"/>
    </row>
    <row r="495" spans="1:30" ht="17">
      <c r="A495" s="68"/>
      <c r="B495" s="68"/>
      <c r="C495" s="68"/>
      <c r="D495" s="415"/>
      <c r="E495" s="415"/>
      <c r="F495" s="415"/>
      <c r="G495" s="415"/>
      <c r="H495" s="415"/>
      <c r="I495" s="415"/>
      <c r="J495" s="415"/>
      <c r="K495" s="97"/>
      <c r="L495" s="97"/>
      <c r="M495" s="97"/>
      <c r="N495" s="97"/>
      <c r="O495" s="97"/>
      <c r="P495" s="97"/>
      <c r="Q495" s="97"/>
      <c r="R495" s="97"/>
      <c r="S495" s="97"/>
      <c r="T495" s="423">
        <v>492</v>
      </c>
      <c r="U495" s="424">
        <v>59835097033.211617</v>
      </c>
      <c r="V495" s="426"/>
      <c r="W495" s="97"/>
      <c r="X495" s="97"/>
      <c r="Y495" s="97"/>
      <c r="Z495" s="68"/>
      <c r="AA495" s="68"/>
      <c r="AB495" s="68"/>
      <c r="AC495" s="68"/>
      <c r="AD495" s="68"/>
    </row>
    <row r="496" spans="1:30" ht="17">
      <c r="A496" s="68"/>
      <c r="B496" s="68"/>
      <c r="C496" s="68"/>
      <c r="D496" s="415"/>
      <c r="E496" s="415"/>
      <c r="F496" s="415"/>
      <c r="G496" s="415"/>
      <c r="H496" s="415"/>
      <c r="I496" s="415"/>
      <c r="J496" s="415"/>
      <c r="K496" s="97"/>
      <c r="L496" s="97"/>
      <c r="M496" s="97"/>
      <c r="N496" s="97"/>
      <c r="O496" s="97"/>
      <c r="P496" s="97"/>
      <c r="Q496" s="97"/>
      <c r="R496" s="97"/>
      <c r="S496" s="97"/>
      <c r="T496" s="423">
        <v>493</v>
      </c>
      <c r="U496" s="424">
        <v>58083191495.551071</v>
      </c>
      <c r="V496" s="426"/>
      <c r="W496" s="97"/>
      <c r="X496" s="97"/>
      <c r="Y496" s="97"/>
      <c r="Z496" s="68"/>
      <c r="AA496" s="68"/>
      <c r="AB496" s="68"/>
      <c r="AC496" s="68"/>
      <c r="AD496" s="68"/>
    </row>
    <row r="497" spans="1:30" ht="17">
      <c r="A497" s="68"/>
      <c r="B497" s="68"/>
      <c r="C497" s="68"/>
      <c r="D497" s="415"/>
      <c r="E497" s="415"/>
      <c r="F497" s="415"/>
      <c r="G497" s="415"/>
      <c r="H497" s="415"/>
      <c r="I497" s="415"/>
      <c r="J497" s="415"/>
      <c r="K497" s="97"/>
      <c r="L497" s="97"/>
      <c r="M497" s="97"/>
      <c r="N497" s="97"/>
      <c r="O497" s="97"/>
      <c r="P497" s="97"/>
      <c r="Q497" s="97"/>
      <c r="R497" s="97"/>
      <c r="S497" s="97"/>
      <c r="T497" s="423">
        <v>494</v>
      </c>
      <c r="U497" s="424">
        <v>58275879176.26973</v>
      </c>
      <c r="V497" s="426"/>
      <c r="W497" s="97"/>
      <c r="X497" s="97"/>
      <c r="Y497" s="97"/>
      <c r="Z497" s="68"/>
      <c r="AA497" s="68"/>
      <c r="AB497" s="68"/>
      <c r="AC497" s="68"/>
      <c r="AD497" s="68"/>
    </row>
    <row r="498" spans="1:30" ht="17">
      <c r="A498" s="68"/>
      <c r="B498" s="68"/>
      <c r="C498" s="68"/>
      <c r="D498" s="415"/>
      <c r="E498" s="415"/>
      <c r="F498" s="415"/>
      <c r="G498" s="415"/>
      <c r="H498" s="415"/>
      <c r="I498" s="415"/>
      <c r="J498" s="415"/>
      <c r="K498" s="97"/>
      <c r="L498" s="97"/>
      <c r="M498" s="97"/>
      <c r="N498" s="97"/>
      <c r="O498" s="97"/>
      <c r="P498" s="97"/>
      <c r="Q498" s="97"/>
      <c r="R498" s="97"/>
      <c r="S498" s="97"/>
      <c r="T498" s="423">
        <v>495</v>
      </c>
      <c r="U498" s="424">
        <v>54220099600.790565</v>
      </c>
      <c r="V498" s="426"/>
      <c r="W498" s="97"/>
      <c r="X498" s="97"/>
      <c r="Y498" s="97"/>
      <c r="Z498" s="68"/>
      <c r="AA498" s="68"/>
      <c r="AB498" s="68"/>
      <c r="AC498" s="68"/>
      <c r="AD498" s="68"/>
    </row>
    <row r="499" spans="1:30" ht="17">
      <c r="A499" s="68"/>
      <c r="B499" s="68"/>
      <c r="C499" s="68"/>
      <c r="D499" s="415"/>
      <c r="E499" s="415"/>
      <c r="F499" s="415"/>
      <c r="G499" s="415"/>
      <c r="H499" s="415"/>
      <c r="I499" s="415"/>
      <c r="J499" s="415"/>
      <c r="K499" s="97"/>
      <c r="L499" s="97"/>
      <c r="M499" s="97"/>
      <c r="N499" s="97"/>
      <c r="O499" s="97"/>
      <c r="P499" s="97"/>
      <c r="Q499" s="97"/>
      <c r="R499" s="97"/>
      <c r="S499" s="97"/>
      <c r="T499" s="423">
        <v>496</v>
      </c>
      <c r="U499" s="424">
        <v>60439101008.609543</v>
      </c>
      <c r="V499" s="426"/>
      <c r="W499" s="97"/>
      <c r="X499" s="97"/>
      <c r="Y499" s="97"/>
      <c r="Z499" s="68"/>
      <c r="AA499" s="68"/>
      <c r="AB499" s="68"/>
      <c r="AC499" s="68"/>
      <c r="AD499" s="68"/>
    </row>
    <row r="500" spans="1:30" ht="17">
      <c r="A500" s="68"/>
      <c r="B500" s="68"/>
      <c r="C500" s="68"/>
      <c r="D500" s="415"/>
      <c r="E500" s="415"/>
      <c r="F500" s="415"/>
      <c r="G500" s="415"/>
      <c r="H500" s="415"/>
      <c r="I500" s="415"/>
      <c r="J500" s="415"/>
      <c r="K500" s="97"/>
      <c r="L500" s="97"/>
      <c r="M500" s="97"/>
      <c r="N500" s="97"/>
      <c r="O500" s="97"/>
      <c r="P500" s="97"/>
      <c r="Q500" s="97"/>
      <c r="R500" s="97"/>
      <c r="S500" s="97"/>
      <c r="T500" s="423">
        <v>497</v>
      </c>
      <c r="U500" s="424">
        <v>56704420166.327484</v>
      </c>
      <c r="V500" s="426"/>
      <c r="W500" s="97"/>
      <c r="X500" s="97"/>
      <c r="Y500" s="97"/>
      <c r="Z500" s="68"/>
      <c r="AA500" s="68"/>
      <c r="AB500" s="68"/>
      <c r="AC500" s="68"/>
      <c r="AD500" s="68"/>
    </row>
    <row r="501" spans="1:30" ht="17">
      <c r="A501" s="68"/>
      <c r="B501" s="68"/>
      <c r="C501" s="68"/>
      <c r="D501" s="415"/>
      <c r="E501" s="415"/>
      <c r="F501" s="415"/>
      <c r="G501" s="415"/>
      <c r="H501" s="415"/>
      <c r="I501" s="415"/>
      <c r="J501" s="415"/>
      <c r="K501" s="97"/>
      <c r="L501" s="97"/>
      <c r="M501" s="97"/>
      <c r="N501" s="97"/>
      <c r="O501" s="97"/>
      <c r="P501" s="97"/>
      <c r="Q501" s="97"/>
      <c r="R501" s="97"/>
      <c r="S501" s="97"/>
      <c r="T501" s="423">
        <v>498</v>
      </c>
      <c r="U501" s="424">
        <v>61154353847.446709</v>
      </c>
      <c r="V501" s="426"/>
      <c r="W501" s="97"/>
      <c r="X501" s="97"/>
      <c r="Y501" s="97"/>
      <c r="Z501" s="68"/>
      <c r="AA501" s="68"/>
      <c r="AB501" s="68"/>
      <c r="AC501" s="68"/>
      <c r="AD501" s="68"/>
    </row>
    <row r="502" spans="1:30" ht="17">
      <c r="A502" s="68"/>
      <c r="B502" s="68"/>
      <c r="C502" s="68"/>
      <c r="D502" s="415"/>
      <c r="E502" s="415"/>
      <c r="F502" s="415"/>
      <c r="G502" s="415"/>
      <c r="H502" s="415"/>
      <c r="I502" s="415"/>
      <c r="J502" s="415"/>
      <c r="K502" s="97"/>
      <c r="L502" s="97"/>
      <c r="M502" s="97"/>
      <c r="N502" s="97"/>
      <c r="O502" s="97"/>
      <c r="P502" s="97"/>
      <c r="Q502" s="97"/>
      <c r="R502" s="97"/>
      <c r="S502" s="97"/>
      <c r="T502" s="423">
        <v>499</v>
      </c>
      <c r="U502" s="424">
        <v>56228037270.194931</v>
      </c>
      <c r="V502" s="426"/>
      <c r="W502" s="97"/>
      <c r="X502" s="97"/>
      <c r="Y502" s="97"/>
      <c r="Z502" s="68"/>
      <c r="AA502" s="68"/>
      <c r="AB502" s="68"/>
      <c r="AC502" s="68"/>
      <c r="AD502" s="68"/>
    </row>
    <row r="503" spans="1:30" ht="17">
      <c r="A503" s="68"/>
      <c r="B503" s="68"/>
      <c r="C503" s="68"/>
      <c r="D503" s="415"/>
      <c r="E503" s="415"/>
      <c r="F503" s="415"/>
      <c r="G503" s="415"/>
      <c r="H503" s="415"/>
      <c r="I503" s="415"/>
      <c r="J503" s="415"/>
      <c r="K503" s="97"/>
      <c r="L503" s="97"/>
      <c r="M503" s="97"/>
      <c r="N503" s="97"/>
      <c r="O503" s="97"/>
      <c r="P503" s="97"/>
      <c r="Q503" s="97"/>
      <c r="R503" s="97"/>
      <c r="S503" s="97"/>
      <c r="T503" s="423">
        <v>500</v>
      </c>
      <c r="U503" s="424">
        <v>60341196184.247147</v>
      </c>
      <c r="V503" s="426"/>
      <c r="W503" s="97"/>
      <c r="X503" s="97"/>
      <c r="Y503" s="97"/>
      <c r="Z503" s="68"/>
      <c r="AA503" s="68"/>
      <c r="AB503" s="68"/>
      <c r="AC503" s="68"/>
      <c r="AD503" s="68"/>
    </row>
    <row r="504" spans="1:30" ht="17">
      <c r="A504" s="68"/>
      <c r="B504" s="68"/>
      <c r="C504" s="68"/>
      <c r="D504" s="415"/>
      <c r="E504" s="415"/>
      <c r="F504" s="415"/>
      <c r="G504" s="415"/>
      <c r="H504" s="415"/>
      <c r="I504" s="415"/>
      <c r="J504" s="415"/>
      <c r="K504" s="97"/>
      <c r="L504" s="97"/>
      <c r="M504" s="97"/>
      <c r="N504" s="97"/>
      <c r="O504" s="97"/>
      <c r="P504" s="97"/>
      <c r="Q504" s="97"/>
      <c r="R504" s="97"/>
      <c r="S504" s="97"/>
      <c r="T504" s="423">
        <v>501</v>
      </c>
      <c r="U504" s="424">
        <v>59201201847.881393</v>
      </c>
      <c r="V504" s="426"/>
      <c r="W504" s="97"/>
      <c r="X504" s="97"/>
      <c r="Y504" s="97"/>
      <c r="Z504" s="68"/>
      <c r="AA504" s="68"/>
      <c r="AB504" s="68"/>
      <c r="AC504" s="68"/>
      <c r="AD504" s="68"/>
    </row>
    <row r="505" spans="1:30" ht="17">
      <c r="A505" s="68"/>
      <c r="B505" s="68"/>
      <c r="C505" s="68"/>
      <c r="D505" s="415"/>
      <c r="E505" s="415"/>
      <c r="F505" s="415"/>
      <c r="G505" s="415"/>
      <c r="H505" s="415"/>
      <c r="I505" s="415"/>
      <c r="J505" s="415"/>
      <c r="K505" s="97"/>
      <c r="L505" s="97"/>
      <c r="M505" s="97"/>
      <c r="N505" s="97"/>
      <c r="O505" s="97"/>
      <c r="P505" s="97"/>
      <c r="Q505" s="97"/>
      <c r="R505" s="97"/>
      <c r="S505" s="97"/>
      <c r="T505" s="423">
        <v>502</v>
      </c>
      <c r="U505" s="424">
        <v>57906465973.778091</v>
      </c>
      <c r="V505" s="426"/>
      <c r="W505" s="97"/>
      <c r="X505" s="97"/>
      <c r="Y505" s="97"/>
      <c r="Z505" s="68"/>
      <c r="AA505" s="68"/>
      <c r="AB505" s="68"/>
      <c r="AC505" s="68"/>
      <c r="AD505" s="68"/>
    </row>
    <row r="506" spans="1:30" ht="17">
      <c r="A506" s="68"/>
      <c r="B506" s="68"/>
      <c r="C506" s="68"/>
      <c r="D506" s="415"/>
      <c r="E506" s="415"/>
      <c r="F506" s="415"/>
      <c r="G506" s="415"/>
      <c r="H506" s="415"/>
      <c r="I506" s="415"/>
      <c r="J506" s="415"/>
      <c r="K506" s="97"/>
      <c r="L506" s="97"/>
      <c r="M506" s="97"/>
      <c r="N506" s="97"/>
      <c r="O506" s="97"/>
      <c r="P506" s="97"/>
      <c r="Q506" s="97"/>
      <c r="R506" s="97"/>
      <c r="S506" s="97"/>
      <c r="T506" s="423">
        <v>503</v>
      </c>
      <c r="U506" s="424">
        <v>59383705163.227448</v>
      </c>
      <c r="V506" s="426"/>
      <c r="W506" s="97"/>
      <c r="X506" s="97"/>
      <c r="Y506" s="97"/>
      <c r="Z506" s="68"/>
      <c r="AA506" s="68"/>
      <c r="AB506" s="68"/>
      <c r="AC506" s="68"/>
      <c r="AD506" s="68"/>
    </row>
    <row r="507" spans="1:30" ht="17">
      <c r="A507" s="68"/>
      <c r="B507" s="68"/>
      <c r="C507" s="68"/>
      <c r="D507" s="415"/>
      <c r="E507" s="415"/>
      <c r="F507" s="415"/>
      <c r="G507" s="415"/>
      <c r="H507" s="415"/>
      <c r="I507" s="415"/>
      <c r="J507" s="415"/>
      <c r="K507" s="97"/>
      <c r="L507" s="97"/>
      <c r="M507" s="97"/>
      <c r="N507" s="97"/>
      <c r="O507" s="97"/>
      <c r="P507" s="97"/>
      <c r="Q507" s="97"/>
      <c r="R507" s="97"/>
      <c r="S507" s="97"/>
      <c r="T507" s="423">
        <v>504</v>
      </c>
      <c r="U507" s="424">
        <v>58963968329.733902</v>
      </c>
      <c r="V507" s="426"/>
      <c r="W507" s="97"/>
      <c r="X507" s="97"/>
      <c r="Y507" s="97"/>
      <c r="Z507" s="68"/>
      <c r="AA507" s="68"/>
      <c r="AB507" s="68"/>
      <c r="AC507" s="68"/>
      <c r="AD507" s="68"/>
    </row>
    <row r="508" spans="1:30" ht="17">
      <c r="A508" s="68"/>
      <c r="B508" s="68"/>
      <c r="C508" s="68"/>
      <c r="D508" s="415"/>
      <c r="E508" s="415"/>
      <c r="F508" s="415"/>
      <c r="G508" s="415"/>
      <c r="H508" s="415"/>
      <c r="I508" s="415"/>
      <c r="J508" s="415"/>
      <c r="K508" s="97"/>
      <c r="L508" s="97"/>
      <c r="M508" s="97"/>
      <c r="N508" s="97"/>
      <c r="O508" s="97"/>
      <c r="P508" s="97"/>
      <c r="Q508" s="97"/>
      <c r="R508" s="97"/>
      <c r="S508" s="97"/>
      <c r="T508" s="423">
        <v>505</v>
      </c>
      <c r="U508" s="424">
        <v>59224050269.501938</v>
      </c>
      <c r="V508" s="426"/>
      <c r="W508" s="97"/>
      <c r="X508" s="97"/>
      <c r="Y508" s="97"/>
      <c r="Z508" s="68"/>
      <c r="AA508" s="68"/>
      <c r="AB508" s="68"/>
      <c r="AC508" s="68"/>
      <c r="AD508" s="68"/>
    </row>
    <row r="509" spans="1:30" ht="17">
      <c r="A509" s="68"/>
      <c r="B509" s="68"/>
      <c r="C509" s="68"/>
      <c r="D509" s="415"/>
      <c r="E509" s="415"/>
      <c r="F509" s="415"/>
      <c r="G509" s="415"/>
      <c r="H509" s="415"/>
      <c r="I509" s="415"/>
      <c r="J509" s="415"/>
      <c r="K509" s="97"/>
      <c r="L509" s="97"/>
      <c r="M509" s="97"/>
      <c r="N509" s="97"/>
      <c r="O509" s="97"/>
      <c r="P509" s="97"/>
      <c r="Q509" s="97"/>
      <c r="R509" s="97"/>
      <c r="S509" s="97"/>
      <c r="T509" s="423">
        <v>506</v>
      </c>
      <c r="U509" s="424">
        <v>61215168171.498405</v>
      </c>
      <c r="V509" s="426"/>
      <c r="W509" s="97"/>
      <c r="X509" s="97"/>
      <c r="Y509" s="97"/>
      <c r="Z509" s="68"/>
      <c r="AA509" s="68"/>
      <c r="AB509" s="68"/>
      <c r="AC509" s="68"/>
      <c r="AD509" s="68"/>
    </row>
    <row r="510" spans="1:30" ht="17">
      <c r="A510" s="68"/>
      <c r="B510" s="68"/>
      <c r="C510" s="68"/>
      <c r="D510" s="415"/>
      <c r="E510" s="415"/>
      <c r="F510" s="415"/>
      <c r="G510" s="415"/>
      <c r="H510" s="415"/>
      <c r="I510" s="415"/>
      <c r="J510" s="415"/>
      <c r="K510" s="97"/>
      <c r="L510" s="97"/>
      <c r="M510" s="97"/>
      <c r="N510" s="97"/>
      <c r="O510" s="97"/>
      <c r="P510" s="97"/>
      <c r="Q510" s="97"/>
      <c r="R510" s="97"/>
      <c r="S510" s="97"/>
      <c r="T510" s="423">
        <v>507</v>
      </c>
      <c r="U510" s="424">
        <v>54987963721.235451</v>
      </c>
      <c r="V510" s="426"/>
      <c r="W510" s="97"/>
      <c r="X510" s="97"/>
      <c r="Y510" s="97"/>
      <c r="Z510" s="68"/>
      <c r="AA510" s="68"/>
      <c r="AB510" s="68"/>
      <c r="AC510" s="68"/>
      <c r="AD510" s="68"/>
    </row>
    <row r="511" spans="1:30" ht="17">
      <c r="A511" s="68"/>
      <c r="B511" s="68"/>
      <c r="C511" s="68"/>
      <c r="D511" s="415"/>
      <c r="E511" s="415"/>
      <c r="F511" s="415"/>
      <c r="G511" s="415"/>
      <c r="H511" s="415"/>
      <c r="I511" s="415"/>
      <c r="J511" s="415"/>
      <c r="K511" s="97"/>
      <c r="L511" s="97"/>
      <c r="M511" s="97"/>
      <c r="N511" s="97"/>
      <c r="O511" s="97"/>
      <c r="P511" s="97"/>
      <c r="Q511" s="97"/>
      <c r="R511" s="97"/>
      <c r="S511" s="97"/>
      <c r="T511" s="423">
        <v>508</v>
      </c>
      <c r="U511" s="424">
        <v>61163378231.323524</v>
      </c>
      <c r="V511" s="426"/>
      <c r="W511" s="97"/>
      <c r="X511" s="97"/>
      <c r="Y511" s="97"/>
      <c r="Z511" s="68"/>
      <c r="AA511" s="68"/>
      <c r="AB511" s="68"/>
      <c r="AC511" s="68"/>
      <c r="AD511" s="68"/>
    </row>
    <row r="512" spans="1:30" ht="17">
      <c r="A512" s="68"/>
      <c r="B512" s="68"/>
      <c r="C512" s="68"/>
      <c r="D512" s="415"/>
      <c r="E512" s="415"/>
      <c r="F512" s="415"/>
      <c r="G512" s="415"/>
      <c r="H512" s="415"/>
      <c r="I512" s="415"/>
      <c r="J512" s="415"/>
      <c r="K512" s="97"/>
      <c r="L512" s="97"/>
      <c r="M512" s="97"/>
      <c r="N512" s="97"/>
      <c r="O512" s="97"/>
      <c r="P512" s="97"/>
      <c r="Q512" s="97"/>
      <c r="R512" s="97"/>
      <c r="S512" s="97"/>
      <c r="T512" s="423">
        <v>509</v>
      </c>
      <c r="U512" s="424">
        <v>53754879929.508186</v>
      </c>
      <c r="V512" s="426"/>
      <c r="W512" s="97"/>
      <c r="X512" s="97"/>
      <c r="Y512" s="97"/>
      <c r="Z512" s="68"/>
      <c r="AA512" s="68"/>
      <c r="AB512" s="68"/>
      <c r="AC512" s="68"/>
      <c r="AD512" s="68"/>
    </row>
    <row r="513" spans="1:30" ht="17">
      <c r="A513" s="68"/>
      <c r="B513" s="68"/>
      <c r="C513" s="68"/>
      <c r="D513" s="415"/>
      <c r="E513" s="415"/>
      <c r="F513" s="415"/>
      <c r="G513" s="415"/>
      <c r="H513" s="415"/>
      <c r="I513" s="415"/>
      <c r="J513" s="415"/>
      <c r="K513" s="97"/>
      <c r="L513" s="97"/>
      <c r="M513" s="97"/>
      <c r="N513" s="97"/>
      <c r="O513" s="97"/>
      <c r="P513" s="97"/>
      <c r="Q513" s="97"/>
      <c r="R513" s="97"/>
      <c r="S513" s="97"/>
      <c r="T513" s="423">
        <v>510</v>
      </c>
      <c r="U513" s="424">
        <v>59439870596.789497</v>
      </c>
      <c r="V513" s="426"/>
      <c r="W513" s="97"/>
      <c r="X513" s="97"/>
      <c r="Y513" s="97"/>
      <c r="Z513" s="68"/>
      <c r="AA513" s="68"/>
      <c r="AB513" s="68"/>
      <c r="AC513" s="68"/>
      <c r="AD513" s="68"/>
    </row>
    <row r="514" spans="1:30" ht="17">
      <c r="A514" s="68"/>
      <c r="B514" s="68"/>
      <c r="C514" s="68"/>
      <c r="D514" s="415"/>
      <c r="E514" s="415"/>
      <c r="F514" s="415"/>
      <c r="G514" s="415"/>
      <c r="H514" s="415"/>
      <c r="I514" s="415"/>
      <c r="J514" s="415"/>
      <c r="K514" s="97"/>
      <c r="L514" s="97"/>
      <c r="M514" s="97"/>
      <c r="N514" s="97"/>
      <c r="O514" s="97"/>
      <c r="P514" s="97"/>
      <c r="Q514" s="97"/>
      <c r="R514" s="97"/>
      <c r="S514" s="97"/>
      <c r="T514" s="423">
        <v>511</v>
      </c>
      <c r="U514" s="424">
        <v>58282060477.724945</v>
      </c>
      <c r="V514" s="426"/>
      <c r="W514" s="97"/>
      <c r="X514" s="97"/>
      <c r="Y514" s="97"/>
      <c r="Z514" s="68"/>
      <c r="AA514" s="68"/>
      <c r="AB514" s="68"/>
      <c r="AC514" s="68"/>
      <c r="AD514" s="68"/>
    </row>
    <row r="515" spans="1:30" ht="17">
      <c r="A515" s="68"/>
      <c r="B515" s="68"/>
      <c r="C515" s="68"/>
      <c r="D515" s="415"/>
      <c r="E515" s="415"/>
      <c r="F515" s="415"/>
      <c r="G515" s="415"/>
      <c r="H515" s="415"/>
      <c r="I515" s="415"/>
      <c r="J515" s="415"/>
      <c r="K515" s="97"/>
      <c r="L515" s="97"/>
      <c r="M515" s="97"/>
      <c r="N515" s="97"/>
      <c r="O515" s="97"/>
      <c r="P515" s="97"/>
      <c r="Q515" s="97"/>
      <c r="R515" s="97"/>
      <c r="S515" s="97"/>
      <c r="T515" s="423">
        <v>512</v>
      </c>
      <c r="U515" s="424">
        <v>57788250129.667839</v>
      </c>
      <c r="V515" s="426"/>
      <c r="W515" s="97"/>
      <c r="X515" s="97"/>
      <c r="Y515" s="97"/>
      <c r="Z515" s="68"/>
      <c r="AA515" s="68"/>
      <c r="AB515" s="68"/>
      <c r="AC515" s="68"/>
      <c r="AD515" s="68"/>
    </row>
    <row r="516" spans="1:30" ht="17">
      <c r="A516" s="68"/>
      <c r="B516" s="68"/>
      <c r="C516" s="68"/>
      <c r="D516" s="415"/>
      <c r="E516" s="415"/>
      <c r="F516" s="415"/>
      <c r="G516" s="415"/>
      <c r="H516" s="415"/>
      <c r="I516" s="415"/>
      <c r="J516" s="415"/>
      <c r="K516" s="97"/>
      <c r="L516" s="97"/>
      <c r="M516" s="97"/>
      <c r="N516" s="97"/>
      <c r="O516" s="97"/>
      <c r="P516" s="97"/>
      <c r="Q516" s="97"/>
      <c r="R516" s="97"/>
      <c r="S516" s="97"/>
      <c r="T516" s="423">
        <v>513</v>
      </c>
      <c r="U516" s="424">
        <v>61859024926.048706</v>
      </c>
      <c r="V516" s="426"/>
      <c r="W516" s="97"/>
      <c r="X516" s="97"/>
      <c r="Y516" s="97"/>
      <c r="Z516" s="68"/>
      <c r="AA516" s="68"/>
      <c r="AB516" s="68"/>
      <c r="AC516" s="68"/>
      <c r="AD516" s="68"/>
    </row>
    <row r="517" spans="1:30" ht="17">
      <c r="A517" s="68"/>
      <c r="B517" s="68"/>
      <c r="C517" s="68"/>
      <c r="D517" s="415"/>
      <c r="E517" s="415"/>
      <c r="F517" s="415"/>
      <c r="G517" s="415"/>
      <c r="H517" s="415"/>
      <c r="I517" s="415"/>
      <c r="J517" s="415"/>
      <c r="K517" s="97"/>
      <c r="L517" s="97"/>
      <c r="M517" s="97"/>
      <c r="N517" s="97"/>
      <c r="O517" s="97"/>
      <c r="P517" s="97"/>
      <c r="Q517" s="97"/>
      <c r="R517" s="97"/>
      <c r="S517" s="97"/>
      <c r="T517" s="423">
        <v>514</v>
      </c>
      <c r="U517" s="424">
        <v>57055349934.854782</v>
      </c>
      <c r="V517" s="426"/>
      <c r="W517" s="97"/>
      <c r="X517" s="97"/>
      <c r="Y517" s="97"/>
      <c r="Z517" s="68"/>
      <c r="AA517" s="68"/>
      <c r="AB517" s="68"/>
      <c r="AC517" s="68"/>
      <c r="AD517" s="68"/>
    </row>
    <row r="518" spans="1:30" ht="17">
      <c r="A518" s="68"/>
      <c r="B518" s="68"/>
      <c r="C518" s="68"/>
      <c r="D518" s="415"/>
      <c r="E518" s="415"/>
      <c r="F518" s="415"/>
      <c r="G518" s="415"/>
      <c r="H518" s="415"/>
      <c r="I518" s="415"/>
      <c r="J518" s="415"/>
      <c r="K518" s="97"/>
      <c r="L518" s="97"/>
      <c r="M518" s="97"/>
      <c r="N518" s="97"/>
      <c r="O518" s="97"/>
      <c r="P518" s="97"/>
      <c r="Q518" s="97"/>
      <c r="R518" s="97"/>
      <c r="S518" s="97"/>
      <c r="T518" s="423">
        <v>515</v>
      </c>
      <c r="U518" s="424">
        <v>55702852410.899475</v>
      </c>
      <c r="V518" s="426"/>
      <c r="W518" s="97"/>
      <c r="X518" s="97"/>
      <c r="Y518" s="97"/>
      <c r="Z518" s="68"/>
      <c r="AA518" s="68"/>
      <c r="AB518" s="68"/>
      <c r="AC518" s="68"/>
      <c r="AD518" s="68"/>
    </row>
    <row r="519" spans="1:30" ht="17">
      <c r="A519" s="68"/>
      <c r="B519" s="68"/>
      <c r="C519" s="68"/>
      <c r="D519" s="415"/>
      <c r="E519" s="415"/>
      <c r="F519" s="415"/>
      <c r="G519" s="415"/>
      <c r="H519" s="415"/>
      <c r="I519" s="415"/>
      <c r="J519" s="415"/>
      <c r="K519" s="97"/>
      <c r="L519" s="97"/>
      <c r="M519" s="97"/>
      <c r="N519" s="97"/>
      <c r="O519" s="97"/>
      <c r="P519" s="97"/>
      <c r="Q519" s="97"/>
      <c r="R519" s="97"/>
      <c r="S519" s="97"/>
      <c r="T519" s="423">
        <v>516</v>
      </c>
      <c r="U519" s="424">
        <v>56948671121.299088</v>
      </c>
      <c r="V519" s="426"/>
      <c r="W519" s="97"/>
      <c r="X519" s="97"/>
      <c r="Y519" s="97"/>
      <c r="Z519" s="68"/>
      <c r="AA519" s="68"/>
      <c r="AB519" s="68"/>
      <c r="AC519" s="68"/>
      <c r="AD519" s="68"/>
    </row>
    <row r="520" spans="1:30" ht="17">
      <c r="A520" s="68"/>
      <c r="B520" s="68"/>
      <c r="C520" s="68"/>
      <c r="D520" s="415"/>
      <c r="E520" s="415"/>
      <c r="F520" s="415"/>
      <c r="G520" s="415"/>
      <c r="H520" s="415"/>
      <c r="I520" s="415"/>
      <c r="J520" s="415"/>
      <c r="K520" s="97"/>
      <c r="L520" s="97"/>
      <c r="M520" s="97"/>
      <c r="N520" s="97"/>
      <c r="O520" s="97"/>
      <c r="P520" s="97"/>
      <c r="Q520" s="97"/>
      <c r="R520" s="97"/>
      <c r="S520" s="97"/>
      <c r="T520" s="423">
        <v>517</v>
      </c>
      <c r="U520" s="424">
        <v>61356397571.420685</v>
      </c>
      <c r="V520" s="426"/>
      <c r="W520" s="97"/>
      <c r="X520" s="97"/>
      <c r="Y520" s="97"/>
      <c r="Z520" s="68"/>
      <c r="AA520" s="68"/>
      <c r="AB520" s="68"/>
      <c r="AC520" s="68"/>
      <c r="AD520" s="68"/>
    </row>
    <row r="521" spans="1:30" ht="17">
      <c r="A521" s="68"/>
      <c r="B521" s="68"/>
      <c r="C521" s="68"/>
      <c r="D521" s="415"/>
      <c r="E521" s="415"/>
      <c r="F521" s="415"/>
      <c r="G521" s="415"/>
      <c r="H521" s="415"/>
      <c r="I521" s="415"/>
      <c r="J521" s="415"/>
      <c r="K521" s="97"/>
      <c r="L521" s="97"/>
      <c r="M521" s="97"/>
      <c r="N521" s="97"/>
      <c r="O521" s="97"/>
      <c r="P521" s="97"/>
      <c r="Q521" s="97"/>
      <c r="R521" s="97"/>
      <c r="S521" s="97"/>
      <c r="T521" s="423">
        <v>518</v>
      </c>
      <c r="U521" s="424">
        <v>56208118823.597488</v>
      </c>
      <c r="V521" s="426"/>
      <c r="W521" s="97"/>
      <c r="X521" s="97"/>
      <c r="Y521" s="97"/>
      <c r="Z521" s="68"/>
      <c r="AA521" s="68"/>
      <c r="AB521" s="68"/>
      <c r="AC521" s="68"/>
      <c r="AD521" s="68"/>
    </row>
    <row r="522" spans="1:30" ht="17">
      <c r="A522" s="68"/>
      <c r="B522" s="68"/>
      <c r="C522" s="68"/>
      <c r="D522" s="415"/>
      <c r="E522" s="415"/>
      <c r="F522" s="415"/>
      <c r="G522" s="415"/>
      <c r="H522" s="415"/>
      <c r="I522" s="415"/>
      <c r="J522" s="415"/>
      <c r="K522" s="97"/>
      <c r="L522" s="97"/>
      <c r="M522" s="97"/>
      <c r="N522" s="97"/>
      <c r="O522" s="97"/>
      <c r="P522" s="97"/>
      <c r="Q522" s="97"/>
      <c r="R522" s="97"/>
      <c r="S522" s="97"/>
      <c r="T522" s="423">
        <v>519</v>
      </c>
      <c r="U522" s="424">
        <v>58221324560.12178</v>
      </c>
      <c r="V522" s="426"/>
      <c r="W522" s="97"/>
      <c r="X522" s="97"/>
      <c r="Y522" s="97"/>
      <c r="Z522" s="68"/>
      <c r="AA522" s="68"/>
      <c r="AB522" s="68"/>
      <c r="AC522" s="68"/>
      <c r="AD522" s="68"/>
    </row>
    <row r="523" spans="1:30" ht="17">
      <c r="A523" s="68"/>
      <c r="B523" s="68"/>
      <c r="C523" s="68"/>
      <c r="D523" s="415"/>
      <c r="E523" s="415"/>
      <c r="F523" s="415"/>
      <c r="G523" s="415"/>
      <c r="H523" s="415"/>
      <c r="I523" s="415"/>
      <c r="J523" s="415"/>
      <c r="K523" s="97"/>
      <c r="L523" s="97"/>
      <c r="M523" s="97"/>
      <c r="N523" s="97"/>
      <c r="O523" s="97"/>
      <c r="P523" s="97"/>
      <c r="Q523" s="97"/>
      <c r="R523" s="97"/>
      <c r="S523" s="97"/>
      <c r="T523" s="423">
        <v>520</v>
      </c>
      <c r="U523" s="424">
        <v>61913173172.658791</v>
      </c>
      <c r="V523" s="426"/>
      <c r="W523" s="97"/>
      <c r="X523" s="97"/>
      <c r="Y523" s="97"/>
      <c r="Z523" s="68"/>
      <c r="AA523" s="68"/>
      <c r="AB523" s="68"/>
      <c r="AC523" s="68"/>
      <c r="AD523" s="68"/>
    </row>
    <row r="524" spans="1:30" ht="17">
      <c r="A524" s="68"/>
      <c r="B524" s="68"/>
      <c r="C524" s="68"/>
      <c r="D524" s="415"/>
      <c r="E524" s="415"/>
      <c r="F524" s="415"/>
      <c r="G524" s="415"/>
      <c r="H524" s="415"/>
      <c r="I524" s="415"/>
      <c r="J524" s="415"/>
      <c r="K524" s="97"/>
      <c r="L524" s="97"/>
      <c r="M524" s="97"/>
      <c r="N524" s="97"/>
      <c r="O524" s="97"/>
      <c r="P524" s="97"/>
      <c r="Q524" s="97"/>
      <c r="R524" s="97"/>
      <c r="S524" s="97"/>
      <c r="T524" s="423">
        <v>521</v>
      </c>
      <c r="U524" s="424">
        <v>58058961905.160271</v>
      </c>
      <c r="V524" s="426"/>
      <c r="W524" s="97"/>
      <c r="X524" s="97"/>
      <c r="Y524" s="97"/>
      <c r="Z524" s="68"/>
      <c r="AA524" s="68"/>
      <c r="AB524" s="68"/>
      <c r="AC524" s="68"/>
      <c r="AD524" s="68"/>
    </row>
    <row r="525" spans="1:30" ht="17">
      <c r="A525" s="68"/>
      <c r="B525" s="68"/>
      <c r="C525" s="68"/>
      <c r="D525" s="415"/>
      <c r="E525" s="415"/>
      <c r="F525" s="415"/>
      <c r="G525" s="415"/>
      <c r="H525" s="415"/>
      <c r="I525" s="415"/>
      <c r="J525" s="415"/>
      <c r="K525" s="97"/>
      <c r="L525" s="97"/>
      <c r="M525" s="97"/>
      <c r="N525" s="97"/>
      <c r="O525" s="97"/>
      <c r="P525" s="97"/>
      <c r="Q525" s="97"/>
      <c r="R525" s="97"/>
      <c r="S525" s="97"/>
      <c r="T525" s="423">
        <v>522</v>
      </c>
      <c r="U525" s="424">
        <v>58479014729.706253</v>
      </c>
      <c r="V525" s="426"/>
      <c r="W525" s="97"/>
      <c r="X525" s="97"/>
      <c r="Y525" s="97"/>
      <c r="Z525" s="68"/>
      <c r="AA525" s="68"/>
      <c r="AB525" s="68"/>
      <c r="AC525" s="68"/>
      <c r="AD525" s="68"/>
    </row>
    <row r="526" spans="1:30" ht="17">
      <c r="A526" s="68"/>
      <c r="B526" s="68"/>
      <c r="C526" s="68"/>
      <c r="D526" s="415"/>
      <c r="E526" s="415"/>
      <c r="F526" s="415"/>
      <c r="G526" s="415"/>
      <c r="H526" s="415"/>
      <c r="I526" s="415"/>
      <c r="J526" s="415"/>
      <c r="K526" s="97"/>
      <c r="L526" s="97"/>
      <c r="M526" s="97"/>
      <c r="N526" s="97"/>
      <c r="O526" s="97"/>
      <c r="P526" s="97"/>
      <c r="Q526" s="97"/>
      <c r="R526" s="97"/>
      <c r="S526" s="97"/>
      <c r="T526" s="423">
        <v>523</v>
      </c>
      <c r="U526" s="424">
        <v>59704357310.792252</v>
      </c>
      <c r="V526" s="426"/>
      <c r="W526" s="97"/>
      <c r="X526" s="97"/>
      <c r="Y526" s="97"/>
      <c r="Z526" s="68"/>
      <c r="AA526" s="68"/>
      <c r="AB526" s="68"/>
      <c r="AC526" s="68"/>
      <c r="AD526" s="68"/>
    </row>
    <row r="527" spans="1:30" ht="17">
      <c r="A527" s="68"/>
      <c r="B527" s="68"/>
      <c r="C527" s="68"/>
      <c r="D527" s="415"/>
      <c r="E527" s="415"/>
      <c r="F527" s="415"/>
      <c r="G527" s="415"/>
      <c r="H527" s="415"/>
      <c r="I527" s="415"/>
      <c r="J527" s="415"/>
      <c r="K527" s="97"/>
      <c r="L527" s="97"/>
      <c r="M527" s="97"/>
      <c r="N527" s="97"/>
      <c r="O527" s="97"/>
      <c r="P527" s="97"/>
      <c r="Q527" s="97"/>
      <c r="R527" s="97"/>
      <c r="S527" s="97"/>
      <c r="T527" s="423">
        <v>524</v>
      </c>
      <c r="U527" s="424">
        <v>60760791531.834412</v>
      </c>
      <c r="V527" s="426"/>
      <c r="W527" s="97"/>
      <c r="X527" s="97"/>
      <c r="Y527" s="97"/>
      <c r="Z527" s="68"/>
      <c r="AA527" s="68"/>
      <c r="AB527" s="68"/>
      <c r="AC527" s="68"/>
      <c r="AD527" s="68"/>
    </row>
    <row r="528" spans="1:30" ht="17">
      <c r="A528" s="68"/>
      <c r="B528" s="68"/>
      <c r="C528" s="68"/>
      <c r="D528" s="415"/>
      <c r="E528" s="415"/>
      <c r="F528" s="415"/>
      <c r="G528" s="415"/>
      <c r="H528" s="415"/>
      <c r="I528" s="415"/>
      <c r="J528" s="415"/>
      <c r="K528" s="97"/>
      <c r="L528" s="97"/>
      <c r="M528" s="97"/>
      <c r="N528" s="97"/>
      <c r="O528" s="97"/>
      <c r="P528" s="97"/>
      <c r="Q528" s="97"/>
      <c r="R528" s="97"/>
      <c r="S528" s="97"/>
      <c r="T528" s="423">
        <v>525</v>
      </c>
      <c r="U528" s="424">
        <v>60054260474.284882</v>
      </c>
      <c r="V528" s="426"/>
      <c r="W528" s="97"/>
      <c r="X528" s="97"/>
      <c r="Y528" s="97"/>
      <c r="Z528" s="68"/>
      <c r="AA528" s="68"/>
      <c r="AB528" s="68"/>
      <c r="AC528" s="68"/>
      <c r="AD528" s="68"/>
    </row>
    <row r="529" spans="1:30" ht="17">
      <c r="A529" s="68"/>
      <c r="B529" s="68"/>
      <c r="C529" s="68"/>
      <c r="D529" s="415"/>
      <c r="E529" s="415"/>
      <c r="F529" s="415"/>
      <c r="G529" s="415"/>
      <c r="H529" s="415"/>
      <c r="I529" s="415"/>
      <c r="J529" s="415"/>
      <c r="K529" s="97"/>
      <c r="L529" s="97"/>
      <c r="M529" s="97"/>
      <c r="N529" s="97"/>
      <c r="O529" s="97"/>
      <c r="P529" s="97"/>
      <c r="Q529" s="97"/>
      <c r="R529" s="97"/>
      <c r="S529" s="97"/>
      <c r="T529" s="423">
        <v>526</v>
      </c>
      <c r="U529" s="424">
        <v>57545533234.149239</v>
      </c>
      <c r="V529" s="426"/>
      <c r="W529" s="97"/>
      <c r="X529" s="97"/>
      <c r="Y529" s="97"/>
      <c r="Z529" s="68"/>
      <c r="AA529" s="68"/>
      <c r="AB529" s="68"/>
      <c r="AC529" s="68"/>
      <c r="AD529" s="68"/>
    </row>
    <row r="530" spans="1:30" ht="17">
      <c r="A530" s="68"/>
      <c r="B530" s="68"/>
      <c r="C530" s="68"/>
      <c r="D530" s="415"/>
      <c r="E530" s="415"/>
      <c r="F530" s="415"/>
      <c r="G530" s="415"/>
      <c r="H530" s="415"/>
      <c r="I530" s="415"/>
      <c r="J530" s="415"/>
      <c r="K530" s="97"/>
      <c r="L530" s="97"/>
      <c r="M530" s="97"/>
      <c r="N530" s="97"/>
      <c r="O530" s="97"/>
      <c r="P530" s="97"/>
      <c r="Q530" s="97"/>
      <c r="R530" s="97"/>
      <c r="S530" s="97"/>
      <c r="T530" s="423">
        <v>527</v>
      </c>
      <c r="U530" s="424">
        <v>55099825262.741776</v>
      </c>
      <c r="V530" s="426"/>
      <c r="W530" s="97"/>
      <c r="X530" s="97"/>
      <c r="Y530" s="97"/>
      <c r="Z530" s="68"/>
      <c r="AA530" s="68"/>
      <c r="AB530" s="68"/>
      <c r="AC530" s="68"/>
      <c r="AD530" s="68"/>
    </row>
    <row r="531" spans="1:30" ht="17">
      <c r="A531" s="68"/>
      <c r="B531" s="68"/>
      <c r="C531" s="68"/>
      <c r="D531" s="415"/>
      <c r="E531" s="415"/>
      <c r="F531" s="415"/>
      <c r="G531" s="415"/>
      <c r="H531" s="415"/>
      <c r="I531" s="415"/>
      <c r="J531" s="415"/>
      <c r="K531" s="97"/>
      <c r="L531" s="97"/>
      <c r="M531" s="97"/>
      <c r="N531" s="97"/>
      <c r="O531" s="97"/>
      <c r="P531" s="97"/>
      <c r="Q531" s="97"/>
      <c r="R531" s="97"/>
      <c r="S531" s="97"/>
      <c r="T531" s="423">
        <v>528</v>
      </c>
      <c r="U531" s="424">
        <v>59754023744.050446</v>
      </c>
      <c r="V531" s="426"/>
      <c r="W531" s="97"/>
      <c r="X531" s="97"/>
      <c r="Y531" s="97"/>
      <c r="Z531" s="68"/>
      <c r="AA531" s="68"/>
      <c r="AB531" s="68"/>
      <c r="AC531" s="68"/>
      <c r="AD531" s="68"/>
    </row>
    <row r="532" spans="1:30" ht="17">
      <c r="A532" s="68"/>
      <c r="B532" s="68"/>
      <c r="C532" s="68"/>
      <c r="D532" s="415"/>
      <c r="E532" s="415"/>
      <c r="F532" s="415"/>
      <c r="G532" s="415"/>
      <c r="H532" s="415"/>
      <c r="I532" s="415"/>
      <c r="J532" s="415"/>
      <c r="K532" s="97"/>
      <c r="L532" s="97"/>
      <c r="M532" s="97"/>
      <c r="N532" s="97"/>
      <c r="O532" s="97"/>
      <c r="P532" s="97"/>
      <c r="Q532" s="97"/>
      <c r="R532" s="97"/>
      <c r="S532" s="97"/>
      <c r="T532" s="423">
        <v>529</v>
      </c>
      <c r="U532" s="424">
        <v>54308283333.254417</v>
      </c>
      <c r="V532" s="426"/>
      <c r="W532" s="97"/>
      <c r="X532" s="97"/>
      <c r="Y532" s="97"/>
      <c r="Z532" s="68"/>
      <c r="AA532" s="68"/>
      <c r="AB532" s="68"/>
      <c r="AC532" s="68"/>
      <c r="AD532" s="68"/>
    </row>
    <row r="533" spans="1:30" ht="17">
      <c r="A533" s="68"/>
      <c r="B533" s="68"/>
      <c r="C533" s="68"/>
      <c r="D533" s="415"/>
      <c r="E533" s="415"/>
      <c r="F533" s="415"/>
      <c r="G533" s="415"/>
      <c r="H533" s="415"/>
      <c r="I533" s="415"/>
      <c r="J533" s="415"/>
      <c r="K533" s="97"/>
      <c r="L533" s="97"/>
      <c r="M533" s="97"/>
      <c r="N533" s="97"/>
      <c r="O533" s="97"/>
      <c r="P533" s="97"/>
      <c r="Q533" s="97"/>
      <c r="R533" s="97"/>
      <c r="S533" s="97"/>
      <c r="T533" s="423">
        <v>530</v>
      </c>
      <c r="U533" s="424">
        <v>60314403711.711601</v>
      </c>
      <c r="V533" s="426"/>
      <c r="W533" s="97"/>
      <c r="X533" s="97"/>
      <c r="Y533" s="97"/>
      <c r="Z533" s="68"/>
      <c r="AA533" s="68"/>
      <c r="AB533" s="68"/>
      <c r="AC533" s="68"/>
      <c r="AD533" s="68"/>
    </row>
    <row r="534" spans="1:30" ht="17">
      <c r="A534" s="68"/>
      <c r="B534" s="68"/>
      <c r="C534" s="68"/>
      <c r="D534" s="415"/>
      <c r="E534" s="415"/>
      <c r="F534" s="415"/>
      <c r="G534" s="415"/>
      <c r="H534" s="415"/>
      <c r="I534" s="415"/>
      <c r="J534" s="415"/>
      <c r="K534" s="97"/>
      <c r="L534" s="97"/>
      <c r="M534" s="97"/>
      <c r="N534" s="97"/>
      <c r="O534" s="97"/>
      <c r="P534" s="97"/>
      <c r="Q534" s="97"/>
      <c r="R534" s="97"/>
      <c r="S534" s="97"/>
      <c r="T534" s="423">
        <v>531</v>
      </c>
      <c r="U534" s="424">
        <v>58461824276.473412</v>
      </c>
      <c r="V534" s="426"/>
      <c r="W534" s="97"/>
      <c r="X534" s="97"/>
      <c r="Y534" s="97"/>
      <c r="Z534" s="68"/>
      <c r="AA534" s="68"/>
      <c r="AB534" s="68"/>
      <c r="AC534" s="68"/>
      <c r="AD534" s="68"/>
    </row>
    <row r="535" spans="1:30" ht="17">
      <c r="A535" s="68"/>
      <c r="B535" s="68"/>
      <c r="C535" s="68"/>
      <c r="D535" s="415"/>
      <c r="E535" s="415"/>
      <c r="F535" s="415"/>
      <c r="G535" s="415"/>
      <c r="H535" s="415"/>
      <c r="I535" s="415"/>
      <c r="J535" s="415"/>
      <c r="K535" s="97"/>
      <c r="L535" s="97"/>
      <c r="M535" s="97"/>
      <c r="N535" s="97"/>
      <c r="O535" s="97"/>
      <c r="P535" s="97"/>
      <c r="Q535" s="97"/>
      <c r="R535" s="97"/>
      <c r="S535" s="97"/>
      <c r="T535" s="423">
        <v>532</v>
      </c>
      <c r="U535" s="424">
        <v>60637360821.964645</v>
      </c>
      <c r="V535" s="426"/>
      <c r="W535" s="97"/>
      <c r="X535" s="97"/>
      <c r="Y535" s="97"/>
      <c r="Z535" s="68"/>
      <c r="AA535" s="68"/>
      <c r="AB535" s="68"/>
      <c r="AC535" s="68"/>
      <c r="AD535" s="68"/>
    </row>
    <row r="536" spans="1:30" ht="17">
      <c r="A536" s="68"/>
      <c r="B536" s="68"/>
      <c r="C536" s="68"/>
      <c r="D536" s="415"/>
      <c r="E536" s="415"/>
      <c r="F536" s="415"/>
      <c r="G536" s="415"/>
      <c r="H536" s="415"/>
      <c r="I536" s="415"/>
      <c r="J536" s="415"/>
      <c r="K536" s="97"/>
      <c r="L536" s="97"/>
      <c r="M536" s="97"/>
      <c r="N536" s="97"/>
      <c r="O536" s="97"/>
      <c r="P536" s="97"/>
      <c r="Q536" s="97"/>
      <c r="R536" s="97"/>
      <c r="S536" s="97"/>
      <c r="T536" s="423">
        <v>533</v>
      </c>
      <c r="U536" s="424">
        <v>58352076402.509811</v>
      </c>
      <c r="V536" s="426"/>
      <c r="W536" s="97"/>
      <c r="X536" s="97"/>
      <c r="Y536" s="97"/>
      <c r="Z536" s="68"/>
      <c r="AA536" s="68"/>
      <c r="AB536" s="68"/>
      <c r="AC536" s="68"/>
      <c r="AD536" s="68"/>
    </row>
    <row r="537" spans="1:30" ht="17">
      <c r="A537" s="68"/>
      <c r="B537" s="68"/>
      <c r="C537" s="68"/>
      <c r="D537" s="415"/>
      <c r="E537" s="415"/>
      <c r="F537" s="415"/>
      <c r="G537" s="415"/>
      <c r="H537" s="415"/>
      <c r="I537" s="415"/>
      <c r="J537" s="415"/>
      <c r="K537" s="97"/>
      <c r="L537" s="97"/>
      <c r="M537" s="97"/>
      <c r="N537" s="97"/>
      <c r="O537" s="97"/>
      <c r="P537" s="97"/>
      <c r="Q537" s="97"/>
      <c r="R537" s="97"/>
      <c r="S537" s="97"/>
      <c r="T537" s="423">
        <v>534</v>
      </c>
      <c r="U537" s="424">
        <v>59094414571.945221</v>
      </c>
      <c r="V537" s="426"/>
      <c r="W537" s="97"/>
      <c r="X537" s="97"/>
      <c r="Y537" s="97"/>
      <c r="Z537" s="68"/>
      <c r="AA537" s="68"/>
      <c r="AB537" s="68"/>
      <c r="AC537" s="68"/>
      <c r="AD537" s="68"/>
    </row>
    <row r="538" spans="1:30" ht="17">
      <c r="A538" s="68"/>
      <c r="B538" s="68"/>
      <c r="C538" s="68"/>
      <c r="D538" s="415"/>
      <c r="E538" s="415"/>
      <c r="F538" s="415"/>
      <c r="G538" s="415"/>
      <c r="H538" s="415"/>
      <c r="I538" s="415"/>
      <c r="J538" s="415"/>
      <c r="K538" s="97"/>
      <c r="L538" s="97"/>
      <c r="M538" s="97"/>
      <c r="N538" s="97"/>
      <c r="O538" s="97"/>
      <c r="P538" s="97"/>
      <c r="Q538" s="97"/>
      <c r="R538" s="97"/>
      <c r="S538" s="97"/>
      <c r="T538" s="423">
        <v>535</v>
      </c>
      <c r="U538" s="424">
        <v>60197332217.066818</v>
      </c>
      <c r="V538" s="426"/>
      <c r="W538" s="97"/>
      <c r="X538" s="97"/>
      <c r="Y538" s="97"/>
      <c r="Z538" s="68"/>
      <c r="AA538" s="68"/>
      <c r="AB538" s="68"/>
      <c r="AC538" s="68"/>
      <c r="AD538" s="68"/>
    </row>
    <row r="539" spans="1:30" ht="17">
      <c r="A539" s="68"/>
      <c r="B539" s="68"/>
      <c r="C539" s="68"/>
      <c r="D539" s="415"/>
      <c r="E539" s="415"/>
      <c r="F539" s="415"/>
      <c r="G539" s="415"/>
      <c r="H539" s="415"/>
      <c r="I539" s="415"/>
      <c r="J539" s="415"/>
      <c r="K539" s="97"/>
      <c r="L539" s="97"/>
      <c r="M539" s="97"/>
      <c r="N539" s="97"/>
      <c r="O539" s="97"/>
      <c r="P539" s="97"/>
      <c r="Q539" s="97"/>
      <c r="R539" s="97"/>
      <c r="S539" s="97"/>
      <c r="T539" s="423">
        <v>536</v>
      </c>
      <c r="U539" s="424">
        <v>59796503307.804115</v>
      </c>
      <c r="V539" s="426"/>
      <c r="W539" s="97"/>
      <c r="X539" s="97"/>
      <c r="Y539" s="97"/>
      <c r="Z539" s="68"/>
      <c r="AA539" s="68"/>
      <c r="AB539" s="68"/>
      <c r="AC539" s="68"/>
      <c r="AD539" s="68"/>
    </row>
    <row r="540" spans="1:30" ht="17">
      <c r="A540" s="68"/>
      <c r="B540" s="68"/>
      <c r="C540" s="68"/>
      <c r="D540" s="415"/>
      <c r="E540" s="415"/>
      <c r="F540" s="415"/>
      <c r="G540" s="415"/>
      <c r="H540" s="415"/>
      <c r="I540" s="415"/>
      <c r="J540" s="415"/>
      <c r="K540" s="97"/>
      <c r="L540" s="97"/>
      <c r="M540" s="97"/>
      <c r="N540" s="97"/>
      <c r="O540" s="97"/>
      <c r="P540" s="97"/>
      <c r="Q540" s="97"/>
      <c r="R540" s="97"/>
      <c r="S540" s="97"/>
      <c r="T540" s="423">
        <v>537</v>
      </c>
      <c r="U540" s="424">
        <v>56201134496.940361</v>
      </c>
      <c r="V540" s="426"/>
      <c r="W540" s="97"/>
      <c r="X540" s="97"/>
      <c r="Y540" s="97"/>
      <c r="Z540" s="68"/>
      <c r="AA540" s="68"/>
      <c r="AB540" s="68"/>
      <c r="AC540" s="68"/>
      <c r="AD540" s="68"/>
    </row>
    <row r="541" spans="1:30" ht="17">
      <c r="A541" s="68"/>
      <c r="B541" s="68"/>
      <c r="C541" s="68"/>
      <c r="D541" s="415"/>
      <c r="E541" s="415"/>
      <c r="F541" s="415"/>
      <c r="G541" s="415"/>
      <c r="H541" s="415"/>
      <c r="I541" s="415"/>
      <c r="J541" s="415"/>
      <c r="K541" s="97"/>
      <c r="L541" s="97"/>
      <c r="M541" s="97"/>
      <c r="N541" s="97"/>
      <c r="O541" s="97"/>
      <c r="P541" s="97"/>
      <c r="Q541" s="97"/>
      <c r="R541" s="97"/>
      <c r="S541" s="97"/>
      <c r="T541" s="423">
        <v>538</v>
      </c>
      <c r="U541" s="424">
        <v>60194182818.498276</v>
      </c>
      <c r="V541" s="426"/>
      <c r="W541" s="97"/>
      <c r="X541" s="97"/>
      <c r="Y541" s="97"/>
      <c r="Z541" s="68"/>
      <c r="AA541" s="68"/>
      <c r="AB541" s="68"/>
      <c r="AC541" s="68"/>
      <c r="AD541" s="68"/>
    </row>
    <row r="542" spans="1:30" ht="17">
      <c r="A542" s="68"/>
      <c r="B542" s="68"/>
      <c r="C542" s="68"/>
      <c r="D542" s="415"/>
      <c r="E542" s="415"/>
      <c r="F542" s="415"/>
      <c r="G542" s="415"/>
      <c r="H542" s="415"/>
      <c r="I542" s="415"/>
      <c r="J542" s="415"/>
      <c r="K542" s="97"/>
      <c r="L542" s="97"/>
      <c r="M542" s="97"/>
      <c r="N542" s="97"/>
      <c r="O542" s="97"/>
      <c r="P542" s="97"/>
      <c r="Q542" s="97"/>
      <c r="R542" s="97"/>
      <c r="S542" s="97"/>
      <c r="T542" s="423">
        <v>539</v>
      </c>
      <c r="U542" s="424">
        <v>57348189392.839081</v>
      </c>
      <c r="V542" s="426"/>
      <c r="W542" s="97"/>
      <c r="X542" s="97"/>
      <c r="Y542" s="97"/>
      <c r="Z542" s="68"/>
      <c r="AA542" s="68"/>
      <c r="AB542" s="68"/>
      <c r="AC542" s="68"/>
      <c r="AD542" s="68"/>
    </row>
    <row r="543" spans="1:30" ht="17">
      <c r="A543" s="68"/>
      <c r="B543" s="68"/>
      <c r="C543" s="68"/>
      <c r="D543" s="415"/>
      <c r="E543" s="415"/>
      <c r="F543" s="415"/>
      <c r="G543" s="415"/>
      <c r="H543" s="415"/>
      <c r="I543" s="415"/>
      <c r="J543" s="415"/>
      <c r="K543" s="97"/>
      <c r="L543" s="97"/>
      <c r="M543" s="97"/>
      <c r="N543" s="97"/>
      <c r="O543" s="97"/>
      <c r="P543" s="97"/>
      <c r="Q543" s="97"/>
      <c r="R543" s="97"/>
      <c r="S543" s="97"/>
      <c r="T543" s="423">
        <v>540</v>
      </c>
      <c r="U543" s="424">
        <v>55922527912.373444</v>
      </c>
      <c r="V543" s="426"/>
      <c r="W543" s="97"/>
      <c r="X543" s="97"/>
      <c r="Y543" s="97"/>
      <c r="Z543" s="68"/>
      <c r="AA543" s="68"/>
      <c r="AB543" s="68"/>
      <c r="AC543" s="68"/>
      <c r="AD543" s="68"/>
    </row>
    <row r="544" spans="1:30" ht="17">
      <c r="A544" s="68"/>
      <c r="B544" s="68"/>
      <c r="C544" s="68"/>
      <c r="D544" s="415"/>
      <c r="E544" s="415"/>
      <c r="F544" s="415"/>
      <c r="G544" s="415"/>
      <c r="H544" s="415"/>
      <c r="I544" s="415"/>
      <c r="J544" s="415"/>
      <c r="K544" s="97"/>
      <c r="L544" s="97"/>
      <c r="M544" s="97"/>
      <c r="N544" s="97"/>
      <c r="O544" s="97"/>
      <c r="P544" s="97"/>
      <c r="Q544" s="97"/>
      <c r="R544" s="97"/>
      <c r="S544" s="97"/>
      <c r="T544" s="423">
        <v>541</v>
      </c>
      <c r="U544" s="424">
        <v>55982635335.815063</v>
      </c>
      <c r="V544" s="426"/>
      <c r="W544" s="97"/>
      <c r="X544" s="97"/>
      <c r="Y544" s="97"/>
      <c r="Z544" s="68"/>
      <c r="AA544" s="68"/>
      <c r="AB544" s="68"/>
      <c r="AC544" s="68"/>
      <c r="AD544" s="68"/>
    </row>
    <row r="545" spans="1:30" ht="17">
      <c r="A545" s="68"/>
      <c r="B545" s="68"/>
      <c r="C545" s="68"/>
      <c r="D545" s="415"/>
      <c r="E545" s="415"/>
      <c r="F545" s="415"/>
      <c r="G545" s="415"/>
      <c r="H545" s="415"/>
      <c r="I545" s="415"/>
      <c r="J545" s="415"/>
      <c r="K545" s="97"/>
      <c r="L545" s="97"/>
      <c r="M545" s="97"/>
      <c r="N545" s="97"/>
      <c r="O545" s="97"/>
      <c r="P545" s="97"/>
      <c r="Q545" s="97"/>
      <c r="R545" s="97"/>
      <c r="S545" s="97"/>
      <c r="T545" s="423">
        <v>542</v>
      </c>
      <c r="U545" s="424">
        <v>60124712374.219894</v>
      </c>
      <c r="V545" s="426"/>
      <c r="W545" s="97"/>
      <c r="X545" s="97"/>
      <c r="Y545" s="97"/>
      <c r="Z545" s="68"/>
      <c r="AA545" s="68"/>
      <c r="AB545" s="68"/>
      <c r="AC545" s="68"/>
      <c r="AD545" s="68"/>
    </row>
    <row r="546" spans="1:30" ht="17">
      <c r="A546" s="68"/>
      <c r="B546" s="68"/>
      <c r="C546" s="68"/>
      <c r="D546" s="415"/>
      <c r="E546" s="415"/>
      <c r="F546" s="415"/>
      <c r="G546" s="415"/>
      <c r="H546" s="415"/>
      <c r="I546" s="415"/>
      <c r="J546" s="415"/>
      <c r="K546" s="97"/>
      <c r="L546" s="97"/>
      <c r="M546" s="97"/>
      <c r="N546" s="97"/>
      <c r="O546" s="97"/>
      <c r="P546" s="97"/>
      <c r="Q546" s="97"/>
      <c r="R546" s="97"/>
      <c r="S546" s="97"/>
      <c r="T546" s="423">
        <v>543</v>
      </c>
      <c r="U546" s="424">
        <v>58657164488.611084</v>
      </c>
      <c r="V546" s="426"/>
      <c r="W546" s="97"/>
      <c r="X546" s="97"/>
      <c r="Y546" s="97"/>
      <c r="Z546" s="68"/>
      <c r="AA546" s="68"/>
      <c r="AB546" s="68"/>
      <c r="AC546" s="68"/>
      <c r="AD546" s="68"/>
    </row>
    <row r="547" spans="1:30" ht="17">
      <c r="A547" s="68"/>
      <c r="B547" s="68"/>
      <c r="C547" s="68"/>
      <c r="D547" s="415"/>
      <c r="E547" s="415"/>
      <c r="F547" s="415"/>
      <c r="G547" s="415"/>
      <c r="H547" s="415"/>
      <c r="I547" s="415"/>
      <c r="J547" s="415"/>
      <c r="K547" s="97"/>
      <c r="L547" s="97"/>
      <c r="M547" s="97"/>
      <c r="N547" s="97"/>
      <c r="O547" s="97"/>
      <c r="P547" s="97"/>
      <c r="Q547" s="97"/>
      <c r="R547" s="97"/>
      <c r="S547" s="97"/>
      <c r="T547" s="423">
        <v>544</v>
      </c>
      <c r="U547" s="424">
        <v>58276512162.727249</v>
      </c>
      <c r="V547" s="426"/>
      <c r="W547" s="97"/>
      <c r="X547" s="97"/>
      <c r="Y547" s="97"/>
      <c r="Z547" s="68"/>
      <c r="AA547" s="68"/>
      <c r="AB547" s="68"/>
      <c r="AC547" s="68"/>
      <c r="AD547" s="68"/>
    </row>
    <row r="548" spans="1:30" ht="17">
      <c r="A548" s="68"/>
      <c r="B548" s="68"/>
      <c r="C548" s="68"/>
      <c r="D548" s="415"/>
      <c r="E548" s="415"/>
      <c r="F548" s="415"/>
      <c r="G548" s="415"/>
      <c r="H548" s="415"/>
      <c r="I548" s="415"/>
      <c r="J548" s="415"/>
      <c r="K548" s="97"/>
      <c r="L548" s="97"/>
      <c r="M548" s="97"/>
      <c r="N548" s="97"/>
      <c r="O548" s="97"/>
      <c r="P548" s="97"/>
      <c r="Q548" s="97"/>
      <c r="R548" s="97"/>
      <c r="S548" s="97"/>
      <c r="T548" s="423">
        <v>545</v>
      </c>
      <c r="U548" s="424">
        <v>59347378433.631691</v>
      </c>
      <c r="V548" s="426"/>
      <c r="W548" s="97"/>
      <c r="X548" s="97"/>
      <c r="Y548" s="97"/>
      <c r="Z548" s="68"/>
      <c r="AA548" s="68"/>
      <c r="AB548" s="68"/>
      <c r="AC548" s="68"/>
      <c r="AD548" s="68"/>
    </row>
    <row r="549" spans="1:30" ht="17">
      <c r="A549" s="68"/>
      <c r="B549" s="68"/>
      <c r="C549" s="68"/>
      <c r="D549" s="415"/>
      <c r="E549" s="415"/>
      <c r="F549" s="415"/>
      <c r="G549" s="415"/>
      <c r="H549" s="415"/>
      <c r="I549" s="415"/>
      <c r="J549" s="415"/>
      <c r="K549" s="97"/>
      <c r="L549" s="97"/>
      <c r="M549" s="97"/>
      <c r="N549" s="97"/>
      <c r="O549" s="97"/>
      <c r="P549" s="97"/>
      <c r="Q549" s="97"/>
      <c r="R549" s="97"/>
      <c r="S549" s="97"/>
      <c r="T549" s="423">
        <v>546</v>
      </c>
      <c r="U549" s="424">
        <v>62444079376.873291</v>
      </c>
      <c r="V549" s="426"/>
      <c r="W549" s="97"/>
      <c r="X549" s="97"/>
      <c r="Y549" s="97"/>
      <c r="Z549" s="68"/>
      <c r="AA549" s="68"/>
      <c r="AB549" s="68"/>
      <c r="AC549" s="68"/>
      <c r="AD549" s="68"/>
    </row>
    <row r="550" spans="1:30" ht="17">
      <c r="A550" s="68"/>
      <c r="B550" s="68"/>
      <c r="C550" s="68"/>
      <c r="D550" s="415"/>
      <c r="E550" s="415"/>
      <c r="F550" s="415"/>
      <c r="G550" s="415"/>
      <c r="H550" s="415"/>
      <c r="I550" s="415"/>
      <c r="J550" s="415"/>
      <c r="K550" s="97"/>
      <c r="L550" s="97"/>
      <c r="M550" s="97"/>
      <c r="N550" s="97"/>
      <c r="O550" s="97"/>
      <c r="P550" s="97"/>
      <c r="Q550" s="97"/>
      <c r="R550" s="97"/>
      <c r="S550" s="97"/>
      <c r="T550" s="423">
        <v>547</v>
      </c>
      <c r="U550" s="424">
        <v>61045839552.912354</v>
      </c>
      <c r="V550" s="426"/>
      <c r="W550" s="97"/>
      <c r="X550" s="97"/>
      <c r="Y550" s="97"/>
      <c r="Z550" s="68"/>
      <c r="AA550" s="68"/>
      <c r="AB550" s="68"/>
      <c r="AC550" s="68"/>
      <c r="AD550" s="68"/>
    </row>
    <row r="551" spans="1:30" ht="17">
      <c r="A551" s="68"/>
      <c r="B551" s="68"/>
      <c r="C551" s="68"/>
      <c r="D551" s="415"/>
      <c r="E551" s="415"/>
      <c r="F551" s="415"/>
      <c r="G551" s="415"/>
      <c r="H551" s="415"/>
      <c r="I551" s="415"/>
      <c r="J551" s="415"/>
      <c r="K551" s="97"/>
      <c r="L551" s="97"/>
      <c r="M551" s="97"/>
      <c r="N551" s="97"/>
      <c r="O551" s="97"/>
      <c r="P551" s="97"/>
      <c r="Q551" s="97"/>
      <c r="R551" s="97"/>
      <c r="S551" s="97"/>
      <c r="T551" s="423">
        <v>548</v>
      </c>
      <c r="U551" s="424">
        <v>59902658311.840782</v>
      </c>
      <c r="V551" s="426"/>
      <c r="W551" s="97"/>
      <c r="X551" s="97"/>
      <c r="Y551" s="97"/>
      <c r="Z551" s="68"/>
      <c r="AA551" s="68"/>
      <c r="AB551" s="68"/>
      <c r="AC551" s="68"/>
      <c r="AD551" s="68"/>
    </row>
    <row r="552" spans="1:30" ht="17">
      <c r="A552" s="68"/>
      <c r="B552" s="68"/>
      <c r="C552" s="68"/>
      <c r="D552" s="415"/>
      <c r="E552" s="415"/>
      <c r="F552" s="415"/>
      <c r="G552" s="415"/>
      <c r="H552" s="415"/>
      <c r="I552" s="415"/>
      <c r="J552" s="415"/>
      <c r="K552" s="97"/>
      <c r="L552" s="97"/>
      <c r="M552" s="97"/>
      <c r="N552" s="97"/>
      <c r="O552" s="97"/>
      <c r="P552" s="97"/>
      <c r="Q552" s="97"/>
      <c r="R552" s="97"/>
      <c r="S552" s="97"/>
      <c r="T552" s="423">
        <v>549</v>
      </c>
      <c r="U552" s="424">
        <v>57618759881.137466</v>
      </c>
      <c r="V552" s="426"/>
      <c r="W552" s="97"/>
      <c r="X552" s="97"/>
      <c r="Y552" s="97"/>
      <c r="Z552" s="68"/>
      <c r="AA552" s="68"/>
      <c r="AB552" s="68"/>
      <c r="AC552" s="68"/>
      <c r="AD552" s="68"/>
    </row>
    <row r="553" spans="1:30" ht="17">
      <c r="A553" s="68"/>
      <c r="B553" s="68"/>
      <c r="C553" s="68"/>
      <c r="D553" s="415"/>
      <c r="E553" s="415"/>
      <c r="F553" s="415"/>
      <c r="G553" s="415"/>
      <c r="H553" s="415"/>
      <c r="I553" s="415"/>
      <c r="J553" s="415"/>
      <c r="K553" s="97"/>
      <c r="L553" s="97"/>
      <c r="M553" s="97"/>
      <c r="N553" s="97"/>
      <c r="O553" s="97"/>
      <c r="P553" s="97"/>
      <c r="Q553" s="97"/>
      <c r="R553" s="97"/>
      <c r="S553" s="97"/>
      <c r="T553" s="423">
        <v>550</v>
      </c>
      <c r="U553" s="424">
        <v>60578800575.581223</v>
      </c>
      <c r="V553" s="426"/>
      <c r="W553" s="97"/>
      <c r="X553" s="97"/>
      <c r="Y553" s="97"/>
      <c r="Z553" s="68"/>
      <c r="AA553" s="68"/>
      <c r="AB553" s="68"/>
      <c r="AC553" s="68"/>
      <c r="AD553" s="68"/>
    </row>
    <row r="554" spans="1:30" ht="17">
      <c r="A554" s="68"/>
      <c r="B554" s="68"/>
      <c r="C554" s="68"/>
      <c r="D554" s="415"/>
      <c r="E554" s="415"/>
      <c r="F554" s="415"/>
      <c r="G554" s="415"/>
      <c r="H554" s="415"/>
      <c r="I554" s="415"/>
      <c r="J554" s="415"/>
      <c r="K554" s="97"/>
      <c r="L554" s="97"/>
      <c r="M554" s="97"/>
      <c r="N554" s="97"/>
      <c r="O554" s="97"/>
      <c r="P554" s="97"/>
      <c r="Q554" s="97"/>
      <c r="R554" s="97"/>
      <c r="S554" s="97"/>
      <c r="T554" s="423">
        <v>551</v>
      </c>
      <c r="U554" s="424">
        <v>56832839741.423065</v>
      </c>
      <c r="V554" s="426"/>
      <c r="W554" s="97"/>
      <c r="X554" s="97"/>
      <c r="Y554" s="97"/>
      <c r="Z554" s="68"/>
      <c r="AA554" s="68"/>
      <c r="AB554" s="68"/>
      <c r="AC554" s="68"/>
      <c r="AD554" s="68"/>
    </row>
    <row r="555" spans="1:30" ht="17">
      <c r="A555" s="68"/>
      <c r="B555" s="68"/>
      <c r="C555" s="68"/>
      <c r="D555" s="415"/>
      <c r="E555" s="415"/>
      <c r="F555" s="415"/>
      <c r="G555" s="415"/>
      <c r="H555" s="415"/>
      <c r="I555" s="415"/>
      <c r="J555" s="415"/>
      <c r="K555" s="97"/>
      <c r="L555" s="97"/>
      <c r="M555" s="97"/>
      <c r="N555" s="97"/>
      <c r="O555" s="97"/>
      <c r="P555" s="97"/>
      <c r="Q555" s="97"/>
      <c r="R555" s="97"/>
      <c r="S555" s="97"/>
      <c r="T555" s="423">
        <v>552</v>
      </c>
      <c r="U555" s="424">
        <v>59404266898.908203</v>
      </c>
      <c r="V555" s="426"/>
      <c r="W555" s="97"/>
      <c r="X555" s="97"/>
      <c r="Y555" s="97"/>
      <c r="Z555" s="68"/>
      <c r="AA555" s="68"/>
      <c r="AB555" s="68"/>
      <c r="AC555" s="68"/>
      <c r="AD555" s="68"/>
    </row>
    <row r="556" spans="1:30" ht="17">
      <c r="A556" s="68"/>
      <c r="B556" s="68"/>
      <c r="C556" s="68"/>
      <c r="D556" s="415"/>
      <c r="E556" s="415"/>
      <c r="F556" s="415"/>
      <c r="G556" s="415"/>
      <c r="H556" s="415"/>
      <c r="I556" s="415"/>
      <c r="J556" s="415"/>
      <c r="K556" s="97"/>
      <c r="L556" s="97"/>
      <c r="M556" s="97"/>
      <c r="N556" s="97"/>
      <c r="O556" s="97"/>
      <c r="P556" s="97"/>
      <c r="Q556" s="97"/>
      <c r="R556" s="97"/>
      <c r="S556" s="97"/>
      <c r="T556" s="423">
        <v>553</v>
      </c>
      <c r="U556" s="424">
        <v>56143435125.679504</v>
      </c>
      <c r="V556" s="426"/>
      <c r="W556" s="97"/>
      <c r="X556" s="97"/>
      <c r="Y556" s="97"/>
      <c r="Z556" s="68"/>
      <c r="AA556" s="68"/>
      <c r="AB556" s="68"/>
      <c r="AC556" s="68"/>
      <c r="AD556" s="68"/>
    </row>
    <row r="557" spans="1:30" ht="17">
      <c r="A557" s="68"/>
      <c r="B557" s="68"/>
      <c r="C557" s="68"/>
      <c r="D557" s="415"/>
      <c r="E557" s="415"/>
      <c r="F557" s="415"/>
      <c r="G557" s="415"/>
      <c r="H557" s="415"/>
      <c r="I557" s="415"/>
      <c r="J557" s="415"/>
      <c r="K557" s="97"/>
      <c r="L557" s="97"/>
      <c r="M557" s="97"/>
      <c r="N557" s="97"/>
      <c r="O557" s="97"/>
      <c r="P557" s="97"/>
      <c r="Q557" s="97"/>
      <c r="R557" s="97"/>
      <c r="S557" s="97"/>
      <c r="T557" s="423">
        <v>554</v>
      </c>
      <c r="U557" s="424">
        <v>56294856137.702217</v>
      </c>
      <c r="V557" s="426"/>
      <c r="W557" s="97"/>
      <c r="X557" s="97"/>
      <c r="Y557" s="97"/>
      <c r="Z557" s="68"/>
      <c r="AA557" s="68"/>
      <c r="AB557" s="68"/>
      <c r="AC557" s="68"/>
      <c r="AD557" s="68"/>
    </row>
    <row r="558" spans="1:30" ht="17">
      <c r="A558" s="68"/>
      <c r="B558" s="68"/>
      <c r="C558" s="68"/>
      <c r="D558" s="415"/>
      <c r="E558" s="415"/>
      <c r="F558" s="415"/>
      <c r="G558" s="415"/>
      <c r="H558" s="415"/>
      <c r="I558" s="415"/>
      <c r="J558" s="415"/>
      <c r="K558" s="97"/>
      <c r="L558" s="97"/>
      <c r="M558" s="97"/>
      <c r="N558" s="97"/>
      <c r="O558" s="97"/>
      <c r="P558" s="97"/>
      <c r="Q558" s="97"/>
      <c r="R558" s="97"/>
      <c r="S558" s="97"/>
      <c r="T558" s="423">
        <v>555</v>
      </c>
      <c r="U558" s="424">
        <v>56959178113.304451</v>
      </c>
      <c r="V558" s="426"/>
      <c r="W558" s="97"/>
      <c r="X558" s="97"/>
      <c r="Y558" s="97"/>
      <c r="Z558" s="68"/>
      <c r="AA558" s="68"/>
      <c r="AB558" s="68"/>
      <c r="AC558" s="68"/>
      <c r="AD558" s="68"/>
    </row>
    <row r="559" spans="1:30" ht="17">
      <c r="A559" s="68"/>
      <c r="B559" s="68"/>
      <c r="C559" s="68"/>
      <c r="D559" s="415"/>
      <c r="E559" s="415"/>
      <c r="F559" s="415"/>
      <c r="G559" s="415"/>
      <c r="H559" s="415"/>
      <c r="I559" s="415"/>
      <c r="J559" s="415"/>
      <c r="K559" s="97"/>
      <c r="L559" s="97"/>
      <c r="M559" s="97"/>
      <c r="N559" s="97"/>
      <c r="O559" s="97"/>
      <c r="P559" s="97"/>
      <c r="Q559" s="97"/>
      <c r="R559" s="97"/>
      <c r="S559" s="97"/>
      <c r="T559" s="423">
        <v>556</v>
      </c>
      <c r="U559" s="424">
        <v>56014028052.322083</v>
      </c>
      <c r="V559" s="426"/>
      <c r="W559" s="97"/>
      <c r="X559" s="97"/>
      <c r="Y559" s="97"/>
      <c r="Z559" s="68"/>
      <c r="AA559" s="68"/>
      <c r="AB559" s="68"/>
      <c r="AC559" s="68"/>
      <c r="AD559" s="68"/>
    </row>
    <row r="560" spans="1:30" ht="17">
      <c r="A560" s="68"/>
      <c r="B560" s="68"/>
      <c r="C560" s="68"/>
      <c r="D560" s="415"/>
      <c r="E560" s="415"/>
      <c r="F560" s="415"/>
      <c r="G560" s="415"/>
      <c r="H560" s="415"/>
      <c r="I560" s="415"/>
      <c r="J560" s="415"/>
      <c r="K560" s="97"/>
      <c r="L560" s="97"/>
      <c r="M560" s="97"/>
      <c r="N560" s="97"/>
      <c r="O560" s="97"/>
      <c r="P560" s="97"/>
      <c r="Q560" s="97"/>
      <c r="R560" s="97"/>
      <c r="S560" s="97"/>
      <c r="T560" s="423">
        <v>557</v>
      </c>
      <c r="U560" s="424">
        <v>60389967900.75827</v>
      </c>
      <c r="V560" s="426"/>
      <c r="W560" s="97"/>
      <c r="X560" s="97"/>
      <c r="Y560" s="97"/>
      <c r="Z560" s="68"/>
      <c r="AA560" s="68"/>
      <c r="AB560" s="68"/>
      <c r="AC560" s="68"/>
      <c r="AD560" s="68"/>
    </row>
    <row r="561" spans="1:30" ht="17">
      <c r="A561" s="68"/>
      <c r="B561" s="68"/>
      <c r="C561" s="68"/>
      <c r="D561" s="415"/>
      <c r="E561" s="415"/>
      <c r="F561" s="415"/>
      <c r="G561" s="415"/>
      <c r="H561" s="415"/>
      <c r="I561" s="415"/>
      <c r="J561" s="415"/>
      <c r="K561" s="97"/>
      <c r="L561" s="97"/>
      <c r="M561" s="97"/>
      <c r="N561" s="97"/>
      <c r="O561" s="97"/>
      <c r="P561" s="97"/>
      <c r="Q561" s="97"/>
      <c r="R561" s="97"/>
      <c r="S561" s="97"/>
      <c r="T561" s="423">
        <v>558</v>
      </c>
      <c r="U561" s="424">
        <v>55220251389.389015</v>
      </c>
      <c r="V561" s="426"/>
      <c r="W561" s="97"/>
      <c r="X561" s="97"/>
      <c r="Y561" s="97"/>
      <c r="Z561" s="68"/>
      <c r="AA561" s="68"/>
      <c r="AB561" s="68"/>
      <c r="AC561" s="68"/>
      <c r="AD561" s="68"/>
    </row>
    <row r="562" spans="1:30" ht="17">
      <c r="A562" s="68"/>
      <c r="B562" s="68"/>
      <c r="C562" s="68"/>
      <c r="D562" s="415"/>
      <c r="E562" s="415"/>
      <c r="F562" s="415"/>
      <c r="G562" s="415"/>
      <c r="H562" s="415"/>
      <c r="I562" s="415"/>
      <c r="J562" s="415"/>
      <c r="K562" s="97"/>
      <c r="L562" s="97"/>
      <c r="M562" s="97"/>
      <c r="N562" s="97"/>
      <c r="O562" s="97"/>
      <c r="P562" s="97"/>
      <c r="Q562" s="97"/>
      <c r="R562" s="97"/>
      <c r="S562" s="97"/>
      <c r="T562" s="423">
        <v>559</v>
      </c>
      <c r="U562" s="424">
        <v>60531005333.119125</v>
      </c>
      <c r="V562" s="426"/>
      <c r="W562" s="97"/>
      <c r="X562" s="97"/>
      <c r="Y562" s="97"/>
      <c r="Z562" s="68"/>
      <c r="AA562" s="68"/>
      <c r="AB562" s="68"/>
      <c r="AC562" s="68"/>
      <c r="AD562" s="68"/>
    </row>
    <row r="563" spans="1:30" ht="17">
      <c r="A563" s="68"/>
      <c r="B563" s="68"/>
      <c r="C563" s="68"/>
      <c r="D563" s="415"/>
      <c r="E563" s="415"/>
      <c r="F563" s="415"/>
      <c r="G563" s="415"/>
      <c r="H563" s="415"/>
      <c r="I563" s="415"/>
      <c r="J563" s="415"/>
      <c r="K563" s="97"/>
      <c r="L563" s="97"/>
      <c r="M563" s="97"/>
      <c r="N563" s="97"/>
      <c r="O563" s="97"/>
      <c r="P563" s="97"/>
      <c r="Q563" s="97"/>
      <c r="R563" s="97"/>
      <c r="S563" s="97"/>
      <c r="T563" s="423">
        <v>560</v>
      </c>
      <c r="U563" s="424">
        <v>60094941305.300293</v>
      </c>
      <c r="V563" s="426"/>
      <c r="W563" s="97"/>
      <c r="X563" s="97"/>
      <c r="Y563" s="97"/>
      <c r="Z563" s="68"/>
      <c r="AA563" s="68"/>
      <c r="AB563" s="68"/>
      <c r="AC563" s="68"/>
      <c r="AD563" s="68"/>
    </row>
    <row r="564" spans="1:30" ht="17">
      <c r="A564" s="68"/>
      <c r="B564" s="68"/>
      <c r="C564" s="68"/>
      <c r="D564" s="415"/>
      <c r="E564" s="415"/>
      <c r="F564" s="415"/>
      <c r="G564" s="415"/>
      <c r="H564" s="415"/>
      <c r="I564" s="415"/>
      <c r="J564" s="415"/>
      <c r="K564" s="97"/>
      <c r="L564" s="97"/>
      <c r="M564" s="97"/>
      <c r="N564" s="97"/>
      <c r="O564" s="97"/>
      <c r="P564" s="97"/>
      <c r="Q564" s="97"/>
      <c r="R564" s="97"/>
      <c r="S564" s="97"/>
      <c r="T564" s="423">
        <v>561</v>
      </c>
      <c r="U564" s="424">
        <v>57073830369.877914</v>
      </c>
      <c r="V564" s="426"/>
      <c r="W564" s="97"/>
      <c r="X564" s="97"/>
      <c r="Y564" s="97"/>
      <c r="Z564" s="68"/>
      <c r="AA564" s="68"/>
      <c r="AB564" s="68"/>
      <c r="AC564" s="68"/>
      <c r="AD564" s="68"/>
    </row>
    <row r="565" spans="1:30" ht="17">
      <c r="A565" s="68"/>
      <c r="B565" s="68"/>
      <c r="C565" s="68"/>
      <c r="D565" s="415"/>
      <c r="E565" s="415"/>
      <c r="F565" s="415"/>
      <c r="G565" s="415"/>
      <c r="H565" s="415"/>
      <c r="I565" s="415"/>
      <c r="J565" s="415"/>
      <c r="K565" s="97"/>
      <c r="L565" s="97"/>
      <c r="M565" s="97"/>
      <c r="N565" s="97"/>
      <c r="O565" s="97"/>
      <c r="P565" s="97"/>
      <c r="Q565" s="97"/>
      <c r="R565" s="97"/>
      <c r="S565" s="97"/>
      <c r="T565" s="423">
        <v>562</v>
      </c>
      <c r="U565" s="424">
        <v>58321689939.403687</v>
      </c>
      <c r="V565" s="426"/>
      <c r="W565" s="97"/>
      <c r="X565" s="97"/>
      <c r="Y565" s="97"/>
      <c r="Z565" s="68"/>
      <c r="AA565" s="68"/>
      <c r="AB565" s="68"/>
      <c r="AC565" s="68"/>
      <c r="AD565" s="68"/>
    </row>
    <row r="566" spans="1:30" ht="17">
      <c r="A566" s="68"/>
      <c r="B566" s="68"/>
      <c r="C566" s="68"/>
      <c r="D566" s="415"/>
      <c r="E566" s="415"/>
      <c r="F566" s="415"/>
      <c r="G566" s="415"/>
      <c r="H566" s="415"/>
      <c r="I566" s="415"/>
      <c r="J566" s="415"/>
      <c r="K566" s="97"/>
      <c r="L566" s="97"/>
      <c r="M566" s="97"/>
      <c r="N566" s="97"/>
      <c r="O566" s="97"/>
      <c r="P566" s="97"/>
      <c r="Q566" s="97"/>
      <c r="R566" s="97"/>
      <c r="S566" s="97"/>
      <c r="T566" s="423">
        <v>563</v>
      </c>
      <c r="U566" s="424">
        <v>60260657848.061241</v>
      </c>
      <c r="V566" s="426"/>
      <c r="W566" s="97"/>
      <c r="X566" s="97"/>
      <c r="Y566" s="97"/>
      <c r="Z566" s="68"/>
      <c r="AA566" s="68"/>
      <c r="AB566" s="68"/>
      <c r="AC566" s="68"/>
      <c r="AD566" s="68"/>
    </row>
    <row r="567" spans="1:30" ht="17">
      <c r="A567" s="68"/>
      <c r="B567" s="68"/>
      <c r="C567" s="68"/>
      <c r="D567" s="415"/>
      <c r="E567" s="415"/>
      <c r="F567" s="415"/>
      <c r="G567" s="415"/>
      <c r="H567" s="415"/>
      <c r="I567" s="415"/>
      <c r="J567" s="415"/>
      <c r="K567" s="97"/>
      <c r="L567" s="97"/>
      <c r="M567" s="97"/>
      <c r="N567" s="97"/>
      <c r="O567" s="97"/>
      <c r="P567" s="97"/>
      <c r="Q567" s="97"/>
      <c r="R567" s="97"/>
      <c r="S567" s="97"/>
      <c r="T567" s="423">
        <v>564</v>
      </c>
      <c r="U567" s="424">
        <v>58309573913.148087</v>
      </c>
      <c r="V567" s="426"/>
      <c r="W567" s="97"/>
      <c r="X567" s="97"/>
      <c r="Y567" s="97"/>
      <c r="Z567" s="68"/>
      <c r="AA567" s="68"/>
      <c r="AB567" s="68"/>
      <c r="AC567" s="68"/>
      <c r="AD567" s="68"/>
    </row>
    <row r="568" spans="1:30" ht="17">
      <c r="A568" s="68"/>
      <c r="B568" s="68"/>
      <c r="C568" s="68"/>
      <c r="D568" s="415"/>
      <c r="E568" s="415"/>
      <c r="F568" s="415"/>
      <c r="G568" s="415"/>
      <c r="H568" s="415"/>
      <c r="I568" s="415"/>
      <c r="J568" s="415"/>
      <c r="K568" s="97"/>
      <c r="L568" s="97"/>
      <c r="M568" s="97"/>
      <c r="N568" s="97"/>
      <c r="O568" s="97"/>
      <c r="P568" s="97"/>
      <c r="Q568" s="97"/>
      <c r="R568" s="97"/>
      <c r="S568" s="97"/>
      <c r="T568" s="423">
        <v>565</v>
      </c>
      <c r="U568" s="424">
        <v>55299884505.009644</v>
      </c>
      <c r="V568" s="426"/>
      <c r="W568" s="97"/>
      <c r="X568" s="97"/>
      <c r="Y568" s="97"/>
      <c r="Z568" s="68"/>
      <c r="AA568" s="68"/>
      <c r="AB568" s="68"/>
      <c r="AC568" s="68"/>
      <c r="AD568" s="68"/>
    </row>
    <row r="569" spans="1:30" ht="17">
      <c r="A569" s="68"/>
      <c r="B569" s="68"/>
      <c r="C569" s="68"/>
      <c r="D569" s="415"/>
      <c r="E569" s="415"/>
      <c r="F569" s="415"/>
      <c r="G569" s="415"/>
      <c r="H569" s="415"/>
      <c r="I569" s="415"/>
      <c r="J569" s="415"/>
      <c r="K569" s="97"/>
      <c r="L569" s="97"/>
      <c r="M569" s="97"/>
      <c r="N569" s="97"/>
      <c r="O569" s="97"/>
      <c r="P569" s="97"/>
      <c r="Q569" s="97"/>
      <c r="R569" s="97"/>
      <c r="S569" s="97"/>
      <c r="T569" s="423">
        <v>566</v>
      </c>
      <c r="U569" s="424">
        <v>59887954596.527451</v>
      </c>
      <c r="V569" s="426"/>
      <c r="W569" s="97"/>
      <c r="X569" s="97"/>
      <c r="Y569" s="97"/>
      <c r="Z569" s="68"/>
      <c r="AA569" s="68"/>
      <c r="AB569" s="68"/>
      <c r="AC569" s="68"/>
      <c r="AD569" s="68"/>
    </row>
    <row r="570" spans="1:30" ht="17">
      <c r="A570" s="68"/>
      <c r="B570" s="68"/>
      <c r="C570" s="68"/>
      <c r="D570" s="415"/>
      <c r="E570" s="415"/>
      <c r="F570" s="415"/>
      <c r="G570" s="415"/>
      <c r="H570" s="415"/>
      <c r="I570" s="415"/>
      <c r="J570" s="415"/>
      <c r="K570" s="97"/>
      <c r="L570" s="97"/>
      <c r="M570" s="97"/>
      <c r="N570" s="97"/>
      <c r="O570" s="97"/>
      <c r="P570" s="97"/>
      <c r="Q570" s="97"/>
      <c r="R570" s="97"/>
      <c r="S570" s="97"/>
      <c r="T570" s="423">
        <v>567</v>
      </c>
      <c r="U570" s="424">
        <v>58614264669.526169</v>
      </c>
      <c r="V570" s="426"/>
      <c r="W570" s="97"/>
      <c r="X570" s="97"/>
      <c r="Y570" s="97"/>
      <c r="Z570" s="68"/>
      <c r="AA570" s="68"/>
      <c r="AB570" s="68"/>
      <c r="AC570" s="68"/>
      <c r="AD570" s="68"/>
    </row>
    <row r="571" spans="1:30" ht="17">
      <c r="A571" s="68"/>
      <c r="B571" s="68"/>
      <c r="C571" s="68"/>
      <c r="D571" s="415"/>
      <c r="E571" s="415"/>
      <c r="F571" s="415"/>
      <c r="G571" s="415"/>
      <c r="H571" s="415"/>
      <c r="I571" s="415"/>
      <c r="J571" s="415"/>
      <c r="K571" s="97"/>
      <c r="L571" s="97"/>
      <c r="M571" s="97"/>
      <c r="N571" s="97"/>
      <c r="O571" s="97"/>
      <c r="P571" s="97"/>
      <c r="Q571" s="97"/>
      <c r="R571" s="97"/>
      <c r="S571" s="97"/>
      <c r="T571" s="423">
        <v>568</v>
      </c>
      <c r="U571" s="424">
        <v>58942617007.999222</v>
      </c>
      <c r="V571" s="426"/>
      <c r="W571" s="97"/>
      <c r="X571" s="97"/>
      <c r="Y571" s="97"/>
      <c r="Z571" s="68"/>
      <c r="AA571" s="68"/>
      <c r="AB571" s="68"/>
      <c r="AC571" s="68"/>
      <c r="AD571" s="68"/>
    </row>
    <row r="572" spans="1:30" ht="17">
      <c r="A572" s="68"/>
      <c r="B572" s="68"/>
      <c r="C572" s="68"/>
      <c r="D572" s="415"/>
      <c r="E572" s="415"/>
      <c r="F572" s="415"/>
      <c r="G572" s="415"/>
      <c r="H572" s="415"/>
      <c r="I572" s="415"/>
      <c r="J572" s="415"/>
      <c r="K572" s="97"/>
      <c r="L572" s="97"/>
      <c r="M572" s="97"/>
      <c r="N572" s="97"/>
      <c r="O572" s="97"/>
      <c r="P572" s="97"/>
      <c r="Q572" s="97"/>
      <c r="R572" s="97"/>
      <c r="S572" s="97"/>
      <c r="T572" s="423">
        <v>569</v>
      </c>
      <c r="U572" s="424">
        <v>60500265652.746384</v>
      </c>
      <c r="V572" s="426"/>
      <c r="W572" s="97"/>
      <c r="X572" s="97"/>
      <c r="Y572" s="97"/>
      <c r="Z572" s="68"/>
      <c r="AA572" s="68"/>
      <c r="AB572" s="68"/>
      <c r="AC572" s="68"/>
      <c r="AD572" s="68"/>
    </row>
    <row r="573" spans="1:30" ht="17">
      <c r="A573" s="68"/>
      <c r="B573" s="68"/>
      <c r="C573" s="68"/>
      <c r="D573" s="415"/>
      <c r="E573" s="415"/>
      <c r="F573" s="415"/>
      <c r="G573" s="415"/>
      <c r="H573" s="415"/>
      <c r="I573" s="415"/>
      <c r="J573" s="415"/>
      <c r="K573" s="97"/>
      <c r="L573" s="97"/>
      <c r="M573" s="97"/>
      <c r="N573" s="97"/>
      <c r="O573" s="97"/>
      <c r="P573" s="97"/>
      <c r="Q573" s="97"/>
      <c r="R573" s="97"/>
      <c r="S573" s="97"/>
      <c r="T573" s="423">
        <v>570</v>
      </c>
      <c r="U573" s="424">
        <v>61163619761.457291</v>
      </c>
      <c r="V573" s="426"/>
      <c r="W573" s="97"/>
      <c r="X573" s="97"/>
      <c r="Y573" s="97"/>
      <c r="Z573" s="68"/>
      <c r="AA573" s="68"/>
      <c r="AB573" s="68"/>
      <c r="AC573" s="68"/>
      <c r="AD573" s="68"/>
    </row>
    <row r="574" spans="1:30" ht="17">
      <c r="A574" s="68"/>
      <c r="B574" s="68"/>
      <c r="C574" s="68"/>
      <c r="D574" s="415"/>
      <c r="E574" s="415"/>
      <c r="F574" s="415"/>
      <c r="G574" s="415"/>
      <c r="H574" s="415"/>
      <c r="I574" s="415"/>
      <c r="J574" s="415"/>
      <c r="K574" s="97"/>
      <c r="L574" s="97"/>
      <c r="M574" s="97"/>
      <c r="N574" s="97"/>
      <c r="O574" s="97"/>
      <c r="P574" s="97"/>
      <c r="Q574" s="97"/>
      <c r="R574" s="97"/>
      <c r="S574" s="97"/>
      <c r="T574" s="423">
        <v>571</v>
      </c>
      <c r="U574" s="424">
        <v>58588959572.868362</v>
      </c>
      <c r="V574" s="426"/>
      <c r="W574" s="97"/>
      <c r="X574" s="97"/>
      <c r="Y574" s="97"/>
      <c r="Z574" s="68"/>
      <c r="AA574" s="68"/>
      <c r="AB574" s="68"/>
      <c r="AC574" s="68"/>
      <c r="AD574" s="68"/>
    </row>
    <row r="575" spans="1:30" ht="17">
      <c r="A575" s="68"/>
      <c r="B575" s="68"/>
      <c r="C575" s="68"/>
      <c r="D575" s="415"/>
      <c r="E575" s="415"/>
      <c r="F575" s="415"/>
      <c r="G575" s="415"/>
      <c r="H575" s="415"/>
      <c r="I575" s="415"/>
      <c r="J575" s="415"/>
      <c r="K575" s="97"/>
      <c r="L575" s="97"/>
      <c r="M575" s="97"/>
      <c r="N575" s="97"/>
      <c r="O575" s="97"/>
      <c r="P575" s="97"/>
      <c r="Q575" s="97"/>
      <c r="R575" s="97"/>
      <c r="S575" s="97"/>
      <c r="T575" s="423">
        <v>572</v>
      </c>
      <c r="U575" s="424">
        <v>57255973586.643356</v>
      </c>
      <c r="V575" s="426"/>
      <c r="W575" s="97"/>
      <c r="X575" s="97"/>
      <c r="Y575" s="97"/>
      <c r="Z575" s="68"/>
      <c r="AA575" s="68"/>
      <c r="AB575" s="68"/>
      <c r="AC575" s="68"/>
      <c r="AD575" s="68"/>
    </row>
    <row r="576" spans="1:30" ht="17">
      <c r="A576" s="68"/>
      <c r="B576" s="68"/>
      <c r="C576" s="68"/>
      <c r="D576" s="415"/>
      <c r="E576" s="415"/>
      <c r="F576" s="415"/>
      <c r="G576" s="415"/>
      <c r="H576" s="415"/>
      <c r="I576" s="415"/>
      <c r="J576" s="415"/>
      <c r="K576" s="97"/>
      <c r="L576" s="97"/>
      <c r="M576" s="97"/>
      <c r="N576" s="97"/>
      <c r="O576" s="97"/>
      <c r="P576" s="97"/>
      <c r="Q576" s="97"/>
      <c r="R576" s="97"/>
      <c r="S576" s="97"/>
      <c r="T576" s="423">
        <v>573</v>
      </c>
      <c r="U576" s="424">
        <v>56309051804.295227</v>
      </c>
      <c r="V576" s="426"/>
      <c r="W576" s="97"/>
      <c r="X576" s="97"/>
      <c r="Y576" s="97"/>
      <c r="Z576" s="68"/>
      <c r="AA576" s="68"/>
      <c r="AB576" s="68"/>
      <c r="AC576" s="68"/>
      <c r="AD576" s="68"/>
    </row>
    <row r="577" spans="1:30" ht="17">
      <c r="A577" s="68"/>
      <c r="B577" s="68"/>
      <c r="C577" s="68"/>
      <c r="D577" s="415"/>
      <c r="E577" s="415"/>
      <c r="F577" s="415"/>
      <c r="G577" s="415"/>
      <c r="H577" s="415"/>
      <c r="I577" s="415"/>
      <c r="J577" s="415"/>
      <c r="K577" s="97"/>
      <c r="L577" s="97"/>
      <c r="M577" s="97"/>
      <c r="N577" s="97"/>
      <c r="O577" s="97"/>
      <c r="P577" s="97"/>
      <c r="Q577" s="97"/>
      <c r="R577" s="97"/>
      <c r="S577" s="97"/>
      <c r="T577" s="423">
        <v>574</v>
      </c>
      <c r="U577" s="424">
        <v>58537035047.823456</v>
      </c>
      <c r="V577" s="426"/>
      <c r="W577" s="97"/>
      <c r="X577" s="97"/>
      <c r="Y577" s="97"/>
      <c r="Z577" s="68"/>
      <c r="AA577" s="68"/>
      <c r="AB577" s="68"/>
      <c r="AC577" s="68"/>
      <c r="AD577" s="68"/>
    </row>
    <row r="578" spans="1:30" ht="17">
      <c r="A578" s="68"/>
      <c r="B578" s="68"/>
      <c r="C578" s="68"/>
      <c r="D578" s="415"/>
      <c r="E578" s="415"/>
      <c r="F578" s="415"/>
      <c r="G578" s="415"/>
      <c r="H578" s="415"/>
      <c r="I578" s="415"/>
      <c r="J578" s="415"/>
      <c r="K578" s="97"/>
      <c r="L578" s="97"/>
      <c r="M578" s="97"/>
      <c r="N578" s="97"/>
      <c r="O578" s="97"/>
      <c r="P578" s="97"/>
      <c r="Q578" s="97"/>
      <c r="R578" s="97"/>
      <c r="S578" s="97"/>
      <c r="T578" s="423">
        <v>575</v>
      </c>
      <c r="U578" s="424">
        <v>56761762295.536293</v>
      </c>
      <c r="V578" s="426"/>
      <c r="W578" s="97"/>
      <c r="X578" s="97"/>
      <c r="Y578" s="97"/>
      <c r="Z578" s="68"/>
      <c r="AA578" s="68"/>
      <c r="AB578" s="68"/>
      <c r="AC578" s="68"/>
      <c r="AD578" s="68"/>
    </row>
    <row r="579" spans="1:30" ht="17">
      <c r="A579" s="68"/>
      <c r="B579" s="68"/>
      <c r="C579" s="68"/>
      <c r="D579" s="415"/>
      <c r="E579" s="415"/>
      <c r="F579" s="415"/>
      <c r="G579" s="415"/>
      <c r="H579" s="415"/>
      <c r="I579" s="415"/>
      <c r="J579" s="415"/>
      <c r="K579" s="97"/>
      <c r="L579" s="97"/>
      <c r="M579" s="97"/>
      <c r="N579" s="97"/>
      <c r="O579" s="97"/>
      <c r="P579" s="97"/>
      <c r="Q579" s="97"/>
      <c r="R579" s="97"/>
      <c r="S579" s="97"/>
      <c r="T579" s="423">
        <v>576</v>
      </c>
      <c r="U579" s="424">
        <v>56903364561.331139</v>
      </c>
      <c r="V579" s="426"/>
      <c r="W579" s="97"/>
      <c r="X579" s="97"/>
      <c r="Y579" s="97"/>
      <c r="Z579" s="68"/>
      <c r="AA579" s="68"/>
      <c r="AB579" s="68"/>
      <c r="AC579" s="68"/>
      <c r="AD579" s="68"/>
    </row>
    <row r="580" spans="1:30" ht="17">
      <c r="A580" s="68"/>
      <c r="B580" s="68"/>
      <c r="C580" s="68"/>
      <c r="D580" s="415"/>
      <c r="E580" s="415"/>
      <c r="F580" s="415"/>
      <c r="G580" s="415"/>
      <c r="H580" s="415"/>
      <c r="I580" s="415"/>
      <c r="J580" s="415"/>
      <c r="K580" s="97"/>
      <c r="L580" s="97"/>
      <c r="M580" s="97"/>
      <c r="N580" s="97"/>
      <c r="O580" s="97"/>
      <c r="P580" s="97"/>
      <c r="Q580" s="97"/>
      <c r="R580" s="97"/>
      <c r="S580" s="97"/>
      <c r="T580" s="423">
        <v>577</v>
      </c>
      <c r="U580" s="424">
        <v>59503328824.756256</v>
      </c>
      <c r="V580" s="426"/>
      <c r="W580" s="97"/>
      <c r="X580" s="97"/>
      <c r="Y580" s="97"/>
      <c r="Z580" s="68"/>
      <c r="AA580" s="68"/>
      <c r="AB580" s="68"/>
      <c r="AC580" s="68"/>
      <c r="AD580" s="68"/>
    </row>
    <row r="581" spans="1:30" ht="17">
      <c r="A581" s="68"/>
      <c r="B581" s="68"/>
      <c r="C581" s="68"/>
      <c r="D581" s="415"/>
      <c r="E581" s="415"/>
      <c r="F581" s="415"/>
      <c r="G581" s="415"/>
      <c r="H581" s="415"/>
      <c r="I581" s="415"/>
      <c r="J581" s="415"/>
      <c r="K581" s="97"/>
      <c r="L581" s="97"/>
      <c r="M581" s="97"/>
      <c r="N581" s="97"/>
      <c r="O581" s="97"/>
      <c r="P581" s="97"/>
      <c r="Q581" s="97"/>
      <c r="R581" s="97"/>
      <c r="S581" s="97"/>
      <c r="T581" s="423">
        <v>578</v>
      </c>
      <c r="U581" s="424">
        <v>59819492434.773903</v>
      </c>
      <c r="V581" s="426"/>
      <c r="W581" s="97"/>
      <c r="X581" s="97"/>
      <c r="Y581" s="97"/>
      <c r="Z581" s="68"/>
      <c r="AA581" s="68"/>
      <c r="AB581" s="68"/>
      <c r="AC581" s="68"/>
      <c r="AD581" s="68"/>
    </row>
    <row r="582" spans="1:30" ht="17">
      <c r="A582" s="68"/>
      <c r="B582" s="68"/>
      <c r="C582" s="68"/>
      <c r="D582" s="415"/>
      <c r="E582" s="415"/>
      <c r="F582" s="415"/>
      <c r="G582" s="415"/>
      <c r="H582" s="415"/>
      <c r="I582" s="415"/>
      <c r="J582" s="415"/>
      <c r="K582" s="97"/>
      <c r="L582" s="97"/>
      <c r="M582" s="97"/>
      <c r="N582" s="97"/>
      <c r="O582" s="97"/>
      <c r="P582" s="97"/>
      <c r="Q582" s="97"/>
      <c r="R582" s="97"/>
      <c r="S582" s="97"/>
      <c r="T582" s="423">
        <v>579</v>
      </c>
      <c r="U582" s="424">
        <v>59432071064.323517</v>
      </c>
      <c r="V582" s="426"/>
      <c r="W582" s="97"/>
      <c r="X582" s="97"/>
      <c r="Y582" s="97"/>
      <c r="Z582" s="68"/>
      <c r="AA582" s="68"/>
      <c r="AB582" s="68"/>
      <c r="AC582" s="68"/>
      <c r="AD582" s="68"/>
    </row>
    <row r="583" spans="1:30" ht="17">
      <c r="A583" s="68"/>
      <c r="B583" s="68"/>
      <c r="C583" s="68"/>
      <c r="D583" s="415"/>
      <c r="E583" s="415"/>
      <c r="F583" s="415"/>
      <c r="G583" s="415"/>
      <c r="H583" s="415"/>
      <c r="I583" s="415"/>
      <c r="J583" s="415"/>
      <c r="K583" s="97"/>
      <c r="L583" s="97"/>
      <c r="M583" s="97"/>
      <c r="N583" s="97"/>
      <c r="O583" s="97"/>
      <c r="P583" s="97"/>
      <c r="Q583" s="97"/>
      <c r="R583" s="97"/>
      <c r="S583" s="97"/>
      <c r="T583" s="423">
        <v>580</v>
      </c>
      <c r="U583" s="424">
        <v>57076469757.986618</v>
      </c>
      <c r="V583" s="426"/>
      <c r="W583" s="97"/>
      <c r="X583" s="97"/>
      <c r="Y583" s="97"/>
      <c r="Z583" s="68"/>
      <c r="AA583" s="68"/>
      <c r="AB583" s="68"/>
      <c r="AC583" s="68"/>
      <c r="AD583" s="68"/>
    </row>
    <row r="584" spans="1:30" ht="17">
      <c r="A584" s="68"/>
      <c r="B584" s="68"/>
      <c r="C584" s="68"/>
      <c r="D584" s="415"/>
      <c r="E584" s="415"/>
      <c r="F584" s="415"/>
      <c r="G584" s="415"/>
      <c r="H584" s="415"/>
      <c r="I584" s="415"/>
      <c r="J584" s="415"/>
      <c r="K584" s="97"/>
      <c r="L584" s="97"/>
      <c r="M584" s="97"/>
      <c r="N584" s="97"/>
      <c r="O584" s="97"/>
      <c r="P584" s="97"/>
      <c r="Q584" s="97"/>
      <c r="R584" s="97"/>
      <c r="S584" s="97"/>
      <c r="T584" s="423">
        <v>581</v>
      </c>
      <c r="U584" s="424">
        <v>60545278375.803345</v>
      </c>
      <c r="V584" s="426"/>
      <c r="W584" s="97"/>
      <c r="X584" s="97"/>
      <c r="Y584" s="97"/>
      <c r="Z584" s="68"/>
      <c r="AA584" s="68"/>
      <c r="AB584" s="68"/>
      <c r="AC584" s="68"/>
      <c r="AD584" s="68"/>
    </row>
    <row r="585" spans="1:30" ht="17">
      <c r="A585" s="68"/>
      <c r="B585" s="68"/>
      <c r="C585" s="68"/>
      <c r="D585" s="415"/>
      <c r="E585" s="415"/>
      <c r="F585" s="415"/>
      <c r="G585" s="415"/>
      <c r="H585" s="415"/>
      <c r="I585" s="415"/>
      <c r="J585" s="415"/>
      <c r="K585" s="97"/>
      <c r="L585" s="97"/>
      <c r="M585" s="97"/>
      <c r="N585" s="97"/>
      <c r="O585" s="97"/>
      <c r="P585" s="97"/>
      <c r="Q585" s="97"/>
      <c r="R585" s="97"/>
      <c r="S585" s="97"/>
      <c r="T585" s="423">
        <v>582</v>
      </c>
      <c r="U585" s="424">
        <v>56443457032.485092</v>
      </c>
      <c r="V585" s="426"/>
      <c r="W585" s="97"/>
      <c r="X585" s="97"/>
      <c r="Y585" s="97"/>
      <c r="Z585" s="68"/>
      <c r="AA585" s="68"/>
      <c r="AB585" s="68"/>
      <c r="AC585" s="68"/>
      <c r="AD585" s="68"/>
    </row>
    <row r="586" spans="1:30" ht="17">
      <c r="A586" s="68"/>
      <c r="B586" s="68"/>
      <c r="C586" s="68"/>
      <c r="D586" s="415"/>
      <c r="E586" s="415"/>
      <c r="F586" s="415"/>
      <c r="G586" s="415"/>
      <c r="H586" s="415"/>
      <c r="I586" s="415"/>
      <c r="J586" s="415"/>
      <c r="K586" s="97"/>
      <c r="L586" s="97"/>
      <c r="M586" s="97"/>
      <c r="N586" s="97"/>
      <c r="O586" s="97"/>
      <c r="P586" s="97"/>
      <c r="Q586" s="97"/>
      <c r="R586" s="97"/>
      <c r="S586" s="97"/>
      <c r="T586" s="423">
        <v>583</v>
      </c>
      <c r="U586" s="424">
        <v>60147970922.642746</v>
      </c>
      <c r="V586" s="426"/>
      <c r="W586" s="97"/>
      <c r="X586" s="97"/>
      <c r="Y586" s="97"/>
      <c r="Z586" s="68"/>
      <c r="AA586" s="68"/>
      <c r="AB586" s="68"/>
      <c r="AC586" s="68"/>
      <c r="AD586" s="68"/>
    </row>
    <row r="587" spans="1:30" ht="17">
      <c r="A587" s="68"/>
      <c r="B587" s="68"/>
      <c r="C587" s="68"/>
      <c r="D587" s="415"/>
      <c r="E587" s="415"/>
      <c r="F587" s="415"/>
      <c r="G587" s="415"/>
      <c r="H587" s="415"/>
      <c r="I587" s="415"/>
      <c r="J587" s="415"/>
      <c r="K587" s="97"/>
      <c r="L587" s="97"/>
      <c r="M587" s="97"/>
      <c r="N587" s="97"/>
      <c r="O587" s="97"/>
      <c r="P587" s="97"/>
      <c r="Q587" s="97"/>
      <c r="R587" s="97"/>
      <c r="S587" s="97"/>
      <c r="T587" s="423">
        <v>584</v>
      </c>
      <c r="U587" s="424">
        <v>58421278096.413795</v>
      </c>
      <c r="V587" s="426"/>
      <c r="W587" s="97"/>
      <c r="X587" s="97"/>
      <c r="Y587" s="97"/>
      <c r="Z587" s="68"/>
      <c r="AA587" s="68"/>
      <c r="AB587" s="68"/>
      <c r="AC587" s="68"/>
      <c r="AD587" s="68"/>
    </row>
    <row r="588" spans="1:30" ht="17">
      <c r="A588" s="68"/>
      <c r="B588" s="68"/>
      <c r="C588" s="68"/>
      <c r="D588" s="415"/>
      <c r="E588" s="415"/>
      <c r="F588" s="415"/>
      <c r="G588" s="415"/>
      <c r="H588" s="415"/>
      <c r="I588" s="415"/>
      <c r="J588" s="415"/>
      <c r="K588" s="97"/>
      <c r="L588" s="97"/>
      <c r="M588" s="97"/>
      <c r="N588" s="97"/>
      <c r="O588" s="97"/>
      <c r="P588" s="97"/>
      <c r="Q588" s="97"/>
      <c r="R588" s="97"/>
      <c r="S588" s="97"/>
      <c r="T588" s="423">
        <v>585</v>
      </c>
      <c r="U588" s="424">
        <v>57423752725.335587</v>
      </c>
      <c r="V588" s="426"/>
      <c r="W588" s="97"/>
      <c r="X588" s="97"/>
      <c r="Y588" s="97"/>
      <c r="Z588" s="68"/>
      <c r="AA588" s="68"/>
      <c r="AB588" s="68"/>
      <c r="AC588" s="68"/>
      <c r="AD588" s="68"/>
    </row>
    <row r="589" spans="1:30" ht="17">
      <c r="A589" s="68"/>
      <c r="B589" s="68"/>
      <c r="C589" s="68"/>
      <c r="D589" s="415"/>
      <c r="E589" s="415"/>
      <c r="F589" s="415"/>
      <c r="G589" s="415"/>
      <c r="H589" s="415"/>
      <c r="I589" s="415"/>
      <c r="J589" s="415"/>
      <c r="K589" s="97"/>
      <c r="L589" s="97"/>
      <c r="M589" s="97"/>
      <c r="N589" s="97"/>
      <c r="O589" s="97"/>
      <c r="P589" s="97"/>
      <c r="Q589" s="97"/>
      <c r="R589" s="97"/>
      <c r="S589" s="97"/>
      <c r="T589" s="423">
        <v>586</v>
      </c>
      <c r="U589" s="424">
        <v>58178570108.474716</v>
      </c>
      <c r="V589" s="426"/>
      <c r="W589" s="97"/>
      <c r="X589" s="97"/>
      <c r="Y589" s="97"/>
      <c r="Z589" s="68"/>
      <c r="AA589" s="68"/>
      <c r="AB589" s="68"/>
      <c r="AC589" s="68"/>
      <c r="AD589" s="68"/>
    </row>
    <row r="590" spans="1:30" ht="17">
      <c r="A590" s="68"/>
      <c r="B590" s="68"/>
      <c r="C590" s="68"/>
      <c r="D590" s="415"/>
      <c r="E590" s="415"/>
      <c r="F590" s="415"/>
      <c r="G590" s="415"/>
      <c r="H590" s="415"/>
      <c r="I590" s="415"/>
      <c r="J590" s="415"/>
      <c r="K590" s="97"/>
      <c r="L590" s="97"/>
      <c r="M590" s="97"/>
      <c r="N590" s="97"/>
      <c r="O590" s="97"/>
      <c r="P590" s="97"/>
      <c r="Q590" s="97"/>
      <c r="R590" s="97"/>
      <c r="S590" s="97"/>
      <c r="T590" s="423">
        <v>587</v>
      </c>
      <c r="U590" s="424">
        <v>59380558644.276382</v>
      </c>
      <c r="V590" s="426"/>
      <c r="W590" s="97"/>
      <c r="X590" s="97"/>
      <c r="Y590" s="97"/>
      <c r="Z590" s="68"/>
      <c r="AA590" s="68"/>
      <c r="AB590" s="68"/>
      <c r="AC590" s="68"/>
      <c r="AD590" s="68"/>
    </row>
    <row r="591" spans="1:30" ht="17">
      <c r="A591" s="68"/>
      <c r="B591" s="68"/>
      <c r="C591" s="68"/>
      <c r="D591" s="415"/>
      <c r="E591" s="415"/>
      <c r="F591" s="415"/>
      <c r="G591" s="415"/>
      <c r="H591" s="415"/>
      <c r="I591" s="415"/>
      <c r="J591" s="415"/>
      <c r="K591" s="97"/>
      <c r="L591" s="97"/>
      <c r="M591" s="97"/>
      <c r="N591" s="97"/>
      <c r="O591" s="97"/>
      <c r="P591" s="97"/>
      <c r="Q591" s="97"/>
      <c r="R591" s="97"/>
      <c r="S591" s="97"/>
      <c r="T591" s="423">
        <v>588</v>
      </c>
      <c r="U591" s="424">
        <v>60545777030.588089</v>
      </c>
      <c r="V591" s="426"/>
      <c r="W591" s="97"/>
      <c r="X591" s="97"/>
      <c r="Y591" s="97"/>
      <c r="Z591" s="68"/>
      <c r="AA591" s="68"/>
      <c r="AB591" s="68"/>
      <c r="AC591" s="68"/>
      <c r="AD591" s="68"/>
    </row>
    <row r="592" spans="1:30" ht="17">
      <c r="A592" s="68"/>
      <c r="B592" s="68"/>
      <c r="C592" s="68"/>
      <c r="D592" s="415"/>
      <c r="E592" s="415"/>
      <c r="F592" s="415"/>
      <c r="G592" s="415"/>
      <c r="H592" s="415"/>
      <c r="I592" s="415"/>
      <c r="J592" s="415"/>
      <c r="K592" s="97"/>
      <c r="L592" s="97"/>
      <c r="M592" s="97"/>
      <c r="N592" s="97"/>
      <c r="O592" s="97"/>
      <c r="P592" s="97"/>
      <c r="Q592" s="97"/>
      <c r="R592" s="97"/>
      <c r="S592" s="97"/>
      <c r="T592" s="423">
        <v>589</v>
      </c>
      <c r="U592" s="424">
        <v>59134680402.719757</v>
      </c>
      <c r="V592" s="426"/>
      <c r="W592" s="97"/>
      <c r="X592" s="97"/>
      <c r="Y592" s="97"/>
      <c r="Z592" s="68"/>
      <c r="AA592" s="68"/>
      <c r="AB592" s="68"/>
      <c r="AC592" s="68"/>
      <c r="AD592" s="68"/>
    </row>
    <row r="593" spans="1:30" ht="17">
      <c r="A593" s="68"/>
      <c r="B593" s="68"/>
      <c r="C593" s="68"/>
      <c r="D593" s="415"/>
      <c r="E593" s="415"/>
      <c r="F593" s="415"/>
      <c r="G593" s="415"/>
      <c r="H593" s="415"/>
      <c r="I593" s="415"/>
      <c r="J593" s="415"/>
      <c r="K593" s="97"/>
      <c r="L593" s="97"/>
      <c r="M593" s="97"/>
      <c r="N593" s="97"/>
      <c r="O593" s="97"/>
      <c r="P593" s="97"/>
      <c r="Q593" s="97"/>
      <c r="R593" s="97"/>
      <c r="S593" s="97"/>
      <c r="T593" s="423">
        <v>590</v>
      </c>
      <c r="U593" s="424">
        <v>61037053620.921295</v>
      </c>
      <c r="V593" s="426"/>
      <c r="W593" s="97"/>
      <c r="X593" s="97"/>
      <c r="Y593" s="97"/>
      <c r="Z593" s="68"/>
      <c r="AA593" s="68"/>
      <c r="AB593" s="68"/>
      <c r="AC593" s="68"/>
      <c r="AD593" s="68"/>
    </row>
    <row r="594" spans="1:30" ht="17">
      <c r="A594" s="68"/>
      <c r="B594" s="68"/>
      <c r="C594" s="68"/>
      <c r="D594" s="415"/>
      <c r="E594" s="415"/>
      <c r="F594" s="415"/>
      <c r="G594" s="415"/>
      <c r="H594" s="415"/>
      <c r="I594" s="415"/>
      <c r="J594" s="415"/>
      <c r="K594" s="97"/>
      <c r="L594" s="97"/>
      <c r="M594" s="97"/>
      <c r="N594" s="97"/>
      <c r="O594" s="97"/>
      <c r="P594" s="97"/>
      <c r="Q594" s="97"/>
      <c r="R594" s="97"/>
      <c r="S594" s="97"/>
      <c r="T594" s="423">
        <v>591</v>
      </c>
      <c r="U594" s="424">
        <v>61355827299.751022</v>
      </c>
      <c r="V594" s="426"/>
      <c r="W594" s="97"/>
      <c r="X594" s="97"/>
      <c r="Y594" s="97"/>
      <c r="Z594" s="68"/>
      <c r="AA594" s="68"/>
      <c r="AB594" s="68"/>
      <c r="AC594" s="68"/>
      <c r="AD594" s="68"/>
    </row>
    <row r="595" spans="1:30" ht="17">
      <c r="A595" s="68"/>
      <c r="B595" s="68"/>
      <c r="C595" s="68"/>
      <c r="D595" s="415"/>
      <c r="E595" s="415"/>
      <c r="F595" s="415"/>
      <c r="G595" s="415"/>
      <c r="H595" s="415"/>
      <c r="I595" s="415"/>
      <c r="J595" s="415"/>
      <c r="K595" s="97"/>
      <c r="L595" s="97"/>
      <c r="M595" s="97"/>
      <c r="N595" s="97"/>
      <c r="O595" s="97"/>
      <c r="P595" s="97"/>
      <c r="Q595" s="97"/>
      <c r="R595" s="97"/>
      <c r="S595" s="97"/>
      <c r="T595" s="423">
        <v>592</v>
      </c>
      <c r="U595" s="424">
        <v>55473686304.684814</v>
      </c>
      <c r="V595" s="426"/>
      <c r="W595" s="97"/>
      <c r="X595" s="97"/>
      <c r="Y595" s="97"/>
      <c r="Z595" s="68"/>
      <c r="AA595" s="68"/>
      <c r="AB595" s="68"/>
      <c r="AC595" s="68"/>
      <c r="AD595" s="68"/>
    </row>
    <row r="596" spans="1:30" ht="17">
      <c r="A596" s="68"/>
      <c r="B596" s="68"/>
      <c r="C596" s="68"/>
      <c r="D596" s="415"/>
      <c r="E596" s="415"/>
      <c r="F596" s="415"/>
      <c r="G596" s="415"/>
      <c r="H596" s="415"/>
      <c r="I596" s="415"/>
      <c r="J596" s="415"/>
      <c r="K596" s="97"/>
      <c r="L596" s="97"/>
      <c r="M596" s="97"/>
      <c r="N596" s="97"/>
      <c r="O596" s="97"/>
      <c r="P596" s="97"/>
      <c r="Q596" s="97"/>
      <c r="R596" s="97"/>
      <c r="S596" s="97"/>
      <c r="T596" s="423">
        <v>593</v>
      </c>
      <c r="U596" s="424">
        <v>59055729353.584175</v>
      </c>
      <c r="V596" s="426"/>
      <c r="W596" s="97"/>
      <c r="X596" s="97"/>
      <c r="Y596" s="97"/>
      <c r="Z596" s="68"/>
      <c r="AA596" s="68"/>
      <c r="AB596" s="68"/>
      <c r="AC596" s="68"/>
      <c r="AD596" s="68"/>
    </row>
    <row r="597" spans="1:30" ht="17">
      <c r="A597" s="68"/>
      <c r="B597" s="68"/>
      <c r="C597" s="68"/>
      <c r="D597" s="415"/>
      <c r="E597" s="415"/>
      <c r="F597" s="415"/>
      <c r="G597" s="415"/>
      <c r="H597" s="415"/>
      <c r="I597" s="415"/>
      <c r="J597" s="415"/>
      <c r="K597" s="97"/>
      <c r="L597" s="97"/>
      <c r="M597" s="97"/>
      <c r="N597" s="97"/>
      <c r="O597" s="97"/>
      <c r="P597" s="97"/>
      <c r="Q597" s="97"/>
      <c r="R597" s="97"/>
      <c r="S597" s="97"/>
      <c r="T597" s="423">
        <v>594</v>
      </c>
      <c r="U597" s="424">
        <v>54040472032.12175</v>
      </c>
      <c r="V597" s="426"/>
      <c r="W597" s="97"/>
      <c r="X597" s="97"/>
      <c r="Y597" s="97"/>
      <c r="Z597" s="68"/>
      <c r="AA597" s="68"/>
      <c r="AB597" s="68"/>
      <c r="AC597" s="68"/>
      <c r="AD597" s="68"/>
    </row>
    <row r="598" spans="1:30" ht="17">
      <c r="A598" s="68"/>
      <c r="B598" s="68"/>
      <c r="C598" s="68"/>
      <c r="D598" s="415"/>
      <c r="E598" s="415"/>
      <c r="F598" s="415"/>
      <c r="G598" s="415"/>
      <c r="H598" s="415"/>
      <c r="I598" s="415"/>
      <c r="J598" s="415"/>
      <c r="K598" s="97"/>
      <c r="L598" s="97"/>
      <c r="M598" s="97"/>
      <c r="N598" s="97"/>
      <c r="O598" s="97"/>
      <c r="P598" s="97"/>
      <c r="Q598" s="97"/>
      <c r="R598" s="97"/>
      <c r="S598" s="97"/>
      <c r="T598" s="423">
        <v>595</v>
      </c>
      <c r="U598" s="424">
        <v>57991960324.748825</v>
      </c>
      <c r="V598" s="426"/>
      <c r="W598" s="97"/>
      <c r="X598" s="97"/>
      <c r="Y598" s="97"/>
      <c r="Z598" s="68"/>
      <c r="AA598" s="68"/>
      <c r="AB598" s="68"/>
      <c r="AC598" s="68"/>
      <c r="AD598" s="68"/>
    </row>
    <row r="599" spans="1:30" ht="17">
      <c r="A599" s="68"/>
      <c r="B599" s="68"/>
      <c r="C599" s="68"/>
      <c r="D599" s="415"/>
      <c r="E599" s="415"/>
      <c r="F599" s="415"/>
      <c r="G599" s="415"/>
      <c r="H599" s="415"/>
      <c r="I599" s="415"/>
      <c r="J599" s="415"/>
      <c r="K599" s="97"/>
      <c r="L599" s="97"/>
      <c r="M599" s="97"/>
      <c r="N599" s="97"/>
      <c r="O599" s="97"/>
      <c r="P599" s="97"/>
      <c r="Q599" s="97"/>
      <c r="R599" s="97"/>
      <c r="S599" s="97"/>
      <c r="T599" s="423">
        <v>596</v>
      </c>
      <c r="U599" s="424">
        <v>58229290833.160385</v>
      </c>
      <c r="V599" s="426"/>
      <c r="W599" s="97"/>
      <c r="X599" s="97"/>
      <c r="Y599" s="97"/>
      <c r="Z599" s="68"/>
      <c r="AA599" s="68"/>
      <c r="AB599" s="68"/>
      <c r="AC599" s="68"/>
      <c r="AD599" s="68"/>
    </row>
    <row r="600" spans="1:30" ht="17">
      <c r="A600" s="68"/>
      <c r="B600" s="68"/>
      <c r="C600" s="68"/>
      <c r="D600" s="415"/>
      <c r="E600" s="415"/>
      <c r="F600" s="415"/>
      <c r="G600" s="415"/>
      <c r="H600" s="415"/>
      <c r="I600" s="415"/>
      <c r="J600" s="415"/>
      <c r="K600" s="97"/>
      <c r="L600" s="97"/>
      <c r="M600" s="97"/>
      <c r="N600" s="97"/>
      <c r="O600" s="97"/>
      <c r="P600" s="97"/>
      <c r="Q600" s="97"/>
      <c r="R600" s="97"/>
      <c r="S600" s="97"/>
      <c r="T600" s="423">
        <v>597</v>
      </c>
      <c r="U600" s="424">
        <v>61359173969.694016</v>
      </c>
      <c r="V600" s="426"/>
      <c r="W600" s="97"/>
      <c r="X600" s="97"/>
      <c r="Y600" s="97"/>
      <c r="Z600" s="68"/>
      <c r="AA600" s="68"/>
      <c r="AB600" s="68"/>
      <c r="AC600" s="68"/>
      <c r="AD600" s="68"/>
    </row>
    <row r="601" spans="1:30" ht="17">
      <c r="A601" s="68"/>
      <c r="B601" s="68"/>
      <c r="C601" s="68"/>
      <c r="D601" s="415"/>
      <c r="E601" s="415"/>
      <c r="F601" s="415"/>
      <c r="G601" s="415"/>
      <c r="H601" s="415"/>
      <c r="I601" s="415"/>
      <c r="J601" s="415"/>
      <c r="K601" s="97"/>
      <c r="L601" s="97"/>
      <c r="M601" s="97"/>
      <c r="N601" s="97"/>
      <c r="O601" s="97"/>
      <c r="P601" s="97"/>
      <c r="Q601" s="97"/>
      <c r="R601" s="97"/>
      <c r="S601" s="97"/>
      <c r="T601" s="423">
        <v>598</v>
      </c>
      <c r="U601" s="424">
        <v>56301431560.259384</v>
      </c>
      <c r="V601" s="426"/>
      <c r="W601" s="97"/>
      <c r="X601" s="97"/>
      <c r="Y601" s="97"/>
      <c r="Z601" s="68"/>
      <c r="AA601" s="68"/>
      <c r="AB601" s="68"/>
      <c r="AC601" s="68"/>
      <c r="AD601" s="68"/>
    </row>
    <row r="602" spans="1:30" ht="17">
      <c r="A602" s="68"/>
      <c r="B602" s="68"/>
      <c r="C602" s="68"/>
      <c r="D602" s="415"/>
      <c r="E602" s="415"/>
      <c r="F602" s="415"/>
      <c r="G602" s="415"/>
      <c r="H602" s="415"/>
      <c r="I602" s="415"/>
      <c r="J602" s="415"/>
      <c r="K602" s="97"/>
      <c r="L602" s="97"/>
      <c r="M602" s="97"/>
      <c r="N602" s="97"/>
      <c r="O602" s="97"/>
      <c r="P602" s="97"/>
      <c r="Q602" s="97"/>
      <c r="R602" s="97"/>
      <c r="S602" s="97"/>
      <c r="T602" s="423">
        <v>599</v>
      </c>
      <c r="U602" s="424">
        <v>57468824780.967438</v>
      </c>
      <c r="V602" s="426"/>
      <c r="W602" s="97"/>
      <c r="X602" s="97"/>
      <c r="Y602" s="97"/>
      <c r="Z602" s="68"/>
      <c r="AA602" s="68"/>
      <c r="AB602" s="68"/>
      <c r="AC602" s="68"/>
      <c r="AD602" s="68"/>
    </row>
    <row r="603" spans="1:30" ht="17">
      <c r="A603" s="68"/>
      <c r="B603" s="68"/>
      <c r="C603" s="68"/>
      <c r="D603" s="415"/>
      <c r="E603" s="415"/>
      <c r="F603" s="415"/>
      <c r="G603" s="415"/>
      <c r="H603" s="415"/>
      <c r="I603" s="415"/>
      <c r="J603" s="415"/>
      <c r="K603" s="97"/>
      <c r="L603" s="97"/>
      <c r="M603" s="97"/>
      <c r="N603" s="97"/>
      <c r="O603" s="97"/>
      <c r="P603" s="97"/>
      <c r="Q603" s="97"/>
      <c r="R603" s="97"/>
      <c r="S603" s="97"/>
      <c r="T603" s="423">
        <v>600</v>
      </c>
      <c r="U603" s="424">
        <v>58171819137.27932</v>
      </c>
      <c r="V603" s="426"/>
      <c r="W603" s="97"/>
      <c r="X603" s="97"/>
      <c r="Y603" s="97"/>
      <c r="Z603" s="68"/>
      <c r="AA603" s="68"/>
      <c r="AB603" s="68"/>
      <c r="AC603" s="68"/>
      <c r="AD603" s="68"/>
    </row>
    <row r="604" spans="1:30" ht="17">
      <c r="A604" s="68"/>
      <c r="B604" s="68"/>
      <c r="C604" s="68"/>
      <c r="D604" s="415"/>
      <c r="E604" s="415"/>
      <c r="F604" s="415"/>
      <c r="G604" s="415"/>
      <c r="H604" s="415"/>
      <c r="I604" s="415"/>
      <c r="J604" s="415"/>
      <c r="K604" s="97"/>
      <c r="L604" s="97"/>
      <c r="M604" s="97"/>
      <c r="N604" s="97"/>
      <c r="O604" s="97"/>
      <c r="P604" s="97"/>
      <c r="Q604" s="97"/>
      <c r="R604" s="97"/>
      <c r="S604" s="97"/>
      <c r="T604" s="423">
        <v>601</v>
      </c>
      <c r="U604" s="424">
        <v>58451424258.725433</v>
      </c>
      <c r="V604" s="426"/>
      <c r="W604" s="97"/>
      <c r="X604" s="97"/>
      <c r="Y604" s="97"/>
      <c r="Z604" s="68"/>
      <c r="AA604" s="68"/>
      <c r="AB604" s="68"/>
      <c r="AC604" s="68"/>
      <c r="AD604" s="68"/>
    </row>
    <row r="605" spans="1:30" ht="17">
      <c r="A605" s="68"/>
      <c r="B605" s="68"/>
      <c r="C605" s="68"/>
      <c r="D605" s="415"/>
      <c r="E605" s="415"/>
      <c r="F605" s="415"/>
      <c r="G605" s="415"/>
      <c r="H605" s="415"/>
      <c r="I605" s="415"/>
      <c r="J605" s="415"/>
      <c r="K605" s="97"/>
      <c r="L605" s="97"/>
      <c r="M605" s="97"/>
      <c r="N605" s="97"/>
      <c r="O605" s="97"/>
      <c r="P605" s="97"/>
      <c r="Q605" s="97"/>
      <c r="R605" s="97"/>
      <c r="S605" s="97"/>
      <c r="T605" s="423">
        <v>602</v>
      </c>
      <c r="U605" s="424">
        <v>58279572749.879814</v>
      </c>
      <c r="V605" s="426"/>
      <c r="W605" s="97"/>
      <c r="X605" s="97"/>
      <c r="Y605" s="97"/>
      <c r="Z605" s="68"/>
      <c r="AA605" s="68"/>
      <c r="AB605" s="68"/>
      <c r="AC605" s="68"/>
      <c r="AD605" s="68"/>
    </row>
    <row r="606" spans="1:30" ht="17">
      <c r="A606" s="68"/>
      <c r="B606" s="68"/>
      <c r="C606" s="68"/>
      <c r="D606" s="415"/>
      <c r="E606" s="415"/>
      <c r="F606" s="415"/>
      <c r="G606" s="415"/>
      <c r="H606" s="415"/>
      <c r="I606" s="415"/>
      <c r="J606" s="415"/>
      <c r="K606" s="97"/>
      <c r="L606" s="97"/>
      <c r="M606" s="97"/>
      <c r="N606" s="97"/>
      <c r="O606" s="97"/>
      <c r="P606" s="97"/>
      <c r="Q606" s="97"/>
      <c r="R606" s="97"/>
      <c r="S606" s="97"/>
      <c r="T606" s="423">
        <v>603</v>
      </c>
      <c r="U606" s="424">
        <v>57475382766.738663</v>
      </c>
      <c r="V606" s="426"/>
      <c r="W606" s="97"/>
      <c r="X606" s="97"/>
      <c r="Y606" s="97"/>
      <c r="Z606" s="68"/>
      <c r="AA606" s="68"/>
      <c r="AB606" s="68"/>
      <c r="AC606" s="68"/>
      <c r="AD606" s="68"/>
    </row>
    <row r="607" spans="1:30" ht="17">
      <c r="A607" s="68"/>
      <c r="B607" s="68"/>
      <c r="C607" s="68"/>
      <c r="D607" s="415"/>
      <c r="E607" s="415"/>
      <c r="F607" s="415"/>
      <c r="G607" s="415"/>
      <c r="H607" s="415"/>
      <c r="I607" s="415"/>
      <c r="J607" s="415"/>
      <c r="K607" s="97"/>
      <c r="L607" s="97"/>
      <c r="M607" s="97"/>
      <c r="N607" s="97"/>
      <c r="O607" s="97"/>
      <c r="P607" s="97"/>
      <c r="Q607" s="97"/>
      <c r="R607" s="97"/>
      <c r="S607" s="97"/>
      <c r="T607" s="423">
        <v>604</v>
      </c>
      <c r="U607" s="424">
        <v>60316403055.593781</v>
      </c>
      <c r="V607" s="426"/>
      <c r="W607" s="97"/>
      <c r="X607" s="97"/>
      <c r="Y607" s="97"/>
      <c r="Z607" s="68"/>
      <c r="AA607" s="68"/>
      <c r="AB607" s="68"/>
      <c r="AC607" s="68"/>
      <c r="AD607" s="68"/>
    </row>
    <row r="608" spans="1:30" ht="17">
      <c r="A608" s="68"/>
      <c r="B608" s="68"/>
      <c r="C608" s="68"/>
      <c r="D608" s="415"/>
      <c r="E608" s="415"/>
      <c r="F608" s="415"/>
      <c r="G608" s="415"/>
      <c r="H608" s="415"/>
      <c r="I608" s="415"/>
      <c r="J608" s="415"/>
      <c r="K608" s="97"/>
      <c r="L608" s="97"/>
      <c r="M608" s="97"/>
      <c r="N608" s="97"/>
      <c r="O608" s="97"/>
      <c r="P608" s="97"/>
      <c r="Q608" s="97"/>
      <c r="R608" s="97"/>
      <c r="S608" s="97"/>
      <c r="T608" s="423">
        <v>605</v>
      </c>
      <c r="U608" s="424">
        <v>56943790361.75248</v>
      </c>
      <c r="V608" s="426"/>
      <c r="W608" s="97"/>
      <c r="X608" s="97"/>
      <c r="Y608" s="97"/>
      <c r="Z608" s="68"/>
      <c r="AA608" s="68"/>
      <c r="AB608" s="68"/>
      <c r="AC608" s="68"/>
      <c r="AD608" s="68"/>
    </row>
    <row r="609" spans="1:30" ht="17">
      <c r="A609" s="68"/>
      <c r="B609" s="68"/>
      <c r="C609" s="68"/>
      <c r="D609" s="415"/>
      <c r="E609" s="415"/>
      <c r="F609" s="415"/>
      <c r="G609" s="415"/>
      <c r="H609" s="415"/>
      <c r="I609" s="415"/>
      <c r="J609" s="415"/>
      <c r="K609" s="97"/>
      <c r="L609" s="97"/>
      <c r="M609" s="97"/>
      <c r="N609" s="97"/>
      <c r="O609" s="97"/>
      <c r="P609" s="97"/>
      <c r="Q609" s="97"/>
      <c r="R609" s="97"/>
      <c r="S609" s="97"/>
      <c r="T609" s="423">
        <v>606</v>
      </c>
      <c r="U609" s="424">
        <v>58135752957.593163</v>
      </c>
      <c r="V609" s="426"/>
      <c r="W609" s="97"/>
      <c r="X609" s="97"/>
      <c r="Y609" s="97"/>
      <c r="Z609" s="68"/>
      <c r="AA609" s="68"/>
      <c r="AB609" s="68"/>
      <c r="AC609" s="68"/>
      <c r="AD609" s="68"/>
    </row>
    <row r="610" spans="1:30" ht="17">
      <c r="A610" s="68"/>
      <c r="B610" s="68"/>
      <c r="C610" s="68"/>
      <c r="D610" s="415"/>
      <c r="E610" s="415"/>
      <c r="F610" s="415"/>
      <c r="G610" s="415"/>
      <c r="H610" s="415"/>
      <c r="I610" s="415"/>
      <c r="J610" s="415"/>
      <c r="K610" s="97"/>
      <c r="L610" s="97"/>
      <c r="M610" s="97"/>
      <c r="N610" s="97"/>
      <c r="O610" s="97"/>
      <c r="P610" s="97"/>
      <c r="Q610" s="97"/>
      <c r="R610" s="97"/>
      <c r="S610" s="97"/>
      <c r="T610" s="423">
        <v>607</v>
      </c>
      <c r="U610" s="424">
        <v>58122628319.776459</v>
      </c>
      <c r="V610" s="426"/>
      <c r="W610" s="97"/>
      <c r="X610" s="97"/>
      <c r="Y610" s="97"/>
      <c r="Z610" s="68"/>
      <c r="AA610" s="68"/>
      <c r="AB610" s="68"/>
      <c r="AC610" s="68"/>
      <c r="AD610" s="68"/>
    </row>
    <row r="611" spans="1:30" ht="17">
      <c r="A611" s="68"/>
      <c r="B611" s="68"/>
      <c r="C611" s="68"/>
      <c r="D611" s="415"/>
      <c r="E611" s="415"/>
      <c r="F611" s="415"/>
      <c r="G611" s="415"/>
      <c r="H611" s="415"/>
      <c r="I611" s="415"/>
      <c r="J611" s="415"/>
      <c r="K611" s="97"/>
      <c r="L611" s="97"/>
      <c r="M611" s="97"/>
      <c r="N611" s="97"/>
      <c r="O611" s="97"/>
      <c r="P611" s="97"/>
      <c r="Q611" s="97"/>
      <c r="R611" s="97"/>
      <c r="S611" s="97"/>
      <c r="T611" s="423">
        <v>608</v>
      </c>
      <c r="U611" s="424">
        <v>58771152089.495338</v>
      </c>
      <c r="V611" s="426"/>
      <c r="W611" s="97"/>
      <c r="X611" s="97"/>
      <c r="Y611" s="97"/>
      <c r="Z611" s="68"/>
      <c r="AA611" s="68"/>
      <c r="AB611" s="68"/>
      <c r="AC611" s="68"/>
      <c r="AD611" s="68"/>
    </row>
    <row r="612" spans="1:30" ht="17">
      <c r="A612" s="68"/>
      <c r="B612" s="68"/>
      <c r="C612" s="68"/>
      <c r="D612" s="415"/>
      <c r="E612" s="415"/>
      <c r="F612" s="415"/>
      <c r="G612" s="415"/>
      <c r="H612" s="415"/>
      <c r="I612" s="415"/>
      <c r="J612" s="415"/>
      <c r="K612" s="97"/>
      <c r="L612" s="97"/>
      <c r="M612" s="97"/>
      <c r="N612" s="97"/>
      <c r="O612" s="97"/>
      <c r="P612" s="97"/>
      <c r="Q612" s="97"/>
      <c r="R612" s="97"/>
      <c r="S612" s="97"/>
      <c r="T612" s="423">
        <v>609</v>
      </c>
      <c r="U612" s="424">
        <v>57473464953.690079</v>
      </c>
      <c r="V612" s="426"/>
      <c r="W612" s="97"/>
      <c r="X612" s="97"/>
      <c r="Y612" s="97"/>
      <c r="Z612" s="68"/>
      <c r="AA612" s="68"/>
      <c r="AB612" s="68"/>
      <c r="AC612" s="68"/>
      <c r="AD612" s="68"/>
    </row>
    <row r="613" spans="1:30" ht="17">
      <c r="A613" s="68"/>
      <c r="B613" s="68"/>
      <c r="C613" s="68"/>
      <c r="D613" s="415"/>
      <c r="E613" s="415"/>
      <c r="F613" s="415"/>
      <c r="G613" s="415"/>
      <c r="H613" s="415"/>
      <c r="I613" s="415"/>
      <c r="J613" s="415"/>
      <c r="K613" s="97"/>
      <c r="L613" s="97"/>
      <c r="M613" s="97"/>
      <c r="N613" s="97"/>
      <c r="O613" s="97"/>
      <c r="P613" s="97"/>
      <c r="Q613" s="97"/>
      <c r="R613" s="97"/>
      <c r="S613" s="97"/>
      <c r="T613" s="423">
        <v>610</v>
      </c>
      <c r="U613" s="424">
        <v>57213126276.253571</v>
      </c>
      <c r="V613" s="426"/>
      <c r="W613" s="97"/>
      <c r="X613" s="97"/>
      <c r="Y613" s="97"/>
      <c r="Z613" s="68"/>
      <c r="AA613" s="68"/>
      <c r="AB613" s="68"/>
      <c r="AC613" s="68"/>
      <c r="AD613" s="68"/>
    </row>
    <row r="614" spans="1:30" ht="17">
      <c r="A614" s="68"/>
      <c r="B614" s="68"/>
      <c r="C614" s="68"/>
      <c r="D614" s="415"/>
      <c r="E614" s="415"/>
      <c r="F614" s="415"/>
      <c r="G614" s="415"/>
      <c r="H614" s="415"/>
      <c r="I614" s="415"/>
      <c r="J614" s="415"/>
      <c r="K614" s="97"/>
      <c r="L614" s="97"/>
      <c r="M614" s="97"/>
      <c r="N614" s="97"/>
      <c r="O614" s="97"/>
      <c r="P614" s="97"/>
      <c r="Q614" s="97"/>
      <c r="R614" s="97"/>
      <c r="S614" s="97"/>
      <c r="T614" s="423">
        <v>611</v>
      </c>
      <c r="U614" s="424">
        <v>53590010006.324394</v>
      </c>
      <c r="V614" s="426"/>
      <c r="W614" s="97"/>
      <c r="X614" s="97"/>
      <c r="Y614" s="97"/>
      <c r="Z614" s="68"/>
      <c r="AA614" s="68"/>
      <c r="AB614" s="68"/>
      <c r="AC614" s="68"/>
      <c r="AD614" s="68"/>
    </row>
    <row r="615" spans="1:30" ht="17">
      <c r="A615" s="68"/>
      <c r="B615" s="68"/>
      <c r="C615" s="68"/>
      <c r="D615" s="415"/>
      <c r="E615" s="415"/>
      <c r="F615" s="415"/>
      <c r="G615" s="415"/>
      <c r="H615" s="415"/>
      <c r="I615" s="415"/>
      <c r="J615" s="415"/>
      <c r="K615" s="97"/>
      <c r="L615" s="97"/>
      <c r="M615" s="97"/>
      <c r="N615" s="97"/>
      <c r="O615" s="97"/>
      <c r="P615" s="97"/>
      <c r="Q615" s="97"/>
      <c r="R615" s="97"/>
      <c r="S615" s="97"/>
      <c r="T615" s="423">
        <v>612</v>
      </c>
      <c r="U615" s="424">
        <v>60297176796.580635</v>
      </c>
      <c r="V615" s="426"/>
      <c r="W615" s="97"/>
      <c r="X615" s="97"/>
      <c r="Y615" s="97"/>
      <c r="Z615" s="68"/>
      <c r="AA615" s="68"/>
      <c r="AB615" s="68"/>
      <c r="AC615" s="68"/>
      <c r="AD615" s="68"/>
    </row>
    <row r="616" spans="1:30" ht="17">
      <c r="A616" s="68"/>
      <c r="B616" s="68"/>
      <c r="C616" s="68"/>
      <c r="D616" s="415"/>
      <c r="E616" s="415"/>
      <c r="F616" s="415"/>
      <c r="G616" s="415"/>
      <c r="H616" s="415"/>
      <c r="I616" s="415"/>
      <c r="J616" s="415"/>
      <c r="K616" s="97"/>
      <c r="L616" s="97"/>
      <c r="M616" s="97"/>
      <c r="N616" s="97"/>
      <c r="O616" s="97"/>
      <c r="P616" s="97"/>
      <c r="Q616" s="97"/>
      <c r="R616" s="97"/>
      <c r="S616" s="97"/>
      <c r="T616" s="423">
        <v>613</v>
      </c>
      <c r="U616" s="424">
        <v>58781310506.564102</v>
      </c>
      <c r="V616" s="426"/>
      <c r="W616" s="97"/>
      <c r="X616" s="97"/>
      <c r="Y616" s="97"/>
      <c r="Z616" s="68"/>
      <c r="AA616" s="68"/>
      <c r="AB616" s="68"/>
      <c r="AC616" s="68"/>
      <c r="AD616" s="68"/>
    </row>
    <row r="617" spans="1:30" ht="17">
      <c r="A617" s="68"/>
      <c r="B617" s="68"/>
      <c r="C617" s="68"/>
      <c r="D617" s="415"/>
      <c r="E617" s="415"/>
      <c r="F617" s="415"/>
      <c r="G617" s="415"/>
      <c r="H617" s="415"/>
      <c r="I617" s="415"/>
      <c r="J617" s="415"/>
      <c r="K617" s="97"/>
      <c r="L617" s="97"/>
      <c r="M617" s="97"/>
      <c r="N617" s="97"/>
      <c r="O617" s="97"/>
      <c r="P617" s="97"/>
      <c r="Q617" s="97"/>
      <c r="R617" s="97"/>
      <c r="S617" s="97"/>
      <c r="T617" s="423">
        <v>614</v>
      </c>
      <c r="U617" s="424">
        <v>58212172584.600945</v>
      </c>
      <c r="V617" s="426"/>
      <c r="W617" s="97"/>
      <c r="X617" s="97"/>
      <c r="Y617" s="97"/>
      <c r="Z617" s="68"/>
      <c r="AA617" s="68"/>
      <c r="AB617" s="68"/>
      <c r="AC617" s="68"/>
      <c r="AD617" s="68"/>
    </row>
    <row r="618" spans="1:30" ht="17">
      <c r="A618" s="68"/>
      <c r="B618" s="68"/>
      <c r="C618" s="68"/>
      <c r="D618" s="415"/>
      <c r="E618" s="415"/>
      <c r="F618" s="415"/>
      <c r="G618" s="415"/>
      <c r="H618" s="415"/>
      <c r="I618" s="415"/>
      <c r="J618" s="415"/>
      <c r="K618" s="97"/>
      <c r="L618" s="97"/>
      <c r="M618" s="97"/>
      <c r="N618" s="97"/>
      <c r="O618" s="97"/>
      <c r="P618" s="97"/>
      <c r="Q618" s="97"/>
      <c r="R618" s="97"/>
      <c r="S618" s="97"/>
      <c r="T618" s="423">
        <v>615</v>
      </c>
      <c r="U618" s="424">
        <v>58394452638.25032</v>
      </c>
      <c r="V618" s="426"/>
      <c r="W618" s="97"/>
      <c r="X618" s="97"/>
      <c r="Y618" s="97"/>
      <c r="Z618" s="68"/>
      <c r="AA618" s="68"/>
      <c r="AB618" s="68"/>
      <c r="AC618" s="68"/>
      <c r="AD618" s="68"/>
    </row>
    <row r="619" spans="1:30" ht="17">
      <c r="A619" s="68"/>
      <c r="B619" s="68"/>
      <c r="C619" s="68"/>
      <c r="D619" s="415"/>
      <c r="E619" s="415"/>
      <c r="F619" s="415"/>
      <c r="G619" s="415"/>
      <c r="H619" s="415"/>
      <c r="I619" s="415"/>
      <c r="J619" s="415"/>
      <c r="K619" s="97"/>
      <c r="L619" s="97"/>
      <c r="M619" s="97"/>
      <c r="N619" s="97"/>
      <c r="O619" s="97"/>
      <c r="P619" s="97"/>
      <c r="Q619" s="97"/>
      <c r="R619" s="97"/>
      <c r="S619" s="97"/>
      <c r="T619" s="423">
        <v>616</v>
      </c>
      <c r="U619" s="424">
        <v>55760452234.362404</v>
      </c>
      <c r="V619" s="426"/>
      <c r="W619" s="97"/>
      <c r="X619" s="97"/>
      <c r="Y619" s="97"/>
      <c r="Z619" s="68"/>
      <c r="AA619" s="68"/>
      <c r="AB619" s="68"/>
      <c r="AC619" s="68"/>
      <c r="AD619" s="68"/>
    </row>
    <row r="620" spans="1:30" ht="17">
      <c r="A620" s="68"/>
      <c r="B620" s="68"/>
      <c r="C620" s="68"/>
      <c r="D620" s="415"/>
      <c r="E620" s="415"/>
      <c r="F620" s="415"/>
      <c r="G620" s="415"/>
      <c r="H620" s="415"/>
      <c r="I620" s="415"/>
      <c r="J620" s="415"/>
      <c r="K620" s="97"/>
      <c r="L620" s="97"/>
      <c r="M620" s="97"/>
      <c r="N620" s="97"/>
      <c r="O620" s="97"/>
      <c r="P620" s="97"/>
      <c r="Q620" s="97"/>
      <c r="R620" s="97"/>
      <c r="S620" s="97"/>
      <c r="T620" s="423">
        <v>617</v>
      </c>
      <c r="U620" s="424">
        <v>58132664403.091988</v>
      </c>
      <c r="V620" s="426"/>
      <c r="W620" s="97"/>
      <c r="X620" s="97"/>
      <c r="Y620" s="97"/>
      <c r="Z620" s="68"/>
      <c r="AA620" s="68"/>
      <c r="AB620" s="68"/>
      <c r="AC620" s="68"/>
      <c r="AD620" s="68"/>
    </row>
    <row r="621" spans="1:30" ht="17">
      <c r="A621" s="68"/>
      <c r="B621" s="68"/>
      <c r="C621" s="68"/>
      <c r="D621" s="415"/>
      <c r="E621" s="415"/>
      <c r="F621" s="415"/>
      <c r="G621" s="415"/>
      <c r="H621" s="415"/>
      <c r="I621" s="415"/>
      <c r="J621" s="415"/>
      <c r="K621" s="97"/>
      <c r="L621" s="97"/>
      <c r="M621" s="97"/>
      <c r="N621" s="97"/>
      <c r="O621" s="97"/>
      <c r="P621" s="97"/>
      <c r="Q621" s="97"/>
      <c r="R621" s="97"/>
      <c r="S621" s="97"/>
      <c r="T621" s="423">
        <v>618</v>
      </c>
      <c r="U621" s="424">
        <v>58812522868.098572</v>
      </c>
      <c r="V621" s="426"/>
      <c r="W621" s="97"/>
      <c r="X621" s="97"/>
      <c r="Y621" s="97"/>
      <c r="Z621" s="68"/>
      <c r="AA621" s="68"/>
      <c r="AB621" s="68"/>
      <c r="AC621" s="68"/>
      <c r="AD621" s="68"/>
    </row>
    <row r="622" spans="1:30" ht="17">
      <c r="A622" s="68"/>
      <c r="B622" s="68"/>
      <c r="C622" s="68"/>
      <c r="D622" s="415"/>
      <c r="E622" s="415"/>
      <c r="F622" s="415"/>
      <c r="G622" s="415"/>
      <c r="H622" s="415"/>
      <c r="I622" s="415"/>
      <c r="J622" s="415"/>
      <c r="K622" s="97"/>
      <c r="L622" s="97"/>
      <c r="M622" s="97"/>
      <c r="N622" s="97"/>
      <c r="O622" s="97"/>
      <c r="P622" s="97"/>
      <c r="Q622" s="97"/>
      <c r="R622" s="97"/>
      <c r="S622" s="97"/>
      <c r="T622" s="423">
        <v>619</v>
      </c>
      <c r="U622" s="424">
        <v>58524626735.770302</v>
      </c>
      <c r="V622" s="426"/>
      <c r="W622" s="97"/>
      <c r="X622" s="97"/>
      <c r="Y622" s="97"/>
      <c r="Z622" s="68"/>
      <c r="AA622" s="68"/>
      <c r="AB622" s="68"/>
      <c r="AC622" s="68"/>
      <c r="AD622" s="68"/>
    </row>
    <row r="623" spans="1:30" ht="17">
      <c r="A623" s="68"/>
      <c r="B623" s="68"/>
      <c r="C623" s="68"/>
      <c r="D623" s="415"/>
      <c r="E623" s="415"/>
      <c r="F623" s="415"/>
      <c r="G623" s="415"/>
      <c r="H623" s="415"/>
      <c r="I623" s="415"/>
      <c r="J623" s="415"/>
      <c r="K623" s="97"/>
      <c r="L623" s="97"/>
      <c r="M623" s="97"/>
      <c r="N623" s="97"/>
      <c r="O623" s="97"/>
      <c r="P623" s="97"/>
      <c r="Q623" s="97"/>
      <c r="R623" s="97"/>
      <c r="S623" s="97"/>
      <c r="T623" s="423">
        <v>620</v>
      </c>
      <c r="U623" s="424">
        <v>59392195875.388206</v>
      </c>
      <c r="V623" s="426"/>
      <c r="W623" s="97"/>
      <c r="X623" s="97"/>
      <c r="Y623" s="97"/>
      <c r="Z623" s="68"/>
      <c r="AA623" s="68"/>
      <c r="AB623" s="68"/>
      <c r="AC623" s="68"/>
      <c r="AD623" s="68"/>
    </row>
    <row r="624" spans="1:30" ht="17">
      <c r="A624" s="68"/>
      <c r="B624" s="68"/>
      <c r="C624" s="68"/>
      <c r="D624" s="415"/>
      <c r="E624" s="415"/>
      <c r="F624" s="415"/>
      <c r="G624" s="415"/>
      <c r="H624" s="415"/>
      <c r="I624" s="415"/>
      <c r="J624" s="415"/>
      <c r="K624" s="97"/>
      <c r="L624" s="97"/>
      <c r="M624" s="97"/>
      <c r="N624" s="97"/>
      <c r="O624" s="97"/>
      <c r="P624" s="97"/>
      <c r="Q624" s="97"/>
      <c r="R624" s="97"/>
      <c r="S624" s="97"/>
      <c r="T624" s="423">
        <v>621</v>
      </c>
      <c r="U624" s="424">
        <v>53218923131.40686</v>
      </c>
      <c r="V624" s="426"/>
      <c r="W624" s="97"/>
      <c r="X624" s="97"/>
      <c r="Y624" s="97"/>
      <c r="Z624" s="68"/>
      <c r="AA624" s="68"/>
      <c r="AB624" s="68"/>
      <c r="AC624" s="68"/>
      <c r="AD624" s="68"/>
    </row>
    <row r="625" spans="1:30" ht="17">
      <c r="A625" s="68"/>
      <c r="B625" s="68"/>
      <c r="C625" s="68"/>
      <c r="D625" s="415"/>
      <c r="E625" s="415"/>
      <c r="F625" s="415"/>
      <c r="G625" s="415"/>
      <c r="H625" s="415"/>
      <c r="I625" s="415"/>
      <c r="J625" s="415"/>
      <c r="K625" s="97"/>
      <c r="L625" s="97"/>
      <c r="M625" s="97"/>
      <c r="N625" s="97"/>
      <c r="O625" s="97"/>
      <c r="P625" s="97"/>
      <c r="Q625" s="97"/>
      <c r="R625" s="97"/>
      <c r="S625" s="97"/>
      <c r="T625" s="423">
        <v>622</v>
      </c>
      <c r="U625" s="424">
        <v>57989657783.044586</v>
      </c>
      <c r="V625" s="426"/>
      <c r="W625" s="97"/>
      <c r="X625" s="97"/>
      <c r="Y625" s="97"/>
      <c r="Z625" s="68"/>
      <c r="AA625" s="68"/>
      <c r="AB625" s="68"/>
      <c r="AC625" s="68"/>
      <c r="AD625" s="68"/>
    </row>
    <row r="626" spans="1:30" ht="17">
      <c r="A626" s="68"/>
      <c r="B626" s="68"/>
      <c r="C626" s="68"/>
      <c r="D626" s="415"/>
      <c r="E626" s="415"/>
      <c r="F626" s="415"/>
      <c r="G626" s="415"/>
      <c r="H626" s="415"/>
      <c r="I626" s="415"/>
      <c r="J626" s="415"/>
      <c r="K626" s="97"/>
      <c r="L626" s="97"/>
      <c r="M626" s="97"/>
      <c r="N626" s="97"/>
      <c r="O626" s="97"/>
      <c r="P626" s="97"/>
      <c r="Q626" s="97"/>
      <c r="R626" s="97"/>
      <c r="S626" s="97"/>
      <c r="T626" s="423">
        <v>623</v>
      </c>
      <c r="U626" s="424">
        <v>58914985873.968689</v>
      </c>
      <c r="V626" s="426"/>
      <c r="W626" s="97"/>
      <c r="X626" s="97"/>
      <c r="Y626" s="97"/>
      <c r="Z626" s="68"/>
      <c r="AA626" s="68"/>
      <c r="AB626" s="68"/>
      <c r="AC626" s="68"/>
      <c r="AD626" s="68"/>
    </row>
    <row r="627" spans="1:30" ht="17">
      <c r="A627" s="68"/>
      <c r="B627" s="68"/>
      <c r="C627" s="68"/>
      <c r="D627" s="415"/>
      <c r="E627" s="415"/>
      <c r="F627" s="415"/>
      <c r="G627" s="415"/>
      <c r="H627" s="415"/>
      <c r="I627" s="415"/>
      <c r="J627" s="415"/>
      <c r="K627" s="97"/>
      <c r="L627" s="97"/>
      <c r="M627" s="97"/>
      <c r="N627" s="97"/>
      <c r="O627" s="97"/>
      <c r="P627" s="97"/>
      <c r="Q627" s="97"/>
      <c r="R627" s="97"/>
      <c r="S627" s="97"/>
      <c r="T627" s="423">
        <v>624</v>
      </c>
      <c r="U627" s="424">
        <v>61395520449.620506</v>
      </c>
      <c r="V627" s="426"/>
      <c r="W627" s="97"/>
      <c r="X627" s="97"/>
      <c r="Y627" s="97"/>
      <c r="Z627" s="68"/>
      <c r="AA627" s="68"/>
      <c r="AB627" s="68"/>
      <c r="AC627" s="68"/>
      <c r="AD627" s="68"/>
    </row>
    <row r="628" spans="1:30" ht="17">
      <c r="A628" s="68"/>
      <c r="B628" s="68"/>
      <c r="C628" s="68"/>
      <c r="D628" s="415"/>
      <c r="E628" s="415"/>
      <c r="F628" s="415"/>
      <c r="G628" s="415"/>
      <c r="H628" s="415"/>
      <c r="I628" s="415"/>
      <c r="J628" s="415"/>
      <c r="K628" s="97"/>
      <c r="L628" s="97"/>
      <c r="M628" s="97"/>
      <c r="N628" s="97"/>
      <c r="O628" s="97"/>
      <c r="P628" s="97"/>
      <c r="Q628" s="97"/>
      <c r="R628" s="97"/>
      <c r="S628" s="97"/>
      <c r="T628" s="423">
        <v>625</v>
      </c>
      <c r="U628" s="424">
        <v>58921692088.328194</v>
      </c>
      <c r="V628" s="426"/>
      <c r="W628" s="97"/>
      <c r="X628" s="97"/>
      <c r="Y628" s="97"/>
      <c r="Z628" s="68"/>
      <c r="AA628" s="68"/>
      <c r="AB628" s="68"/>
      <c r="AC628" s="68"/>
      <c r="AD628" s="68"/>
    </row>
    <row r="629" spans="1:30" ht="17">
      <c r="A629" s="68"/>
      <c r="B629" s="68"/>
      <c r="C629" s="68"/>
      <c r="D629" s="415"/>
      <c r="E629" s="415"/>
      <c r="F629" s="415"/>
      <c r="G629" s="415"/>
      <c r="H629" s="415"/>
      <c r="I629" s="415"/>
      <c r="J629" s="415"/>
      <c r="K629" s="97"/>
      <c r="L629" s="97"/>
      <c r="M629" s="97"/>
      <c r="N629" s="97"/>
      <c r="O629" s="97"/>
      <c r="P629" s="97"/>
      <c r="Q629" s="97"/>
      <c r="R629" s="97"/>
      <c r="S629" s="97"/>
      <c r="T629" s="423">
        <v>626</v>
      </c>
      <c r="U629" s="424">
        <v>57999236942.401138</v>
      </c>
      <c r="V629" s="426"/>
      <c r="W629" s="97"/>
      <c r="X629" s="97"/>
      <c r="Y629" s="97"/>
      <c r="Z629" s="68"/>
      <c r="AA629" s="68"/>
      <c r="AB629" s="68"/>
      <c r="AC629" s="68"/>
      <c r="AD629" s="68"/>
    </row>
    <row r="630" spans="1:30" ht="17">
      <c r="A630" s="68"/>
      <c r="B630" s="68"/>
      <c r="C630" s="68"/>
      <c r="D630" s="415"/>
      <c r="E630" s="415"/>
      <c r="F630" s="415"/>
      <c r="G630" s="415"/>
      <c r="H630" s="415"/>
      <c r="I630" s="415"/>
      <c r="J630" s="415"/>
      <c r="K630" s="97"/>
      <c r="L630" s="97"/>
      <c r="M630" s="97"/>
      <c r="N630" s="97"/>
      <c r="O630" s="97"/>
      <c r="P630" s="97"/>
      <c r="Q630" s="97"/>
      <c r="R630" s="97"/>
      <c r="S630" s="97"/>
      <c r="T630" s="423">
        <v>627</v>
      </c>
      <c r="U630" s="424">
        <v>58324020934.128654</v>
      </c>
      <c r="V630" s="426"/>
      <c r="W630" s="97"/>
      <c r="X630" s="97"/>
      <c r="Y630" s="97"/>
      <c r="Z630" s="68"/>
      <c r="AA630" s="68"/>
      <c r="AB630" s="68"/>
      <c r="AC630" s="68"/>
      <c r="AD630" s="68"/>
    </row>
    <row r="631" spans="1:30" ht="17">
      <c r="A631" s="68"/>
      <c r="B631" s="68"/>
      <c r="C631" s="68"/>
      <c r="D631" s="415"/>
      <c r="E631" s="415"/>
      <c r="F631" s="415"/>
      <c r="G631" s="415"/>
      <c r="H631" s="415"/>
      <c r="I631" s="415"/>
      <c r="J631" s="415"/>
      <c r="K631" s="97"/>
      <c r="L631" s="97"/>
      <c r="M631" s="97"/>
      <c r="N631" s="97"/>
      <c r="O631" s="97"/>
      <c r="P631" s="97"/>
      <c r="Q631" s="97"/>
      <c r="R631" s="97"/>
      <c r="S631" s="97"/>
      <c r="T631" s="423">
        <v>628</v>
      </c>
      <c r="U631" s="424">
        <v>57102718155.516167</v>
      </c>
      <c r="V631" s="426"/>
      <c r="W631" s="97"/>
      <c r="X631" s="97"/>
      <c r="Y631" s="97"/>
      <c r="Z631" s="68"/>
      <c r="AA631" s="68"/>
      <c r="AB631" s="68"/>
      <c r="AC631" s="68"/>
      <c r="AD631" s="68"/>
    </row>
    <row r="632" spans="1:30" ht="17">
      <c r="A632" s="68"/>
      <c r="B632" s="68"/>
      <c r="C632" s="68"/>
      <c r="D632" s="415"/>
      <c r="E632" s="415"/>
      <c r="F632" s="415"/>
      <c r="G632" s="415"/>
      <c r="H632" s="415"/>
      <c r="I632" s="415"/>
      <c r="J632" s="415"/>
      <c r="K632" s="97"/>
      <c r="L632" s="97"/>
      <c r="M632" s="97"/>
      <c r="N632" s="97"/>
      <c r="O632" s="97"/>
      <c r="P632" s="97"/>
      <c r="Q632" s="97"/>
      <c r="R632" s="97"/>
      <c r="S632" s="97"/>
      <c r="T632" s="423">
        <v>629</v>
      </c>
      <c r="U632" s="424">
        <v>57425864219.033325</v>
      </c>
      <c r="V632" s="426"/>
      <c r="W632" s="97"/>
      <c r="X632" s="97"/>
      <c r="Y632" s="97"/>
      <c r="Z632" s="68"/>
      <c r="AA632" s="68"/>
      <c r="AB632" s="68"/>
      <c r="AC632" s="68"/>
      <c r="AD632" s="68"/>
    </row>
    <row r="633" spans="1:30" ht="17">
      <c r="A633" s="68"/>
      <c r="B633" s="68"/>
      <c r="C633" s="68"/>
      <c r="D633" s="415"/>
      <c r="E633" s="415"/>
      <c r="F633" s="415"/>
      <c r="G633" s="415"/>
      <c r="H633" s="415"/>
      <c r="I633" s="415"/>
      <c r="J633" s="415"/>
      <c r="K633" s="97"/>
      <c r="L633" s="97"/>
      <c r="M633" s="97"/>
      <c r="N633" s="97"/>
      <c r="O633" s="97"/>
      <c r="P633" s="97"/>
      <c r="Q633" s="97"/>
      <c r="R633" s="97"/>
      <c r="S633" s="97"/>
      <c r="T633" s="423">
        <v>630</v>
      </c>
      <c r="U633" s="424">
        <v>61285071228.086227</v>
      </c>
      <c r="V633" s="426"/>
      <c r="W633" s="97"/>
      <c r="X633" s="97"/>
      <c r="Y633" s="97"/>
      <c r="Z633" s="68"/>
      <c r="AA633" s="68"/>
      <c r="AB633" s="68"/>
      <c r="AC633" s="68"/>
      <c r="AD633" s="68"/>
    </row>
    <row r="634" spans="1:30" ht="17">
      <c r="A634" s="68"/>
      <c r="B634" s="68"/>
      <c r="C634" s="68"/>
      <c r="D634" s="415"/>
      <c r="E634" s="415"/>
      <c r="F634" s="415"/>
      <c r="G634" s="415"/>
      <c r="H634" s="415"/>
      <c r="I634" s="415"/>
      <c r="J634" s="415"/>
      <c r="K634" s="97"/>
      <c r="L634" s="97"/>
      <c r="M634" s="97"/>
      <c r="N634" s="97"/>
      <c r="O634" s="97"/>
      <c r="P634" s="97"/>
      <c r="Q634" s="97"/>
      <c r="R634" s="97"/>
      <c r="S634" s="97"/>
      <c r="T634" s="423">
        <v>631</v>
      </c>
      <c r="U634" s="424">
        <v>57860039646.181686</v>
      </c>
      <c r="V634" s="426"/>
      <c r="W634" s="97"/>
      <c r="X634" s="97"/>
      <c r="Y634" s="97"/>
      <c r="Z634" s="68"/>
      <c r="AA634" s="68"/>
      <c r="AB634" s="68"/>
      <c r="AC634" s="68"/>
      <c r="AD634" s="68"/>
    </row>
    <row r="635" spans="1:30" ht="17">
      <c r="A635" s="68"/>
      <c r="B635" s="68"/>
      <c r="C635" s="68"/>
      <c r="D635" s="415"/>
      <c r="E635" s="415"/>
      <c r="F635" s="415"/>
      <c r="G635" s="415"/>
      <c r="H635" s="415"/>
      <c r="I635" s="415"/>
      <c r="J635" s="415"/>
      <c r="K635" s="97"/>
      <c r="L635" s="97"/>
      <c r="M635" s="97"/>
      <c r="N635" s="97"/>
      <c r="O635" s="97"/>
      <c r="P635" s="97"/>
      <c r="Q635" s="97"/>
      <c r="R635" s="97"/>
      <c r="S635" s="97"/>
      <c r="T635" s="423">
        <v>632</v>
      </c>
      <c r="U635" s="424">
        <v>57896109724.60881</v>
      </c>
      <c r="V635" s="426"/>
      <c r="W635" s="97"/>
      <c r="X635" s="97"/>
      <c r="Y635" s="97"/>
      <c r="Z635" s="68"/>
      <c r="AA635" s="68"/>
      <c r="AB635" s="68"/>
      <c r="AC635" s="68"/>
      <c r="AD635" s="68"/>
    </row>
    <row r="636" spans="1:30" ht="17">
      <c r="A636" s="68"/>
      <c r="B636" s="68"/>
      <c r="C636" s="68"/>
      <c r="D636" s="415"/>
      <c r="E636" s="415"/>
      <c r="F636" s="415"/>
      <c r="G636" s="415"/>
      <c r="H636" s="415"/>
      <c r="I636" s="415"/>
      <c r="J636" s="415"/>
      <c r="K636" s="97"/>
      <c r="L636" s="97"/>
      <c r="M636" s="97"/>
      <c r="N636" s="97"/>
      <c r="O636" s="97"/>
      <c r="P636" s="97"/>
      <c r="Q636" s="97"/>
      <c r="R636" s="97"/>
      <c r="S636" s="97"/>
      <c r="T636" s="423">
        <v>633</v>
      </c>
      <c r="U636" s="424">
        <v>60678471477.895996</v>
      </c>
      <c r="V636" s="426"/>
      <c r="W636" s="97"/>
      <c r="X636" s="97"/>
      <c r="Y636" s="97"/>
      <c r="Z636" s="68"/>
      <c r="AA636" s="68"/>
      <c r="AB636" s="68"/>
      <c r="AC636" s="68"/>
      <c r="AD636" s="68"/>
    </row>
    <row r="637" spans="1:30" ht="17">
      <c r="A637" s="68"/>
      <c r="B637" s="68"/>
      <c r="C637" s="68"/>
      <c r="D637" s="415"/>
      <c r="E637" s="415"/>
      <c r="F637" s="415"/>
      <c r="G637" s="415"/>
      <c r="H637" s="415"/>
      <c r="I637" s="415"/>
      <c r="J637" s="415"/>
      <c r="K637" s="97"/>
      <c r="L637" s="97"/>
      <c r="M637" s="97"/>
      <c r="N637" s="97"/>
      <c r="O637" s="97"/>
      <c r="P637" s="97"/>
      <c r="Q637" s="97"/>
      <c r="R637" s="97"/>
      <c r="S637" s="97"/>
      <c r="T637" s="423">
        <v>634</v>
      </c>
      <c r="U637" s="424">
        <v>58495091706.636826</v>
      </c>
      <c r="V637" s="426"/>
      <c r="W637" s="97"/>
      <c r="X637" s="97"/>
      <c r="Y637" s="97"/>
      <c r="Z637" s="68"/>
      <c r="AA637" s="68"/>
      <c r="AB637" s="68"/>
      <c r="AC637" s="68"/>
      <c r="AD637" s="68"/>
    </row>
    <row r="638" spans="1:30" ht="17">
      <c r="A638" s="68"/>
      <c r="B638" s="68"/>
      <c r="C638" s="68"/>
      <c r="D638" s="415"/>
      <c r="E638" s="415"/>
      <c r="F638" s="415"/>
      <c r="G638" s="415"/>
      <c r="H638" s="415"/>
      <c r="I638" s="415"/>
      <c r="J638" s="415"/>
      <c r="K638" s="97"/>
      <c r="L638" s="97"/>
      <c r="M638" s="97"/>
      <c r="N638" s="97"/>
      <c r="O638" s="97"/>
      <c r="P638" s="97"/>
      <c r="Q638" s="97"/>
      <c r="R638" s="97"/>
      <c r="S638" s="97"/>
      <c r="T638" s="423">
        <v>635</v>
      </c>
      <c r="U638" s="424">
        <v>63369266921.350914</v>
      </c>
      <c r="V638" s="426"/>
      <c r="W638" s="97"/>
      <c r="X638" s="97"/>
      <c r="Y638" s="97"/>
      <c r="Z638" s="68"/>
      <c r="AA638" s="68"/>
      <c r="AB638" s="68"/>
      <c r="AC638" s="68"/>
      <c r="AD638" s="68"/>
    </row>
    <row r="639" spans="1:30" ht="17">
      <c r="A639" s="68"/>
      <c r="B639" s="68"/>
      <c r="C639" s="68"/>
      <c r="D639" s="415"/>
      <c r="E639" s="415"/>
      <c r="F639" s="415"/>
      <c r="G639" s="415"/>
      <c r="H639" s="415"/>
      <c r="I639" s="415"/>
      <c r="J639" s="415"/>
      <c r="K639" s="97"/>
      <c r="L639" s="97"/>
      <c r="M639" s="97"/>
      <c r="N639" s="97"/>
      <c r="O639" s="97"/>
      <c r="P639" s="97"/>
      <c r="Q639" s="97"/>
      <c r="R639" s="97"/>
      <c r="S639" s="97"/>
      <c r="T639" s="423">
        <v>636</v>
      </c>
      <c r="U639" s="424">
        <v>57655238769.952927</v>
      </c>
      <c r="V639" s="426"/>
      <c r="W639" s="97"/>
      <c r="X639" s="97"/>
      <c r="Y639" s="97"/>
      <c r="Z639" s="68"/>
      <c r="AA639" s="68"/>
      <c r="AB639" s="68"/>
      <c r="AC639" s="68"/>
      <c r="AD639" s="68"/>
    </row>
    <row r="640" spans="1:30" ht="17">
      <c r="A640" s="68"/>
      <c r="B640" s="68"/>
      <c r="C640" s="68"/>
      <c r="D640" s="415"/>
      <c r="E640" s="415"/>
      <c r="F640" s="415"/>
      <c r="G640" s="415"/>
      <c r="H640" s="415"/>
      <c r="I640" s="415"/>
      <c r="J640" s="415"/>
      <c r="K640" s="97"/>
      <c r="L640" s="97"/>
      <c r="M640" s="97"/>
      <c r="N640" s="97"/>
      <c r="O640" s="97"/>
      <c r="P640" s="97"/>
      <c r="Q640" s="97"/>
      <c r="R640" s="97"/>
      <c r="S640" s="97"/>
      <c r="T640" s="423">
        <v>637</v>
      </c>
      <c r="U640" s="424">
        <v>60851154590.425377</v>
      </c>
      <c r="V640" s="426"/>
      <c r="W640" s="97"/>
      <c r="X640" s="97"/>
      <c r="Y640" s="97"/>
      <c r="Z640" s="68"/>
      <c r="AA640" s="68"/>
      <c r="AB640" s="68"/>
      <c r="AC640" s="68"/>
      <c r="AD640" s="68"/>
    </row>
    <row r="641" spans="1:30" ht="17">
      <c r="A641" s="68"/>
      <c r="B641" s="68"/>
      <c r="C641" s="68"/>
      <c r="D641" s="415"/>
      <c r="E641" s="415"/>
      <c r="F641" s="415"/>
      <c r="G641" s="415"/>
      <c r="H641" s="415"/>
      <c r="I641" s="415"/>
      <c r="J641" s="415"/>
      <c r="K641" s="97"/>
      <c r="L641" s="97"/>
      <c r="M641" s="97"/>
      <c r="N641" s="97"/>
      <c r="O641" s="97"/>
      <c r="P641" s="97"/>
      <c r="Q641" s="97"/>
      <c r="R641" s="97"/>
      <c r="S641" s="97"/>
      <c r="T641" s="423">
        <v>638</v>
      </c>
      <c r="U641" s="424">
        <v>60464844908.07103</v>
      </c>
      <c r="V641" s="426"/>
      <c r="W641" s="97"/>
      <c r="X641" s="97"/>
      <c r="Y641" s="97"/>
      <c r="Z641" s="68"/>
      <c r="AA641" s="68"/>
      <c r="AB641" s="68"/>
      <c r="AC641" s="68"/>
      <c r="AD641" s="68"/>
    </row>
    <row r="642" spans="1:30" ht="17">
      <c r="A642" s="68"/>
      <c r="B642" s="68"/>
      <c r="C642" s="68"/>
      <c r="D642" s="415"/>
      <c r="E642" s="415"/>
      <c r="F642" s="415"/>
      <c r="G642" s="415"/>
      <c r="H642" s="415"/>
      <c r="I642" s="415"/>
      <c r="J642" s="415"/>
      <c r="K642" s="97"/>
      <c r="L642" s="97"/>
      <c r="M642" s="97"/>
      <c r="N642" s="97"/>
      <c r="O642" s="97"/>
      <c r="P642" s="97"/>
      <c r="Q642" s="97"/>
      <c r="R642" s="97"/>
      <c r="S642" s="97"/>
      <c r="T642" s="423">
        <v>639</v>
      </c>
      <c r="U642" s="424">
        <v>57007969924.024071</v>
      </c>
      <c r="V642" s="426"/>
      <c r="W642" s="97"/>
      <c r="X642" s="97"/>
      <c r="Y642" s="97"/>
      <c r="Z642" s="68"/>
      <c r="AA642" s="68"/>
      <c r="AB642" s="68"/>
      <c r="AC642" s="68"/>
      <c r="AD642" s="68"/>
    </row>
    <row r="643" spans="1:30" ht="17">
      <c r="A643" s="68"/>
      <c r="B643" s="68"/>
      <c r="C643" s="68"/>
      <c r="D643" s="415"/>
      <c r="E643" s="415"/>
      <c r="F643" s="415"/>
      <c r="G643" s="415"/>
      <c r="H643" s="415"/>
      <c r="I643" s="415"/>
      <c r="J643" s="415"/>
      <c r="K643" s="97"/>
      <c r="L643" s="97"/>
      <c r="M643" s="97"/>
      <c r="N643" s="97"/>
      <c r="O643" s="97"/>
      <c r="P643" s="97"/>
      <c r="Q643" s="97"/>
      <c r="R643" s="97"/>
      <c r="S643" s="97"/>
      <c r="T643" s="423">
        <v>640</v>
      </c>
      <c r="U643" s="424">
        <v>58034081593.308716</v>
      </c>
      <c r="V643" s="426"/>
      <c r="W643" s="97"/>
      <c r="X643" s="97"/>
      <c r="Y643" s="97"/>
      <c r="Z643" s="68"/>
      <c r="AA643" s="68"/>
      <c r="AB643" s="68"/>
      <c r="AC643" s="68"/>
      <c r="AD643" s="68"/>
    </row>
    <row r="644" spans="1:30" ht="17">
      <c r="A644" s="68"/>
      <c r="B644" s="68"/>
      <c r="C644" s="68"/>
      <c r="D644" s="415"/>
      <c r="E644" s="415"/>
      <c r="F644" s="415"/>
      <c r="G644" s="415"/>
      <c r="H644" s="415"/>
      <c r="I644" s="415"/>
      <c r="J644" s="415"/>
      <c r="K644" s="97"/>
      <c r="L644" s="97"/>
      <c r="M644" s="97"/>
      <c r="N644" s="97"/>
      <c r="O644" s="97"/>
      <c r="P644" s="97"/>
      <c r="Q644" s="97"/>
      <c r="R644" s="97"/>
      <c r="S644" s="97"/>
      <c r="T644" s="423">
        <v>641</v>
      </c>
      <c r="U644" s="424">
        <v>60066571976.627029</v>
      </c>
      <c r="V644" s="426"/>
      <c r="W644" s="97"/>
      <c r="X644" s="97"/>
      <c r="Y644" s="97"/>
      <c r="Z644" s="68"/>
      <c r="AA644" s="68"/>
      <c r="AB644" s="68"/>
      <c r="AC644" s="68"/>
      <c r="AD644" s="68"/>
    </row>
    <row r="645" spans="1:30" ht="17">
      <c r="A645" s="68"/>
      <c r="B645" s="68"/>
      <c r="C645" s="68"/>
      <c r="D645" s="415"/>
      <c r="E645" s="415"/>
      <c r="F645" s="415"/>
      <c r="G645" s="415"/>
      <c r="H645" s="415"/>
      <c r="I645" s="415"/>
      <c r="J645" s="415"/>
      <c r="K645" s="97"/>
      <c r="L645" s="97"/>
      <c r="M645" s="97"/>
      <c r="N645" s="97"/>
      <c r="O645" s="97"/>
      <c r="P645" s="97"/>
      <c r="Q645" s="97"/>
      <c r="R645" s="97"/>
      <c r="S645" s="97"/>
      <c r="T645" s="423">
        <v>642</v>
      </c>
      <c r="U645" s="424">
        <v>56670490865.382416</v>
      </c>
      <c r="V645" s="426"/>
      <c r="W645" s="97"/>
      <c r="X645" s="97"/>
      <c r="Y645" s="97"/>
      <c r="Z645" s="68"/>
      <c r="AA645" s="68"/>
      <c r="AB645" s="68"/>
      <c r="AC645" s="68"/>
      <c r="AD645" s="68"/>
    </row>
    <row r="646" spans="1:30" ht="17">
      <c r="A646" s="68"/>
      <c r="B646" s="68"/>
      <c r="C646" s="68"/>
      <c r="D646" s="415"/>
      <c r="E646" s="415"/>
      <c r="F646" s="415"/>
      <c r="G646" s="415"/>
      <c r="H646" s="415"/>
      <c r="I646" s="415"/>
      <c r="J646" s="415"/>
      <c r="K646" s="97"/>
      <c r="L646" s="97"/>
      <c r="M646" s="97"/>
      <c r="N646" s="97"/>
      <c r="O646" s="97"/>
      <c r="P646" s="97"/>
      <c r="Q646" s="97"/>
      <c r="R646" s="97"/>
      <c r="S646" s="97"/>
      <c r="T646" s="423">
        <v>643</v>
      </c>
      <c r="U646" s="424">
        <v>57888598263.636284</v>
      </c>
      <c r="V646" s="426"/>
      <c r="W646" s="97"/>
      <c r="X646" s="97"/>
      <c r="Y646" s="97"/>
      <c r="Z646" s="68"/>
      <c r="AA646" s="68"/>
      <c r="AB646" s="68"/>
      <c r="AC646" s="68"/>
      <c r="AD646" s="68"/>
    </row>
    <row r="647" spans="1:30" ht="17">
      <c r="A647" s="68"/>
      <c r="B647" s="68"/>
      <c r="C647" s="68"/>
      <c r="D647" s="415"/>
      <c r="E647" s="415"/>
      <c r="F647" s="415"/>
      <c r="G647" s="415"/>
      <c r="H647" s="415"/>
      <c r="I647" s="415"/>
      <c r="J647" s="415"/>
      <c r="K647" s="97"/>
      <c r="L647" s="97"/>
      <c r="M647" s="97"/>
      <c r="N647" s="97"/>
      <c r="O647" s="97"/>
      <c r="P647" s="97"/>
      <c r="Q647" s="97"/>
      <c r="R647" s="97"/>
      <c r="S647" s="97"/>
      <c r="T647" s="423">
        <v>644</v>
      </c>
      <c r="U647" s="424">
        <v>57714224623.754684</v>
      </c>
      <c r="V647" s="426"/>
      <c r="W647" s="97"/>
      <c r="X647" s="97"/>
      <c r="Y647" s="97"/>
      <c r="Z647" s="68"/>
      <c r="AA647" s="68"/>
      <c r="AB647" s="68"/>
      <c r="AC647" s="68"/>
      <c r="AD647" s="68"/>
    </row>
    <row r="648" spans="1:30" ht="17">
      <c r="A648" s="68"/>
      <c r="B648" s="68"/>
      <c r="C648" s="68"/>
      <c r="D648" s="415"/>
      <c r="E648" s="415"/>
      <c r="F648" s="415"/>
      <c r="G648" s="415"/>
      <c r="H648" s="415"/>
      <c r="I648" s="415"/>
      <c r="J648" s="415"/>
      <c r="K648" s="97"/>
      <c r="L648" s="97"/>
      <c r="M648" s="97"/>
      <c r="N648" s="97"/>
      <c r="O648" s="97"/>
      <c r="P648" s="97"/>
      <c r="Q648" s="97"/>
      <c r="R648" s="97"/>
      <c r="S648" s="97"/>
      <c r="T648" s="423">
        <v>645</v>
      </c>
      <c r="U648" s="424">
        <v>63950601448.962723</v>
      </c>
      <c r="V648" s="426"/>
      <c r="W648" s="97"/>
      <c r="X648" s="97"/>
      <c r="Y648" s="97"/>
      <c r="Z648" s="68"/>
      <c r="AA648" s="68"/>
      <c r="AB648" s="68"/>
      <c r="AC648" s="68"/>
      <c r="AD648" s="68"/>
    </row>
    <row r="649" spans="1:30" ht="17">
      <c r="A649" s="68"/>
      <c r="B649" s="68"/>
      <c r="C649" s="68"/>
      <c r="D649" s="415"/>
      <c r="E649" s="415"/>
      <c r="F649" s="415"/>
      <c r="G649" s="415"/>
      <c r="H649" s="415"/>
      <c r="I649" s="415"/>
      <c r="J649" s="415"/>
      <c r="K649" s="97"/>
      <c r="L649" s="97"/>
      <c r="M649" s="97"/>
      <c r="N649" s="97"/>
      <c r="O649" s="97"/>
      <c r="P649" s="97"/>
      <c r="Q649" s="97"/>
      <c r="R649" s="97"/>
      <c r="S649" s="97"/>
      <c r="T649" s="423">
        <v>646</v>
      </c>
      <c r="U649" s="424">
        <v>59879673234.048981</v>
      </c>
      <c r="V649" s="426"/>
      <c r="W649" s="97"/>
      <c r="X649" s="97"/>
      <c r="Y649" s="97"/>
      <c r="Z649" s="68"/>
      <c r="AA649" s="68"/>
      <c r="AB649" s="68"/>
      <c r="AC649" s="68"/>
      <c r="AD649" s="68"/>
    </row>
    <row r="650" spans="1:30" ht="17">
      <c r="A650" s="68"/>
      <c r="B650" s="68"/>
      <c r="C650" s="68"/>
      <c r="D650" s="415"/>
      <c r="E650" s="415"/>
      <c r="F650" s="415"/>
      <c r="G650" s="415"/>
      <c r="H650" s="415"/>
      <c r="I650" s="415"/>
      <c r="J650" s="415"/>
      <c r="K650" s="97"/>
      <c r="L650" s="97"/>
      <c r="M650" s="97"/>
      <c r="N650" s="97"/>
      <c r="O650" s="97"/>
      <c r="P650" s="97"/>
      <c r="Q650" s="97"/>
      <c r="R650" s="97"/>
      <c r="S650" s="97"/>
      <c r="T650" s="423">
        <v>647</v>
      </c>
      <c r="U650" s="424">
        <v>59141695430.550537</v>
      </c>
      <c r="V650" s="426"/>
      <c r="W650" s="97"/>
      <c r="X650" s="97"/>
      <c r="Y650" s="97"/>
      <c r="Z650" s="68"/>
      <c r="AA650" s="68"/>
      <c r="AB650" s="68"/>
      <c r="AC650" s="68"/>
      <c r="AD650" s="68"/>
    </row>
    <row r="651" spans="1:30" ht="17">
      <c r="A651" s="68"/>
      <c r="B651" s="68"/>
      <c r="C651" s="68"/>
      <c r="D651" s="415"/>
      <c r="E651" s="415"/>
      <c r="F651" s="415"/>
      <c r="G651" s="415"/>
      <c r="H651" s="415"/>
      <c r="I651" s="415"/>
      <c r="J651" s="415"/>
      <c r="K651" s="97"/>
      <c r="L651" s="97"/>
      <c r="M651" s="97"/>
      <c r="N651" s="97"/>
      <c r="O651" s="97"/>
      <c r="P651" s="97"/>
      <c r="Q651" s="97"/>
      <c r="R651" s="97"/>
      <c r="S651" s="97"/>
      <c r="T651" s="423">
        <v>648</v>
      </c>
      <c r="U651" s="424">
        <v>58613707028.952866</v>
      </c>
      <c r="V651" s="426"/>
      <c r="W651" s="97"/>
      <c r="X651" s="97"/>
      <c r="Y651" s="97"/>
      <c r="Z651" s="68"/>
      <c r="AA651" s="68"/>
      <c r="AB651" s="68"/>
      <c r="AC651" s="68"/>
      <c r="AD651" s="68"/>
    </row>
    <row r="652" spans="1:30" ht="17">
      <c r="A652" s="68"/>
      <c r="B652" s="68"/>
      <c r="C652" s="68"/>
      <c r="D652" s="415"/>
      <c r="E652" s="415"/>
      <c r="F652" s="415"/>
      <c r="G652" s="415"/>
      <c r="H652" s="415"/>
      <c r="I652" s="415"/>
      <c r="J652" s="415"/>
      <c r="K652" s="97"/>
      <c r="L652" s="97"/>
      <c r="M652" s="97"/>
      <c r="N652" s="97"/>
      <c r="O652" s="97"/>
      <c r="P652" s="97"/>
      <c r="Q652" s="97"/>
      <c r="R652" s="97"/>
      <c r="S652" s="97"/>
      <c r="T652" s="423">
        <v>649</v>
      </c>
      <c r="U652" s="424">
        <v>59253143066.653603</v>
      </c>
      <c r="V652" s="426"/>
      <c r="W652" s="97"/>
      <c r="X652" s="97"/>
      <c r="Y652" s="97"/>
      <c r="Z652" s="68"/>
      <c r="AA652" s="68"/>
      <c r="AB652" s="68"/>
      <c r="AC652" s="68"/>
      <c r="AD652" s="68"/>
    </row>
    <row r="653" spans="1:30" ht="17">
      <c r="A653" s="68"/>
      <c r="B653" s="68"/>
      <c r="C653" s="68"/>
      <c r="D653" s="415"/>
      <c r="E653" s="415"/>
      <c r="F653" s="415"/>
      <c r="G653" s="415"/>
      <c r="H653" s="415"/>
      <c r="I653" s="415"/>
      <c r="J653" s="415"/>
      <c r="K653" s="97"/>
      <c r="L653" s="97"/>
      <c r="M653" s="97"/>
      <c r="N653" s="97"/>
      <c r="O653" s="97"/>
      <c r="P653" s="97"/>
      <c r="Q653" s="97"/>
      <c r="R653" s="97"/>
      <c r="S653" s="97"/>
      <c r="T653" s="423">
        <v>650</v>
      </c>
      <c r="U653" s="424">
        <v>59208364684.379684</v>
      </c>
      <c r="V653" s="426"/>
      <c r="W653" s="97"/>
      <c r="X653" s="97"/>
      <c r="Y653" s="97"/>
      <c r="Z653" s="68"/>
      <c r="AA653" s="68"/>
      <c r="AB653" s="68"/>
      <c r="AC653" s="68"/>
      <c r="AD653" s="68"/>
    </row>
    <row r="654" spans="1:30" ht="17">
      <c r="A654" s="68"/>
      <c r="B654" s="68"/>
      <c r="C654" s="68"/>
      <c r="D654" s="415"/>
      <c r="E654" s="415"/>
      <c r="F654" s="415"/>
      <c r="G654" s="415"/>
      <c r="H654" s="415"/>
      <c r="I654" s="415"/>
      <c r="J654" s="415"/>
      <c r="K654" s="97"/>
      <c r="L654" s="97"/>
      <c r="M654" s="97"/>
      <c r="N654" s="97"/>
      <c r="O654" s="97"/>
      <c r="P654" s="97"/>
      <c r="Q654" s="97"/>
      <c r="R654" s="97"/>
      <c r="S654" s="97"/>
      <c r="T654" s="423">
        <v>651</v>
      </c>
      <c r="U654" s="424">
        <v>56884110442.105865</v>
      </c>
      <c r="V654" s="426"/>
      <c r="W654" s="97"/>
      <c r="X654" s="97"/>
      <c r="Y654" s="97"/>
      <c r="Z654" s="68"/>
      <c r="AA654" s="68"/>
      <c r="AB654" s="68"/>
      <c r="AC654" s="68"/>
      <c r="AD654" s="68"/>
    </row>
    <row r="655" spans="1:30" ht="17">
      <c r="A655" s="68"/>
      <c r="B655" s="68"/>
      <c r="C655" s="68"/>
      <c r="D655" s="415"/>
      <c r="E655" s="415"/>
      <c r="F655" s="415"/>
      <c r="G655" s="415"/>
      <c r="H655" s="415"/>
      <c r="I655" s="415"/>
      <c r="J655" s="415"/>
      <c r="K655" s="97"/>
      <c r="L655" s="97"/>
      <c r="M655" s="97"/>
      <c r="N655" s="97"/>
      <c r="O655" s="97"/>
      <c r="P655" s="97"/>
      <c r="Q655" s="97"/>
      <c r="R655" s="97"/>
      <c r="S655" s="97"/>
      <c r="T655" s="423">
        <v>652</v>
      </c>
      <c r="U655" s="424">
        <v>56744095164.986786</v>
      </c>
      <c r="V655" s="426"/>
      <c r="W655" s="97"/>
      <c r="X655" s="97"/>
      <c r="Y655" s="97"/>
      <c r="Z655" s="68"/>
      <c r="AA655" s="68"/>
      <c r="AB655" s="68"/>
      <c r="AC655" s="68"/>
      <c r="AD655" s="68"/>
    </row>
    <row r="656" spans="1:30" ht="17">
      <c r="A656" s="68"/>
      <c r="B656" s="68"/>
      <c r="C656" s="68"/>
      <c r="D656" s="415"/>
      <c r="E656" s="415"/>
      <c r="F656" s="415"/>
      <c r="G656" s="415"/>
      <c r="H656" s="415"/>
      <c r="I656" s="415"/>
      <c r="J656" s="415"/>
      <c r="K656" s="97"/>
      <c r="L656" s="97"/>
      <c r="M656" s="97"/>
      <c r="N656" s="97"/>
      <c r="O656" s="97"/>
      <c r="P656" s="97"/>
      <c r="Q656" s="97"/>
      <c r="R656" s="97"/>
      <c r="S656" s="97"/>
      <c r="T656" s="423">
        <v>653</v>
      </c>
      <c r="U656" s="424">
        <v>61329528180.231003</v>
      </c>
      <c r="V656" s="426"/>
      <c r="W656" s="97"/>
      <c r="X656" s="97"/>
      <c r="Y656" s="97"/>
      <c r="Z656" s="68"/>
      <c r="AA656" s="68"/>
      <c r="AB656" s="68"/>
      <c r="AC656" s="68"/>
      <c r="AD656" s="68"/>
    </row>
    <row r="657" spans="1:30" ht="17">
      <c r="A657" s="68"/>
      <c r="B657" s="68"/>
      <c r="C657" s="68"/>
      <c r="D657" s="415"/>
      <c r="E657" s="415"/>
      <c r="F657" s="415"/>
      <c r="G657" s="415"/>
      <c r="H657" s="415"/>
      <c r="I657" s="415"/>
      <c r="J657" s="415"/>
      <c r="K657" s="97"/>
      <c r="L657" s="97"/>
      <c r="M657" s="97"/>
      <c r="N657" s="97"/>
      <c r="O657" s="97"/>
      <c r="P657" s="97"/>
      <c r="Q657" s="97"/>
      <c r="R657" s="97"/>
      <c r="S657" s="97"/>
      <c r="T657" s="423">
        <v>654</v>
      </c>
      <c r="U657" s="424">
        <v>63054599394.56636</v>
      </c>
      <c r="V657" s="426"/>
      <c r="W657" s="97"/>
      <c r="X657" s="97"/>
      <c r="Y657" s="97"/>
      <c r="Z657" s="68"/>
      <c r="AA657" s="68"/>
      <c r="AB657" s="68"/>
      <c r="AC657" s="68"/>
      <c r="AD657" s="68"/>
    </row>
    <row r="658" spans="1:30" ht="17">
      <c r="A658" s="68"/>
      <c r="B658" s="68"/>
      <c r="C658" s="68"/>
      <c r="D658" s="415"/>
      <c r="E658" s="415"/>
      <c r="F658" s="415"/>
      <c r="G658" s="415"/>
      <c r="H658" s="415"/>
      <c r="I658" s="415"/>
      <c r="J658" s="415"/>
      <c r="K658" s="97"/>
      <c r="L658" s="97"/>
      <c r="M658" s="97"/>
      <c r="N658" s="97"/>
      <c r="O658" s="97"/>
      <c r="P658" s="97"/>
      <c r="Q658" s="97"/>
      <c r="R658" s="97"/>
      <c r="S658" s="97"/>
      <c r="T658" s="423">
        <v>655</v>
      </c>
      <c r="U658" s="424">
        <v>59961645361.368347</v>
      </c>
      <c r="V658" s="426"/>
      <c r="W658" s="97"/>
      <c r="X658" s="97"/>
      <c r="Y658" s="97"/>
      <c r="Z658" s="68"/>
      <c r="AA658" s="68"/>
      <c r="AB658" s="68"/>
      <c r="AC658" s="68"/>
      <c r="AD658" s="68"/>
    </row>
    <row r="659" spans="1:30" ht="17">
      <c r="A659" s="68"/>
      <c r="B659" s="68"/>
      <c r="C659" s="68"/>
      <c r="D659" s="415"/>
      <c r="E659" s="415"/>
      <c r="F659" s="415"/>
      <c r="G659" s="415"/>
      <c r="H659" s="415"/>
      <c r="I659" s="415"/>
      <c r="J659" s="415"/>
      <c r="K659" s="97"/>
      <c r="L659" s="97"/>
      <c r="M659" s="97"/>
      <c r="N659" s="97"/>
      <c r="O659" s="97"/>
      <c r="P659" s="97"/>
      <c r="Q659" s="97"/>
      <c r="R659" s="97"/>
      <c r="S659" s="97"/>
      <c r="T659" s="423">
        <v>656</v>
      </c>
      <c r="U659" s="424">
        <v>61044300737.408127</v>
      </c>
      <c r="V659" s="426"/>
      <c r="W659" s="97"/>
      <c r="X659" s="97"/>
      <c r="Y659" s="97"/>
      <c r="Z659" s="68"/>
      <c r="AA659" s="68"/>
      <c r="AB659" s="68"/>
      <c r="AC659" s="68"/>
      <c r="AD659" s="68"/>
    </row>
    <row r="660" spans="1:30" ht="17">
      <c r="A660" s="68"/>
      <c r="B660" s="68"/>
      <c r="C660" s="68"/>
      <c r="D660" s="415"/>
      <c r="E660" s="415"/>
      <c r="F660" s="415"/>
      <c r="G660" s="415"/>
      <c r="H660" s="415"/>
      <c r="I660" s="415"/>
      <c r="J660" s="415"/>
      <c r="K660" s="97"/>
      <c r="L660" s="97"/>
      <c r="M660" s="97"/>
      <c r="N660" s="97"/>
      <c r="O660" s="97"/>
      <c r="P660" s="97"/>
      <c r="Q660" s="97"/>
      <c r="R660" s="97"/>
      <c r="S660" s="97"/>
      <c r="T660" s="423">
        <v>657</v>
      </c>
      <c r="U660" s="424">
        <v>58339232737.571747</v>
      </c>
      <c r="V660" s="426"/>
      <c r="W660" s="97"/>
      <c r="X660" s="97"/>
      <c r="Y660" s="97"/>
      <c r="Z660" s="68"/>
      <c r="AA660" s="68"/>
      <c r="AB660" s="68"/>
      <c r="AC660" s="68"/>
      <c r="AD660" s="68"/>
    </row>
    <row r="661" spans="1:30" ht="17">
      <c r="A661" s="68"/>
      <c r="B661" s="68"/>
      <c r="C661" s="68"/>
      <c r="D661" s="415"/>
      <c r="E661" s="415"/>
      <c r="F661" s="415"/>
      <c r="G661" s="415"/>
      <c r="H661" s="415"/>
      <c r="I661" s="415"/>
      <c r="J661" s="415"/>
      <c r="K661" s="97"/>
      <c r="L661" s="97"/>
      <c r="M661" s="97"/>
      <c r="N661" s="97"/>
      <c r="O661" s="97"/>
      <c r="P661" s="97"/>
      <c r="Q661" s="97"/>
      <c r="R661" s="97"/>
      <c r="S661" s="97"/>
      <c r="T661" s="423">
        <v>658</v>
      </c>
      <c r="U661" s="424">
        <v>64494402634.828369</v>
      </c>
      <c r="V661" s="426"/>
      <c r="W661" s="97"/>
      <c r="X661" s="97"/>
      <c r="Y661" s="97"/>
      <c r="Z661" s="68"/>
      <c r="AA661" s="68"/>
      <c r="AB661" s="68"/>
      <c r="AC661" s="68"/>
      <c r="AD661" s="68"/>
    </row>
    <row r="662" spans="1:30" ht="17">
      <c r="A662" s="68"/>
      <c r="B662" s="68"/>
      <c r="C662" s="68"/>
      <c r="D662" s="415"/>
      <c r="E662" s="415"/>
      <c r="F662" s="415"/>
      <c r="G662" s="415"/>
      <c r="H662" s="415"/>
      <c r="I662" s="415"/>
      <c r="J662" s="415"/>
      <c r="K662" s="97"/>
      <c r="L662" s="97"/>
      <c r="M662" s="97"/>
      <c r="N662" s="97"/>
      <c r="O662" s="97"/>
      <c r="P662" s="97"/>
      <c r="Q662" s="97"/>
      <c r="R662" s="97"/>
      <c r="S662" s="97"/>
      <c r="T662" s="423">
        <v>659</v>
      </c>
      <c r="U662" s="424">
        <v>56796070796.52858</v>
      </c>
      <c r="V662" s="426"/>
      <c r="W662" s="97"/>
      <c r="X662" s="97"/>
      <c r="Y662" s="97"/>
      <c r="Z662" s="68"/>
      <c r="AA662" s="68"/>
      <c r="AB662" s="68"/>
      <c r="AC662" s="68"/>
      <c r="AD662" s="68"/>
    </row>
    <row r="663" spans="1:30" ht="17">
      <c r="A663" s="68"/>
      <c r="B663" s="68"/>
      <c r="C663" s="68"/>
      <c r="D663" s="415"/>
      <c r="E663" s="415"/>
      <c r="F663" s="415"/>
      <c r="G663" s="415"/>
      <c r="H663" s="415"/>
      <c r="I663" s="415"/>
      <c r="J663" s="415"/>
      <c r="K663" s="97"/>
      <c r="L663" s="97"/>
      <c r="M663" s="97"/>
      <c r="N663" s="97"/>
      <c r="O663" s="97"/>
      <c r="P663" s="97"/>
      <c r="Q663" s="97"/>
      <c r="R663" s="97"/>
      <c r="S663" s="97"/>
      <c r="T663" s="423">
        <v>660</v>
      </c>
      <c r="U663" s="424">
        <v>63811284979.594521</v>
      </c>
      <c r="V663" s="426"/>
      <c r="W663" s="97"/>
      <c r="X663" s="97"/>
      <c r="Y663" s="97"/>
      <c r="Z663" s="68"/>
      <c r="AA663" s="68"/>
      <c r="AB663" s="68"/>
      <c r="AC663" s="68"/>
      <c r="AD663" s="68"/>
    </row>
    <row r="664" spans="1:30" ht="17">
      <c r="A664" s="68"/>
      <c r="B664" s="68"/>
      <c r="C664" s="68"/>
      <c r="D664" s="415"/>
      <c r="E664" s="415"/>
      <c r="F664" s="415"/>
      <c r="G664" s="415"/>
      <c r="H664" s="415"/>
      <c r="I664" s="415"/>
      <c r="J664" s="415"/>
      <c r="K664" s="97"/>
      <c r="L664" s="97"/>
      <c r="M664" s="97"/>
      <c r="N664" s="97"/>
      <c r="O664" s="97"/>
      <c r="P664" s="97"/>
      <c r="Q664" s="97"/>
      <c r="R664" s="97"/>
      <c r="S664" s="97"/>
      <c r="T664" s="423">
        <v>661</v>
      </c>
      <c r="U664" s="424">
        <v>58138319066.506889</v>
      </c>
      <c r="V664" s="426"/>
      <c r="W664" s="97"/>
      <c r="X664" s="97"/>
      <c r="Y664" s="97"/>
      <c r="Z664" s="68"/>
      <c r="AA664" s="68"/>
      <c r="AB664" s="68"/>
      <c r="AC664" s="68"/>
      <c r="AD664" s="68"/>
    </row>
    <row r="665" spans="1:30" ht="17">
      <c r="A665" s="68"/>
      <c r="B665" s="68"/>
      <c r="C665" s="68"/>
      <c r="D665" s="415"/>
      <c r="E665" s="415"/>
      <c r="F665" s="415"/>
      <c r="G665" s="415"/>
      <c r="H665" s="415"/>
      <c r="I665" s="415"/>
      <c r="J665" s="415"/>
      <c r="K665" s="97"/>
      <c r="L665" s="97"/>
      <c r="M665" s="97"/>
      <c r="N665" s="97"/>
      <c r="O665" s="97"/>
      <c r="P665" s="97"/>
      <c r="Q665" s="97"/>
      <c r="R665" s="97"/>
      <c r="S665" s="97"/>
      <c r="T665" s="423">
        <v>662</v>
      </c>
      <c r="U665" s="424">
        <v>57953185697.919098</v>
      </c>
      <c r="V665" s="426"/>
      <c r="W665" s="97"/>
      <c r="X665" s="97"/>
      <c r="Y665" s="97"/>
      <c r="Z665" s="68"/>
      <c r="AA665" s="68"/>
      <c r="AB665" s="68"/>
      <c r="AC665" s="68"/>
      <c r="AD665" s="68"/>
    </row>
    <row r="666" spans="1:30" ht="17">
      <c r="A666" s="68"/>
      <c r="B666" s="68"/>
      <c r="C666" s="68"/>
      <c r="D666" s="415"/>
      <c r="E666" s="415"/>
      <c r="F666" s="415"/>
      <c r="G666" s="415"/>
      <c r="H666" s="415"/>
      <c r="I666" s="415"/>
      <c r="J666" s="415"/>
      <c r="K666" s="97"/>
      <c r="L666" s="97"/>
      <c r="M666" s="97"/>
      <c r="N666" s="97"/>
      <c r="O666" s="97"/>
      <c r="P666" s="97"/>
      <c r="Q666" s="97"/>
      <c r="R666" s="97"/>
      <c r="S666" s="97"/>
      <c r="T666" s="423">
        <v>663</v>
      </c>
      <c r="U666" s="424">
        <v>60720036990.520279</v>
      </c>
      <c r="V666" s="426"/>
      <c r="W666" s="97"/>
      <c r="X666" s="97"/>
      <c r="Y666" s="97"/>
      <c r="Z666" s="68"/>
      <c r="AA666" s="68"/>
      <c r="AB666" s="68"/>
      <c r="AC666" s="68"/>
      <c r="AD666" s="68"/>
    </row>
    <row r="667" spans="1:30" ht="17">
      <c r="A667" s="68"/>
      <c r="B667" s="68"/>
      <c r="C667" s="68"/>
      <c r="D667" s="415"/>
      <c r="E667" s="415"/>
      <c r="F667" s="415"/>
      <c r="G667" s="415"/>
      <c r="H667" s="415"/>
      <c r="I667" s="415"/>
      <c r="J667" s="415"/>
      <c r="K667" s="97"/>
      <c r="L667" s="97"/>
      <c r="M667" s="97"/>
      <c r="N667" s="97"/>
      <c r="O667" s="97"/>
      <c r="P667" s="97"/>
      <c r="Q667" s="97"/>
      <c r="R667" s="97"/>
      <c r="S667" s="97"/>
      <c r="T667" s="423">
        <v>664</v>
      </c>
      <c r="U667" s="424">
        <v>55047857980.840683</v>
      </c>
      <c r="V667" s="426"/>
      <c r="W667" s="97"/>
      <c r="X667" s="97"/>
      <c r="Y667" s="97"/>
      <c r="Z667" s="68"/>
      <c r="AA667" s="68"/>
      <c r="AB667" s="68"/>
      <c r="AC667" s="68"/>
      <c r="AD667" s="68"/>
    </row>
    <row r="668" spans="1:30" ht="17">
      <c r="A668" s="68"/>
      <c r="B668" s="68"/>
      <c r="C668" s="68"/>
      <c r="D668" s="415"/>
      <c r="E668" s="415"/>
      <c r="F668" s="415"/>
      <c r="G668" s="415"/>
      <c r="H668" s="415"/>
      <c r="I668" s="415"/>
      <c r="J668" s="415"/>
      <c r="K668" s="97"/>
      <c r="L668" s="97"/>
      <c r="M668" s="97"/>
      <c r="N668" s="97"/>
      <c r="O668" s="97"/>
      <c r="P668" s="97"/>
      <c r="Q668" s="97"/>
      <c r="R668" s="97"/>
      <c r="S668" s="97"/>
      <c r="T668" s="423">
        <v>665</v>
      </c>
      <c r="U668" s="424">
        <v>60732495558.561958</v>
      </c>
      <c r="V668" s="426"/>
      <c r="W668" s="97"/>
      <c r="X668" s="97"/>
      <c r="Y668" s="97"/>
      <c r="Z668" s="68"/>
      <c r="AA668" s="68"/>
      <c r="AB668" s="68"/>
      <c r="AC668" s="68"/>
      <c r="AD668" s="68"/>
    </row>
    <row r="669" spans="1:30" ht="17">
      <c r="A669" s="68"/>
      <c r="B669" s="68"/>
      <c r="C669" s="68"/>
      <c r="D669" s="415"/>
      <c r="E669" s="415"/>
      <c r="F669" s="415"/>
      <c r="G669" s="415"/>
      <c r="H669" s="415"/>
      <c r="I669" s="415"/>
      <c r="J669" s="415"/>
      <c r="K669" s="97"/>
      <c r="L669" s="97"/>
      <c r="M669" s="97"/>
      <c r="N669" s="97"/>
      <c r="O669" s="97"/>
      <c r="P669" s="97"/>
      <c r="Q669" s="97"/>
      <c r="R669" s="97"/>
      <c r="S669" s="97"/>
      <c r="T669" s="423">
        <v>666</v>
      </c>
      <c r="U669" s="424">
        <v>60078204321.262596</v>
      </c>
      <c r="V669" s="426"/>
      <c r="W669" s="97"/>
      <c r="X669" s="97"/>
      <c r="Y669" s="97"/>
      <c r="Z669" s="68"/>
      <c r="AA669" s="68"/>
      <c r="AB669" s="68"/>
      <c r="AC669" s="68"/>
      <c r="AD669" s="68"/>
    </row>
    <row r="670" spans="1:30" ht="17">
      <c r="A670" s="68"/>
      <c r="B670" s="68"/>
      <c r="C670" s="68"/>
      <c r="D670" s="415"/>
      <c r="E670" s="415"/>
      <c r="F670" s="415"/>
      <c r="G670" s="415"/>
      <c r="H670" s="415"/>
      <c r="I670" s="415"/>
      <c r="J670" s="415"/>
      <c r="K670" s="97"/>
      <c r="L670" s="97"/>
      <c r="M670" s="97"/>
      <c r="N670" s="97"/>
      <c r="O670" s="97"/>
      <c r="P670" s="97"/>
      <c r="Q670" s="97"/>
      <c r="R670" s="97"/>
      <c r="S670" s="97"/>
      <c r="T670" s="423">
        <v>667</v>
      </c>
      <c r="U670" s="424">
        <v>58027892224.555405</v>
      </c>
      <c r="V670" s="426"/>
      <c r="W670" s="97"/>
      <c r="X670" s="97"/>
      <c r="Y670" s="97"/>
      <c r="Z670" s="68"/>
      <c r="AA670" s="68"/>
      <c r="AB670" s="68"/>
      <c r="AC670" s="68"/>
      <c r="AD670" s="68"/>
    </row>
    <row r="671" spans="1:30" ht="17">
      <c r="A671" s="68"/>
      <c r="B671" s="68"/>
      <c r="C671" s="68"/>
      <c r="D671" s="415"/>
      <c r="E671" s="415"/>
      <c r="F671" s="415"/>
      <c r="G671" s="415"/>
      <c r="H671" s="415"/>
      <c r="I671" s="415"/>
      <c r="J671" s="415"/>
      <c r="K671" s="97"/>
      <c r="L671" s="97"/>
      <c r="M671" s="97"/>
      <c r="N671" s="97"/>
      <c r="O671" s="97"/>
      <c r="P671" s="97"/>
      <c r="Q671" s="97"/>
      <c r="R671" s="97"/>
      <c r="S671" s="97"/>
      <c r="T671" s="423">
        <v>668</v>
      </c>
      <c r="U671" s="424">
        <v>59884178877.647324</v>
      </c>
      <c r="V671" s="426"/>
      <c r="W671" s="97"/>
      <c r="X671" s="97"/>
      <c r="Y671" s="97"/>
      <c r="Z671" s="68"/>
      <c r="AA671" s="68"/>
      <c r="AB671" s="68"/>
      <c r="AC671" s="68"/>
      <c r="AD671" s="68"/>
    </row>
    <row r="672" spans="1:30" ht="17">
      <c r="A672" s="68"/>
      <c r="B672" s="68"/>
      <c r="C672" s="68"/>
      <c r="D672" s="415"/>
      <c r="E672" s="415"/>
      <c r="F672" s="415"/>
      <c r="G672" s="415"/>
      <c r="H672" s="415"/>
      <c r="I672" s="415"/>
      <c r="J672" s="415"/>
      <c r="K672" s="97"/>
      <c r="L672" s="97"/>
      <c r="M672" s="97"/>
      <c r="N672" s="97"/>
      <c r="O672" s="97"/>
      <c r="P672" s="97"/>
      <c r="Q672" s="97"/>
      <c r="R672" s="97"/>
      <c r="S672" s="97"/>
      <c r="T672" s="423">
        <v>669</v>
      </c>
      <c r="U672" s="424">
        <v>60342841858.436447</v>
      </c>
      <c r="V672" s="426"/>
      <c r="W672" s="97"/>
      <c r="X672" s="97"/>
      <c r="Y672" s="97"/>
      <c r="Z672" s="68"/>
      <c r="AA672" s="68"/>
      <c r="AB672" s="68"/>
      <c r="AC672" s="68"/>
      <c r="AD672" s="68"/>
    </row>
    <row r="673" spans="1:30" ht="17">
      <c r="A673" s="68"/>
      <c r="B673" s="68"/>
      <c r="C673" s="68"/>
      <c r="D673" s="415"/>
      <c r="E673" s="415"/>
      <c r="F673" s="415"/>
      <c r="G673" s="415"/>
      <c r="H673" s="415"/>
      <c r="I673" s="415"/>
      <c r="J673" s="415"/>
      <c r="K673" s="97"/>
      <c r="L673" s="97"/>
      <c r="M673" s="97"/>
      <c r="N673" s="97"/>
      <c r="O673" s="97"/>
      <c r="P673" s="97"/>
      <c r="Q673" s="97"/>
      <c r="R673" s="97"/>
      <c r="S673" s="97"/>
      <c r="T673" s="423">
        <v>670</v>
      </c>
      <c r="U673" s="424">
        <v>58140243220.130386</v>
      </c>
      <c r="V673" s="426"/>
      <c r="W673" s="97"/>
      <c r="X673" s="97"/>
      <c r="Y673" s="97"/>
      <c r="Z673" s="68"/>
      <c r="AA673" s="68"/>
      <c r="AB673" s="68"/>
      <c r="AC673" s="68"/>
      <c r="AD673" s="68"/>
    </row>
    <row r="674" spans="1:30" ht="17">
      <c r="A674" s="68"/>
      <c r="B674" s="68"/>
      <c r="C674" s="68"/>
      <c r="D674" s="415"/>
      <c r="E674" s="415"/>
      <c r="F674" s="415"/>
      <c r="G674" s="415"/>
      <c r="H674" s="415"/>
      <c r="I674" s="415"/>
      <c r="J674" s="415"/>
      <c r="K674" s="97"/>
      <c r="L674" s="97"/>
      <c r="M674" s="97"/>
      <c r="N674" s="97"/>
      <c r="O674" s="97"/>
      <c r="P674" s="97"/>
      <c r="Q674" s="97"/>
      <c r="R674" s="97"/>
      <c r="S674" s="97"/>
      <c r="T674" s="423">
        <v>671</v>
      </c>
      <c r="U674" s="424">
        <v>60250044931.318504</v>
      </c>
      <c r="V674" s="426"/>
      <c r="W674" s="97"/>
      <c r="X674" s="97"/>
      <c r="Y674" s="97"/>
      <c r="Z674" s="68"/>
      <c r="AA674" s="68"/>
      <c r="AB674" s="68"/>
      <c r="AC674" s="68"/>
      <c r="AD674" s="68"/>
    </row>
    <row r="675" spans="1:30" ht="17">
      <c r="A675" s="68"/>
      <c r="B675" s="68"/>
      <c r="C675" s="68"/>
      <c r="D675" s="415"/>
      <c r="E675" s="415"/>
      <c r="F675" s="415"/>
      <c r="G675" s="415"/>
      <c r="H675" s="415"/>
      <c r="I675" s="415"/>
      <c r="J675" s="415"/>
      <c r="K675" s="97"/>
      <c r="L675" s="97"/>
      <c r="M675" s="97"/>
      <c r="N675" s="97"/>
      <c r="O675" s="97"/>
      <c r="P675" s="97"/>
      <c r="Q675" s="97"/>
      <c r="R675" s="97"/>
      <c r="S675" s="97"/>
      <c r="T675" s="423">
        <v>672</v>
      </c>
      <c r="U675" s="424">
        <v>57042294578.149887</v>
      </c>
      <c r="V675" s="426"/>
      <c r="W675" s="97"/>
      <c r="X675" s="97"/>
      <c r="Y675" s="97"/>
      <c r="Z675" s="68"/>
      <c r="AA675" s="68"/>
      <c r="AB675" s="68"/>
      <c r="AC675" s="68"/>
      <c r="AD675" s="68"/>
    </row>
    <row r="676" spans="1:30" ht="17">
      <c r="A676" s="68"/>
      <c r="B676" s="68"/>
      <c r="C676" s="68"/>
      <c r="D676" s="415"/>
      <c r="E676" s="415"/>
      <c r="F676" s="415"/>
      <c r="G676" s="415"/>
      <c r="H676" s="415"/>
      <c r="I676" s="415"/>
      <c r="J676" s="415"/>
      <c r="K676" s="97"/>
      <c r="L676" s="97"/>
      <c r="M676" s="97"/>
      <c r="N676" s="97"/>
      <c r="O676" s="97"/>
      <c r="P676" s="97"/>
      <c r="Q676" s="97"/>
      <c r="R676" s="97"/>
      <c r="S676" s="97"/>
      <c r="T676" s="423">
        <v>673</v>
      </c>
      <c r="U676" s="424">
        <v>59886747884.782288</v>
      </c>
      <c r="V676" s="426"/>
      <c r="W676" s="97"/>
      <c r="X676" s="97"/>
      <c r="Y676" s="97"/>
      <c r="Z676" s="68"/>
      <c r="AA676" s="68"/>
      <c r="AB676" s="68"/>
      <c r="AC676" s="68"/>
      <c r="AD676" s="68"/>
    </row>
    <row r="677" spans="1:30" ht="17">
      <c r="A677" s="68"/>
      <c r="B677" s="68"/>
      <c r="C677" s="68"/>
      <c r="D677" s="415"/>
      <c r="E677" s="415"/>
      <c r="F677" s="415"/>
      <c r="G677" s="415"/>
      <c r="H677" s="415"/>
      <c r="I677" s="415"/>
      <c r="J677" s="415"/>
      <c r="K677" s="97"/>
      <c r="L677" s="97"/>
      <c r="M677" s="97"/>
      <c r="N677" s="97"/>
      <c r="O677" s="97"/>
      <c r="P677" s="97"/>
      <c r="Q677" s="97"/>
      <c r="R677" s="97"/>
      <c r="S677" s="97"/>
      <c r="T677" s="423">
        <v>674</v>
      </c>
      <c r="U677" s="424">
        <v>58821595611.258423</v>
      </c>
      <c r="V677" s="426"/>
      <c r="W677" s="97"/>
      <c r="X677" s="97"/>
      <c r="Y677" s="97"/>
      <c r="Z677" s="68"/>
      <c r="AA677" s="68"/>
      <c r="AB677" s="68"/>
      <c r="AC677" s="68"/>
      <c r="AD677" s="68"/>
    </row>
    <row r="678" spans="1:30" ht="17">
      <c r="A678" s="68"/>
      <c r="B678" s="68"/>
      <c r="C678" s="68"/>
      <c r="D678" s="415"/>
      <c r="E678" s="415"/>
      <c r="F678" s="415"/>
      <c r="G678" s="415"/>
      <c r="H678" s="415"/>
      <c r="I678" s="415"/>
      <c r="J678" s="415"/>
      <c r="K678" s="97"/>
      <c r="L678" s="97"/>
      <c r="M678" s="97"/>
      <c r="N678" s="97"/>
      <c r="O678" s="97"/>
      <c r="P678" s="97"/>
      <c r="Q678" s="97"/>
      <c r="R678" s="97"/>
      <c r="S678" s="97"/>
      <c r="T678" s="423">
        <v>675</v>
      </c>
      <c r="U678" s="424">
        <v>57351915120.728317</v>
      </c>
      <c r="V678" s="426"/>
      <c r="W678" s="97"/>
      <c r="X678" s="97"/>
      <c r="Y678" s="97"/>
      <c r="Z678" s="68"/>
      <c r="AA678" s="68"/>
      <c r="AB678" s="68"/>
      <c r="AC678" s="68"/>
      <c r="AD678" s="68"/>
    </row>
    <row r="679" spans="1:30" ht="17">
      <c r="A679" s="68"/>
      <c r="B679" s="68"/>
      <c r="C679" s="68"/>
      <c r="D679" s="415"/>
      <c r="E679" s="415"/>
      <c r="F679" s="415"/>
      <c r="G679" s="415"/>
      <c r="H679" s="415"/>
      <c r="I679" s="415"/>
      <c r="J679" s="415"/>
      <c r="K679" s="97"/>
      <c r="L679" s="97"/>
      <c r="M679" s="97"/>
      <c r="N679" s="97"/>
      <c r="O679" s="97"/>
      <c r="P679" s="97"/>
      <c r="Q679" s="97"/>
      <c r="R679" s="97"/>
      <c r="S679" s="97"/>
      <c r="T679" s="423">
        <v>676</v>
      </c>
      <c r="U679" s="424">
        <v>58257125485.114746</v>
      </c>
      <c r="V679" s="426"/>
      <c r="W679" s="97"/>
      <c r="X679" s="97"/>
      <c r="Y679" s="97"/>
      <c r="Z679" s="68"/>
      <c r="AA679" s="68"/>
      <c r="AB679" s="68"/>
      <c r="AC679" s="68"/>
      <c r="AD679" s="68"/>
    </row>
    <row r="680" spans="1:30" ht="17">
      <c r="A680" s="68"/>
      <c r="B680" s="68"/>
      <c r="C680" s="68"/>
      <c r="D680" s="415"/>
      <c r="E680" s="415"/>
      <c r="F680" s="415"/>
      <c r="G680" s="415"/>
      <c r="H680" s="415"/>
      <c r="I680" s="415"/>
      <c r="J680" s="415"/>
      <c r="K680" s="97"/>
      <c r="L680" s="97"/>
      <c r="M680" s="97"/>
      <c r="N680" s="97"/>
      <c r="O680" s="97"/>
      <c r="P680" s="97"/>
      <c r="Q680" s="97"/>
      <c r="R680" s="97"/>
      <c r="S680" s="97"/>
      <c r="T680" s="423">
        <v>677</v>
      </c>
      <c r="U680" s="424">
        <v>59143508811.484634</v>
      </c>
      <c r="V680" s="426"/>
      <c r="W680" s="97"/>
      <c r="X680" s="97"/>
      <c r="Y680" s="97"/>
      <c r="Z680" s="68"/>
      <c r="AA680" s="68"/>
      <c r="AB680" s="68"/>
      <c r="AC680" s="68"/>
      <c r="AD680" s="68"/>
    </row>
    <row r="681" spans="1:30" ht="17">
      <c r="A681" s="68"/>
      <c r="B681" s="68"/>
      <c r="C681" s="68"/>
      <c r="D681" s="415"/>
      <c r="E681" s="415"/>
      <c r="F681" s="415"/>
      <c r="G681" s="415"/>
      <c r="H681" s="415"/>
      <c r="I681" s="415"/>
      <c r="J681" s="415"/>
      <c r="K681" s="97"/>
      <c r="L681" s="97"/>
      <c r="M681" s="97"/>
      <c r="N681" s="97"/>
      <c r="O681" s="97"/>
      <c r="P681" s="97"/>
      <c r="Q681" s="97"/>
      <c r="R681" s="97"/>
      <c r="S681" s="97"/>
      <c r="T681" s="423">
        <v>678</v>
      </c>
      <c r="U681" s="424">
        <v>62047244607.011543</v>
      </c>
      <c r="V681" s="426"/>
      <c r="W681" s="97"/>
      <c r="X681" s="97"/>
      <c r="Y681" s="97"/>
      <c r="Z681" s="68"/>
      <c r="AA681" s="68"/>
      <c r="AB681" s="68"/>
      <c r="AC681" s="68"/>
      <c r="AD681" s="68"/>
    </row>
    <row r="682" spans="1:30" ht="17">
      <c r="A682" s="68"/>
      <c r="B682" s="68"/>
      <c r="C682" s="68"/>
      <c r="D682" s="415"/>
      <c r="E682" s="415"/>
      <c r="F682" s="415"/>
      <c r="G682" s="415"/>
      <c r="H682" s="415"/>
      <c r="I682" s="415"/>
      <c r="J682" s="415"/>
      <c r="K682" s="97"/>
      <c r="L682" s="97"/>
      <c r="M682" s="97"/>
      <c r="N682" s="97"/>
      <c r="O682" s="97"/>
      <c r="P682" s="97"/>
      <c r="Q682" s="97"/>
      <c r="R682" s="97"/>
      <c r="S682" s="97"/>
      <c r="T682" s="423">
        <v>679</v>
      </c>
      <c r="U682" s="424">
        <v>59527190882.711548</v>
      </c>
      <c r="V682" s="426"/>
      <c r="W682" s="97"/>
      <c r="X682" s="97"/>
      <c r="Y682" s="97"/>
      <c r="Z682" s="68"/>
      <c r="AA682" s="68"/>
      <c r="AB682" s="68"/>
      <c r="AC682" s="68"/>
      <c r="AD682" s="68"/>
    </row>
    <row r="683" spans="1:30" ht="17">
      <c r="A683" s="68"/>
      <c r="B683" s="68"/>
      <c r="C683" s="68"/>
      <c r="D683" s="415"/>
      <c r="E683" s="415"/>
      <c r="F683" s="415"/>
      <c r="G683" s="415"/>
      <c r="H683" s="415"/>
      <c r="I683" s="415"/>
      <c r="J683" s="415"/>
      <c r="K683" s="97"/>
      <c r="L683" s="97"/>
      <c r="M683" s="97"/>
      <c r="N683" s="97"/>
      <c r="O683" s="97"/>
      <c r="P683" s="97"/>
      <c r="Q683" s="97"/>
      <c r="R683" s="97"/>
      <c r="S683" s="97"/>
      <c r="T683" s="423">
        <v>680</v>
      </c>
      <c r="U683" s="424">
        <v>61736981411.038544</v>
      </c>
      <c r="V683" s="426"/>
      <c r="W683" s="97"/>
      <c r="X683" s="97"/>
      <c r="Y683" s="97"/>
      <c r="Z683" s="68"/>
      <c r="AA683" s="68"/>
      <c r="AB683" s="68"/>
      <c r="AC683" s="68"/>
      <c r="AD683" s="68"/>
    </row>
    <row r="684" spans="1:30" ht="17">
      <c r="A684" s="68"/>
      <c r="B684" s="68"/>
      <c r="C684" s="68"/>
      <c r="D684" s="415"/>
      <c r="E684" s="415"/>
      <c r="F684" s="415"/>
      <c r="G684" s="415"/>
      <c r="H684" s="415"/>
      <c r="I684" s="415"/>
      <c r="J684" s="415"/>
      <c r="K684" s="97"/>
      <c r="L684" s="97"/>
      <c r="M684" s="97"/>
      <c r="N684" s="97"/>
      <c r="O684" s="97"/>
      <c r="P684" s="97"/>
      <c r="Q684" s="97"/>
      <c r="R684" s="97"/>
      <c r="S684" s="97"/>
      <c r="T684" s="423">
        <v>681</v>
      </c>
      <c r="U684" s="424">
        <v>56817759399.855049</v>
      </c>
      <c r="V684" s="426"/>
      <c r="W684" s="97"/>
      <c r="X684" s="97"/>
      <c r="Y684" s="97"/>
      <c r="Z684" s="68"/>
      <c r="AA684" s="68"/>
      <c r="AB684" s="68"/>
      <c r="AC684" s="68"/>
      <c r="AD684" s="68"/>
    </row>
    <row r="685" spans="1:30" ht="17">
      <c r="A685" s="68"/>
      <c r="B685" s="68"/>
      <c r="C685" s="68"/>
      <c r="D685" s="415"/>
      <c r="E685" s="415"/>
      <c r="F685" s="415"/>
      <c r="G685" s="415"/>
      <c r="H685" s="415"/>
      <c r="I685" s="415"/>
      <c r="J685" s="415"/>
      <c r="K685" s="97"/>
      <c r="L685" s="97"/>
      <c r="M685" s="97"/>
      <c r="N685" s="97"/>
      <c r="O685" s="97"/>
      <c r="P685" s="97"/>
      <c r="Q685" s="97"/>
      <c r="R685" s="97"/>
      <c r="S685" s="97"/>
      <c r="T685" s="423">
        <v>682</v>
      </c>
      <c r="U685" s="424">
        <v>60717568494.761047</v>
      </c>
      <c r="V685" s="426"/>
      <c r="W685" s="97"/>
      <c r="X685" s="97"/>
      <c r="Y685" s="97"/>
      <c r="Z685" s="68"/>
      <c r="AA685" s="68"/>
      <c r="AB685" s="68"/>
      <c r="AC685" s="68"/>
      <c r="AD685" s="68"/>
    </row>
    <row r="686" spans="1:30" ht="17">
      <c r="A686" s="68"/>
      <c r="B686" s="68"/>
      <c r="C686" s="68"/>
      <c r="D686" s="415"/>
      <c r="E686" s="415"/>
      <c r="F686" s="415"/>
      <c r="G686" s="415"/>
      <c r="H686" s="415"/>
      <c r="I686" s="415"/>
      <c r="J686" s="415"/>
      <c r="K686" s="97"/>
      <c r="L686" s="97"/>
      <c r="M686" s="97"/>
      <c r="N686" s="97"/>
      <c r="O686" s="97"/>
      <c r="P686" s="97"/>
      <c r="Q686" s="97"/>
      <c r="R686" s="97"/>
      <c r="S686" s="97"/>
      <c r="T686" s="423">
        <v>683</v>
      </c>
      <c r="U686" s="424">
        <v>56464425666.090454</v>
      </c>
      <c r="V686" s="426"/>
      <c r="W686" s="97"/>
      <c r="X686" s="97"/>
      <c r="Y686" s="97"/>
      <c r="Z686" s="68"/>
      <c r="AA686" s="68"/>
      <c r="AB686" s="68"/>
      <c r="AC686" s="68"/>
      <c r="AD686" s="68"/>
    </row>
    <row r="687" spans="1:30" ht="17">
      <c r="A687" s="68"/>
      <c r="B687" s="68"/>
      <c r="C687" s="68"/>
      <c r="D687" s="415"/>
      <c r="E687" s="415"/>
      <c r="F687" s="415"/>
      <c r="G687" s="415"/>
      <c r="H687" s="415"/>
      <c r="I687" s="415"/>
      <c r="J687" s="415"/>
      <c r="K687" s="97"/>
      <c r="L687" s="97"/>
      <c r="M687" s="97"/>
      <c r="N687" s="97"/>
      <c r="O687" s="97"/>
      <c r="P687" s="97"/>
      <c r="Q687" s="97"/>
      <c r="R687" s="97"/>
      <c r="S687" s="97"/>
      <c r="T687" s="423">
        <v>684</v>
      </c>
      <c r="U687" s="424">
        <v>59783024448.110405</v>
      </c>
      <c r="V687" s="426"/>
      <c r="W687" s="97"/>
      <c r="X687" s="97"/>
      <c r="Y687" s="97"/>
      <c r="Z687" s="68"/>
      <c r="AA687" s="68"/>
      <c r="AB687" s="68"/>
      <c r="AC687" s="68"/>
      <c r="AD687" s="68"/>
    </row>
    <row r="688" spans="1:30" ht="17">
      <c r="A688" s="68"/>
      <c r="B688" s="68"/>
      <c r="C688" s="68"/>
      <c r="D688" s="415"/>
      <c r="E688" s="415"/>
      <c r="F688" s="415"/>
      <c r="G688" s="415"/>
      <c r="H688" s="415"/>
      <c r="I688" s="415"/>
      <c r="J688" s="415"/>
      <c r="K688" s="97"/>
      <c r="L688" s="97"/>
      <c r="M688" s="97"/>
      <c r="N688" s="97"/>
      <c r="O688" s="97"/>
      <c r="P688" s="97"/>
      <c r="Q688" s="97"/>
      <c r="R688" s="97"/>
      <c r="S688" s="97"/>
      <c r="T688" s="423">
        <v>685</v>
      </c>
      <c r="U688" s="424">
        <v>62178866771.342194</v>
      </c>
      <c r="V688" s="426"/>
      <c r="W688" s="97"/>
      <c r="X688" s="97"/>
      <c r="Y688" s="97"/>
      <c r="Z688" s="68"/>
      <c r="AA688" s="68"/>
      <c r="AB688" s="68"/>
      <c r="AC688" s="68"/>
      <c r="AD688" s="68"/>
    </row>
    <row r="689" spans="1:30" ht="17">
      <c r="A689" s="68"/>
      <c r="B689" s="68"/>
      <c r="C689" s="68"/>
      <c r="D689" s="415"/>
      <c r="E689" s="415"/>
      <c r="F689" s="415"/>
      <c r="G689" s="415"/>
      <c r="H689" s="415"/>
      <c r="I689" s="415"/>
      <c r="J689" s="415"/>
      <c r="K689" s="97"/>
      <c r="L689" s="97"/>
      <c r="M689" s="97"/>
      <c r="N689" s="97"/>
      <c r="O689" s="97"/>
      <c r="P689" s="97"/>
      <c r="Q689" s="97"/>
      <c r="R689" s="97"/>
      <c r="S689" s="97"/>
      <c r="T689" s="423">
        <v>686</v>
      </c>
      <c r="U689" s="424">
        <v>57403705659.936111</v>
      </c>
      <c r="V689" s="426"/>
      <c r="W689" s="97"/>
      <c r="X689" s="97"/>
      <c r="Y689" s="97"/>
      <c r="Z689" s="68"/>
      <c r="AA689" s="68"/>
      <c r="AB689" s="68"/>
      <c r="AC689" s="68"/>
      <c r="AD689" s="68"/>
    </row>
    <row r="690" spans="1:30" ht="17">
      <c r="A690" s="68"/>
      <c r="B690" s="68"/>
      <c r="C690" s="68"/>
      <c r="D690" s="415"/>
      <c r="E690" s="415"/>
      <c r="F690" s="415"/>
      <c r="G690" s="415"/>
      <c r="H690" s="415"/>
      <c r="I690" s="415"/>
      <c r="J690" s="415"/>
      <c r="K690" s="97"/>
      <c r="L690" s="97"/>
      <c r="M690" s="97"/>
      <c r="N690" s="97"/>
      <c r="O690" s="97"/>
      <c r="P690" s="97"/>
      <c r="Q690" s="97"/>
      <c r="R690" s="97"/>
      <c r="S690" s="97"/>
      <c r="T690" s="423">
        <v>687</v>
      </c>
      <c r="U690" s="424">
        <v>57120920564.640495</v>
      </c>
      <c r="V690" s="426"/>
      <c r="W690" s="97"/>
      <c r="X690" s="97"/>
      <c r="Y690" s="97"/>
      <c r="Z690" s="68"/>
      <c r="AA690" s="68"/>
      <c r="AB690" s="68"/>
      <c r="AC690" s="68"/>
      <c r="AD690" s="68"/>
    </row>
    <row r="691" spans="1:30" ht="17">
      <c r="A691" s="68"/>
      <c r="B691" s="68"/>
      <c r="C691" s="68"/>
      <c r="D691" s="415"/>
      <c r="E691" s="415"/>
      <c r="F691" s="415"/>
      <c r="G691" s="415"/>
      <c r="H691" s="415"/>
      <c r="I691" s="415"/>
      <c r="J691" s="415"/>
      <c r="K691" s="97"/>
      <c r="L691" s="97"/>
      <c r="M691" s="97"/>
      <c r="N691" s="97"/>
      <c r="O691" s="97"/>
      <c r="P691" s="97"/>
      <c r="Q691" s="97"/>
      <c r="R691" s="97"/>
      <c r="S691" s="97"/>
      <c r="T691" s="423">
        <v>688</v>
      </c>
      <c r="U691" s="424">
        <v>58869065073.612137</v>
      </c>
      <c r="V691" s="426"/>
      <c r="W691" s="97"/>
      <c r="X691" s="97"/>
      <c r="Y691" s="97"/>
      <c r="Z691" s="68"/>
      <c r="AA691" s="68"/>
      <c r="AB691" s="68"/>
      <c r="AC691" s="68"/>
      <c r="AD691" s="68"/>
    </row>
    <row r="692" spans="1:30" ht="17">
      <c r="A692" s="68"/>
      <c r="B692" s="68"/>
      <c r="C692" s="68"/>
      <c r="D692" s="415"/>
      <c r="E692" s="415"/>
      <c r="F692" s="415"/>
      <c r="G692" s="415"/>
      <c r="H692" s="415"/>
      <c r="I692" s="415"/>
      <c r="J692" s="415"/>
      <c r="K692" s="97"/>
      <c r="L692" s="97"/>
      <c r="M692" s="97"/>
      <c r="N692" s="97"/>
      <c r="O692" s="97"/>
      <c r="P692" s="97"/>
      <c r="Q692" s="97"/>
      <c r="R692" s="97"/>
      <c r="S692" s="97"/>
      <c r="T692" s="423">
        <v>689</v>
      </c>
      <c r="U692" s="424">
        <v>58989026547.055908</v>
      </c>
      <c r="V692" s="426"/>
      <c r="W692" s="97"/>
      <c r="X692" s="97"/>
      <c r="Y692" s="97"/>
      <c r="Z692" s="68"/>
      <c r="AA692" s="68"/>
      <c r="AB692" s="68"/>
      <c r="AC692" s="68"/>
      <c r="AD692" s="68"/>
    </row>
    <row r="693" spans="1:30" ht="17">
      <c r="A693" s="68"/>
      <c r="B693" s="68"/>
      <c r="C693" s="68"/>
      <c r="D693" s="415"/>
      <c r="E693" s="415"/>
      <c r="F693" s="415"/>
      <c r="G693" s="415"/>
      <c r="H693" s="415"/>
      <c r="I693" s="415"/>
      <c r="J693" s="415"/>
      <c r="K693" s="97"/>
      <c r="L693" s="97"/>
      <c r="M693" s="97"/>
      <c r="N693" s="97"/>
      <c r="O693" s="97"/>
      <c r="P693" s="97"/>
      <c r="Q693" s="97"/>
      <c r="R693" s="97"/>
      <c r="S693" s="97"/>
      <c r="T693" s="423">
        <v>690</v>
      </c>
      <c r="U693" s="424">
        <v>54150458723.774368</v>
      </c>
      <c r="V693" s="426"/>
      <c r="W693" s="97"/>
      <c r="X693" s="97"/>
      <c r="Y693" s="97"/>
      <c r="Z693" s="68"/>
      <c r="AA693" s="68"/>
      <c r="AB693" s="68"/>
      <c r="AC693" s="68"/>
      <c r="AD693" s="68"/>
    </row>
    <row r="694" spans="1:30" ht="17">
      <c r="A694" s="68"/>
      <c r="B694" s="68"/>
      <c r="C694" s="68"/>
      <c r="D694" s="415"/>
      <c r="E694" s="415"/>
      <c r="F694" s="415"/>
      <c r="G694" s="415"/>
      <c r="H694" s="415"/>
      <c r="I694" s="415"/>
      <c r="J694" s="415"/>
      <c r="K694" s="97"/>
      <c r="L694" s="97"/>
      <c r="M694" s="97"/>
      <c r="N694" s="97"/>
      <c r="O694" s="97"/>
      <c r="P694" s="97"/>
      <c r="Q694" s="97"/>
      <c r="R694" s="97"/>
      <c r="S694" s="97"/>
      <c r="T694" s="423">
        <v>691</v>
      </c>
      <c r="U694" s="424">
        <v>57619717966.57959</v>
      </c>
      <c r="V694" s="426"/>
      <c r="W694" s="97"/>
      <c r="X694" s="97"/>
      <c r="Y694" s="97"/>
      <c r="Z694" s="68"/>
      <c r="AA694" s="68"/>
      <c r="AB694" s="68"/>
      <c r="AC694" s="68"/>
      <c r="AD694" s="68"/>
    </row>
    <row r="695" spans="1:30" ht="17">
      <c r="A695" s="68"/>
      <c r="B695" s="68"/>
      <c r="C695" s="68"/>
      <c r="D695" s="415"/>
      <c r="E695" s="415"/>
      <c r="F695" s="415"/>
      <c r="G695" s="415"/>
      <c r="H695" s="415"/>
      <c r="I695" s="415"/>
      <c r="J695" s="415"/>
      <c r="K695" s="97"/>
      <c r="L695" s="97"/>
      <c r="M695" s="97"/>
      <c r="N695" s="97"/>
      <c r="O695" s="97"/>
      <c r="P695" s="97"/>
      <c r="Q695" s="97"/>
      <c r="R695" s="97"/>
      <c r="S695" s="97"/>
      <c r="T695" s="423">
        <v>692</v>
      </c>
      <c r="U695" s="424">
        <v>58828326965.059288</v>
      </c>
      <c r="V695" s="426"/>
      <c r="W695" s="97"/>
      <c r="X695" s="97"/>
      <c r="Y695" s="97"/>
      <c r="Z695" s="68"/>
      <c r="AA695" s="68"/>
      <c r="AB695" s="68"/>
      <c r="AC695" s="68"/>
      <c r="AD695" s="68"/>
    </row>
    <row r="696" spans="1:30" ht="17">
      <c r="A696" s="68"/>
      <c r="B696" s="68"/>
      <c r="C696" s="68"/>
      <c r="D696" s="415"/>
      <c r="E696" s="415"/>
      <c r="F696" s="415"/>
      <c r="G696" s="415"/>
      <c r="H696" s="415"/>
      <c r="I696" s="415"/>
      <c r="J696" s="415"/>
      <c r="K696" s="97"/>
      <c r="L696" s="97"/>
      <c r="M696" s="97"/>
      <c r="N696" s="97"/>
      <c r="O696" s="97"/>
      <c r="P696" s="97"/>
      <c r="Q696" s="97"/>
      <c r="R696" s="97"/>
      <c r="S696" s="97"/>
      <c r="T696" s="423">
        <v>693</v>
      </c>
      <c r="U696" s="424">
        <v>60575064971.179642</v>
      </c>
      <c r="V696" s="426"/>
      <c r="W696" s="97"/>
      <c r="X696" s="97"/>
      <c r="Y696" s="97"/>
      <c r="Z696" s="68"/>
      <c r="AA696" s="68"/>
      <c r="AB696" s="68"/>
      <c r="AC696" s="68"/>
      <c r="AD696" s="68"/>
    </row>
    <row r="697" spans="1:30" ht="17">
      <c r="A697" s="68"/>
      <c r="B697" s="68"/>
      <c r="C697" s="68"/>
      <c r="D697" s="415"/>
      <c r="E697" s="415"/>
      <c r="F697" s="415"/>
      <c r="G697" s="415"/>
      <c r="H697" s="415"/>
      <c r="I697" s="415"/>
      <c r="J697" s="415"/>
      <c r="K697" s="97"/>
      <c r="L697" s="97"/>
      <c r="M697" s="97"/>
      <c r="N697" s="97"/>
      <c r="O697" s="97"/>
      <c r="P697" s="97"/>
      <c r="Q697" s="97"/>
      <c r="R697" s="97"/>
      <c r="S697" s="97"/>
      <c r="T697" s="423">
        <v>694</v>
      </c>
      <c r="U697" s="424">
        <v>60676534395.535126</v>
      </c>
      <c r="V697" s="426"/>
      <c r="W697" s="97"/>
      <c r="X697" s="97"/>
      <c r="Y697" s="97"/>
      <c r="Z697" s="68"/>
      <c r="AA697" s="68"/>
      <c r="AB697" s="68"/>
      <c r="AC697" s="68"/>
      <c r="AD697" s="68"/>
    </row>
    <row r="698" spans="1:30" ht="17">
      <c r="A698" s="68"/>
      <c r="B698" s="68"/>
      <c r="C698" s="68"/>
      <c r="D698" s="415"/>
      <c r="E698" s="415"/>
      <c r="F698" s="415"/>
      <c r="G698" s="415"/>
      <c r="H698" s="415"/>
      <c r="I698" s="415"/>
      <c r="J698" s="415"/>
      <c r="K698" s="97"/>
      <c r="L698" s="97"/>
      <c r="M698" s="97"/>
      <c r="N698" s="97"/>
      <c r="O698" s="97"/>
      <c r="P698" s="97"/>
      <c r="Q698" s="97"/>
      <c r="R698" s="97"/>
      <c r="S698" s="97"/>
      <c r="T698" s="423">
        <v>695</v>
      </c>
      <c r="U698" s="424">
        <v>61630420234.019653</v>
      </c>
      <c r="V698" s="426"/>
      <c r="W698" s="97"/>
      <c r="X698" s="97"/>
      <c r="Y698" s="97"/>
      <c r="Z698" s="68"/>
      <c r="AA698" s="68"/>
      <c r="AB698" s="68"/>
      <c r="AC698" s="68"/>
      <c r="AD698" s="68"/>
    </row>
    <row r="699" spans="1:30" ht="17">
      <c r="A699" s="68"/>
      <c r="B699" s="68"/>
      <c r="C699" s="68"/>
      <c r="D699" s="415"/>
      <c r="E699" s="415"/>
      <c r="F699" s="415"/>
      <c r="G699" s="415"/>
      <c r="H699" s="415"/>
      <c r="I699" s="415"/>
      <c r="J699" s="415"/>
      <c r="K699" s="97"/>
      <c r="L699" s="97"/>
      <c r="M699" s="97"/>
      <c r="N699" s="97"/>
      <c r="O699" s="97"/>
      <c r="P699" s="97"/>
      <c r="Q699" s="97"/>
      <c r="R699" s="97"/>
      <c r="S699" s="97"/>
      <c r="T699" s="423">
        <v>696</v>
      </c>
      <c r="U699" s="424">
        <v>54547909393.537445</v>
      </c>
      <c r="V699" s="426"/>
      <c r="W699" s="97"/>
      <c r="X699" s="97"/>
      <c r="Y699" s="97"/>
      <c r="Z699" s="68"/>
      <c r="AA699" s="68"/>
      <c r="AB699" s="68"/>
      <c r="AC699" s="68"/>
      <c r="AD699" s="68"/>
    </row>
    <row r="700" spans="1:30" ht="17">
      <c r="A700" s="68"/>
      <c r="B700" s="68"/>
      <c r="C700" s="68"/>
      <c r="D700" s="415"/>
      <c r="E700" s="415"/>
      <c r="F700" s="415"/>
      <c r="G700" s="415"/>
      <c r="H700" s="415"/>
      <c r="I700" s="415"/>
      <c r="J700" s="415"/>
      <c r="K700" s="97"/>
      <c r="L700" s="97"/>
      <c r="M700" s="97"/>
      <c r="N700" s="97"/>
      <c r="O700" s="97"/>
      <c r="P700" s="97"/>
      <c r="Q700" s="97"/>
      <c r="R700" s="97"/>
      <c r="S700" s="97"/>
      <c r="T700" s="423">
        <v>697</v>
      </c>
      <c r="U700" s="424">
        <v>60420313954.060989</v>
      </c>
      <c r="V700" s="426"/>
      <c r="W700" s="97"/>
      <c r="X700" s="97"/>
      <c r="Y700" s="97"/>
      <c r="Z700" s="68"/>
      <c r="AA700" s="68"/>
      <c r="AB700" s="68"/>
      <c r="AC700" s="68"/>
      <c r="AD700" s="68"/>
    </row>
    <row r="701" spans="1:30" ht="17">
      <c r="A701" s="68"/>
      <c r="B701" s="68"/>
      <c r="C701" s="68"/>
      <c r="D701" s="415"/>
      <c r="E701" s="415"/>
      <c r="F701" s="415"/>
      <c r="G701" s="415"/>
      <c r="H701" s="415"/>
      <c r="I701" s="415"/>
      <c r="J701" s="415"/>
      <c r="K701" s="97"/>
      <c r="L701" s="97"/>
      <c r="M701" s="97"/>
      <c r="N701" s="97"/>
      <c r="O701" s="97"/>
      <c r="P701" s="97"/>
      <c r="Q701" s="97"/>
      <c r="R701" s="97"/>
      <c r="S701" s="97"/>
      <c r="T701" s="423">
        <v>698</v>
      </c>
      <c r="U701" s="424">
        <v>57252416871.625626</v>
      </c>
      <c r="V701" s="426"/>
      <c r="W701" s="97"/>
      <c r="X701" s="97"/>
      <c r="Y701" s="97"/>
      <c r="Z701" s="68"/>
      <c r="AA701" s="68"/>
      <c r="AB701" s="68"/>
      <c r="AC701" s="68"/>
      <c r="AD701" s="68"/>
    </row>
    <row r="702" spans="1:30" ht="17">
      <c r="A702" s="68"/>
      <c r="B702" s="68"/>
      <c r="C702" s="68"/>
      <c r="D702" s="415"/>
      <c r="E702" s="415"/>
      <c r="F702" s="415"/>
      <c r="G702" s="415"/>
      <c r="H702" s="415"/>
      <c r="I702" s="415"/>
      <c r="J702" s="415"/>
      <c r="K702" s="97"/>
      <c r="L702" s="97"/>
      <c r="M702" s="97"/>
      <c r="N702" s="97"/>
      <c r="O702" s="97"/>
      <c r="P702" s="97"/>
      <c r="Q702" s="97"/>
      <c r="R702" s="97"/>
      <c r="S702" s="97"/>
      <c r="T702" s="423">
        <v>699</v>
      </c>
      <c r="U702" s="424">
        <v>61380044425.440247</v>
      </c>
      <c r="V702" s="426"/>
      <c r="W702" s="97"/>
      <c r="X702" s="97"/>
      <c r="Y702" s="97"/>
      <c r="Z702" s="68"/>
      <c r="AA702" s="68"/>
      <c r="AB702" s="68"/>
      <c r="AC702" s="68"/>
      <c r="AD702" s="68"/>
    </row>
    <row r="703" spans="1:30" ht="17">
      <c r="A703" s="68"/>
      <c r="B703" s="68"/>
      <c r="C703" s="68"/>
      <c r="D703" s="415"/>
      <c r="E703" s="415"/>
      <c r="F703" s="415"/>
      <c r="G703" s="415"/>
      <c r="H703" s="415"/>
      <c r="I703" s="415"/>
      <c r="J703" s="415"/>
      <c r="K703" s="97"/>
      <c r="L703" s="97"/>
      <c r="M703" s="97"/>
      <c r="N703" s="97"/>
      <c r="O703" s="97"/>
      <c r="P703" s="97"/>
      <c r="Q703" s="97"/>
      <c r="R703" s="97"/>
      <c r="S703" s="97"/>
      <c r="T703" s="423">
        <v>700</v>
      </c>
      <c r="U703" s="424">
        <v>61701376662.340515</v>
      </c>
      <c r="V703" s="426"/>
      <c r="W703" s="97"/>
      <c r="X703" s="97"/>
      <c r="Y703" s="97"/>
      <c r="Z703" s="68"/>
      <c r="AA703" s="68"/>
      <c r="AB703" s="68"/>
      <c r="AC703" s="68"/>
      <c r="AD703" s="68"/>
    </row>
    <row r="704" spans="1:30" ht="17">
      <c r="A704" s="68"/>
      <c r="B704" s="68"/>
      <c r="C704" s="68"/>
      <c r="D704" s="415"/>
      <c r="E704" s="415"/>
      <c r="F704" s="415"/>
      <c r="G704" s="415"/>
      <c r="H704" s="415"/>
      <c r="I704" s="415"/>
      <c r="J704" s="415"/>
      <c r="K704" s="97"/>
      <c r="L704" s="97"/>
      <c r="M704" s="97"/>
      <c r="N704" s="97"/>
      <c r="O704" s="97"/>
      <c r="P704" s="97"/>
      <c r="Q704" s="97"/>
      <c r="R704" s="97"/>
      <c r="S704" s="97"/>
      <c r="T704" s="423">
        <v>701</v>
      </c>
      <c r="U704" s="424">
        <v>59739607037.781326</v>
      </c>
      <c r="V704" s="426"/>
      <c r="W704" s="97"/>
      <c r="X704" s="97"/>
      <c r="Y704" s="97"/>
      <c r="Z704" s="68"/>
      <c r="AA704" s="68"/>
      <c r="AB704" s="68"/>
      <c r="AC704" s="68"/>
      <c r="AD704" s="68"/>
    </row>
    <row r="705" spans="1:30" ht="17">
      <c r="A705" s="68"/>
      <c r="B705" s="68"/>
      <c r="C705" s="68"/>
      <c r="D705" s="415"/>
      <c r="E705" s="415"/>
      <c r="F705" s="415"/>
      <c r="G705" s="415"/>
      <c r="H705" s="415"/>
      <c r="I705" s="415"/>
      <c r="J705" s="415"/>
      <c r="K705" s="97"/>
      <c r="L705" s="97"/>
      <c r="M705" s="97"/>
      <c r="N705" s="97"/>
      <c r="O705" s="97"/>
      <c r="P705" s="97"/>
      <c r="Q705" s="97"/>
      <c r="R705" s="97"/>
      <c r="S705" s="97"/>
      <c r="T705" s="423">
        <v>702</v>
      </c>
      <c r="U705" s="424">
        <v>55136024524.722046</v>
      </c>
      <c r="V705" s="426"/>
      <c r="W705" s="97"/>
      <c r="X705" s="97"/>
      <c r="Y705" s="97"/>
      <c r="Z705" s="68"/>
      <c r="AA705" s="68"/>
      <c r="AB705" s="68"/>
      <c r="AC705" s="68"/>
      <c r="AD705" s="68"/>
    </row>
    <row r="706" spans="1:30" ht="17">
      <c r="A706" s="68"/>
      <c r="B706" s="68"/>
      <c r="C706" s="68"/>
      <c r="D706" s="415"/>
      <c r="E706" s="415"/>
      <c r="F706" s="415"/>
      <c r="G706" s="415"/>
      <c r="H706" s="415"/>
      <c r="I706" s="415"/>
      <c r="J706" s="415"/>
      <c r="K706" s="97"/>
      <c r="L706" s="97"/>
      <c r="M706" s="97"/>
      <c r="N706" s="97"/>
      <c r="O706" s="97"/>
      <c r="P706" s="97"/>
      <c r="Q706" s="97"/>
      <c r="R706" s="97"/>
      <c r="S706" s="97"/>
      <c r="T706" s="423">
        <v>703</v>
      </c>
      <c r="U706" s="424">
        <v>60507981649.410133</v>
      </c>
      <c r="V706" s="426"/>
      <c r="W706" s="97"/>
      <c r="X706" s="97"/>
      <c r="Y706" s="97"/>
      <c r="Z706" s="68"/>
      <c r="AA706" s="68"/>
      <c r="AB706" s="68"/>
      <c r="AC706" s="68"/>
      <c r="AD706" s="68"/>
    </row>
    <row r="707" spans="1:30" ht="17">
      <c r="A707" s="68"/>
      <c r="B707" s="68"/>
      <c r="C707" s="68"/>
      <c r="D707" s="415"/>
      <c r="E707" s="415"/>
      <c r="F707" s="415"/>
      <c r="G707" s="415"/>
      <c r="H707" s="415"/>
      <c r="I707" s="415"/>
      <c r="J707" s="415"/>
      <c r="K707" s="97"/>
      <c r="L707" s="97"/>
      <c r="M707" s="97"/>
      <c r="N707" s="97"/>
      <c r="O707" s="97"/>
      <c r="P707" s="97"/>
      <c r="Q707" s="97"/>
      <c r="R707" s="97"/>
      <c r="S707" s="97"/>
      <c r="T707" s="423">
        <v>704</v>
      </c>
      <c r="U707" s="424">
        <v>58822588036.943115</v>
      </c>
      <c r="V707" s="426"/>
      <c r="W707" s="97"/>
      <c r="X707" s="97"/>
      <c r="Y707" s="97"/>
      <c r="Z707" s="68"/>
      <c r="AA707" s="68"/>
      <c r="AB707" s="68"/>
      <c r="AC707" s="68"/>
      <c r="AD707" s="68"/>
    </row>
    <row r="708" spans="1:30" ht="17">
      <c r="A708" s="68"/>
      <c r="B708" s="68"/>
      <c r="C708" s="68"/>
      <c r="D708" s="415"/>
      <c r="E708" s="415"/>
      <c r="F708" s="415"/>
      <c r="G708" s="415"/>
      <c r="H708" s="415"/>
      <c r="I708" s="415"/>
      <c r="J708" s="415"/>
      <c r="K708" s="97"/>
      <c r="L708" s="97"/>
      <c r="M708" s="97"/>
      <c r="N708" s="97"/>
      <c r="O708" s="97"/>
      <c r="P708" s="97"/>
      <c r="Q708" s="97"/>
      <c r="R708" s="97"/>
      <c r="S708" s="97"/>
      <c r="T708" s="423">
        <v>705</v>
      </c>
      <c r="U708" s="424">
        <v>60020173359.418442</v>
      </c>
      <c r="V708" s="426"/>
      <c r="W708" s="97"/>
      <c r="X708" s="97"/>
      <c r="Y708" s="97"/>
      <c r="Z708" s="68"/>
      <c r="AA708" s="68"/>
      <c r="AB708" s="68"/>
      <c r="AC708" s="68"/>
      <c r="AD708" s="68"/>
    </row>
    <row r="709" spans="1:30" ht="17">
      <c r="A709" s="68"/>
      <c r="B709" s="68"/>
      <c r="C709" s="68"/>
      <c r="D709" s="415"/>
      <c r="E709" s="415"/>
      <c r="F709" s="415"/>
      <c r="G709" s="415"/>
      <c r="H709" s="415"/>
      <c r="I709" s="415"/>
      <c r="J709" s="415"/>
      <c r="K709" s="97"/>
      <c r="L709" s="97"/>
      <c r="M709" s="97"/>
      <c r="N709" s="97"/>
      <c r="O709" s="97"/>
      <c r="P709" s="97"/>
      <c r="Q709" s="97"/>
      <c r="R709" s="97"/>
      <c r="S709" s="97"/>
      <c r="T709" s="423">
        <v>706</v>
      </c>
      <c r="U709" s="424">
        <v>56727198024.231987</v>
      </c>
      <c r="V709" s="426"/>
      <c r="W709" s="97"/>
      <c r="X709" s="97"/>
      <c r="Y709" s="97"/>
      <c r="Z709" s="68"/>
      <c r="AA709" s="68"/>
      <c r="AB709" s="68"/>
      <c r="AC709" s="68"/>
      <c r="AD709" s="68"/>
    </row>
    <row r="710" spans="1:30" ht="17">
      <c r="A710" s="68"/>
      <c r="B710" s="68"/>
      <c r="C710" s="68"/>
      <c r="D710" s="415"/>
      <c r="E710" s="415"/>
      <c r="F710" s="415"/>
      <c r="G710" s="415"/>
      <c r="H710" s="415"/>
      <c r="I710" s="415"/>
      <c r="J710" s="415"/>
      <c r="K710" s="97"/>
      <c r="L710" s="97"/>
      <c r="M710" s="97"/>
      <c r="N710" s="97"/>
      <c r="O710" s="97"/>
      <c r="P710" s="97"/>
      <c r="Q710" s="97"/>
      <c r="R710" s="97"/>
      <c r="S710" s="97"/>
      <c r="T710" s="423">
        <v>707</v>
      </c>
      <c r="U710" s="424">
        <v>57501677660.163002</v>
      </c>
      <c r="V710" s="426"/>
      <c r="W710" s="97"/>
      <c r="X710" s="97"/>
      <c r="Y710" s="97"/>
      <c r="Z710" s="68"/>
      <c r="AA710" s="68"/>
      <c r="AB710" s="68"/>
      <c r="AC710" s="68"/>
      <c r="AD710" s="68"/>
    </row>
    <row r="711" spans="1:30" ht="17">
      <c r="A711" s="68"/>
      <c r="B711" s="68"/>
      <c r="C711" s="68"/>
      <c r="D711" s="415"/>
      <c r="E711" s="415"/>
      <c r="F711" s="415"/>
      <c r="G711" s="415"/>
      <c r="H711" s="415"/>
      <c r="I711" s="415"/>
      <c r="J711" s="415"/>
      <c r="K711" s="97"/>
      <c r="L711" s="97"/>
      <c r="M711" s="97"/>
      <c r="N711" s="97"/>
      <c r="O711" s="97"/>
      <c r="P711" s="97"/>
      <c r="Q711" s="97"/>
      <c r="R711" s="97"/>
      <c r="S711" s="97"/>
      <c r="T711" s="423">
        <v>708</v>
      </c>
      <c r="U711" s="424">
        <v>59145623031.507301</v>
      </c>
      <c r="V711" s="426"/>
      <c r="W711" s="97"/>
      <c r="X711" s="97"/>
      <c r="Y711" s="97"/>
      <c r="Z711" s="68"/>
      <c r="AA711" s="68"/>
      <c r="AB711" s="68"/>
      <c r="AC711" s="68"/>
      <c r="AD711" s="68"/>
    </row>
    <row r="712" spans="1:30" ht="17">
      <c r="A712" s="68"/>
      <c r="B712" s="68"/>
      <c r="C712" s="68"/>
      <c r="D712" s="415"/>
      <c r="E712" s="415"/>
      <c r="F712" s="415"/>
      <c r="G712" s="415"/>
      <c r="H712" s="415"/>
      <c r="I712" s="415"/>
      <c r="J712" s="415"/>
      <c r="K712" s="97"/>
      <c r="L712" s="97"/>
      <c r="M712" s="97"/>
      <c r="N712" s="97"/>
      <c r="O712" s="97"/>
      <c r="P712" s="97"/>
      <c r="Q712" s="97"/>
      <c r="R712" s="97"/>
      <c r="S712" s="97"/>
      <c r="T712" s="423">
        <v>709</v>
      </c>
      <c r="U712" s="424">
        <v>51675632906.635315</v>
      </c>
      <c r="V712" s="426"/>
      <c r="W712" s="97"/>
      <c r="X712" s="97"/>
      <c r="Y712" s="97"/>
      <c r="Z712" s="68"/>
      <c r="AA712" s="68"/>
      <c r="AB712" s="68"/>
      <c r="AC712" s="68"/>
      <c r="AD712" s="68"/>
    </row>
    <row r="713" spans="1:30" ht="17">
      <c r="A713" s="68"/>
      <c r="B713" s="68"/>
      <c r="C713" s="68"/>
      <c r="D713" s="415"/>
      <c r="E713" s="415"/>
      <c r="F713" s="415"/>
      <c r="G713" s="415"/>
      <c r="H713" s="415"/>
      <c r="I713" s="415"/>
      <c r="J713" s="415"/>
      <c r="K713" s="97"/>
      <c r="L713" s="97"/>
      <c r="M713" s="97"/>
      <c r="N713" s="97"/>
      <c r="O713" s="97"/>
      <c r="P713" s="97"/>
      <c r="Q713" s="97"/>
      <c r="R713" s="97"/>
      <c r="S713" s="97"/>
      <c r="T713" s="423">
        <v>710</v>
      </c>
      <c r="U713" s="424">
        <v>61308048344.043045</v>
      </c>
      <c r="V713" s="426"/>
      <c r="W713" s="97"/>
      <c r="X713" s="97"/>
      <c r="Y713" s="97"/>
      <c r="Z713" s="68"/>
      <c r="AA713" s="68"/>
      <c r="AB713" s="68"/>
      <c r="AC713" s="68"/>
      <c r="AD713" s="68"/>
    </row>
    <row r="714" spans="1:30" ht="17">
      <c r="A714" s="68"/>
      <c r="B714" s="68"/>
      <c r="C714" s="68"/>
      <c r="D714" s="415"/>
      <c r="E714" s="415"/>
      <c r="F714" s="415"/>
      <c r="G714" s="415"/>
      <c r="H714" s="415"/>
      <c r="I714" s="415"/>
      <c r="J714" s="415"/>
      <c r="K714" s="97"/>
      <c r="L714" s="97"/>
      <c r="M714" s="97"/>
      <c r="N714" s="97"/>
      <c r="O714" s="97"/>
      <c r="P714" s="97"/>
      <c r="Q714" s="97"/>
      <c r="R714" s="97"/>
      <c r="S714" s="97"/>
      <c r="T714" s="423">
        <v>711</v>
      </c>
      <c r="U714" s="424">
        <v>59160982094.094833</v>
      </c>
      <c r="V714" s="426"/>
      <c r="W714" s="97"/>
      <c r="X714" s="97"/>
      <c r="Y714" s="97"/>
      <c r="Z714" s="68"/>
      <c r="AA714" s="68"/>
      <c r="AB714" s="68"/>
      <c r="AC714" s="68"/>
      <c r="AD714" s="68"/>
    </row>
    <row r="715" spans="1:30" ht="17">
      <c r="A715" s="68"/>
      <c r="B715" s="68"/>
      <c r="C715" s="68"/>
      <c r="D715" s="415"/>
      <c r="E715" s="415"/>
      <c r="F715" s="415"/>
      <c r="G715" s="415"/>
      <c r="H715" s="415"/>
      <c r="I715" s="415"/>
      <c r="J715" s="415"/>
      <c r="K715" s="97"/>
      <c r="L715" s="97"/>
      <c r="M715" s="97"/>
      <c r="N715" s="97"/>
      <c r="O715" s="97"/>
      <c r="P715" s="97"/>
      <c r="Q715" s="97"/>
      <c r="R715" s="97"/>
      <c r="S715" s="97"/>
      <c r="T715" s="423">
        <v>712</v>
      </c>
      <c r="U715" s="424">
        <v>60579904693.809372</v>
      </c>
      <c r="V715" s="426"/>
      <c r="W715" s="97"/>
      <c r="X715" s="97"/>
      <c r="Y715" s="97"/>
      <c r="Z715" s="68"/>
      <c r="AA715" s="68"/>
      <c r="AB715" s="68"/>
      <c r="AC715" s="68"/>
      <c r="AD715" s="68"/>
    </row>
    <row r="716" spans="1:30" ht="17">
      <c r="A716" s="68"/>
      <c r="B716" s="68"/>
      <c r="C716" s="68"/>
      <c r="D716" s="415"/>
      <c r="E716" s="415"/>
      <c r="F716" s="415"/>
      <c r="G716" s="415"/>
      <c r="H716" s="415"/>
      <c r="I716" s="415"/>
      <c r="J716" s="415"/>
      <c r="K716" s="97"/>
      <c r="L716" s="97"/>
      <c r="M716" s="97"/>
      <c r="N716" s="97"/>
      <c r="O716" s="97"/>
      <c r="P716" s="97"/>
      <c r="Q716" s="97"/>
      <c r="R716" s="97"/>
      <c r="S716" s="97"/>
      <c r="T716" s="423">
        <v>713</v>
      </c>
      <c r="U716" s="424">
        <v>60433914434.587822</v>
      </c>
      <c r="V716" s="426"/>
      <c r="W716" s="97"/>
      <c r="X716" s="97"/>
      <c r="Y716" s="97"/>
      <c r="Z716" s="68"/>
      <c r="AA716" s="68"/>
      <c r="AB716" s="68"/>
      <c r="AC716" s="68"/>
      <c r="AD716" s="68"/>
    </row>
    <row r="717" spans="1:30" ht="17">
      <c r="A717" s="68"/>
      <c r="B717" s="68"/>
      <c r="C717" s="68"/>
      <c r="D717" s="415"/>
      <c r="E717" s="415"/>
      <c r="F717" s="415"/>
      <c r="G717" s="415"/>
      <c r="H717" s="415"/>
      <c r="I717" s="415"/>
      <c r="J717" s="415"/>
      <c r="K717" s="97"/>
      <c r="L717" s="97"/>
      <c r="M717" s="97"/>
      <c r="N717" s="97"/>
      <c r="O717" s="97"/>
      <c r="P717" s="97"/>
      <c r="Q717" s="97"/>
      <c r="R717" s="97"/>
      <c r="S717" s="97"/>
      <c r="T717" s="423">
        <v>714</v>
      </c>
      <c r="U717" s="424">
        <v>60278223106.527939</v>
      </c>
      <c r="V717" s="426"/>
      <c r="W717" s="97"/>
      <c r="X717" s="97"/>
      <c r="Y717" s="97"/>
      <c r="Z717" s="68"/>
      <c r="AA717" s="68"/>
      <c r="AB717" s="68"/>
      <c r="AC717" s="68"/>
      <c r="AD717" s="68"/>
    </row>
    <row r="718" spans="1:30" ht="17">
      <c r="A718" s="68"/>
      <c r="B718" s="68"/>
      <c r="C718" s="68"/>
      <c r="D718" s="415"/>
      <c r="E718" s="415"/>
      <c r="F718" s="415"/>
      <c r="G718" s="415"/>
      <c r="H718" s="415"/>
      <c r="I718" s="415"/>
      <c r="J718" s="415"/>
      <c r="K718" s="97"/>
      <c r="L718" s="97"/>
      <c r="M718" s="97"/>
      <c r="N718" s="97"/>
      <c r="O718" s="97"/>
      <c r="P718" s="97"/>
      <c r="Q718" s="97"/>
      <c r="R718" s="97"/>
      <c r="S718" s="97"/>
      <c r="T718" s="423">
        <v>715</v>
      </c>
      <c r="U718" s="424">
        <v>58169961995.283051</v>
      </c>
      <c r="V718" s="426"/>
      <c r="W718" s="97"/>
      <c r="X718" s="97"/>
      <c r="Y718" s="97"/>
      <c r="Z718" s="68"/>
      <c r="AA718" s="68"/>
      <c r="AB718" s="68"/>
      <c r="AC718" s="68"/>
      <c r="AD718" s="68"/>
    </row>
    <row r="719" spans="1:30" ht="17">
      <c r="A719" s="68"/>
      <c r="B719" s="68"/>
      <c r="C719" s="68"/>
      <c r="D719" s="415"/>
      <c r="E719" s="415"/>
      <c r="F719" s="415"/>
      <c r="G719" s="415"/>
      <c r="H719" s="415"/>
      <c r="I719" s="415"/>
      <c r="J719" s="415"/>
      <c r="K719" s="97"/>
      <c r="L719" s="97"/>
      <c r="M719" s="97"/>
      <c r="N719" s="97"/>
      <c r="O719" s="97"/>
      <c r="P719" s="97"/>
      <c r="Q719" s="97"/>
      <c r="R719" s="97"/>
      <c r="S719" s="97"/>
      <c r="T719" s="423">
        <v>716</v>
      </c>
      <c r="U719" s="424">
        <v>60119541773.530746</v>
      </c>
      <c r="V719" s="426"/>
      <c r="W719" s="97"/>
      <c r="X719" s="97"/>
      <c r="Y719" s="97"/>
      <c r="Z719" s="68"/>
      <c r="AA719" s="68"/>
      <c r="AB719" s="68"/>
      <c r="AC719" s="68"/>
      <c r="AD719" s="68"/>
    </row>
    <row r="720" spans="1:30" ht="17">
      <c r="A720" s="68"/>
      <c r="B720" s="68"/>
      <c r="C720" s="68"/>
      <c r="D720" s="415"/>
      <c r="E720" s="415"/>
      <c r="F720" s="415"/>
      <c r="G720" s="415"/>
      <c r="H720" s="415"/>
      <c r="I720" s="415"/>
      <c r="J720" s="415"/>
      <c r="K720" s="97"/>
      <c r="L720" s="97"/>
      <c r="M720" s="97"/>
      <c r="N720" s="97"/>
      <c r="O720" s="97"/>
      <c r="P720" s="97"/>
      <c r="Q720" s="97"/>
      <c r="R720" s="97"/>
      <c r="S720" s="97"/>
      <c r="T720" s="423">
        <v>717</v>
      </c>
      <c r="U720" s="424">
        <v>57785960788.622574</v>
      </c>
      <c r="V720" s="426"/>
      <c r="W720" s="97"/>
      <c r="X720" s="97"/>
      <c r="Y720" s="97"/>
      <c r="Z720" s="68"/>
      <c r="AA720" s="68"/>
      <c r="AB720" s="68"/>
      <c r="AC720" s="68"/>
      <c r="AD720" s="68"/>
    </row>
    <row r="721" spans="1:30" ht="17">
      <c r="A721" s="68"/>
      <c r="B721" s="68"/>
      <c r="C721" s="68"/>
      <c r="D721" s="415"/>
      <c r="E721" s="415"/>
      <c r="F721" s="415"/>
      <c r="G721" s="415"/>
      <c r="H721" s="415"/>
      <c r="I721" s="415"/>
      <c r="J721" s="415"/>
      <c r="K721" s="97"/>
      <c r="L721" s="97"/>
      <c r="M721" s="97"/>
      <c r="N721" s="97"/>
      <c r="O721" s="97"/>
      <c r="P721" s="97"/>
      <c r="Q721" s="97"/>
      <c r="R721" s="97"/>
      <c r="S721" s="97"/>
      <c r="T721" s="423">
        <v>718</v>
      </c>
      <c r="U721" s="424">
        <v>57975666215.935204</v>
      </c>
      <c r="V721" s="426"/>
      <c r="W721" s="97"/>
      <c r="X721" s="97"/>
      <c r="Y721" s="97"/>
      <c r="Z721" s="68"/>
      <c r="AA721" s="68"/>
      <c r="AB721" s="68"/>
      <c r="AC721" s="68"/>
      <c r="AD721" s="68"/>
    </row>
    <row r="722" spans="1:30" ht="17">
      <c r="A722" s="68"/>
      <c r="B722" s="68"/>
      <c r="C722" s="68"/>
      <c r="D722" s="415"/>
      <c r="E722" s="415"/>
      <c r="F722" s="415"/>
      <c r="G722" s="415"/>
      <c r="H722" s="415"/>
      <c r="I722" s="415"/>
      <c r="J722" s="415"/>
      <c r="K722" s="97"/>
      <c r="L722" s="97"/>
      <c r="M722" s="97"/>
      <c r="N722" s="97"/>
      <c r="O722" s="97"/>
      <c r="P722" s="97"/>
      <c r="Q722" s="97"/>
      <c r="R722" s="97"/>
      <c r="S722" s="97"/>
      <c r="T722" s="423">
        <v>719</v>
      </c>
      <c r="U722" s="424">
        <v>59148406353.136536</v>
      </c>
      <c r="V722" s="426"/>
      <c r="W722" s="97"/>
      <c r="X722" s="97"/>
      <c r="Y722" s="97"/>
      <c r="Z722" s="68"/>
      <c r="AA722" s="68"/>
      <c r="AB722" s="68"/>
      <c r="AC722" s="68"/>
      <c r="AD722" s="68"/>
    </row>
    <row r="723" spans="1:30" ht="17">
      <c r="A723" s="68"/>
      <c r="B723" s="68"/>
      <c r="C723" s="68"/>
      <c r="D723" s="415"/>
      <c r="E723" s="415"/>
      <c r="F723" s="415"/>
      <c r="G723" s="415"/>
      <c r="H723" s="415"/>
      <c r="I723" s="415"/>
      <c r="J723" s="415"/>
      <c r="K723" s="97"/>
      <c r="L723" s="97"/>
      <c r="M723" s="97"/>
      <c r="N723" s="97"/>
      <c r="O723" s="97"/>
      <c r="P723" s="97"/>
      <c r="Q723" s="97"/>
      <c r="R723" s="97"/>
      <c r="S723" s="97"/>
      <c r="T723" s="423">
        <v>720</v>
      </c>
      <c r="U723" s="424">
        <v>60079479647.498779</v>
      </c>
      <c r="V723" s="426"/>
      <c r="W723" s="97"/>
      <c r="X723" s="97"/>
      <c r="Y723" s="97"/>
      <c r="Z723" s="68"/>
      <c r="AA723" s="68"/>
      <c r="AB723" s="68"/>
      <c r="AC723" s="68"/>
      <c r="AD723" s="68"/>
    </row>
    <row r="724" spans="1:30" ht="17">
      <c r="A724" s="68"/>
      <c r="B724" s="68"/>
      <c r="C724" s="68"/>
      <c r="D724" s="415"/>
      <c r="E724" s="415"/>
      <c r="F724" s="415"/>
      <c r="G724" s="415"/>
      <c r="H724" s="415"/>
      <c r="I724" s="415"/>
      <c r="J724" s="415"/>
      <c r="K724" s="97"/>
      <c r="L724" s="97"/>
      <c r="M724" s="97"/>
      <c r="N724" s="97"/>
      <c r="O724" s="97"/>
      <c r="P724" s="97"/>
      <c r="Q724" s="97"/>
      <c r="R724" s="97"/>
      <c r="S724" s="97"/>
      <c r="T724" s="423">
        <v>721</v>
      </c>
      <c r="U724" s="424">
        <v>58161191472.118576</v>
      </c>
      <c r="V724" s="426"/>
      <c r="W724" s="97"/>
      <c r="X724" s="97"/>
      <c r="Y724" s="97"/>
      <c r="Z724" s="68"/>
      <c r="AA724" s="68"/>
      <c r="AB724" s="68"/>
      <c r="AC724" s="68"/>
      <c r="AD724" s="68"/>
    </row>
    <row r="725" spans="1:30" ht="17">
      <c r="A725" s="68"/>
      <c r="B725" s="68"/>
      <c r="C725" s="68"/>
      <c r="D725" s="415"/>
      <c r="E725" s="415"/>
      <c r="F725" s="415"/>
      <c r="G725" s="415"/>
      <c r="H725" s="415"/>
      <c r="I725" s="415"/>
      <c r="J725" s="415"/>
      <c r="K725" s="97"/>
      <c r="L725" s="97"/>
      <c r="M725" s="97"/>
      <c r="N725" s="97"/>
      <c r="O725" s="97"/>
      <c r="P725" s="97"/>
      <c r="Q725" s="97"/>
      <c r="R725" s="97"/>
      <c r="S725" s="97"/>
      <c r="T725" s="423">
        <v>722</v>
      </c>
      <c r="U725" s="424">
        <v>56505236095.615913</v>
      </c>
      <c r="V725" s="426"/>
      <c r="W725" s="97"/>
      <c r="X725" s="97"/>
      <c r="Y725" s="97"/>
      <c r="Z725" s="68"/>
      <c r="AA725" s="68"/>
      <c r="AB725" s="68"/>
      <c r="AC725" s="68"/>
      <c r="AD725" s="68"/>
    </row>
    <row r="726" spans="1:30" ht="17">
      <c r="A726" s="68"/>
      <c r="B726" s="68"/>
      <c r="C726" s="68"/>
      <c r="D726" s="415"/>
      <c r="E726" s="415"/>
      <c r="F726" s="415"/>
      <c r="G726" s="415"/>
      <c r="H726" s="415"/>
      <c r="I726" s="415"/>
      <c r="J726" s="415"/>
      <c r="K726" s="97"/>
      <c r="L726" s="97"/>
      <c r="M726" s="97"/>
      <c r="N726" s="97"/>
      <c r="O726" s="97"/>
      <c r="P726" s="97"/>
      <c r="Q726" s="97"/>
      <c r="R726" s="97"/>
      <c r="S726" s="97"/>
      <c r="T726" s="423">
        <v>723</v>
      </c>
      <c r="U726" s="424">
        <v>59774011426.699097</v>
      </c>
      <c r="V726" s="426"/>
      <c r="W726" s="97"/>
      <c r="X726" s="97"/>
      <c r="Y726" s="97"/>
      <c r="Z726" s="68"/>
      <c r="AA726" s="68"/>
      <c r="AB726" s="68"/>
      <c r="AC726" s="68"/>
      <c r="AD726" s="68"/>
    </row>
    <row r="727" spans="1:30" ht="17">
      <c r="A727" s="68"/>
      <c r="B727" s="68"/>
      <c r="C727" s="68"/>
      <c r="D727" s="415"/>
      <c r="E727" s="415"/>
      <c r="F727" s="415"/>
      <c r="G727" s="415"/>
      <c r="H727" s="415"/>
      <c r="I727" s="415"/>
      <c r="J727" s="415"/>
      <c r="K727" s="97"/>
      <c r="L727" s="97"/>
      <c r="M727" s="97"/>
      <c r="N727" s="97"/>
      <c r="O727" s="97"/>
      <c r="P727" s="97"/>
      <c r="Q727" s="97"/>
      <c r="R727" s="97"/>
      <c r="S727" s="97"/>
      <c r="T727" s="423">
        <v>724</v>
      </c>
      <c r="U727" s="424">
        <v>59954509252.494751</v>
      </c>
      <c r="V727" s="426"/>
      <c r="W727" s="97"/>
      <c r="X727" s="97"/>
      <c r="Y727" s="97"/>
      <c r="Z727" s="68"/>
      <c r="AA727" s="68"/>
      <c r="AB727" s="68"/>
      <c r="AC727" s="68"/>
      <c r="AD727" s="68"/>
    </row>
    <row r="728" spans="1:30" ht="17">
      <c r="A728" s="68"/>
      <c r="B728" s="68"/>
      <c r="C728" s="68"/>
      <c r="D728" s="415"/>
      <c r="E728" s="415"/>
      <c r="F728" s="415"/>
      <c r="G728" s="415"/>
      <c r="H728" s="415"/>
      <c r="I728" s="415"/>
      <c r="J728" s="415"/>
      <c r="K728" s="97"/>
      <c r="L728" s="97"/>
      <c r="M728" s="97"/>
      <c r="N728" s="97"/>
      <c r="O728" s="97"/>
      <c r="P728" s="97"/>
      <c r="Q728" s="97"/>
      <c r="R728" s="97"/>
      <c r="S728" s="97"/>
      <c r="T728" s="423">
        <v>725</v>
      </c>
      <c r="U728" s="424">
        <v>56872708054.768379</v>
      </c>
      <c r="V728" s="426"/>
      <c r="W728" s="97"/>
      <c r="X728" s="97"/>
      <c r="Y728" s="97"/>
      <c r="Z728" s="68"/>
      <c r="AA728" s="68"/>
      <c r="AB728" s="68"/>
      <c r="AC728" s="68"/>
      <c r="AD728" s="68"/>
    </row>
    <row r="729" spans="1:30" ht="17">
      <c r="A729" s="68"/>
      <c r="B729" s="68"/>
      <c r="C729" s="68"/>
      <c r="D729" s="415"/>
      <c r="E729" s="415"/>
      <c r="F729" s="415"/>
      <c r="G729" s="415"/>
      <c r="H729" s="415"/>
      <c r="I729" s="415"/>
      <c r="J729" s="415"/>
      <c r="K729" s="97"/>
      <c r="L729" s="97"/>
      <c r="M729" s="97"/>
      <c r="N729" s="97"/>
      <c r="O729" s="97"/>
      <c r="P729" s="97"/>
      <c r="Q729" s="97"/>
      <c r="R729" s="97"/>
      <c r="S729" s="97"/>
      <c r="T729" s="423">
        <v>726</v>
      </c>
      <c r="U729" s="424">
        <v>57714384535.973312</v>
      </c>
      <c r="V729" s="426"/>
      <c r="W729" s="97"/>
      <c r="X729" s="97"/>
      <c r="Y729" s="97"/>
      <c r="Z729" s="68"/>
      <c r="AA729" s="68"/>
      <c r="AB729" s="68"/>
      <c r="AC729" s="68"/>
      <c r="AD729" s="68"/>
    </row>
    <row r="730" spans="1:30" ht="17">
      <c r="A730" s="68"/>
      <c r="B730" s="68"/>
      <c r="C730" s="68"/>
      <c r="D730" s="415"/>
      <c r="E730" s="415"/>
      <c r="F730" s="415"/>
      <c r="G730" s="415"/>
      <c r="H730" s="415"/>
      <c r="I730" s="415"/>
      <c r="J730" s="415"/>
      <c r="K730" s="97"/>
      <c r="L730" s="97"/>
      <c r="M730" s="97"/>
      <c r="N730" s="97"/>
      <c r="O730" s="97"/>
      <c r="P730" s="97"/>
      <c r="Q730" s="97"/>
      <c r="R730" s="97"/>
      <c r="S730" s="97"/>
      <c r="T730" s="423">
        <v>727</v>
      </c>
      <c r="U730" s="424">
        <v>56817716297.140739</v>
      </c>
      <c r="V730" s="426"/>
      <c r="W730" s="97"/>
      <c r="X730" s="97"/>
      <c r="Y730" s="97"/>
      <c r="Z730" s="68"/>
      <c r="AA730" s="68"/>
      <c r="AB730" s="68"/>
      <c r="AC730" s="68"/>
      <c r="AD730" s="68"/>
    </row>
    <row r="731" spans="1:30" ht="17">
      <c r="A731" s="68"/>
      <c r="B731" s="68"/>
      <c r="C731" s="68"/>
      <c r="D731" s="415"/>
      <c r="E731" s="415"/>
      <c r="F731" s="415"/>
      <c r="G731" s="415"/>
      <c r="H731" s="415"/>
      <c r="I731" s="415"/>
      <c r="J731" s="415"/>
      <c r="K731" s="97"/>
      <c r="L731" s="97"/>
      <c r="M731" s="97"/>
      <c r="N731" s="97"/>
      <c r="O731" s="97"/>
      <c r="P731" s="97"/>
      <c r="Q731" s="97"/>
      <c r="R731" s="97"/>
      <c r="S731" s="97"/>
      <c r="T731" s="423">
        <v>728</v>
      </c>
      <c r="U731" s="424">
        <v>57073777184.658524</v>
      </c>
      <c r="V731" s="426"/>
      <c r="W731" s="97"/>
      <c r="X731" s="97"/>
      <c r="Y731" s="97"/>
      <c r="Z731" s="68"/>
      <c r="AA731" s="68"/>
      <c r="AB731" s="68"/>
      <c r="AC731" s="68"/>
      <c r="AD731" s="68"/>
    </row>
    <row r="732" spans="1:30" ht="17">
      <c r="A732" s="68"/>
      <c r="B732" s="68"/>
      <c r="C732" s="68"/>
      <c r="D732" s="415"/>
      <c r="E732" s="415"/>
      <c r="F732" s="415"/>
      <c r="G732" s="415"/>
      <c r="H732" s="415"/>
      <c r="I732" s="415"/>
      <c r="J732" s="415"/>
      <c r="K732" s="97"/>
      <c r="L732" s="97"/>
      <c r="M732" s="97"/>
      <c r="N732" s="97"/>
      <c r="O732" s="97"/>
      <c r="P732" s="97"/>
      <c r="Q732" s="97"/>
      <c r="R732" s="97"/>
      <c r="S732" s="97"/>
      <c r="T732" s="423">
        <v>729</v>
      </c>
      <c r="U732" s="424">
        <v>60125208112.022423</v>
      </c>
      <c r="V732" s="426"/>
      <c r="W732" s="97"/>
      <c r="X732" s="97"/>
      <c r="Y732" s="97"/>
      <c r="Z732" s="68"/>
      <c r="AA732" s="68"/>
      <c r="AB732" s="68"/>
      <c r="AC732" s="68"/>
      <c r="AD732" s="68"/>
    </row>
    <row r="733" spans="1:30" ht="17">
      <c r="A733" s="68"/>
      <c r="B733" s="68"/>
      <c r="C733" s="68"/>
      <c r="D733" s="415"/>
      <c r="E733" s="415"/>
      <c r="F733" s="415"/>
      <c r="G733" s="415"/>
      <c r="H733" s="415"/>
      <c r="I733" s="415"/>
      <c r="J733" s="415"/>
      <c r="K733" s="97"/>
      <c r="L733" s="97"/>
      <c r="M733" s="97"/>
      <c r="N733" s="97"/>
      <c r="O733" s="97"/>
      <c r="P733" s="97"/>
      <c r="Q733" s="97"/>
      <c r="R733" s="97"/>
      <c r="S733" s="97"/>
      <c r="T733" s="423">
        <v>730</v>
      </c>
      <c r="U733" s="424">
        <v>53190678129.291641</v>
      </c>
      <c r="V733" s="426"/>
      <c r="W733" s="97"/>
      <c r="X733" s="97"/>
      <c r="Y733" s="97"/>
      <c r="Z733" s="68"/>
      <c r="AA733" s="68"/>
      <c r="AB733" s="68"/>
      <c r="AC733" s="68"/>
      <c r="AD733" s="68"/>
    </row>
    <row r="734" spans="1:30" ht="17">
      <c r="A734" s="68"/>
      <c r="B734" s="68"/>
      <c r="C734" s="68"/>
      <c r="D734" s="415"/>
      <c r="E734" s="415"/>
      <c r="F734" s="415"/>
      <c r="G734" s="415"/>
      <c r="H734" s="415"/>
      <c r="I734" s="415"/>
      <c r="J734" s="415"/>
      <c r="K734" s="97"/>
      <c r="L734" s="97"/>
      <c r="M734" s="97"/>
      <c r="N734" s="97"/>
      <c r="O734" s="97"/>
      <c r="P734" s="97"/>
      <c r="Q734" s="97"/>
      <c r="R734" s="97"/>
      <c r="S734" s="97"/>
      <c r="T734" s="423">
        <v>731</v>
      </c>
      <c r="U734" s="424">
        <v>57717823031.959221</v>
      </c>
      <c r="V734" s="426"/>
      <c r="W734" s="97"/>
      <c r="X734" s="97"/>
      <c r="Y734" s="97"/>
      <c r="Z734" s="68"/>
      <c r="AA734" s="68"/>
      <c r="AB734" s="68"/>
      <c r="AC734" s="68"/>
      <c r="AD734" s="68"/>
    </row>
    <row r="735" spans="1:30" ht="17">
      <c r="A735" s="68"/>
      <c r="B735" s="68"/>
      <c r="C735" s="68"/>
      <c r="D735" s="415"/>
      <c r="E735" s="415"/>
      <c r="F735" s="415"/>
      <c r="G735" s="415"/>
      <c r="H735" s="415"/>
      <c r="I735" s="415"/>
      <c r="J735" s="415"/>
      <c r="K735" s="97"/>
      <c r="L735" s="97"/>
      <c r="M735" s="97"/>
      <c r="N735" s="97"/>
      <c r="O735" s="97"/>
      <c r="P735" s="97"/>
      <c r="Q735" s="97"/>
      <c r="R735" s="97"/>
      <c r="S735" s="97"/>
      <c r="T735" s="423">
        <v>732</v>
      </c>
      <c r="U735" s="424">
        <v>55982173207.754639</v>
      </c>
      <c r="V735" s="426"/>
      <c r="W735" s="97"/>
      <c r="X735" s="97"/>
      <c r="Y735" s="97"/>
      <c r="Z735" s="68"/>
      <c r="AA735" s="68"/>
      <c r="AB735" s="68"/>
      <c r="AC735" s="68"/>
      <c r="AD735" s="68"/>
    </row>
    <row r="736" spans="1:30" ht="17">
      <c r="A736" s="68"/>
      <c r="B736" s="68"/>
      <c r="C736" s="68"/>
      <c r="D736" s="415"/>
      <c r="E736" s="415"/>
      <c r="F736" s="415"/>
      <c r="G736" s="415"/>
      <c r="H736" s="415"/>
      <c r="I736" s="415"/>
      <c r="J736" s="415"/>
      <c r="K736" s="97"/>
      <c r="L736" s="97"/>
      <c r="M736" s="97"/>
      <c r="N736" s="97"/>
      <c r="O736" s="97"/>
      <c r="P736" s="97"/>
      <c r="Q736" s="97"/>
      <c r="R736" s="97"/>
      <c r="S736" s="97"/>
      <c r="T736" s="423">
        <v>733</v>
      </c>
      <c r="U736" s="424">
        <v>58068334021.500977</v>
      </c>
      <c r="V736" s="426"/>
      <c r="W736" s="97"/>
      <c r="X736" s="97"/>
      <c r="Y736" s="97"/>
      <c r="Z736" s="68"/>
      <c r="AA736" s="68"/>
      <c r="AB736" s="68"/>
      <c r="AC736" s="68"/>
      <c r="AD736" s="68"/>
    </row>
    <row r="737" spans="1:30" ht="17">
      <c r="A737" s="68"/>
      <c r="B737" s="68"/>
      <c r="C737" s="68"/>
      <c r="D737" s="415"/>
      <c r="E737" s="415"/>
      <c r="F737" s="415"/>
      <c r="G737" s="415"/>
      <c r="H737" s="415"/>
      <c r="I737" s="415"/>
      <c r="J737" s="415"/>
      <c r="K737" s="97"/>
      <c r="L737" s="97"/>
      <c r="M737" s="97"/>
      <c r="N737" s="97"/>
      <c r="O737" s="97"/>
      <c r="P737" s="97"/>
      <c r="Q737" s="97"/>
      <c r="R737" s="97"/>
      <c r="S737" s="97"/>
      <c r="T737" s="423">
        <v>734</v>
      </c>
      <c r="U737" s="424">
        <v>55562639934.815186</v>
      </c>
      <c r="V737" s="426"/>
      <c r="W737" s="97"/>
      <c r="X737" s="97"/>
      <c r="Y737" s="97"/>
      <c r="Z737" s="68"/>
      <c r="AA737" s="68"/>
      <c r="AB737" s="68"/>
      <c r="AC737" s="68"/>
      <c r="AD737" s="68"/>
    </row>
    <row r="738" spans="1:30" ht="17">
      <c r="A738" s="68"/>
      <c r="B738" s="68"/>
      <c r="C738" s="68"/>
      <c r="D738" s="415"/>
      <c r="E738" s="415"/>
      <c r="F738" s="415"/>
      <c r="G738" s="415"/>
      <c r="H738" s="415"/>
      <c r="I738" s="415"/>
      <c r="J738" s="415"/>
      <c r="K738" s="97"/>
      <c r="L738" s="97"/>
      <c r="M738" s="97"/>
      <c r="N738" s="97"/>
      <c r="O738" s="97"/>
      <c r="P738" s="97"/>
      <c r="Q738" s="97"/>
      <c r="R738" s="97"/>
      <c r="S738" s="97"/>
      <c r="T738" s="423">
        <v>735</v>
      </c>
      <c r="U738" s="424">
        <v>61043213822.957458</v>
      </c>
      <c r="V738" s="426"/>
      <c r="W738" s="97"/>
      <c r="X738" s="97"/>
      <c r="Y738" s="97"/>
      <c r="Z738" s="68"/>
      <c r="AA738" s="68"/>
      <c r="AB738" s="68"/>
      <c r="AC738" s="68"/>
      <c r="AD738" s="68"/>
    </row>
    <row r="739" spans="1:30" ht="17">
      <c r="A739" s="68"/>
      <c r="B739" s="68"/>
      <c r="C739" s="68"/>
      <c r="D739" s="415"/>
      <c r="E739" s="415"/>
      <c r="F739" s="415"/>
      <c r="G739" s="415"/>
      <c r="H739" s="415"/>
      <c r="I739" s="415"/>
      <c r="J739" s="415"/>
      <c r="K739" s="97"/>
      <c r="L739" s="97"/>
      <c r="M739" s="97"/>
      <c r="N739" s="97"/>
      <c r="O739" s="97"/>
      <c r="P739" s="97"/>
      <c r="Q739" s="97"/>
      <c r="R739" s="97"/>
      <c r="S739" s="97"/>
      <c r="T739" s="423">
        <v>736</v>
      </c>
      <c r="U739" s="424">
        <v>59914353378.368607</v>
      </c>
      <c r="V739" s="426"/>
      <c r="W739" s="97"/>
      <c r="X739" s="97"/>
      <c r="Y739" s="97"/>
      <c r="Z739" s="68"/>
      <c r="AA739" s="68"/>
      <c r="AB739" s="68"/>
      <c r="AC739" s="68"/>
      <c r="AD739" s="68"/>
    </row>
    <row r="740" spans="1:30" ht="17">
      <c r="A740" s="68"/>
      <c r="B740" s="68"/>
      <c r="C740" s="68"/>
      <c r="D740" s="415"/>
      <c r="E740" s="415"/>
      <c r="F740" s="415"/>
      <c r="G740" s="415"/>
      <c r="H740" s="415"/>
      <c r="I740" s="415"/>
      <c r="J740" s="415"/>
      <c r="K740" s="97"/>
      <c r="L740" s="97"/>
      <c r="M740" s="97"/>
      <c r="N740" s="97"/>
      <c r="O740" s="97"/>
      <c r="P740" s="97"/>
      <c r="Q740" s="97"/>
      <c r="R740" s="97"/>
      <c r="S740" s="97"/>
      <c r="T740" s="423">
        <v>737</v>
      </c>
      <c r="U740" s="424">
        <v>56143248944.317444</v>
      </c>
      <c r="V740" s="426"/>
      <c r="W740" s="97"/>
      <c r="X740" s="97"/>
      <c r="Y740" s="97"/>
      <c r="Z740" s="68"/>
      <c r="AA740" s="68"/>
      <c r="AB740" s="68"/>
      <c r="AC740" s="68"/>
      <c r="AD740" s="68"/>
    </row>
    <row r="741" spans="1:30" ht="17">
      <c r="A741" s="68"/>
      <c r="B741" s="68"/>
      <c r="C741" s="68"/>
      <c r="D741" s="415"/>
      <c r="E741" s="415"/>
      <c r="F741" s="415"/>
      <c r="G741" s="415"/>
      <c r="H741" s="415"/>
      <c r="I741" s="415"/>
      <c r="J741" s="415"/>
      <c r="K741" s="97"/>
      <c r="L741" s="97"/>
      <c r="M741" s="97"/>
      <c r="N741" s="97"/>
      <c r="O741" s="97"/>
      <c r="P741" s="97"/>
      <c r="Q741" s="97"/>
      <c r="R741" s="97"/>
      <c r="S741" s="97"/>
      <c r="T741" s="423">
        <v>738</v>
      </c>
      <c r="U741" s="424">
        <v>58068959189.730301</v>
      </c>
      <c r="V741" s="426"/>
      <c r="W741" s="97"/>
      <c r="X741" s="97"/>
      <c r="Y741" s="97"/>
      <c r="Z741" s="68"/>
      <c r="AA741" s="68"/>
      <c r="AB741" s="68"/>
      <c r="AC741" s="68"/>
      <c r="AD741" s="68"/>
    </row>
    <row r="742" spans="1:30" ht="17">
      <c r="A742" s="68"/>
      <c r="B742" s="68"/>
      <c r="C742" s="68"/>
      <c r="D742" s="415"/>
      <c r="E742" s="415"/>
      <c r="F742" s="415"/>
      <c r="G742" s="415"/>
      <c r="H742" s="415"/>
      <c r="I742" s="415"/>
      <c r="J742" s="415"/>
      <c r="K742" s="97"/>
      <c r="L742" s="97"/>
      <c r="M742" s="97"/>
      <c r="N742" s="97"/>
      <c r="O742" s="97"/>
      <c r="P742" s="97"/>
      <c r="Q742" s="97"/>
      <c r="R742" s="97"/>
      <c r="S742" s="97"/>
      <c r="T742" s="423">
        <v>739</v>
      </c>
      <c r="U742" s="424">
        <v>57005953778.76786</v>
      </c>
      <c r="V742" s="426"/>
      <c r="W742" s="97"/>
      <c r="X742" s="97"/>
      <c r="Y742" s="97"/>
      <c r="Z742" s="68"/>
      <c r="AA742" s="68"/>
      <c r="AB742" s="68"/>
      <c r="AC742" s="68"/>
      <c r="AD742" s="68"/>
    </row>
    <row r="743" spans="1:30" ht="17">
      <c r="A743" s="68"/>
      <c r="B743" s="68"/>
      <c r="C743" s="68"/>
      <c r="D743" s="415"/>
      <c r="E743" s="415"/>
      <c r="F743" s="415"/>
      <c r="G743" s="415"/>
      <c r="H743" s="415"/>
      <c r="I743" s="415"/>
      <c r="J743" s="415"/>
      <c r="K743" s="97"/>
      <c r="L743" s="97"/>
      <c r="M743" s="97"/>
      <c r="N743" s="97"/>
      <c r="O743" s="97"/>
      <c r="P743" s="97"/>
      <c r="Q743" s="97"/>
      <c r="R743" s="97"/>
      <c r="S743" s="97"/>
      <c r="T743" s="423">
        <v>740</v>
      </c>
      <c r="U743" s="424">
        <v>58620461028.641129</v>
      </c>
      <c r="V743" s="426"/>
      <c r="W743" s="97"/>
      <c r="X743" s="97"/>
      <c r="Y743" s="97"/>
      <c r="Z743" s="68"/>
      <c r="AA743" s="68"/>
      <c r="AB743" s="68"/>
      <c r="AC743" s="68"/>
      <c r="AD743" s="68"/>
    </row>
    <row r="744" spans="1:30" ht="17">
      <c r="A744" s="68"/>
      <c r="B744" s="68"/>
      <c r="C744" s="68"/>
      <c r="D744" s="415"/>
      <c r="E744" s="415"/>
      <c r="F744" s="415"/>
      <c r="G744" s="415"/>
      <c r="H744" s="415"/>
      <c r="I744" s="415"/>
      <c r="J744" s="415"/>
      <c r="K744" s="97"/>
      <c r="L744" s="97"/>
      <c r="M744" s="97"/>
      <c r="N744" s="97"/>
      <c r="O744" s="97"/>
      <c r="P744" s="97"/>
      <c r="Q744" s="97"/>
      <c r="R744" s="97"/>
      <c r="S744" s="97"/>
      <c r="T744" s="423">
        <v>741</v>
      </c>
      <c r="U744" s="424">
        <v>58167771451.152283</v>
      </c>
      <c r="V744" s="426"/>
      <c r="W744" s="97"/>
      <c r="X744" s="97"/>
      <c r="Y744" s="97"/>
      <c r="Z744" s="68"/>
      <c r="AA744" s="68"/>
      <c r="AB744" s="68"/>
      <c r="AC744" s="68"/>
      <c r="AD744" s="68"/>
    </row>
    <row r="745" spans="1:30" ht="17">
      <c r="A745" s="68"/>
      <c r="B745" s="68"/>
      <c r="C745" s="68"/>
      <c r="D745" s="415"/>
      <c r="E745" s="415"/>
      <c r="F745" s="415"/>
      <c r="G745" s="415"/>
      <c r="H745" s="415"/>
      <c r="I745" s="415"/>
      <c r="J745" s="415"/>
      <c r="K745" s="97"/>
      <c r="L745" s="97"/>
      <c r="M745" s="97"/>
      <c r="N745" s="97"/>
      <c r="O745" s="97"/>
      <c r="P745" s="97"/>
      <c r="Q745" s="97"/>
      <c r="R745" s="97"/>
      <c r="S745" s="97"/>
      <c r="T745" s="423">
        <v>742</v>
      </c>
      <c r="U745" s="424">
        <v>61868619679.304344</v>
      </c>
      <c r="V745" s="426"/>
      <c r="W745" s="97"/>
      <c r="X745" s="97"/>
      <c r="Y745" s="97"/>
      <c r="Z745" s="68"/>
      <c r="AA745" s="68"/>
      <c r="AB745" s="68"/>
      <c r="AC745" s="68"/>
      <c r="AD745" s="68"/>
    </row>
    <row r="746" spans="1:30" ht="17">
      <c r="A746" s="68"/>
      <c r="B746" s="68"/>
      <c r="C746" s="68"/>
      <c r="D746" s="415"/>
      <c r="E746" s="415"/>
      <c r="F746" s="415"/>
      <c r="G746" s="415"/>
      <c r="H746" s="415"/>
      <c r="I746" s="415"/>
      <c r="J746" s="415"/>
      <c r="K746" s="97"/>
      <c r="L746" s="97"/>
      <c r="M746" s="97"/>
      <c r="N746" s="97"/>
      <c r="O746" s="97"/>
      <c r="P746" s="97"/>
      <c r="Q746" s="97"/>
      <c r="R746" s="97"/>
      <c r="S746" s="97"/>
      <c r="T746" s="423">
        <v>743</v>
      </c>
      <c r="U746" s="424">
        <v>59204195387.059425</v>
      </c>
      <c r="V746" s="426"/>
      <c r="W746" s="97"/>
      <c r="X746" s="97"/>
      <c r="Y746" s="97"/>
      <c r="Z746" s="68"/>
      <c r="AA746" s="68"/>
      <c r="AB746" s="68"/>
      <c r="AC746" s="68"/>
      <c r="AD746" s="68"/>
    </row>
    <row r="747" spans="1:30" ht="17">
      <c r="A747" s="68"/>
      <c r="B747" s="68"/>
      <c r="C747" s="68"/>
      <c r="D747" s="415"/>
      <c r="E747" s="415"/>
      <c r="F747" s="415"/>
      <c r="G747" s="415"/>
      <c r="H747" s="415"/>
      <c r="I747" s="415"/>
      <c r="J747" s="415"/>
      <c r="K747" s="97"/>
      <c r="L747" s="97"/>
      <c r="M747" s="97"/>
      <c r="N747" s="97"/>
      <c r="O747" s="97"/>
      <c r="P747" s="97"/>
      <c r="Q747" s="97"/>
      <c r="R747" s="97"/>
      <c r="S747" s="97"/>
      <c r="T747" s="423">
        <v>744</v>
      </c>
      <c r="U747" s="424">
        <v>57798290867.05867</v>
      </c>
      <c r="V747" s="426"/>
      <c r="W747" s="97"/>
      <c r="X747" s="97"/>
      <c r="Y747" s="97"/>
      <c r="Z747" s="68"/>
      <c r="AA747" s="68"/>
      <c r="AB747" s="68"/>
      <c r="AC747" s="68"/>
      <c r="AD747" s="68"/>
    </row>
    <row r="748" spans="1:30" ht="17">
      <c r="A748" s="68"/>
      <c r="B748" s="68"/>
      <c r="C748" s="68"/>
      <c r="D748" s="415"/>
      <c r="E748" s="415"/>
      <c r="F748" s="415"/>
      <c r="G748" s="415"/>
      <c r="H748" s="415"/>
      <c r="I748" s="415"/>
      <c r="J748" s="415"/>
      <c r="K748" s="97"/>
      <c r="L748" s="97"/>
      <c r="M748" s="97"/>
      <c r="N748" s="97"/>
      <c r="O748" s="97"/>
      <c r="P748" s="97"/>
      <c r="Q748" s="97"/>
      <c r="R748" s="97"/>
      <c r="S748" s="97"/>
      <c r="T748" s="423">
        <v>745</v>
      </c>
      <c r="U748" s="424">
        <v>60040626172.149803</v>
      </c>
      <c r="V748" s="426"/>
      <c r="W748" s="97"/>
      <c r="X748" s="97"/>
      <c r="Y748" s="97"/>
      <c r="Z748" s="68"/>
      <c r="AA748" s="68"/>
      <c r="AB748" s="68"/>
      <c r="AC748" s="68"/>
      <c r="AD748" s="68"/>
    </row>
    <row r="749" spans="1:30" ht="17">
      <c r="A749" s="68"/>
      <c r="B749" s="68"/>
      <c r="C749" s="68"/>
      <c r="D749" s="415"/>
      <c r="E749" s="415"/>
      <c r="F749" s="415"/>
      <c r="G749" s="415"/>
      <c r="H749" s="415"/>
      <c r="I749" s="415"/>
      <c r="J749" s="415"/>
      <c r="K749" s="97"/>
      <c r="L749" s="97"/>
      <c r="M749" s="97"/>
      <c r="N749" s="97"/>
      <c r="O749" s="97"/>
      <c r="P749" s="97"/>
      <c r="Q749" s="97"/>
      <c r="R749" s="97"/>
      <c r="S749" s="97"/>
      <c r="T749" s="423">
        <v>746</v>
      </c>
      <c r="U749" s="424">
        <v>57209759144.289948</v>
      </c>
      <c r="V749" s="426"/>
      <c r="W749" s="97"/>
      <c r="X749" s="97"/>
      <c r="Y749" s="97"/>
      <c r="Z749" s="68"/>
      <c r="AA749" s="68"/>
      <c r="AB749" s="68"/>
      <c r="AC749" s="68"/>
      <c r="AD749" s="68"/>
    </row>
    <row r="750" spans="1:30" ht="17">
      <c r="A750" s="68"/>
      <c r="B750" s="68"/>
      <c r="C750" s="68"/>
      <c r="D750" s="415"/>
      <c r="E750" s="415"/>
      <c r="F750" s="415"/>
      <c r="G750" s="415"/>
      <c r="H750" s="415"/>
      <c r="I750" s="415"/>
      <c r="J750" s="415"/>
      <c r="K750" s="97"/>
      <c r="L750" s="97"/>
      <c r="M750" s="97"/>
      <c r="N750" s="97"/>
      <c r="O750" s="97"/>
      <c r="P750" s="97"/>
      <c r="Q750" s="97"/>
      <c r="R750" s="97"/>
      <c r="S750" s="97"/>
      <c r="T750" s="423">
        <v>747</v>
      </c>
      <c r="U750" s="424">
        <v>56416400515.181702</v>
      </c>
      <c r="V750" s="426"/>
      <c r="W750" s="97"/>
      <c r="X750" s="97"/>
      <c r="Y750" s="97"/>
      <c r="Z750" s="68"/>
      <c r="AA750" s="68"/>
      <c r="AB750" s="68"/>
      <c r="AC750" s="68"/>
      <c r="AD750" s="68"/>
    </row>
    <row r="751" spans="1:30" ht="17">
      <c r="A751" s="68"/>
      <c r="B751" s="68"/>
      <c r="C751" s="68"/>
      <c r="D751" s="415"/>
      <c r="E751" s="415"/>
      <c r="F751" s="415"/>
      <c r="G751" s="415"/>
      <c r="H751" s="415"/>
      <c r="I751" s="415"/>
      <c r="J751" s="415"/>
      <c r="K751" s="97"/>
      <c r="L751" s="97"/>
      <c r="M751" s="97"/>
      <c r="N751" s="97"/>
      <c r="O751" s="97"/>
      <c r="P751" s="97"/>
      <c r="Q751" s="97"/>
      <c r="R751" s="97"/>
      <c r="S751" s="97"/>
      <c r="T751" s="423">
        <v>748</v>
      </c>
      <c r="U751" s="424">
        <v>58192732211.883881</v>
      </c>
      <c r="V751" s="426"/>
      <c r="W751" s="97"/>
      <c r="X751" s="97"/>
      <c r="Y751" s="97"/>
      <c r="Z751" s="68"/>
      <c r="AA751" s="68"/>
      <c r="AB751" s="68"/>
      <c r="AC751" s="68"/>
      <c r="AD751" s="68"/>
    </row>
    <row r="752" spans="1:30" ht="17">
      <c r="A752" s="68"/>
      <c r="B752" s="68"/>
      <c r="C752" s="68"/>
      <c r="D752" s="415"/>
      <c r="E752" s="415"/>
      <c r="F752" s="415"/>
      <c r="G752" s="415"/>
      <c r="H752" s="415"/>
      <c r="I752" s="415"/>
      <c r="J752" s="415"/>
      <c r="K752" s="97"/>
      <c r="L752" s="97"/>
      <c r="M752" s="97"/>
      <c r="N752" s="97"/>
      <c r="O752" s="97"/>
      <c r="P752" s="97"/>
      <c r="Q752" s="97"/>
      <c r="R752" s="97"/>
      <c r="S752" s="97"/>
      <c r="T752" s="423">
        <v>749</v>
      </c>
      <c r="U752" s="424">
        <v>57726497460.677719</v>
      </c>
      <c r="V752" s="426"/>
      <c r="W752" s="97"/>
      <c r="X752" s="97"/>
      <c r="Y752" s="97"/>
      <c r="Z752" s="68"/>
      <c r="AA752" s="68"/>
      <c r="AB752" s="68"/>
      <c r="AC752" s="68"/>
      <c r="AD752" s="68"/>
    </row>
    <row r="753" spans="1:30" ht="17">
      <c r="A753" s="68"/>
      <c r="B753" s="68"/>
      <c r="C753" s="68"/>
      <c r="D753" s="415"/>
      <c r="E753" s="415"/>
      <c r="F753" s="415"/>
      <c r="G753" s="415"/>
      <c r="H753" s="415"/>
      <c r="I753" s="415"/>
      <c r="J753" s="415"/>
      <c r="K753" s="97"/>
      <c r="L753" s="97"/>
      <c r="M753" s="97"/>
      <c r="N753" s="97"/>
      <c r="O753" s="97"/>
      <c r="P753" s="97"/>
      <c r="Q753" s="97"/>
      <c r="R753" s="97"/>
      <c r="S753" s="97"/>
      <c r="T753" s="423">
        <v>750</v>
      </c>
      <c r="U753" s="424">
        <v>57082018875.840103</v>
      </c>
      <c r="V753" s="426"/>
      <c r="W753" s="97"/>
      <c r="X753" s="97"/>
      <c r="Y753" s="97"/>
      <c r="Z753" s="68"/>
      <c r="AA753" s="68"/>
      <c r="AB753" s="68"/>
      <c r="AC753" s="68"/>
      <c r="AD753" s="68"/>
    </row>
    <row r="754" spans="1:30" ht="17">
      <c r="A754" s="68"/>
      <c r="B754" s="68"/>
      <c r="C754" s="68"/>
      <c r="D754" s="415"/>
      <c r="E754" s="415"/>
      <c r="F754" s="415"/>
      <c r="G754" s="415"/>
      <c r="H754" s="415"/>
      <c r="I754" s="415"/>
      <c r="J754" s="415"/>
      <c r="K754" s="97"/>
      <c r="L754" s="97"/>
      <c r="M754" s="97"/>
      <c r="N754" s="97"/>
      <c r="O754" s="97"/>
      <c r="P754" s="97"/>
      <c r="Q754" s="97"/>
      <c r="R754" s="97"/>
      <c r="S754" s="97"/>
      <c r="T754" s="423">
        <v>751</v>
      </c>
      <c r="U754" s="424">
        <v>60255412110.743515</v>
      </c>
      <c r="V754" s="426"/>
      <c r="W754" s="97"/>
      <c r="X754" s="97"/>
      <c r="Y754" s="97"/>
      <c r="Z754" s="68"/>
      <c r="AA754" s="68"/>
      <c r="AB754" s="68"/>
      <c r="AC754" s="68"/>
      <c r="AD754" s="68"/>
    </row>
    <row r="755" spans="1:30" ht="17">
      <c r="A755" s="68"/>
      <c r="B755" s="68"/>
      <c r="C755" s="68"/>
      <c r="D755" s="415"/>
      <c r="E755" s="415"/>
      <c r="F755" s="415"/>
      <c r="G755" s="415"/>
      <c r="H755" s="415"/>
      <c r="I755" s="415"/>
      <c r="J755" s="415"/>
      <c r="K755" s="97"/>
      <c r="L755" s="97"/>
      <c r="M755" s="97"/>
      <c r="N755" s="97"/>
      <c r="O755" s="97"/>
      <c r="P755" s="97"/>
      <c r="Q755" s="97"/>
      <c r="R755" s="97"/>
      <c r="S755" s="97"/>
      <c r="T755" s="423">
        <v>752</v>
      </c>
      <c r="U755" s="424">
        <v>57793232157.85582</v>
      </c>
      <c r="V755" s="426"/>
      <c r="W755" s="97"/>
      <c r="X755" s="97"/>
      <c r="Y755" s="97"/>
      <c r="Z755" s="68"/>
      <c r="AA755" s="68"/>
      <c r="AB755" s="68"/>
      <c r="AC755" s="68"/>
      <c r="AD755" s="68"/>
    </row>
    <row r="756" spans="1:30" ht="17">
      <c r="A756" s="68"/>
      <c r="B756" s="68"/>
      <c r="C756" s="68"/>
      <c r="D756" s="415"/>
      <c r="E756" s="415"/>
      <c r="F756" s="415"/>
      <c r="G756" s="415"/>
      <c r="H756" s="415"/>
      <c r="I756" s="415"/>
      <c r="J756" s="415"/>
      <c r="K756" s="97"/>
      <c r="L756" s="97"/>
      <c r="M756" s="97"/>
      <c r="N756" s="97"/>
      <c r="O756" s="97"/>
      <c r="P756" s="97"/>
      <c r="Q756" s="97"/>
      <c r="R756" s="97"/>
      <c r="S756" s="97"/>
      <c r="T756" s="423">
        <v>753</v>
      </c>
      <c r="U756" s="424">
        <v>58829109119.062469</v>
      </c>
      <c r="V756" s="426"/>
      <c r="W756" s="97"/>
      <c r="X756" s="97"/>
      <c r="Y756" s="97"/>
      <c r="Z756" s="68"/>
      <c r="AA756" s="68"/>
      <c r="AB756" s="68"/>
      <c r="AC756" s="68"/>
      <c r="AD756" s="68"/>
    </row>
    <row r="757" spans="1:30" ht="17">
      <c r="A757" s="68"/>
      <c r="B757" s="68"/>
      <c r="C757" s="68"/>
      <c r="D757" s="415"/>
      <c r="E757" s="415"/>
      <c r="F757" s="415"/>
      <c r="G757" s="415"/>
      <c r="H757" s="415"/>
      <c r="I757" s="415"/>
      <c r="J757" s="415"/>
      <c r="K757" s="97"/>
      <c r="L757" s="97"/>
      <c r="M757" s="97"/>
      <c r="N757" s="97"/>
      <c r="O757" s="97"/>
      <c r="P757" s="97"/>
      <c r="Q757" s="97"/>
      <c r="R757" s="97"/>
      <c r="S757" s="97"/>
      <c r="T757" s="423">
        <v>754</v>
      </c>
      <c r="U757" s="424">
        <v>56634335564.372223</v>
      </c>
      <c r="V757" s="426"/>
      <c r="W757" s="97"/>
      <c r="X757" s="97"/>
      <c r="Y757" s="97"/>
      <c r="Z757" s="68"/>
      <c r="AA757" s="68"/>
      <c r="AB757" s="68"/>
      <c r="AC757" s="68"/>
      <c r="AD757" s="68"/>
    </row>
    <row r="758" spans="1:30" ht="17">
      <c r="A758" s="68"/>
      <c r="B758" s="68"/>
      <c r="C758" s="68"/>
      <c r="D758" s="415"/>
      <c r="E758" s="415"/>
      <c r="F758" s="415"/>
      <c r="G758" s="415"/>
      <c r="H758" s="415"/>
      <c r="I758" s="415"/>
      <c r="J758" s="415"/>
      <c r="K758" s="97"/>
      <c r="L758" s="97"/>
      <c r="M758" s="97"/>
      <c r="N758" s="97"/>
      <c r="O758" s="97"/>
      <c r="P758" s="97"/>
      <c r="Q758" s="97"/>
      <c r="R758" s="97"/>
      <c r="S758" s="97"/>
      <c r="T758" s="423">
        <v>755</v>
      </c>
      <c r="U758" s="424">
        <v>59689073612.4431</v>
      </c>
      <c r="V758" s="426"/>
      <c r="W758" s="97"/>
      <c r="X758" s="97"/>
      <c r="Y758" s="97"/>
      <c r="Z758" s="68"/>
      <c r="AA758" s="68"/>
      <c r="AB758" s="68"/>
      <c r="AC758" s="68"/>
      <c r="AD758" s="68"/>
    </row>
    <row r="759" spans="1:30" ht="17">
      <c r="A759" s="68"/>
      <c r="B759" s="68"/>
      <c r="C759" s="68"/>
      <c r="D759" s="415"/>
      <c r="E759" s="415"/>
      <c r="F759" s="415"/>
      <c r="G759" s="415"/>
      <c r="H759" s="415"/>
      <c r="I759" s="415"/>
      <c r="J759" s="415"/>
      <c r="K759" s="97"/>
      <c r="L759" s="97"/>
      <c r="M759" s="97"/>
      <c r="N759" s="97"/>
      <c r="O759" s="97"/>
      <c r="P759" s="97"/>
      <c r="Q759" s="97"/>
      <c r="R759" s="97"/>
      <c r="S759" s="97"/>
      <c r="T759" s="423">
        <v>756</v>
      </c>
      <c r="U759" s="424">
        <v>58624968994.247543</v>
      </c>
      <c r="V759" s="426"/>
      <c r="W759" s="97"/>
      <c r="X759" s="97"/>
      <c r="Y759" s="97"/>
      <c r="Z759" s="68"/>
      <c r="AA759" s="68"/>
      <c r="AB759" s="68"/>
      <c r="AC759" s="68"/>
      <c r="AD759" s="68"/>
    </row>
    <row r="760" spans="1:30" ht="17">
      <c r="A760" s="68"/>
      <c r="B760" s="68"/>
      <c r="C760" s="68"/>
      <c r="D760" s="415"/>
      <c r="E760" s="415"/>
      <c r="F760" s="415"/>
      <c r="G760" s="415"/>
      <c r="H760" s="415"/>
      <c r="I760" s="415"/>
      <c r="J760" s="415"/>
      <c r="K760" s="97"/>
      <c r="L760" s="97"/>
      <c r="M760" s="97"/>
      <c r="N760" s="97"/>
      <c r="O760" s="97"/>
      <c r="P760" s="97"/>
      <c r="Q760" s="97"/>
      <c r="R760" s="97"/>
      <c r="S760" s="97"/>
      <c r="T760" s="423">
        <v>757</v>
      </c>
      <c r="U760" s="424">
        <v>57337772719.071533</v>
      </c>
      <c r="V760" s="426"/>
      <c r="W760" s="97"/>
      <c r="X760" s="97"/>
      <c r="Y760" s="97"/>
      <c r="Z760" s="68"/>
      <c r="AA760" s="68"/>
      <c r="AB760" s="68"/>
      <c r="AC760" s="68"/>
      <c r="AD760" s="68"/>
    </row>
    <row r="761" spans="1:30" ht="17">
      <c r="A761" s="68"/>
      <c r="B761" s="68"/>
      <c r="C761" s="68"/>
      <c r="D761" s="415"/>
      <c r="E761" s="415"/>
      <c r="F761" s="415"/>
      <c r="G761" s="415"/>
      <c r="H761" s="415"/>
      <c r="I761" s="415"/>
      <c r="J761" s="415"/>
      <c r="K761" s="97"/>
      <c r="L761" s="97"/>
      <c r="M761" s="97"/>
      <c r="N761" s="97"/>
      <c r="O761" s="97"/>
      <c r="P761" s="97"/>
      <c r="Q761" s="97"/>
      <c r="R761" s="97"/>
      <c r="S761" s="97"/>
      <c r="T761" s="423">
        <v>758</v>
      </c>
      <c r="U761" s="424">
        <v>58616591675.213562</v>
      </c>
      <c r="V761" s="426"/>
      <c r="W761" s="97"/>
      <c r="X761" s="97"/>
      <c r="Y761" s="97"/>
      <c r="Z761" s="68"/>
      <c r="AA761" s="68"/>
      <c r="AB761" s="68"/>
      <c r="AC761" s="68"/>
      <c r="AD761" s="68"/>
    </row>
    <row r="762" spans="1:30" ht="17">
      <c r="A762" s="68"/>
      <c r="B762" s="68"/>
      <c r="C762" s="68"/>
      <c r="D762" s="415"/>
      <c r="E762" s="415"/>
      <c r="F762" s="415"/>
      <c r="G762" s="415"/>
      <c r="H762" s="415"/>
      <c r="I762" s="415"/>
      <c r="J762" s="415"/>
      <c r="K762" s="97"/>
      <c r="L762" s="97"/>
      <c r="M762" s="97"/>
      <c r="N762" s="97"/>
      <c r="O762" s="97"/>
      <c r="P762" s="97"/>
      <c r="Q762" s="97"/>
      <c r="R762" s="97"/>
      <c r="S762" s="97"/>
      <c r="T762" s="423">
        <v>759</v>
      </c>
      <c r="U762" s="424">
        <v>57750837721.861008</v>
      </c>
      <c r="V762" s="426"/>
      <c r="W762" s="97"/>
      <c r="X762" s="97"/>
      <c r="Y762" s="97"/>
      <c r="Z762" s="68"/>
      <c r="AA762" s="68"/>
      <c r="AB762" s="68"/>
      <c r="AC762" s="68"/>
      <c r="AD762" s="68"/>
    </row>
    <row r="763" spans="1:30" ht="17">
      <c r="A763" s="68"/>
      <c r="B763" s="68"/>
      <c r="C763" s="68"/>
      <c r="D763" s="415"/>
      <c r="E763" s="415"/>
      <c r="F763" s="415"/>
      <c r="G763" s="415"/>
      <c r="H763" s="415"/>
      <c r="I763" s="415"/>
      <c r="J763" s="415"/>
      <c r="K763" s="97"/>
      <c r="L763" s="97"/>
      <c r="M763" s="97"/>
      <c r="N763" s="97"/>
      <c r="O763" s="97"/>
      <c r="P763" s="97"/>
      <c r="Q763" s="97"/>
      <c r="R763" s="97"/>
      <c r="S763" s="97"/>
      <c r="T763" s="423">
        <v>760</v>
      </c>
      <c r="U763" s="424">
        <v>60867808794.166</v>
      </c>
      <c r="V763" s="426"/>
      <c r="W763" s="97"/>
      <c r="X763" s="97"/>
      <c r="Y763" s="97"/>
      <c r="Z763" s="68"/>
      <c r="AA763" s="68"/>
      <c r="AB763" s="68"/>
      <c r="AC763" s="68"/>
      <c r="AD763" s="68"/>
    </row>
    <row r="764" spans="1:30" ht="17">
      <c r="A764" s="68"/>
      <c r="B764" s="68"/>
      <c r="C764" s="68"/>
      <c r="D764" s="415"/>
      <c r="E764" s="415"/>
      <c r="F764" s="415"/>
      <c r="G764" s="415"/>
      <c r="H764" s="415"/>
      <c r="I764" s="415"/>
      <c r="J764" s="415"/>
      <c r="K764" s="97"/>
      <c r="L764" s="97"/>
      <c r="M764" s="97"/>
      <c r="N764" s="97"/>
      <c r="O764" s="97"/>
      <c r="P764" s="97"/>
      <c r="Q764" s="97"/>
      <c r="R764" s="97"/>
      <c r="S764" s="97"/>
      <c r="T764" s="423">
        <v>761</v>
      </c>
      <c r="U764" s="424">
        <v>60304020530.676437</v>
      </c>
      <c r="V764" s="426"/>
      <c r="W764" s="97"/>
      <c r="X764" s="97"/>
      <c r="Y764" s="97"/>
      <c r="Z764" s="68"/>
      <c r="AA764" s="68"/>
      <c r="AB764" s="68"/>
      <c r="AC764" s="68"/>
      <c r="AD764" s="68"/>
    </row>
    <row r="765" spans="1:30" ht="17">
      <c r="A765" s="68"/>
      <c r="B765" s="68"/>
      <c r="C765" s="68"/>
      <c r="D765" s="415"/>
      <c r="E765" s="415"/>
      <c r="F765" s="415"/>
      <c r="G765" s="415"/>
      <c r="H765" s="415"/>
      <c r="I765" s="415"/>
      <c r="J765" s="415"/>
      <c r="K765" s="97"/>
      <c r="L765" s="97"/>
      <c r="M765" s="97"/>
      <c r="N765" s="97"/>
      <c r="O765" s="97"/>
      <c r="P765" s="97"/>
      <c r="Q765" s="97"/>
      <c r="R765" s="97"/>
      <c r="S765" s="97"/>
      <c r="T765" s="423">
        <v>762</v>
      </c>
      <c r="U765" s="424">
        <v>60227772705.652679</v>
      </c>
      <c r="V765" s="426"/>
      <c r="W765" s="97"/>
      <c r="X765" s="97"/>
      <c r="Y765" s="97"/>
      <c r="Z765" s="68"/>
      <c r="AA765" s="68"/>
      <c r="AB765" s="68"/>
      <c r="AC765" s="68"/>
      <c r="AD765" s="68"/>
    </row>
    <row r="766" spans="1:30" ht="17">
      <c r="A766" s="68"/>
      <c r="B766" s="68"/>
      <c r="C766" s="68"/>
      <c r="D766" s="415"/>
      <c r="E766" s="415"/>
      <c r="F766" s="415"/>
      <c r="G766" s="415"/>
      <c r="H766" s="415"/>
      <c r="I766" s="415"/>
      <c r="J766" s="415"/>
      <c r="K766" s="97"/>
      <c r="L766" s="97"/>
      <c r="M766" s="97"/>
      <c r="N766" s="97"/>
      <c r="O766" s="97"/>
      <c r="P766" s="97"/>
      <c r="Q766" s="97"/>
      <c r="R766" s="97"/>
      <c r="S766" s="97"/>
      <c r="T766" s="423">
        <v>763</v>
      </c>
      <c r="U766" s="424">
        <v>59367633706.678085</v>
      </c>
      <c r="V766" s="426"/>
      <c r="W766" s="97"/>
      <c r="X766" s="97"/>
      <c r="Y766" s="97"/>
      <c r="Z766" s="68"/>
      <c r="AA766" s="68"/>
      <c r="AB766" s="68"/>
      <c r="AC766" s="68"/>
      <c r="AD766" s="68"/>
    </row>
    <row r="767" spans="1:30" ht="17">
      <c r="A767" s="68"/>
      <c r="B767" s="68"/>
      <c r="C767" s="68"/>
      <c r="D767" s="415"/>
      <c r="E767" s="415"/>
      <c r="F767" s="415"/>
      <c r="G767" s="415"/>
      <c r="H767" s="415"/>
      <c r="I767" s="415"/>
      <c r="J767" s="415"/>
      <c r="K767" s="97"/>
      <c r="L767" s="97"/>
      <c r="M767" s="97"/>
      <c r="N767" s="97"/>
      <c r="O767" s="97"/>
      <c r="P767" s="97"/>
      <c r="Q767" s="97"/>
      <c r="R767" s="97"/>
      <c r="S767" s="97"/>
      <c r="T767" s="423">
        <v>764</v>
      </c>
      <c r="U767" s="424">
        <v>59492561471.943176</v>
      </c>
      <c r="V767" s="426"/>
      <c r="W767" s="97"/>
      <c r="X767" s="97"/>
      <c r="Y767" s="97"/>
      <c r="Z767" s="68"/>
      <c r="AA767" s="68"/>
      <c r="AB767" s="68"/>
      <c r="AC767" s="68"/>
      <c r="AD767" s="68"/>
    </row>
    <row r="768" spans="1:30" ht="17">
      <c r="A768" s="68"/>
      <c r="B768" s="68"/>
      <c r="C768" s="68"/>
      <c r="D768" s="415"/>
      <c r="E768" s="415"/>
      <c r="F768" s="415"/>
      <c r="G768" s="415"/>
      <c r="H768" s="415"/>
      <c r="I768" s="415"/>
      <c r="J768" s="415"/>
      <c r="K768" s="97"/>
      <c r="L768" s="97"/>
      <c r="M768" s="97"/>
      <c r="N768" s="97"/>
      <c r="O768" s="97"/>
      <c r="P768" s="97"/>
      <c r="Q768" s="97"/>
      <c r="R768" s="97"/>
      <c r="S768" s="97"/>
      <c r="T768" s="423">
        <v>765</v>
      </c>
      <c r="U768" s="424">
        <v>58579854408.012718</v>
      </c>
      <c r="V768" s="426"/>
      <c r="W768" s="97"/>
      <c r="X768" s="97"/>
      <c r="Y768" s="97"/>
      <c r="Z768" s="68"/>
      <c r="AA768" s="68"/>
      <c r="AB768" s="68"/>
      <c r="AC768" s="68"/>
      <c r="AD768" s="68"/>
    </row>
    <row r="769" spans="1:30" ht="17">
      <c r="A769" s="68"/>
      <c r="B769" s="68"/>
      <c r="C769" s="68"/>
      <c r="D769" s="415"/>
      <c r="E769" s="415"/>
      <c r="F769" s="415"/>
      <c r="G769" s="415"/>
      <c r="H769" s="415"/>
      <c r="I769" s="415"/>
      <c r="J769" s="415"/>
      <c r="K769" s="97"/>
      <c r="L769" s="97"/>
      <c r="M769" s="97"/>
      <c r="N769" s="97"/>
      <c r="O769" s="97"/>
      <c r="P769" s="97"/>
      <c r="Q769" s="97"/>
      <c r="R769" s="97"/>
      <c r="S769" s="97"/>
      <c r="T769" s="423">
        <v>766</v>
      </c>
      <c r="U769" s="424">
        <v>53857606364.72818</v>
      </c>
      <c r="V769" s="426"/>
      <c r="W769" s="97"/>
      <c r="X769" s="97"/>
      <c r="Y769" s="97"/>
      <c r="Z769" s="68"/>
      <c r="AA769" s="68"/>
      <c r="AB769" s="68"/>
      <c r="AC769" s="68"/>
      <c r="AD769" s="68"/>
    </row>
    <row r="770" spans="1:30" ht="17">
      <c r="A770" s="68"/>
      <c r="B770" s="68"/>
      <c r="C770" s="68"/>
      <c r="D770" s="415"/>
      <c r="E770" s="415"/>
      <c r="F770" s="415"/>
      <c r="G770" s="415"/>
      <c r="H770" s="415"/>
      <c r="I770" s="415"/>
      <c r="J770" s="415"/>
      <c r="K770" s="97"/>
      <c r="L770" s="97"/>
      <c r="M770" s="97"/>
      <c r="N770" s="97"/>
      <c r="O770" s="97"/>
      <c r="P770" s="97"/>
      <c r="Q770" s="97"/>
      <c r="R770" s="97"/>
      <c r="S770" s="97"/>
      <c r="T770" s="423">
        <v>767</v>
      </c>
      <c r="U770" s="424">
        <v>55133559494.059196</v>
      </c>
      <c r="V770" s="426"/>
      <c r="W770" s="97"/>
      <c r="X770" s="97"/>
      <c r="Y770" s="97"/>
      <c r="Z770" s="68"/>
      <c r="AA770" s="68"/>
      <c r="AB770" s="68"/>
      <c r="AC770" s="68"/>
      <c r="AD770" s="68"/>
    </row>
    <row r="771" spans="1:30" ht="17">
      <c r="A771" s="68"/>
      <c r="B771" s="68"/>
      <c r="C771" s="68"/>
      <c r="D771" s="415"/>
      <c r="E771" s="415"/>
      <c r="F771" s="415"/>
      <c r="G771" s="415"/>
      <c r="H771" s="415"/>
      <c r="I771" s="415"/>
      <c r="J771" s="415"/>
      <c r="K771" s="97"/>
      <c r="L771" s="97"/>
      <c r="M771" s="97"/>
      <c r="N771" s="97"/>
      <c r="O771" s="97"/>
      <c r="P771" s="97"/>
      <c r="Q771" s="97"/>
      <c r="R771" s="97"/>
      <c r="S771" s="97"/>
      <c r="T771" s="423">
        <v>768</v>
      </c>
      <c r="U771" s="424">
        <v>56479378053.543045</v>
      </c>
      <c r="V771" s="426"/>
      <c r="W771" s="97"/>
      <c r="X771" s="97"/>
      <c r="Y771" s="97"/>
      <c r="Z771" s="68"/>
      <c r="AA771" s="68"/>
      <c r="AB771" s="68"/>
      <c r="AC771" s="68"/>
      <c r="AD771" s="68"/>
    </row>
    <row r="772" spans="1:30" ht="17">
      <c r="A772" s="68"/>
      <c r="B772" s="68"/>
      <c r="C772" s="68"/>
      <c r="D772" s="415"/>
      <c r="E772" s="415"/>
      <c r="F772" s="415"/>
      <c r="G772" s="415"/>
      <c r="H772" s="415"/>
      <c r="I772" s="415"/>
      <c r="J772" s="415"/>
      <c r="K772" s="97"/>
      <c r="L772" s="97"/>
      <c r="M772" s="97"/>
      <c r="N772" s="97"/>
      <c r="O772" s="97"/>
      <c r="P772" s="97"/>
      <c r="Q772" s="97"/>
      <c r="R772" s="97"/>
      <c r="S772" s="97"/>
      <c r="T772" s="423">
        <v>769</v>
      </c>
      <c r="U772" s="424">
        <v>60475400218.710785</v>
      </c>
      <c r="V772" s="426"/>
      <c r="W772" s="97"/>
      <c r="X772" s="97"/>
      <c r="Y772" s="97"/>
      <c r="Z772" s="68"/>
      <c r="AA772" s="68"/>
      <c r="AB772" s="68"/>
      <c r="AC772" s="68"/>
      <c r="AD772" s="68"/>
    </row>
    <row r="773" spans="1:30" ht="17">
      <c r="A773" s="68"/>
      <c r="B773" s="68"/>
      <c r="C773" s="68"/>
      <c r="D773" s="415"/>
      <c r="E773" s="415"/>
      <c r="F773" s="415"/>
      <c r="G773" s="415"/>
      <c r="H773" s="415"/>
      <c r="I773" s="415"/>
      <c r="J773" s="415"/>
      <c r="K773" s="97"/>
      <c r="L773" s="97"/>
      <c r="M773" s="97"/>
      <c r="N773" s="97"/>
      <c r="O773" s="97"/>
      <c r="P773" s="97"/>
      <c r="Q773" s="97"/>
      <c r="R773" s="97"/>
      <c r="S773" s="97"/>
      <c r="T773" s="423">
        <v>770</v>
      </c>
      <c r="U773" s="424">
        <v>61928748170.094147</v>
      </c>
      <c r="V773" s="426"/>
      <c r="W773" s="97"/>
      <c r="X773" s="97"/>
      <c r="Y773" s="97"/>
      <c r="Z773" s="68"/>
      <c r="AA773" s="68"/>
      <c r="AB773" s="68"/>
      <c r="AC773" s="68"/>
      <c r="AD773" s="68"/>
    </row>
    <row r="774" spans="1:30" ht="17">
      <c r="A774" s="68"/>
      <c r="B774" s="68"/>
      <c r="C774" s="68"/>
      <c r="D774" s="415"/>
      <c r="E774" s="415"/>
      <c r="F774" s="415"/>
      <c r="G774" s="415"/>
      <c r="H774" s="415"/>
      <c r="I774" s="415"/>
      <c r="J774" s="415"/>
      <c r="K774" s="97"/>
      <c r="L774" s="97"/>
      <c r="M774" s="97"/>
      <c r="N774" s="97"/>
      <c r="O774" s="97"/>
      <c r="P774" s="97"/>
      <c r="Q774" s="97"/>
      <c r="R774" s="97"/>
      <c r="S774" s="97"/>
      <c r="T774" s="423">
        <v>771</v>
      </c>
      <c r="U774" s="424">
        <v>55027794857.697937</v>
      </c>
      <c r="V774" s="426"/>
      <c r="W774" s="97"/>
      <c r="X774" s="97"/>
      <c r="Y774" s="97"/>
      <c r="Z774" s="68"/>
      <c r="AA774" s="68"/>
      <c r="AB774" s="68"/>
      <c r="AC774" s="68"/>
      <c r="AD774" s="68"/>
    </row>
    <row r="775" spans="1:30" ht="17">
      <c r="A775" s="68"/>
      <c r="B775" s="68"/>
      <c r="C775" s="68"/>
      <c r="D775" s="415"/>
      <c r="E775" s="415"/>
      <c r="F775" s="415"/>
      <c r="G775" s="415"/>
      <c r="H775" s="415"/>
      <c r="I775" s="415"/>
      <c r="J775" s="415"/>
      <c r="K775" s="97"/>
      <c r="L775" s="97"/>
      <c r="M775" s="97"/>
      <c r="N775" s="97"/>
      <c r="O775" s="97"/>
      <c r="P775" s="97"/>
      <c r="Q775" s="97"/>
      <c r="R775" s="97"/>
      <c r="S775" s="97"/>
      <c r="T775" s="423">
        <v>772</v>
      </c>
      <c r="U775" s="424">
        <v>58608736841.947983</v>
      </c>
      <c r="V775" s="426"/>
      <c r="W775" s="97"/>
      <c r="X775" s="97"/>
      <c r="Y775" s="97"/>
      <c r="Z775" s="68"/>
      <c r="AA775" s="68"/>
      <c r="AB775" s="68"/>
      <c r="AC775" s="68"/>
      <c r="AD775" s="68"/>
    </row>
    <row r="776" spans="1:30" ht="17">
      <c r="A776" s="68"/>
      <c r="B776" s="68"/>
      <c r="C776" s="68"/>
      <c r="D776" s="415"/>
      <c r="E776" s="415"/>
      <c r="F776" s="415"/>
      <c r="G776" s="415"/>
      <c r="H776" s="415"/>
      <c r="I776" s="415"/>
      <c r="J776" s="415"/>
      <c r="K776" s="97"/>
      <c r="L776" s="97"/>
      <c r="M776" s="97"/>
      <c r="N776" s="97"/>
      <c r="O776" s="97"/>
      <c r="P776" s="97"/>
      <c r="Q776" s="97"/>
      <c r="R776" s="97"/>
      <c r="S776" s="97"/>
      <c r="T776" s="423">
        <v>773</v>
      </c>
      <c r="U776" s="424">
        <v>55842545985.849075</v>
      </c>
      <c r="V776" s="426"/>
      <c r="W776" s="97"/>
      <c r="X776" s="97"/>
      <c r="Y776" s="97"/>
      <c r="Z776" s="68"/>
      <c r="AA776" s="68"/>
      <c r="AB776" s="68"/>
      <c r="AC776" s="68"/>
      <c r="AD776" s="68"/>
    </row>
    <row r="777" spans="1:30" ht="17">
      <c r="A777" s="68"/>
      <c r="B777" s="68"/>
      <c r="C777" s="68"/>
      <c r="D777" s="415"/>
      <c r="E777" s="415"/>
      <c r="F777" s="415"/>
      <c r="G777" s="415"/>
      <c r="H777" s="415"/>
      <c r="I777" s="415"/>
      <c r="J777" s="415"/>
      <c r="K777" s="97"/>
      <c r="L777" s="97"/>
      <c r="M777" s="97"/>
      <c r="N777" s="97"/>
      <c r="O777" s="97"/>
      <c r="P777" s="97"/>
      <c r="Q777" s="97"/>
      <c r="R777" s="97"/>
      <c r="S777" s="97"/>
      <c r="T777" s="423">
        <v>774</v>
      </c>
      <c r="U777" s="424">
        <v>57987149533.330933</v>
      </c>
      <c r="V777" s="426"/>
      <c r="W777" s="97"/>
      <c r="X777" s="97"/>
      <c r="Y777" s="97"/>
      <c r="Z777" s="68"/>
      <c r="AA777" s="68"/>
      <c r="AB777" s="68"/>
      <c r="AC777" s="68"/>
      <c r="AD777" s="68"/>
    </row>
    <row r="778" spans="1:30" ht="17">
      <c r="A778" s="68"/>
      <c r="B778" s="68"/>
      <c r="C778" s="68"/>
      <c r="D778" s="415"/>
      <c r="E778" s="415"/>
      <c r="F778" s="415"/>
      <c r="G778" s="415"/>
      <c r="H778" s="415"/>
      <c r="I778" s="415"/>
      <c r="J778" s="415"/>
      <c r="K778" s="97"/>
      <c r="L778" s="97"/>
      <c r="M778" s="97"/>
      <c r="N778" s="97"/>
      <c r="O778" s="97"/>
      <c r="P778" s="97"/>
      <c r="Q778" s="97"/>
      <c r="R778" s="97"/>
      <c r="S778" s="97"/>
      <c r="T778" s="423">
        <v>775</v>
      </c>
      <c r="U778" s="424">
        <v>60371886554.404572</v>
      </c>
      <c r="V778" s="426"/>
      <c r="W778" s="97"/>
      <c r="X778" s="97"/>
      <c r="Y778" s="97"/>
      <c r="Z778" s="68"/>
      <c r="AA778" s="68"/>
      <c r="AB778" s="68"/>
      <c r="AC778" s="68"/>
      <c r="AD778" s="68"/>
    </row>
    <row r="779" spans="1:30" ht="17">
      <c r="A779" s="68"/>
      <c r="B779" s="68"/>
      <c r="C779" s="68"/>
      <c r="D779" s="415"/>
      <c r="E779" s="415"/>
      <c r="F779" s="415"/>
      <c r="G779" s="415"/>
      <c r="H779" s="415"/>
      <c r="I779" s="415"/>
      <c r="J779" s="415"/>
      <c r="K779" s="97"/>
      <c r="L779" s="97"/>
      <c r="M779" s="97"/>
      <c r="N779" s="97"/>
      <c r="O779" s="97"/>
      <c r="P779" s="97"/>
      <c r="Q779" s="97"/>
      <c r="R779" s="97"/>
      <c r="S779" s="97"/>
      <c r="T779" s="423">
        <v>776</v>
      </c>
      <c r="U779" s="424">
        <v>60675535424.841415</v>
      </c>
      <c r="V779" s="426"/>
      <c r="W779" s="97"/>
      <c r="X779" s="97"/>
      <c r="Y779" s="97"/>
      <c r="Z779" s="68"/>
      <c r="AA779" s="68"/>
      <c r="AB779" s="68"/>
      <c r="AC779" s="68"/>
      <c r="AD779" s="68"/>
    </row>
    <row r="780" spans="1:30" ht="17">
      <c r="A780" s="68"/>
      <c r="B780" s="68"/>
      <c r="C780" s="68"/>
      <c r="D780" s="415"/>
      <c r="E780" s="415"/>
      <c r="F780" s="415"/>
      <c r="G780" s="415"/>
      <c r="H780" s="415"/>
      <c r="I780" s="415"/>
      <c r="J780" s="415"/>
      <c r="K780" s="97"/>
      <c r="L780" s="97"/>
      <c r="M780" s="97"/>
      <c r="N780" s="97"/>
      <c r="O780" s="97"/>
      <c r="P780" s="97"/>
      <c r="Q780" s="97"/>
      <c r="R780" s="97"/>
      <c r="S780" s="97"/>
      <c r="T780" s="423">
        <v>777</v>
      </c>
      <c r="U780" s="424">
        <v>59237065724.169708</v>
      </c>
      <c r="V780" s="426"/>
      <c r="W780" s="97"/>
      <c r="X780" s="97"/>
      <c r="Y780" s="97"/>
      <c r="Z780" s="68"/>
      <c r="AA780" s="68"/>
      <c r="AB780" s="68"/>
      <c r="AC780" s="68"/>
      <c r="AD780" s="68"/>
    </row>
    <row r="781" spans="1:30" ht="17">
      <c r="A781" s="68"/>
      <c r="B781" s="68"/>
      <c r="C781" s="68"/>
      <c r="D781" s="415"/>
      <c r="E781" s="415"/>
      <c r="F781" s="415"/>
      <c r="G781" s="415"/>
      <c r="H781" s="415"/>
      <c r="I781" s="415"/>
      <c r="J781" s="415"/>
      <c r="K781" s="97"/>
      <c r="L781" s="97"/>
      <c r="M781" s="97"/>
      <c r="N781" s="97"/>
      <c r="O781" s="97"/>
      <c r="P781" s="97"/>
      <c r="Q781" s="97"/>
      <c r="R781" s="97"/>
      <c r="S781" s="97"/>
      <c r="T781" s="423">
        <v>778</v>
      </c>
      <c r="U781" s="424">
        <v>56248828109.090652</v>
      </c>
      <c r="V781" s="426"/>
      <c r="W781" s="97"/>
      <c r="X781" s="97"/>
      <c r="Y781" s="97"/>
      <c r="Z781" s="68"/>
      <c r="AA781" s="68"/>
      <c r="AB781" s="68"/>
      <c r="AC781" s="68"/>
      <c r="AD781" s="68"/>
    </row>
    <row r="782" spans="1:30" ht="17">
      <c r="A782" s="68"/>
      <c r="B782" s="68"/>
      <c r="C782" s="68"/>
      <c r="D782" s="415"/>
      <c r="E782" s="415"/>
      <c r="F782" s="415"/>
      <c r="G782" s="415"/>
      <c r="H782" s="415"/>
      <c r="I782" s="415"/>
      <c r="J782" s="415"/>
      <c r="K782" s="97"/>
      <c r="L782" s="97"/>
      <c r="M782" s="97"/>
      <c r="N782" s="97"/>
      <c r="O782" s="97"/>
      <c r="P782" s="97"/>
      <c r="Q782" s="97"/>
      <c r="R782" s="97"/>
      <c r="S782" s="97"/>
      <c r="T782" s="423">
        <v>779</v>
      </c>
      <c r="U782" s="424">
        <v>58980676841.4702</v>
      </c>
      <c r="V782" s="426"/>
      <c r="W782" s="97"/>
      <c r="X782" s="97"/>
      <c r="Y782" s="97"/>
      <c r="Z782" s="68"/>
      <c r="AA782" s="68"/>
      <c r="AB782" s="68"/>
      <c r="AC782" s="68"/>
      <c r="AD782" s="68"/>
    </row>
    <row r="783" spans="1:30" ht="17">
      <c r="A783" s="68"/>
      <c r="B783" s="68"/>
      <c r="C783" s="68"/>
      <c r="D783" s="415"/>
      <c r="E783" s="415"/>
      <c r="F783" s="415"/>
      <c r="G783" s="415"/>
      <c r="H783" s="415"/>
      <c r="I783" s="415"/>
      <c r="J783" s="415"/>
      <c r="K783" s="97"/>
      <c r="L783" s="97"/>
      <c r="M783" s="97"/>
      <c r="N783" s="97"/>
      <c r="O783" s="97"/>
      <c r="P783" s="97"/>
      <c r="Q783" s="97"/>
      <c r="R783" s="97"/>
      <c r="S783" s="97"/>
      <c r="T783" s="423">
        <v>780</v>
      </c>
      <c r="U783" s="424">
        <v>60936388245.062729</v>
      </c>
      <c r="V783" s="426"/>
      <c r="W783" s="97"/>
      <c r="X783" s="97"/>
      <c r="Y783" s="97"/>
      <c r="Z783" s="68"/>
      <c r="AA783" s="68"/>
      <c r="AB783" s="68"/>
      <c r="AC783" s="68"/>
      <c r="AD783" s="68"/>
    </row>
    <row r="784" spans="1:30" ht="17">
      <c r="A784" s="68"/>
      <c r="B784" s="68"/>
      <c r="C784" s="68"/>
      <c r="D784" s="415"/>
      <c r="E784" s="415"/>
      <c r="F784" s="415"/>
      <c r="G784" s="415"/>
      <c r="H784" s="415"/>
      <c r="I784" s="415"/>
      <c r="J784" s="415"/>
      <c r="K784" s="97"/>
      <c r="L784" s="97"/>
      <c r="M784" s="97"/>
      <c r="N784" s="97"/>
      <c r="O784" s="97"/>
      <c r="P784" s="97"/>
      <c r="Q784" s="97"/>
      <c r="R784" s="97"/>
      <c r="S784" s="97"/>
      <c r="T784" s="423">
        <v>781</v>
      </c>
      <c r="U784" s="424">
        <v>61870264733.316818</v>
      </c>
      <c r="V784" s="426"/>
      <c r="W784" s="97"/>
      <c r="X784" s="97"/>
      <c r="Y784" s="97"/>
      <c r="Z784" s="68"/>
      <c r="AA784" s="68"/>
      <c r="AB784" s="68"/>
      <c r="AC784" s="68"/>
      <c r="AD784" s="68"/>
    </row>
    <row r="785" spans="1:30" ht="17">
      <c r="A785" s="68"/>
      <c r="B785" s="68"/>
      <c r="C785" s="68"/>
      <c r="D785" s="415"/>
      <c r="E785" s="415"/>
      <c r="F785" s="415"/>
      <c r="G785" s="415"/>
      <c r="H785" s="415"/>
      <c r="I785" s="415"/>
      <c r="J785" s="415"/>
      <c r="K785" s="97"/>
      <c r="L785" s="97"/>
      <c r="M785" s="97"/>
      <c r="N785" s="97"/>
      <c r="O785" s="97"/>
      <c r="P785" s="97"/>
      <c r="Q785" s="97"/>
      <c r="R785" s="97"/>
      <c r="S785" s="97"/>
      <c r="T785" s="423">
        <v>782</v>
      </c>
      <c r="U785" s="424">
        <v>56468571425.689835</v>
      </c>
      <c r="V785" s="426"/>
      <c r="W785" s="97"/>
      <c r="X785" s="97"/>
      <c r="Y785" s="97"/>
      <c r="Z785" s="68"/>
      <c r="AA785" s="68"/>
      <c r="AB785" s="68"/>
      <c r="AC785" s="68"/>
      <c r="AD785" s="68"/>
    </row>
    <row r="786" spans="1:30" ht="17">
      <c r="A786" s="68"/>
      <c r="B786" s="68"/>
      <c r="C786" s="68"/>
      <c r="D786" s="415"/>
      <c r="E786" s="415"/>
      <c r="F786" s="415"/>
      <c r="G786" s="415"/>
      <c r="H786" s="415"/>
      <c r="I786" s="415"/>
      <c r="J786" s="415"/>
      <c r="K786" s="97"/>
      <c r="L786" s="97"/>
      <c r="M786" s="97"/>
      <c r="N786" s="97"/>
      <c r="O786" s="97"/>
      <c r="P786" s="97"/>
      <c r="Q786" s="97"/>
      <c r="R786" s="97"/>
      <c r="S786" s="97"/>
      <c r="T786" s="423">
        <v>783</v>
      </c>
      <c r="U786" s="424">
        <v>56512737279.029945</v>
      </c>
      <c r="V786" s="426"/>
      <c r="W786" s="97"/>
      <c r="X786" s="97"/>
      <c r="Y786" s="97"/>
      <c r="Z786" s="68"/>
      <c r="AA786" s="68"/>
      <c r="AB786" s="68"/>
      <c r="AC786" s="68"/>
      <c r="AD786" s="68"/>
    </row>
    <row r="787" spans="1:30" ht="17">
      <c r="A787" s="68"/>
      <c r="B787" s="68"/>
      <c r="C787" s="68"/>
      <c r="D787" s="415"/>
      <c r="E787" s="415"/>
      <c r="F787" s="415"/>
      <c r="G787" s="415"/>
      <c r="H787" s="415"/>
      <c r="I787" s="415"/>
      <c r="J787" s="415"/>
      <c r="K787" s="97"/>
      <c r="L787" s="97"/>
      <c r="M787" s="97"/>
      <c r="N787" s="97"/>
      <c r="O787" s="97"/>
      <c r="P787" s="97"/>
      <c r="Q787" s="97"/>
      <c r="R787" s="97"/>
      <c r="S787" s="97"/>
      <c r="T787" s="423">
        <v>784</v>
      </c>
      <c r="U787" s="424">
        <v>57421990445.435898</v>
      </c>
      <c r="V787" s="426"/>
      <c r="W787" s="97"/>
      <c r="X787" s="97"/>
      <c r="Y787" s="97"/>
      <c r="Z787" s="68"/>
      <c r="AA787" s="68"/>
      <c r="AB787" s="68"/>
      <c r="AC787" s="68"/>
      <c r="AD787" s="68"/>
    </row>
    <row r="788" spans="1:30" ht="17">
      <c r="A788" s="68"/>
      <c r="B788" s="68"/>
      <c r="C788" s="68"/>
      <c r="D788" s="415"/>
      <c r="E788" s="415"/>
      <c r="F788" s="415"/>
      <c r="G788" s="415"/>
      <c r="H788" s="415"/>
      <c r="I788" s="415"/>
      <c r="J788" s="415"/>
      <c r="K788" s="97"/>
      <c r="L788" s="97"/>
      <c r="M788" s="97"/>
      <c r="N788" s="97"/>
      <c r="O788" s="97"/>
      <c r="P788" s="97"/>
      <c r="Q788" s="97"/>
      <c r="R788" s="97"/>
      <c r="S788" s="97"/>
      <c r="T788" s="423">
        <v>785</v>
      </c>
      <c r="U788" s="424">
        <v>59325515507.236908</v>
      </c>
      <c r="V788" s="426"/>
      <c r="W788" s="97"/>
      <c r="X788" s="97"/>
      <c r="Y788" s="97"/>
      <c r="Z788" s="68"/>
      <c r="AA788" s="68"/>
      <c r="AB788" s="68"/>
      <c r="AC788" s="68"/>
      <c r="AD788" s="68"/>
    </row>
    <row r="789" spans="1:30" ht="17">
      <c r="A789" s="68"/>
      <c r="B789" s="68"/>
      <c r="C789" s="68"/>
      <c r="D789" s="415"/>
      <c r="E789" s="415"/>
      <c r="F789" s="415"/>
      <c r="G789" s="415"/>
      <c r="H789" s="415"/>
      <c r="I789" s="415"/>
      <c r="J789" s="415"/>
      <c r="K789" s="97"/>
      <c r="L789" s="97"/>
      <c r="M789" s="97"/>
      <c r="N789" s="97"/>
      <c r="O789" s="97"/>
      <c r="P789" s="97"/>
      <c r="Q789" s="97"/>
      <c r="R789" s="97"/>
      <c r="S789" s="97"/>
      <c r="T789" s="423">
        <v>786</v>
      </c>
      <c r="U789" s="424">
        <v>62126754884.867554</v>
      </c>
      <c r="V789" s="426"/>
      <c r="W789" s="97"/>
      <c r="X789" s="97"/>
      <c r="Y789" s="97"/>
      <c r="Z789" s="68"/>
      <c r="AA789" s="68"/>
      <c r="AB789" s="68"/>
      <c r="AC789" s="68"/>
      <c r="AD789" s="68"/>
    </row>
    <row r="790" spans="1:30" ht="17">
      <c r="A790" s="68"/>
      <c r="B790" s="68"/>
      <c r="C790" s="68"/>
      <c r="D790" s="415"/>
      <c r="E790" s="415"/>
      <c r="F790" s="415"/>
      <c r="G790" s="415"/>
      <c r="H790" s="415"/>
      <c r="I790" s="415"/>
      <c r="J790" s="415"/>
      <c r="K790" s="97"/>
      <c r="L790" s="97"/>
      <c r="M790" s="97"/>
      <c r="N790" s="97"/>
      <c r="O790" s="97"/>
      <c r="P790" s="97"/>
      <c r="Q790" s="97"/>
      <c r="R790" s="97"/>
      <c r="S790" s="97"/>
      <c r="T790" s="423">
        <v>787</v>
      </c>
      <c r="U790" s="424">
        <v>56551414356.670822</v>
      </c>
      <c r="V790" s="426"/>
      <c r="W790" s="97"/>
      <c r="X790" s="97"/>
      <c r="Y790" s="97"/>
      <c r="Z790" s="68"/>
      <c r="AA790" s="68"/>
      <c r="AB790" s="68"/>
      <c r="AC790" s="68"/>
      <c r="AD790" s="68"/>
    </row>
    <row r="791" spans="1:30" ht="17">
      <c r="A791" s="68"/>
      <c r="B791" s="68"/>
      <c r="C791" s="68"/>
      <c r="D791" s="415"/>
      <c r="E791" s="415"/>
      <c r="F791" s="415"/>
      <c r="G791" s="415"/>
      <c r="H791" s="415"/>
      <c r="I791" s="415"/>
      <c r="J791" s="415"/>
      <c r="K791" s="97"/>
      <c r="L791" s="97"/>
      <c r="M791" s="97"/>
      <c r="N791" s="97"/>
      <c r="O791" s="97"/>
      <c r="P791" s="97"/>
      <c r="Q791" s="97"/>
      <c r="R791" s="97"/>
      <c r="S791" s="97"/>
      <c r="T791" s="423">
        <v>788</v>
      </c>
      <c r="U791" s="424">
        <v>58228011358.719925</v>
      </c>
      <c r="V791" s="426"/>
      <c r="W791" s="97"/>
      <c r="X791" s="97"/>
      <c r="Y791" s="97"/>
      <c r="Z791" s="68"/>
      <c r="AA791" s="68"/>
      <c r="AB791" s="68"/>
      <c r="AC791" s="68"/>
      <c r="AD791" s="68"/>
    </row>
    <row r="792" spans="1:30" ht="17">
      <c r="A792" s="68"/>
      <c r="B792" s="68"/>
      <c r="C792" s="68"/>
      <c r="D792" s="415"/>
      <c r="E792" s="415"/>
      <c r="F792" s="415"/>
      <c r="G792" s="415"/>
      <c r="H792" s="415"/>
      <c r="I792" s="415"/>
      <c r="J792" s="415"/>
      <c r="K792" s="97"/>
      <c r="L792" s="97"/>
      <c r="M792" s="97"/>
      <c r="N792" s="97"/>
      <c r="O792" s="97"/>
      <c r="P792" s="97"/>
      <c r="Q792" s="97"/>
      <c r="R792" s="97"/>
      <c r="S792" s="97"/>
      <c r="T792" s="423">
        <v>789</v>
      </c>
      <c r="U792" s="424">
        <v>58425230680.633972</v>
      </c>
      <c r="V792" s="426"/>
      <c r="W792" s="97"/>
      <c r="X792" s="97"/>
      <c r="Y792" s="97"/>
      <c r="Z792" s="68"/>
      <c r="AA792" s="68"/>
      <c r="AB792" s="68"/>
      <c r="AC792" s="68"/>
      <c r="AD792" s="68"/>
    </row>
    <row r="793" spans="1:30" ht="17">
      <c r="A793" s="68"/>
      <c r="B793" s="68"/>
      <c r="C793" s="68"/>
      <c r="D793" s="415"/>
      <c r="E793" s="415"/>
      <c r="F793" s="415"/>
      <c r="G793" s="415"/>
      <c r="H793" s="415"/>
      <c r="I793" s="415"/>
      <c r="J793" s="415"/>
      <c r="K793" s="97"/>
      <c r="L793" s="97"/>
      <c r="M793" s="97"/>
      <c r="N793" s="97"/>
      <c r="O793" s="97"/>
      <c r="P793" s="97"/>
      <c r="Q793" s="97"/>
      <c r="R793" s="97"/>
      <c r="S793" s="97"/>
      <c r="T793" s="423">
        <v>790</v>
      </c>
      <c r="U793" s="424">
        <v>57351972889.918007</v>
      </c>
      <c r="V793" s="426"/>
      <c r="W793" s="97"/>
      <c r="X793" s="97"/>
      <c r="Y793" s="97"/>
      <c r="Z793" s="68"/>
      <c r="AA793" s="68"/>
      <c r="AB793" s="68"/>
      <c r="AC793" s="68"/>
      <c r="AD793" s="68"/>
    </row>
    <row r="794" spans="1:30" ht="17">
      <c r="A794" s="68"/>
      <c r="B794" s="68"/>
      <c r="C794" s="68"/>
      <c r="D794" s="415"/>
      <c r="E794" s="415"/>
      <c r="F794" s="415"/>
      <c r="G794" s="415"/>
      <c r="H794" s="415"/>
      <c r="I794" s="415"/>
      <c r="J794" s="415"/>
      <c r="K794" s="97"/>
      <c r="L794" s="97"/>
      <c r="M794" s="97"/>
      <c r="N794" s="97"/>
      <c r="O794" s="97"/>
      <c r="P794" s="97"/>
      <c r="Q794" s="97"/>
      <c r="R794" s="97"/>
      <c r="S794" s="97"/>
      <c r="T794" s="423">
        <v>791</v>
      </c>
      <c r="U794" s="424">
        <v>59879003108.710129</v>
      </c>
      <c r="V794" s="426"/>
      <c r="W794" s="97"/>
      <c r="X794" s="97"/>
      <c r="Y794" s="97"/>
      <c r="Z794" s="68"/>
      <c r="AA794" s="68"/>
      <c r="AB794" s="68"/>
      <c r="AC794" s="68"/>
      <c r="AD794" s="68"/>
    </row>
    <row r="795" spans="1:30" ht="17">
      <c r="A795" s="68"/>
      <c r="B795" s="68"/>
      <c r="C795" s="68"/>
      <c r="D795" s="415"/>
      <c r="E795" s="415"/>
      <c r="F795" s="415"/>
      <c r="G795" s="415"/>
      <c r="H795" s="415"/>
      <c r="I795" s="415"/>
      <c r="J795" s="415"/>
      <c r="K795" s="97"/>
      <c r="L795" s="97"/>
      <c r="M795" s="97"/>
      <c r="N795" s="97"/>
      <c r="O795" s="97"/>
      <c r="P795" s="97"/>
      <c r="Q795" s="97"/>
      <c r="R795" s="97"/>
      <c r="S795" s="97"/>
      <c r="T795" s="423">
        <v>792</v>
      </c>
      <c r="U795" s="424">
        <v>57633957626.345703</v>
      </c>
      <c r="V795" s="426"/>
      <c r="W795" s="97"/>
      <c r="X795" s="97"/>
      <c r="Y795" s="97"/>
      <c r="Z795" s="68"/>
      <c r="AA795" s="68"/>
      <c r="AB795" s="68"/>
      <c r="AC795" s="68"/>
      <c r="AD795" s="68"/>
    </row>
    <row r="796" spans="1:30" ht="17">
      <c r="A796" s="68"/>
      <c r="B796" s="68"/>
      <c r="C796" s="68"/>
      <c r="D796" s="415"/>
      <c r="E796" s="415"/>
      <c r="F796" s="415"/>
      <c r="G796" s="415"/>
      <c r="H796" s="415"/>
      <c r="I796" s="415"/>
      <c r="J796" s="415"/>
      <c r="K796" s="97"/>
      <c r="L796" s="97"/>
      <c r="M796" s="97"/>
      <c r="N796" s="97"/>
      <c r="O796" s="97"/>
      <c r="P796" s="97"/>
      <c r="Q796" s="97"/>
      <c r="R796" s="97"/>
      <c r="S796" s="97"/>
      <c r="T796" s="423">
        <v>793</v>
      </c>
      <c r="U796" s="424">
        <v>58472714661.813324</v>
      </c>
      <c r="V796" s="426"/>
      <c r="W796" s="97"/>
      <c r="X796" s="97"/>
      <c r="Y796" s="97"/>
      <c r="Z796" s="68"/>
      <c r="AA796" s="68"/>
      <c r="AB796" s="68"/>
      <c r="AC796" s="68"/>
      <c r="AD796" s="68"/>
    </row>
    <row r="797" spans="1:30" ht="17">
      <c r="A797" s="68"/>
      <c r="B797" s="68"/>
      <c r="C797" s="68"/>
      <c r="D797" s="415"/>
      <c r="E797" s="415"/>
      <c r="F797" s="415"/>
      <c r="G797" s="415"/>
      <c r="H797" s="415"/>
      <c r="I797" s="415"/>
      <c r="J797" s="415"/>
      <c r="K797" s="97"/>
      <c r="L797" s="97"/>
      <c r="M797" s="97"/>
      <c r="N797" s="97"/>
      <c r="O797" s="97"/>
      <c r="P797" s="97"/>
      <c r="Q797" s="97"/>
      <c r="R797" s="97"/>
      <c r="S797" s="97"/>
      <c r="T797" s="423">
        <v>794</v>
      </c>
      <c r="U797" s="424">
        <v>58515465839.358948</v>
      </c>
      <c r="V797" s="426"/>
      <c r="W797" s="97"/>
      <c r="X797" s="97"/>
      <c r="Y797" s="97"/>
      <c r="Z797" s="68"/>
      <c r="AA797" s="68"/>
      <c r="AB797" s="68"/>
      <c r="AC797" s="68"/>
      <c r="AD797" s="68"/>
    </row>
    <row r="798" spans="1:30" ht="17">
      <c r="A798" s="68"/>
      <c r="B798" s="68"/>
      <c r="C798" s="68"/>
      <c r="D798" s="415"/>
      <c r="E798" s="415"/>
      <c r="F798" s="415"/>
      <c r="G798" s="415"/>
      <c r="H798" s="415"/>
      <c r="I798" s="415"/>
      <c r="J798" s="415"/>
      <c r="K798" s="97"/>
      <c r="L798" s="97"/>
      <c r="M798" s="97"/>
      <c r="N798" s="97"/>
      <c r="O798" s="97"/>
      <c r="P798" s="97"/>
      <c r="Q798" s="97"/>
      <c r="R798" s="97"/>
      <c r="S798" s="97"/>
      <c r="T798" s="423">
        <v>795</v>
      </c>
      <c r="U798" s="424">
        <v>59139662088.21553</v>
      </c>
      <c r="V798" s="426"/>
      <c r="W798" s="97"/>
      <c r="X798" s="97"/>
      <c r="Y798" s="97"/>
      <c r="Z798" s="68"/>
      <c r="AA798" s="68"/>
      <c r="AB798" s="68"/>
      <c r="AC798" s="68"/>
      <c r="AD798" s="68"/>
    </row>
    <row r="799" spans="1:30" ht="17">
      <c r="A799" s="68"/>
      <c r="B799" s="68"/>
      <c r="C799" s="68"/>
      <c r="D799" s="415"/>
      <c r="E799" s="415"/>
      <c r="F799" s="415"/>
      <c r="G799" s="415"/>
      <c r="H799" s="415"/>
      <c r="I799" s="415"/>
      <c r="J799" s="415"/>
      <c r="K799" s="97"/>
      <c r="L799" s="97"/>
      <c r="M799" s="97"/>
      <c r="N799" s="97"/>
      <c r="O799" s="97"/>
      <c r="P799" s="97"/>
      <c r="Q799" s="97"/>
      <c r="R799" s="97"/>
      <c r="S799" s="97"/>
      <c r="T799" s="423">
        <v>796</v>
      </c>
      <c r="U799" s="424">
        <v>62303307534.358765</v>
      </c>
      <c r="V799" s="426"/>
      <c r="W799" s="97"/>
      <c r="X799" s="97"/>
      <c r="Y799" s="97"/>
      <c r="Z799" s="68"/>
      <c r="AA799" s="68"/>
      <c r="AB799" s="68"/>
      <c r="AC799" s="68"/>
      <c r="AD799" s="68"/>
    </row>
    <row r="800" spans="1:30" ht="17">
      <c r="A800" s="68"/>
      <c r="B800" s="68"/>
      <c r="C800" s="68"/>
      <c r="D800" s="415"/>
      <c r="E800" s="415"/>
      <c r="F800" s="415"/>
      <c r="G800" s="415"/>
      <c r="H800" s="415"/>
      <c r="I800" s="415"/>
      <c r="J800" s="415"/>
      <c r="K800" s="97"/>
      <c r="L800" s="97"/>
      <c r="M800" s="97"/>
      <c r="N800" s="97"/>
      <c r="O800" s="97"/>
      <c r="P800" s="97"/>
      <c r="Q800" s="97"/>
      <c r="R800" s="97"/>
      <c r="S800" s="97"/>
      <c r="T800" s="423">
        <v>797</v>
      </c>
      <c r="U800" s="424">
        <v>59048215427.16935</v>
      </c>
      <c r="V800" s="426"/>
      <c r="W800" s="97"/>
      <c r="X800" s="97"/>
      <c r="Y800" s="97"/>
      <c r="Z800" s="68"/>
      <c r="AA800" s="68"/>
      <c r="AB800" s="68"/>
      <c r="AC800" s="68"/>
      <c r="AD800" s="68"/>
    </row>
    <row r="801" spans="1:30" ht="17">
      <c r="A801" s="68"/>
      <c r="B801" s="68"/>
      <c r="C801" s="68"/>
      <c r="D801" s="415"/>
      <c r="E801" s="415"/>
      <c r="F801" s="415"/>
      <c r="G801" s="415"/>
      <c r="H801" s="415"/>
      <c r="I801" s="415"/>
      <c r="J801" s="415"/>
      <c r="K801" s="97"/>
      <c r="L801" s="97"/>
      <c r="M801" s="97"/>
      <c r="N801" s="97"/>
      <c r="O801" s="97"/>
      <c r="P801" s="97"/>
      <c r="Q801" s="97"/>
      <c r="R801" s="97"/>
      <c r="S801" s="97"/>
      <c r="T801" s="423">
        <v>798</v>
      </c>
      <c r="U801" s="424">
        <v>58568549550.721909</v>
      </c>
      <c r="V801" s="426"/>
      <c r="W801" s="97"/>
      <c r="X801" s="97"/>
      <c r="Y801" s="97"/>
      <c r="Z801" s="68"/>
      <c r="AA801" s="68"/>
      <c r="AB801" s="68"/>
      <c r="AC801" s="68"/>
      <c r="AD801" s="68"/>
    </row>
    <row r="802" spans="1:30" ht="17">
      <c r="A802" s="68"/>
      <c r="B802" s="68"/>
      <c r="C802" s="68"/>
      <c r="D802" s="415"/>
      <c r="E802" s="415"/>
      <c r="F802" s="415"/>
      <c r="G802" s="415"/>
      <c r="H802" s="415"/>
      <c r="I802" s="415"/>
      <c r="J802" s="415"/>
      <c r="K802" s="97"/>
      <c r="L802" s="97"/>
      <c r="M802" s="97"/>
      <c r="N802" s="97"/>
      <c r="O802" s="97"/>
      <c r="P802" s="97"/>
      <c r="Q802" s="97"/>
      <c r="R802" s="97"/>
      <c r="S802" s="97"/>
      <c r="T802" s="423">
        <v>799</v>
      </c>
      <c r="U802" s="424">
        <v>56914056177.086136</v>
      </c>
      <c r="V802" s="426"/>
      <c r="W802" s="97"/>
      <c r="X802" s="97"/>
      <c r="Y802" s="97"/>
      <c r="Z802" s="68"/>
      <c r="AA802" s="68"/>
      <c r="AB802" s="68"/>
      <c r="AC802" s="68"/>
      <c r="AD802" s="68"/>
    </row>
    <row r="803" spans="1:30" ht="17">
      <c r="A803" s="68"/>
      <c r="B803" s="68"/>
      <c r="C803" s="68"/>
      <c r="D803" s="415"/>
      <c r="E803" s="415"/>
      <c r="F803" s="415"/>
      <c r="G803" s="415"/>
      <c r="H803" s="415"/>
      <c r="I803" s="415"/>
      <c r="J803" s="415"/>
      <c r="K803" s="97"/>
      <c r="L803" s="97"/>
      <c r="M803" s="97"/>
      <c r="N803" s="97"/>
      <c r="O803" s="97"/>
      <c r="P803" s="97"/>
      <c r="Q803" s="97"/>
      <c r="R803" s="97"/>
      <c r="S803" s="97"/>
      <c r="T803" s="423">
        <v>800</v>
      </c>
      <c r="U803" s="424">
        <v>57319496974.081322</v>
      </c>
      <c r="V803" s="426"/>
      <c r="W803" s="97"/>
      <c r="X803" s="97"/>
      <c r="Y803" s="97"/>
      <c r="Z803" s="68"/>
      <c r="AA803" s="68"/>
      <c r="AB803" s="68"/>
      <c r="AC803" s="68"/>
      <c r="AD803" s="68"/>
    </row>
    <row r="804" spans="1:30" ht="17">
      <c r="A804" s="68"/>
      <c r="B804" s="68"/>
      <c r="C804" s="68"/>
      <c r="D804" s="415"/>
      <c r="E804" s="415"/>
      <c r="F804" s="415"/>
      <c r="G804" s="415"/>
      <c r="H804" s="415"/>
      <c r="I804" s="415"/>
      <c r="J804" s="415"/>
      <c r="K804" s="97"/>
      <c r="L804" s="97"/>
      <c r="M804" s="97"/>
      <c r="N804" s="97"/>
      <c r="O804" s="97"/>
      <c r="P804" s="97"/>
      <c r="Q804" s="97"/>
      <c r="R804" s="97"/>
      <c r="S804" s="97"/>
      <c r="T804" s="423">
        <v>801</v>
      </c>
      <c r="U804" s="424">
        <v>60262979660.027626</v>
      </c>
      <c r="V804" s="426"/>
      <c r="W804" s="97"/>
      <c r="X804" s="97"/>
      <c r="Y804" s="97"/>
      <c r="Z804" s="68"/>
      <c r="AA804" s="68"/>
      <c r="AB804" s="68"/>
      <c r="AC804" s="68"/>
      <c r="AD804" s="68"/>
    </row>
    <row r="805" spans="1:30" ht="17">
      <c r="A805" s="68"/>
      <c r="B805" s="68"/>
      <c r="C805" s="68"/>
      <c r="D805" s="415"/>
      <c r="E805" s="415"/>
      <c r="F805" s="415"/>
      <c r="G805" s="415"/>
      <c r="H805" s="415"/>
      <c r="I805" s="415"/>
      <c r="J805" s="415"/>
      <c r="K805" s="97"/>
      <c r="L805" s="97"/>
      <c r="M805" s="97"/>
      <c r="N805" s="97"/>
      <c r="O805" s="97"/>
      <c r="P805" s="97"/>
      <c r="Q805" s="97"/>
      <c r="R805" s="97"/>
      <c r="S805" s="97"/>
      <c r="T805" s="423">
        <v>802</v>
      </c>
      <c r="U805" s="424">
        <v>57426556038.196152</v>
      </c>
      <c r="V805" s="426"/>
      <c r="W805" s="97"/>
      <c r="X805" s="97"/>
      <c r="Y805" s="97"/>
      <c r="Z805" s="68"/>
      <c r="AA805" s="68"/>
      <c r="AB805" s="68"/>
      <c r="AC805" s="68"/>
      <c r="AD805" s="68"/>
    </row>
    <row r="806" spans="1:30" ht="17">
      <c r="A806" s="68"/>
      <c r="B806" s="68"/>
      <c r="C806" s="68"/>
      <c r="D806" s="415"/>
      <c r="E806" s="415"/>
      <c r="F806" s="415"/>
      <c r="G806" s="415"/>
      <c r="H806" s="415"/>
      <c r="I806" s="415"/>
      <c r="J806" s="415"/>
      <c r="K806" s="97"/>
      <c r="L806" s="97"/>
      <c r="M806" s="97"/>
      <c r="N806" s="97"/>
      <c r="O806" s="97"/>
      <c r="P806" s="97"/>
      <c r="Q806" s="97"/>
      <c r="R806" s="97"/>
      <c r="S806" s="97"/>
      <c r="T806" s="423">
        <v>803</v>
      </c>
      <c r="U806" s="424">
        <v>57940718910.127167</v>
      </c>
      <c r="V806" s="426"/>
      <c r="W806" s="97"/>
      <c r="X806" s="97"/>
      <c r="Y806" s="97"/>
      <c r="Z806" s="68"/>
      <c r="AA806" s="68"/>
      <c r="AB806" s="68"/>
      <c r="AC806" s="68"/>
      <c r="AD806" s="68"/>
    </row>
    <row r="807" spans="1:30" ht="17">
      <c r="A807" s="68"/>
      <c r="B807" s="68"/>
      <c r="C807" s="68"/>
      <c r="D807" s="415"/>
      <c r="E807" s="415"/>
      <c r="F807" s="415"/>
      <c r="G807" s="415"/>
      <c r="H807" s="415"/>
      <c r="I807" s="415"/>
      <c r="J807" s="415"/>
      <c r="K807" s="97"/>
      <c r="L807" s="97"/>
      <c r="M807" s="97"/>
      <c r="N807" s="97"/>
      <c r="O807" s="97"/>
      <c r="P807" s="97"/>
      <c r="Q807" s="97"/>
      <c r="R807" s="97"/>
      <c r="S807" s="97"/>
      <c r="T807" s="423">
        <v>804</v>
      </c>
      <c r="U807" s="424">
        <v>59566005063.581879</v>
      </c>
      <c r="V807" s="426"/>
      <c r="W807" s="97"/>
      <c r="X807" s="97"/>
      <c r="Y807" s="97"/>
      <c r="Z807" s="68"/>
      <c r="AA807" s="68"/>
      <c r="AB807" s="68"/>
      <c r="AC807" s="68"/>
      <c r="AD807" s="68"/>
    </row>
    <row r="808" spans="1:30" ht="17">
      <c r="A808" s="68"/>
      <c r="B808" s="68"/>
      <c r="C808" s="68"/>
      <c r="D808" s="415"/>
      <c r="E808" s="415"/>
      <c r="F808" s="415"/>
      <c r="G808" s="415"/>
      <c r="H808" s="415"/>
      <c r="I808" s="415"/>
      <c r="J808" s="415"/>
      <c r="K808" s="97"/>
      <c r="L808" s="97"/>
      <c r="M808" s="97"/>
      <c r="N808" s="97"/>
      <c r="O808" s="97"/>
      <c r="P808" s="97"/>
      <c r="Q808" s="97"/>
      <c r="R808" s="97"/>
      <c r="S808" s="97"/>
      <c r="T808" s="423">
        <v>805</v>
      </c>
      <c r="U808" s="424">
        <v>63174942945.352928</v>
      </c>
      <c r="V808" s="426"/>
      <c r="W808" s="97"/>
      <c r="X808" s="97"/>
      <c r="Y808" s="97"/>
      <c r="Z808" s="68"/>
      <c r="AA808" s="68"/>
      <c r="AB808" s="68"/>
      <c r="AC808" s="68"/>
      <c r="AD808" s="68"/>
    </row>
    <row r="809" spans="1:30" ht="17">
      <c r="A809" s="68"/>
      <c r="B809" s="68"/>
      <c r="C809" s="68"/>
      <c r="D809" s="415"/>
      <c r="E809" s="415"/>
      <c r="F809" s="415"/>
      <c r="G809" s="415"/>
      <c r="H809" s="415"/>
      <c r="I809" s="415"/>
      <c r="J809" s="415"/>
      <c r="K809" s="97"/>
      <c r="L809" s="97"/>
      <c r="M809" s="97"/>
      <c r="N809" s="97"/>
      <c r="O809" s="97"/>
      <c r="P809" s="97"/>
      <c r="Q809" s="97"/>
      <c r="R809" s="97"/>
      <c r="S809" s="97"/>
      <c r="T809" s="423">
        <v>806</v>
      </c>
      <c r="U809" s="424">
        <v>57018385505.715637</v>
      </c>
      <c r="V809" s="426"/>
      <c r="W809" s="97"/>
      <c r="X809" s="97"/>
      <c r="Y809" s="97"/>
      <c r="Z809" s="68"/>
      <c r="AA809" s="68"/>
      <c r="AB809" s="68"/>
      <c r="AC809" s="68"/>
      <c r="AD809" s="68"/>
    </row>
    <row r="810" spans="1:30" ht="17">
      <c r="A810" s="68"/>
      <c r="B810" s="68"/>
      <c r="C810" s="68"/>
      <c r="D810" s="415"/>
      <c r="E810" s="415"/>
      <c r="F810" s="415"/>
      <c r="G810" s="415"/>
      <c r="H810" s="415"/>
      <c r="I810" s="415"/>
      <c r="J810" s="415"/>
      <c r="K810" s="97"/>
      <c r="L810" s="97"/>
      <c r="M810" s="97"/>
      <c r="N810" s="97"/>
      <c r="O810" s="97"/>
      <c r="P810" s="97"/>
      <c r="Q810" s="97"/>
      <c r="R810" s="97"/>
      <c r="S810" s="97"/>
      <c r="T810" s="423">
        <v>807</v>
      </c>
      <c r="U810" s="424">
        <v>57297183452.946365</v>
      </c>
      <c r="V810" s="426"/>
      <c r="W810" s="97"/>
      <c r="X810" s="97"/>
      <c r="Y810" s="97"/>
      <c r="Z810" s="68"/>
      <c r="AA810" s="68"/>
      <c r="AB810" s="68"/>
      <c r="AC810" s="68"/>
      <c r="AD810" s="68"/>
    </row>
    <row r="811" spans="1:30" ht="17">
      <c r="A811" s="68"/>
      <c r="B811" s="68"/>
      <c r="C811" s="68"/>
      <c r="D811" s="415"/>
      <c r="E811" s="415"/>
      <c r="F811" s="415"/>
      <c r="G811" s="415"/>
      <c r="H811" s="415"/>
      <c r="I811" s="415"/>
      <c r="J811" s="415"/>
      <c r="K811" s="97"/>
      <c r="L811" s="97"/>
      <c r="M811" s="97"/>
      <c r="N811" s="97"/>
      <c r="O811" s="97"/>
      <c r="P811" s="97"/>
      <c r="Q811" s="97"/>
      <c r="R811" s="97"/>
      <c r="S811" s="97"/>
      <c r="T811" s="423">
        <v>808</v>
      </c>
      <c r="U811" s="424">
        <v>57177676455.374222</v>
      </c>
      <c r="V811" s="426"/>
      <c r="W811" s="97"/>
      <c r="X811" s="97"/>
      <c r="Y811" s="97"/>
      <c r="Z811" s="68"/>
      <c r="AA811" s="68"/>
      <c r="AB811" s="68"/>
      <c r="AC811" s="68"/>
      <c r="AD811" s="68"/>
    </row>
    <row r="812" spans="1:30" ht="17">
      <c r="A812" s="68"/>
      <c r="B812" s="68"/>
      <c r="C812" s="68"/>
      <c r="D812" s="415"/>
      <c r="E812" s="415"/>
      <c r="F812" s="415"/>
      <c r="G812" s="415"/>
      <c r="H812" s="415"/>
      <c r="I812" s="415"/>
      <c r="J812" s="415"/>
      <c r="K812" s="97"/>
      <c r="L812" s="97"/>
      <c r="M812" s="97"/>
      <c r="N812" s="97"/>
      <c r="O812" s="97"/>
      <c r="P812" s="97"/>
      <c r="Q812" s="97"/>
      <c r="R812" s="97"/>
      <c r="S812" s="97"/>
      <c r="T812" s="423">
        <v>809</v>
      </c>
      <c r="U812" s="424">
        <v>55854807902.985458</v>
      </c>
      <c r="V812" s="426"/>
      <c r="W812" s="97"/>
      <c r="X812" s="97"/>
      <c r="Y812" s="97"/>
      <c r="Z812" s="68"/>
      <c r="AA812" s="68"/>
      <c r="AB812" s="68"/>
      <c r="AC812" s="68"/>
      <c r="AD812" s="68"/>
    </row>
    <row r="813" spans="1:30" ht="17">
      <c r="A813" s="68"/>
      <c r="B813" s="68"/>
      <c r="C813" s="68"/>
      <c r="D813" s="415"/>
      <c r="E813" s="415"/>
      <c r="F813" s="415"/>
      <c r="G813" s="415"/>
      <c r="H813" s="415"/>
      <c r="I813" s="415"/>
      <c r="J813" s="415"/>
      <c r="K813" s="97"/>
      <c r="L813" s="97"/>
      <c r="M813" s="97"/>
      <c r="N813" s="97"/>
      <c r="O813" s="97"/>
      <c r="P813" s="97"/>
      <c r="Q813" s="97"/>
      <c r="R813" s="97"/>
      <c r="S813" s="97"/>
      <c r="T813" s="423">
        <v>810</v>
      </c>
      <c r="U813" s="424">
        <v>60193285809.4133</v>
      </c>
      <c r="V813" s="426"/>
      <c r="W813" s="97"/>
      <c r="X813" s="97"/>
      <c r="Y813" s="97"/>
      <c r="Z813" s="68"/>
      <c r="AA813" s="68"/>
      <c r="AB813" s="68"/>
      <c r="AC813" s="68"/>
      <c r="AD813" s="68"/>
    </row>
    <row r="814" spans="1:30" ht="17">
      <c r="A814" s="68"/>
      <c r="B814" s="68"/>
      <c r="C814" s="68"/>
      <c r="D814" s="415"/>
      <c r="E814" s="415"/>
      <c r="F814" s="415"/>
      <c r="G814" s="415"/>
      <c r="H814" s="415"/>
      <c r="I814" s="415"/>
      <c r="J814" s="415"/>
      <c r="K814" s="97"/>
      <c r="L814" s="97"/>
      <c r="M814" s="97"/>
      <c r="N814" s="97"/>
      <c r="O814" s="97"/>
      <c r="P814" s="97"/>
      <c r="Q814" s="97"/>
      <c r="R814" s="97"/>
      <c r="S814" s="97"/>
      <c r="T814" s="423">
        <v>811</v>
      </c>
      <c r="U814" s="424">
        <v>59514615651.74353</v>
      </c>
      <c r="V814" s="426"/>
      <c r="W814" s="97"/>
      <c r="X814" s="97"/>
      <c r="Y814" s="97"/>
      <c r="Z814" s="68"/>
      <c r="AA814" s="68"/>
      <c r="AB814" s="68"/>
      <c r="AC814" s="68"/>
      <c r="AD814" s="68"/>
    </row>
    <row r="815" spans="1:30" ht="17">
      <c r="A815" s="68"/>
      <c r="B815" s="68"/>
      <c r="C815" s="68"/>
      <c r="D815" s="415"/>
      <c r="E815" s="415"/>
      <c r="F815" s="415"/>
      <c r="G815" s="415"/>
      <c r="H815" s="415"/>
      <c r="I815" s="415"/>
      <c r="J815" s="415"/>
      <c r="K815" s="97"/>
      <c r="L815" s="97"/>
      <c r="M815" s="97"/>
      <c r="N815" s="97"/>
      <c r="O815" s="97"/>
      <c r="P815" s="97"/>
      <c r="Q815" s="97"/>
      <c r="R815" s="97"/>
      <c r="S815" s="97"/>
      <c r="T815" s="423">
        <v>812</v>
      </c>
      <c r="U815" s="424">
        <v>57292747757.855774</v>
      </c>
      <c r="V815" s="426"/>
      <c r="W815" s="97"/>
      <c r="X815" s="97"/>
      <c r="Y815" s="97"/>
      <c r="Z815" s="68"/>
      <c r="AA815" s="68"/>
      <c r="AB815" s="68"/>
      <c r="AC815" s="68"/>
      <c r="AD815" s="68"/>
    </row>
    <row r="816" spans="1:30" ht="17">
      <c r="A816" s="68"/>
      <c r="B816" s="68"/>
      <c r="C816" s="68"/>
      <c r="D816" s="415"/>
      <c r="E816" s="415"/>
      <c r="F816" s="415"/>
      <c r="G816" s="415"/>
      <c r="H816" s="415"/>
      <c r="I816" s="415"/>
      <c r="J816" s="415"/>
      <c r="K816" s="97"/>
      <c r="L816" s="97"/>
      <c r="M816" s="97"/>
      <c r="N816" s="97"/>
      <c r="O816" s="97"/>
      <c r="P816" s="97"/>
      <c r="Q816" s="97"/>
      <c r="R816" s="97"/>
      <c r="S816" s="97"/>
      <c r="T816" s="423">
        <v>813</v>
      </c>
      <c r="U816" s="424">
        <v>60702496631.357864</v>
      </c>
      <c r="V816" s="426"/>
      <c r="W816" s="97"/>
      <c r="X816" s="97"/>
      <c r="Y816" s="97"/>
      <c r="Z816" s="68"/>
      <c r="AA816" s="68"/>
      <c r="AB816" s="68"/>
      <c r="AC816" s="68"/>
      <c r="AD816" s="68"/>
    </row>
    <row r="817" spans="1:30" ht="17">
      <c r="A817" s="68"/>
      <c r="B817" s="68"/>
      <c r="C817" s="68"/>
      <c r="D817" s="415"/>
      <c r="E817" s="415"/>
      <c r="F817" s="415"/>
      <c r="G817" s="415"/>
      <c r="H817" s="415"/>
      <c r="I817" s="415"/>
      <c r="J817" s="415"/>
      <c r="K817" s="97"/>
      <c r="L817" s="97"/>
      <c r="M817" s="97"/>
      <c r="N817" s="97"/>
      <c r="O817" s="97"/>
      <c r="P817" s="97"/>
      <c r="Q817" s="97"/>
      <c r="R817" s="97"/>
      <c r="S817" s="97"/>
      <c r="T817" s="423">
        <v>814</v>
      </c>
      <c r="U817" s="424">
        <v>59299901795.854858</v>
      </c>
      <c r="V817" s="426"/>
      <c r="W817" s="97"/>
      <c r="X817" s="97"/>
      <c r="Y817" s="97"/>
      <c r="Z817" s="68"/>
      <c r="AA817" s="68"/>
      <c r="AB817" s="68"/>
      <c r="AC817" s="68"/>
      <c r="AD817" s="68"/>
    </row>
    <row r="818" spans="1:30" ht="17">
      <c r="A818" s="68"/>
      <c r="B818" s="68"/>
      <c r="C818" s="68"/>
      <c r="D818" s="415"/>
      <c r="E818" s="415"/>
      <c r="F818" s="415"/>
      <c r="G818" s="415"/>
      <c r="H818" s="415"/>
      <c r="I818" s="415"/>
      <c r="J818" s="415"/>
      <c r="K818" s="97"/>
      <c r="L818" s="97"/>
      <c r="M818" s="97"/>
      <c r="N818" s="97"/>
      <c r="O818" s="97"/>
      <c r="P818" s="97"/>
      <c r="Q818" s="97"/>
      <c r="R818" s="97"/>
      <c r="S818" s="97"/>
      <c r="T818" s="423">
        <v>815</v>
      </c>
      <c r="U818" s="424">
        <v>59843582918.605087</v>
      </c>
      <c r="V818" s="426"/>
      <c r="W818" s="97"/>
      <c r="X818" s="97"/>
      <c r="Y818" s="97"/>
      <c r="Z818" s="68"/>
      <c r="AA818" s="68"/>
      <c r="AB818" s="68"/>
      <c r="AC818" s="68"/>
      <c r="AD818" s="68"/>
    </row>
    <row r="819" spans="1:30" ht="17">
      <c r="A819" s="68"/>
      <c r="B819" s="68"/>
      <c r="C819" s="68"/>
      <c r="D819" s="415"/>
      <c r="E819" s="415"/>
      <c r="F819" s="415"/>
      <c r="G819" s="415"/>
      <c r="H819" s="415"/>
      <c r="I819" s="415"/>
      <c r="J819" s="415"/>
      <c r="K819" s="97"/>
      <c r="L819" s="97"/>
      <c r="M819" s="97"/>
      <c r="N819" s="97"/>
      <c r="O819" s="97"/>
      <c r="P819" s="97"/>
      <c r="Q819" s="97"/>
      <c r="R819" s="97"/>
      <c r="S819" s="97"/>
      <c r="T819" s="423">
        <v>816</v>
      </c>
      <c r="U819" s="424">
        <v>64438442956.015594</v>
      </c>
      <c r="V819" s="426"/>
      <c r="W819" s="97"/>
      <c r="X819" s="97"/>
      <c r="Y819" s="97"/>
      <c r="Z819" s="68"/>
      <c r="AA819" s="68"/>
      <c r="AB819" s="68"/>
      <c r="AC819" s="68"/>
      <c r="AD819" s="68"/>
    </row>
    <row r="820" spans="1:30" ht="17">
      <c r="A820" s="68"/>
      <c r="B820" s="68"/>
      <c r="C820" s="68"/>
      <c r="D820" s="415"/>
      <c r="E820" s="415"/>
      <c r="F820" s="415"/>
      <c r="G820" s="415"/>
      <c r="H820" s="415"/>
      <c r="I820" s="415"/>
      <c r="J820" s="415"/>
      <c r="K820" s="97"/>
      <c r="L820" s="97"/>
      <c r="M820" s="97"/>
      <c r="N820" s="97"/>
      <c r="O820" s="97"/>
      <c r="P820" s="97"/>
      <c r="Q820" s="97"/>
      <c r="R820" s="97"/>
      <c r="S820" s="97"/>
      <c r="T820" s="423">
        <v>817</v>
      </c>
      <c r="U820" s="424">
        <v>55269032272.024162</v>
      </c>
      <c r="V820" s="426"/>
      <c r="W820" s="97"/>
      <c r="X820" s="97"/>
      <c r="Y820" s="97"/>
      <c r="Z820" s="68"/>
      <c r="AA820" s="68"/>
      <c r="AB820" s="68"/>
      <c r="AC820" s="68"/>
      <c r="AD820" s="68"/>
    </row>
    <row r="821" spans="1:30" ht="17">
      <c r="A821" s="68"/>
      <c r="B821" s="68"/>
      <c r="C821" s="68"/>
      <c r="D821" s="415"/>
      <c r="E821" s="415"/>
      <c r="F821" s="415"/>
      <c r="G821" s="415"/>
      <c r="H821" s="415"/>
      <c r="I821" s="415"/>
      <c r="J821" s="415"/>
      <c r="K821" s="97"/>
      <c r="L821" s="97"/>
      <c r="M821" s="97"/>
      <c r="N821" s="97"/>
      <c r="O821" s="97"/>
      <c r="P821" s="97"/>
      <c r="Q821" s="97"/>
      <c r="R821" s="97"/>
      <c r="S821" s="97"/>
      <c r="T821" s="423">
        <v>818</v>
      </c>
      <c r="U821" s="424">
        <v>59361525609.424149</v>
      </c>
      <c r="V821" s="426"/>
      <c r="W821" s="97"/>
      <c r="X821" s="97"/>
      <c r="Y821" s="97"/>
      <c r="Z821" s="68"/>
      <c r="AA821" s="68"/>
      <c r="AB821" s="68"/>
      <c r="AC821" s="68"/>
      <c r="AD821" s="68"/>
    </row>
    <row r="822" spans="1:30" ht="17">
      <c r="A822" s="68"/>
      <c r="B822" s="68"/>
      <c r="C822" s="68"/>
      <c r="D822" s="415"/>
      <c r="E822" s="415"/>
      <c r="F822" s="415"/>
      <c r="G822" s="415"/>
      <c r="H822" s="415"/>
      <c r="I822" s="415"/>
      <c r="J822" s="415"/>
      <c r="K822" s="97"/>
      <c r="L822" s="97"/>
      <c r="M822" s="97"/>
      <c r="N822" s="97"/>
      <c r="O822" s="97"/>
      <c r="P822" s="97"/>
      <c r="Q822" s="97"/>
      <c r="R822" s="97"/>
      <c r="S822" s="97"/>
      <c r="T822" s="423">
        <v>819</v>
      </c>
      <c r="U822" s="424">
        <v>58250229512.471375</v>
      </c>
      <c r="V822" s="426"/>
      <c r="W822" s="97"/>
      <c r="X822" s="97"/>
      <c r="Y822" s="97"/>
      <c r="Z822" s="68"/>
      <c r="AA822" s="68"/>
      <c r="AB822" s="68"/>
      <c r="AC822" s="68"/>
      <c r="AD822" s="68"/>
    </row>
    <row r="823" spans="1:30" ht="17">
      <c r="A823" s="68"/>
      <c r="B823" s="68"/>
      <c r="C823" s="68"/>
      <c r="D823" s="415"/>
      <c r="E823" s="415"/>
      <c r="F823" s="415"/>
      <c r="G823" s="415"/>
      <c r="H823" s="415"/>
      <c r="I823" s="415"/>
      <c r="J823" s="415"/>
      <c r="K823" s="97"/>
      <c r="L823" s="97"/>
      <c r="M823" s="97"/>
      <c r="N823" s="97"/>
      <c r="O823" s="97"/>
      <c r="P823" s="97"/>
      <c r="Q823" s="97"/>
      <c r="R823" s="97"/>
      <c r="S823" s="97"/>
      <c r="T823" s="423">
        <v>820</v>
      </c>
      <c r="U823" s="424">
        <v>62483830605.696381</v>
      </c>
      <c r="V823" s="426"/>
      <c r="W823" s="97"/>
      <c r="X823" s="97"/>
      <c r="Y823" s="97"/>
      <c r="Z823" s="68"/>
      <c r="AA823" s="68"/>
      <c r="AB823" s="68"/>
      <c r="AC823" s="68"/>
      <c r="AD823" s="68"/>
    </row>
    <row r="824" spans="1:30" ht="17">
      <c r="A824" s="68"/>
      <c r="B824" s="68"/>
      <c r="C824" s="68"/>
      <c r="D824" s="415"/>
      <c r="E824" s="415"/>
      <c r="F824" s="415"/>
      <c r="G824" s="415"/>
      <c r="H824" s="415"/>
      <c r="I824" s="415"/>
      <c r="J824" s="415"/>
      <c r="K824" s="97"/>
      <c r="L824" s="97"/>
      <c r="M824" s="97"/>
      <c r="N824" s="97"/>
      <c r="O824" s="97"/>
      <c r="P824" s="97"/>
      <c r="Q824" s="97"/>
      <c r="R824" s="97"/>
      <c r="S824" s="97"/>
      <c r="T824" s="423">
        <v>821</v>
      </c>
      <c r="U824" s="424">
        <v>56551113522.127914</v>
      </c>
      <c r="V824" s="426"/>
      <c r="W824" s="97"/>
      <c r="X824" s="97"/>
      <c r="Y824" s="97"/>
      <c r="Z824" s="68"/>
      <c r="AA824" s="68"/>
      <c r="AB824" s="68"/>
      <c r="AC824" s="68"/>
      <c r="AD824" s="68"/>
    </row>
    <row r="825" spans="1:30" ht="17">
      <c r="A825" s="68"/>
      <c r="B825" s="68"/>
      <c r="C825" s="68"/>
      <c r="D825" s="415"/>
      <c r="E825" s="415"/>
      <c r="F825" s="415"/>
      <c r="G825" s="415"/>
      <c r="H825" s="415"/>
      <c r="I825" s="415"/>
      <c r="J825" s="415"/>
      <c r="K825" s="97"/>
      <c r="L825" s="97"/>
      <c r="M825" s="97"/>
      <c r="N825" s="97"/>
      <c r="O825" s="97"/>
      <c r="P825" s="97"/>
      <c r="Q825" s="97"/>
      <c r="R825" s="97"/>
      <c r="S825" s="97"/>
      <c r="T825" s="423">
        <v>822</v>
      </c>
      <c r="U825" s="424">
        <v>58629825932.840111</v>
      </c>
      <c r="V825" s="426"/>
      <c r="W825" s="97"/>
      <c r="X825" s="97"/>
      <c r="Y825" s="97"/>
      <c r="Z825" s="68"/>
      <c r="AA825" s="68"/>
      <c r="AB825" s="68"/>
      <c r="AC825" s="68"/>
      <c r="AD825" s="68"/>
    </row>
    <row r="826" spans="1:30" ht="17">
      <c r="A826" s="68"/>
      <c r="B826" s="68"/>
      <c r="C826" s="68"/>
      <c r="D826" s="415"/>
      <c r="E826" s="415"/>
      <c r="F826" s="415"/>
      <c r="G826" s="415"/>
      <c r="H826" s="415"/>
      <c r="I826" s="415"/>
      <c r="J826" s="415"/>
      <c r="K826" s="97"/>
      <c r="L826" s="97"/>
      <c r="M826" s="97"/>
      <c r="N826" s="97"/>
      <c r="O826" s="97"/>
      <c r="P826" s="97"/>
      <c r="Q826" s="97"/>
      <c r="R826" s="97"/>
      <c r="S826" s="97"/>
      <c r="T826" s="423">
        <v>823</v>
      </c>
      <c r="U826" s="424">
        <v>57828977896.988045</v>
      </c>
      <c r="V826" s="426"/>
      <c r="W826" s="97"/>
      <c r="X826" s="97"/>
      <c r="Y826" s="97"/>
      <c r="Z826" s="68"/>
      <c r="AA826" s="68"/>
      <c r="AB826" s="68"/>
      <c r="AC826" s="68"/>
      <c r="AD826" s="68"/>
    </row>
    <row r="827" spans="1:30" ht="17">
      <c r="A827" s="68"/>
      <c r="B827" s="68"/>
      <c r="C827" s="68"/>
      <c r="D827" s="415"/>
      <c r="E827" s="415"/>
      <c r="F827" s="415"/>
      <c r="G827" s="415"/>
      <c r="H827" s="415"/>
      <c r="I827" s="415"/>
      <c r="J827" s="415"/>
      <c r="K827" s="97"/>
      <c r="L827" s="97"/>
      <c r="M827" s="97"/>
      <c r="N827" s="97"/>
      <c r="O827" s="97"/>
      <c r="P827" s="97"/>
      <c r="Q827" s="97"/>
      <c r="R827" s="97"/>
      <c r="S827" s="97"/>
      <c r="T827" s="423">
        <v>824</v>
      </c>
      <c r="U827" s="424">
        <v>58029556624.791061</v>
      </c>
      <c r="V827" s="426"/>
      <c r="W827" s="97"/>
      <c r="X827" s="97"/>
      <c r="Y827" s="97"/>
      <c r="Z827" s="68"/>
      <c r="AA827" s="68"/>
      <c r="AB827" s="68"/>
      <c r="AC827" s="68"/>
      <c r="AD827" s="68"/>
    </row>
    <row r="828" spans="1:30" ht="17">
      <c r="A828" s="68"/>
      <c r="B828" s="68"/>
      <c r="C828" s="68"/>
      <c r="D828" s="415"/>
      <c r="E828" s="415"/>
      <c r="F828" s="415"/>
      <c r="G828" s="415"/>
      <c r="H828" s="415"/>
      <c r="I828" s="415"/>
      <c r="J828" s="415"/>
      <c r="K828" s="97"/>
      <c r="L828" s="97"/>
      <c r="M828" s="97"/>
      <c r="N828" s="97"/>
      <c r="O828" s="97"/>
      <c r="P828" s="97"/>
      <c r="Q828" s="97"/>
      <c r="R828" s="97"/>
      <c r="S828" s="97"/>
      <c r="T828" s="423">
        <v>825</v>
      </c>
      <c r="U828" s="424">
        <v>61212659844.961792</v>
      </c>
      <c r="V828" s="426"/>
      <c r="W828" s="97"/>
      <c r="X828" s="97"/>
      <c r="Y828" s="97"/>
      <c r="Z828" s="68"/>
      <c r="AA828" s="68"/>
      <c r="AB828" s="68"/>
      <c r="AC828" s="68"/>
      <c r="AD828" s="68"/>
    </row>
    <row r="829" spans="1:30" ht="17">
      <c r="A829" s="68"/>
      <c r="B829" s="68"/>
      <c r="C829" s="68"/>
      <c r="D829" s="415"/>
      <c r="E829" s="415"/>
      <c r="F829" s="415"/>
      <c r="G829" s="415"/>
      <c r="H829" s="415"/>
      <c r="I829" s="415"/>
      <c r="J829" s="415"/>
      <c r="K829" s="97"/>
      <c r="L829" s="97"/>
      <c r="M829" s="97"/>
      <c r="N829" s="97"/>
      <c r="O829" s="97"/>
      <c r="P829" s="97"/>
      <c r="Q829" s="97"/>
      <c r="R829" s="97"/>
      <c r="S829" s="97"/>
      <c r="T829" s="423">
        <v>826</v>
      </c>
      <c r="U829" s="424">
        <v>58644494212.862885</v>
      </c>
      <c r="V829" s="426"/>
      <c r="W829" s="97"/>
      <c r="X829" s="97"/>
      <c r="Y829" s="97"/>
      <c r="Z829" s="68"/>
      <c r="AA829" s="68"/>
      <c r="AB829" s="68"/>
      <c r="AC829" s="68"/>
      <c r="AD829" s="68"/>
    </row>
    <row r="830" spans="1:30" ht="17">
      <c r="A830" s="68"/>
      <c r="B830" s="68"/>
      <c r="C830" s="68"/>
      <c r="D830" s="415"/>
      <c r="E830" s="415"/>
      <c r="F830" s="415"/>
      <c r="G830" s="415"/>
      <c r="H830" s="415"/>
      <c r="I830" s="415"/>
      <c r="J830" s="415"/>
      <c r="K830" s="97"/>
      <c r="L830" s="97"/>
      <c r="M830" s="97"/>
      <c r="N830" s="97"/>
      <c r="O830" s="97"/>
      <c r="P830" s="97"/>
      <c r="Q830" s="97"/>
      <c r="R830" s="97"/>
      <c r="S830" s="97"/>
      <c r="T830" s="423">
        <v>827</v>
      </c>
      <c r="U830" s="424">
        <v>56971283072.290604</v>
      </c>
      <c r="V830" s="426"/>
      <c r="W830" s="97"/>
      <c r="X830" s="97"/>
      <c r="Y830" s="97"/>
      <c r="Z830" s="68"/>
      <c r="AA830" s="68"/>
      <c r="AB830" s="68"/>
      <c r="AC830" s="68"/>
      <c r="AD830" s="68"/>
    </row>
    <row r="831" spans="1:30" ht="17">
      <c r="A831" s="68"/>
      <c r="B831" s="68"/>
      <c r="C831" s="68"/>
      <c r="D831" s="415"/>
      <c r="E831" s="415"/>
      <c r="F831" s="415"/>
      <c r="G831" s="415"/>
      <c r="H831" s="415"/>
      <c r="I831" s="415"/>
      <c r="J831" s="415"/>
      <c r="K831" s="97"/>
      <c r="L831" s="97"/>
      <c r="M831" s="97"/>
      <c r="N831" s="97"/>
      <c r="O831" s="97"/>
      <c r="P831" s="97"/>
      <c r="Q831" s="97"/>
      <c r="R831" s="97"/>
      <c r="S831" s="97"/>
      <c r="T831" s="423">
        <v>828</v>
      </c>
      <c r="U831" s="424">
        <v>57116362675.254059</v>
      </c>
      <c r="V831" s="426"/>
      <c r="W831" s="97"/>
      <c r="X831" s="97"/>
      <c r="Y831" s="97"/>
      <c r="Z831" s="68"/>
      <c r="AA831" s="68"/>
      <c r="AB831" s="68"/>
      <c r="AC831" s="68"/>
      <c r="AD831" s="68"/>
    </row>
    <row r="832" spans="1:30" ht="17">
      <c r="A832" s="68"/>
      <c r="B832" s="68"/>
      <c r="C832" s="68"/>
      <c r="D832" s="415"/>
      <c r="E832" s="415"/>
      <c r="F832" s="415"/>
      <c r="G832" s="415"/>
      <c r="H832" s="415"/>
      <c r="I832" s="415"/>
      <c r="J832" s="415"/>
      <c r="K832" s="97"/>
      <c r="L832" s="97"/>
      <c r="M832" s="97"/>
      <c r="N832" s="97"/>
      <c r="O832" s="97"/>
      <c r="P832" s="97"/>
      <c r="Q832" s="97"/>
      <c r="R832" s="97"/>
      <c r="S832" s="97"/>
      <c r="T832" s="423">
        <v>829</v>
      </c>
      <c r="U832" s="424">
        <v>57602965209.518913</v>
      </c>
      <c r="V832" s="426"/>
      <c r="W832" s="97"/>
      <c r="X832" s="97"/>
      <c r="Y832" s="97"/>
      <c r="Z832" s="68"/>
      <c r="AA832" s="68"/>
      <c r="AB832" s="68"/>
      <c r="AC832" s="68"/>
      <c r="AD832" s="68"/>
    </row>
    <row r="833" spans="1:30" ht="17">
      <c r="A833" s="68"/>
      <c r="B833" s="68"/>
      <c r="C833" s="68"/>
      <c r="D833" s="415"/>
      <c r="E833" s="415"/>
      <c r="F833" s="415"/>
      <c r="G833" s="415"/>
      <c r="H833" s="415"/>
      <c r="I833" s="415"/>
      <c r="J833" s="415"/>
      <c r="K833" s="97"/>
      <c r="L833" s="97"/>
      <c r="M833" s="97"/>
      <c r="N833" s="97"/>
      <c r="O833" s="97"/>
      <c r="P833" s="97"/>
      <c r="Q833" s="97"/>
      <c r="R833" s="97"/>
      <c r="S833" s="97"/>
      <c r="T833" s="423">
        <v>830</v>
      </c>
      <c r="U833" s="424">
        <v>58404521518.297256</v>
      </c>
      <c r="V833" s="426"/>
      <c r="W833" s="97"/>
      <c r="X833" s="97"/>
      <c r="Y833" s="97"/>
      <c r="Z833" s="68"/>
      <c r="AA833" s="68"/>
      <c r="AB833" s="68"/>
      <c r="AC833" s="68"/>
      <c r="AD833" s="68"/>
    </row>
    <row r="834" spans="1:30" ht="17">
      <c r="A834" s="68"/>
      <c r="B834" s="68"/>
      <c r="C834" s="68"/>
      <c r="D834" s="415"/>
      <c r="E834" s="415"/>
      <c r="F834" s="415"/>
      <c r="G834" s="415"/>
      <c r="H834" s="415"/>
      <c r="I834" s="415"/>
      <c r="J834" s="415"/>
      <c r="K834" s="97"/>
      <c r="L834" s="97"/>
      <c r="M834" s="97"/>
      <c r="N834" s="97"/>
      <c r="O834" s="97"/>
      <c r="P834" s="97"/>
      <c r="Q834" s="97"/>
      <c r="R834" s="97"/>
      <c r="S834" s="97"/>
      <c r="T834" s="423">
        <v>831</v>
      </c>
      <c r="U834" s="424">
        <v>58247938574.937256</v>
      </c>
      <c r="V834" s="426"/>
      <c r="W834" s="97"/>
      <c r="X834" s="97"/>
      <c r="Y834" s="97"/>
      <c r="Z834" s="68"/>
      <c r="AA834" s="68"/>
      <c r="AB834" s="68"/>
      <c r="AC834" s="68"/>
      <c r="AD834" s="68"/>
    </row>
    <row r="835" spans="1:30" ht="17">
      <c r="A835" s="68"/>
      <c r="B835" s="68"/>
      <c r="C835" s="68"/>
      <c r="D835" s="415"/>
      <c r="E835" s="415"/>
      <c r="F835" s="415"/>
      <c r="G835" s="415"/>
      <c r="H835" s="415"/>
      <c r="I835" s="415"/>
      <c r="J835" s="415"/>
      <c r="K835" s="97"/>
      <c r="L835" s="97"/>
      <c r="M835" s="97"/>
      <c r="N835" s="97"/>
      <c r="O835" s="97"/>
      <c r="P835" s="97"/>
      <c r="Q835" s="97"/>
      <c r="R835" s="97"/>
      <c r="S835" s="97"/>
      <c r="T835" s="423">
        <v>832</v>
      </c>
      <c r="U835" s="424">
        <v>59567609035.903473</v>
      </c>
      <c r="V835" s="426"/>
      <c r="W835" s="97"/>
      <c r="X835" s="97"/>
      <c r="Y835" s="97"/>
      <c r="Z835" s="68"/>
      <c r="AA835" s="68"/>
      <c r="AB835" s="68"/>
      <c r="AC835" s="68"/>
      <c r="AD835" s="68"/>
    </row>
    <row r="836" spans="1:30" ht="17">
      <c r="A836" s="68"/>
      <c r="B836" s="68"/>
      <c r="C836" s="68"/>
      <c r="D836" s="415"/>
      <c r="E836" s="415"/>
      <c r="F836" s="415"/>
      <c r="G836" s="415"/>
      <c r="H836" s="415"/>
      <c r="I836" s="415"/>
      <c r="J836" s="415"/>
      <c r="K836" s="97"/>
      <c r="L836" s="97"/>
      <c r="M836" s="97"/>
      <c r="N836" s="97"/>
      <c r="O836" s="97"/>
      <c r="P836" s="97"/>
      <c r="Q836" s="97"/>
      <c r="R836" s="97"/>
      <c r="S836" s="97"/>
      <c r="T836" s="423">
        <v>833</v>
      </c>
      <c r="U836" s="424">
        <v>58769131866.832535</v>
      </c>
      <c r="V836" s="426"/>
      <c r="W836" s="97"/>
      <c r="X836" s="97"/>
      <c r="Y836" s="97"/>
      <c r="Z836" s="68"/>
      <c r="AA836" s="68"/>
      <c r="AB836" s="68"/>
      <c r="AC836" s="68"/>
      <c r="AD836" s="68"/>
    </row>
    <row r="837" spans="1:30" ht="17">
      <c r="A837" s="68"/>
      <c r="B837" s="68"/>
      <c r="C837" s="68"/>
      <c r="D837" s="415"/>
      <c r="E837" s="415"/>
      <c r="F837" s="415"/>
      <c r="G837" s="415"/>
      <c r="H837" s="415"/>
      <c r="I837" s="415"/>
      <c r="J837" s="415"/>
      <c r="K837" s="97"/>
      <c r="L837" s="97"/>
      <c r="M837" s="97"/>
      <c r="N837" s="97"/>
      <c r="O837" s="97"/>
      <c r="P837" s="97"/>
      <c r="Q837" s="97"/>
      <c r="R837" s="97"/>
      <c r="S837" s="97"/>
      <c r="T837" s="423">
        <v>834</v>
      </c>
      <c r="U837" s="424">
        <v>61174684380.979935</v>
      </c>
      <c r="V837" s="426"/>
      <c r="W837" s="97"/>
      <c r="X837" s="97"/>
      <c r="Y837" s="97"/>
      <c r="Z837" s="68"/>
      <c r="AA837" s="68"/>
      <c r="AB837" s="68"/>
      <c r="AC837" s="68"/>
      <c r="AD837" s="68"/>
    </row>
    <row r="838" spans="1:30" ht="17">
      <c r="A838" s="68"/>
      <c r="B838" s="68"/>
      <c r="C838" s="68"/>
      <c r="D838" s="415"/>
      <c r="E838" s="415"/>
      <c r="F838" s="415"/>
      <c r="G838" s="415"/>
      <c r="H838" s="415"/>
      <c r="I838" s="415"/>
      <c r="J838" s="415"/>
      <c r="K838" s="97"/>
      <c r="L838" s="97"/>
      <c r="M838" s="97"/>
      <c r="N838" s="97"/>
      <c r="O838" s="97"/>
      <c r="P838" s="97"/>
      <c r="Q838" s="97"/>
      <c r="R838" s="97"/>
      <c r="S838" s="97"/>
      <c r="T838" s="423">
        <v>835</v>
      </c>
      <c r="U838" s="424">
        <v>61135016558.602203</v>
      </c>
      <c r="V838" s="426"/>
      <c r="W838" s="97"/>
      <c r="X838" s="97"/>
      <c r="Y838" s="97"/>
      <c r="Z838" s="68"/>
      <c r="AA838" s="68"/>
      <c r="AB838" s="68"/>
      <c r="AC838" s="68"/>
      <c r="AD838" s="68"/>
    </row>
    <row r="839" spans="1:30" ht="17">
      <c r="A839" s="68"/>
      <c r="B839" s="68"/>
      <c r="C839" s="68"/>
      <c r="D839" s="415"/>
      <c r="E839" s="415"/>
      <c r="F839" s="415"/>
      <c r="G839" s="415"/>
      <c r="H839" s="415"/>
      <c r="I839" s="415"/>
      <c r="J839" s="415"/>
      <c r="K839" s="97"/>
      <c r="L839" s="97"/>
      <c r="M839" s="97"/>
      <c r="N839" s="97"/>
      <c r="O839" s="97"/>
      <c r="P839" s="97"/>
      <c r="Q839" s="97"/>
      <c r="R839" s="97"/>
      <c r="S839" s="97"/>
      <c r="T839" s="423">
        <v>836</v>
      </c>
      <c r="U839" s="424">
        <v>57640142141.532364</v>
      </c>
      <c r="V839" s="426"/>
      <c r="W839" s="97"/>
      <c r="X839" s="97"/>
      <c r="Y839" s="97"/>
      <c r="Z839" s="68"/>
      <c r="AA839" s="68"/>
      <c r="AB839" s="68"/>
      <c r="AC839" s="68"/>
      <c r="AD839" s="68"/>
    </row>
    <row r="840" spans="1:30" ht="17">
      <c r="A840" s="68"/>
      <c r="B840" s="68"/>
      <c r="C840" s="68"/>
      <c r="D840" s="415"/>
      <c r="E840" s="415"/>
      <c r="F840" s="415"/>
      <c r="G840" s="415"/>
      <c r="H840" s="415"/>
      <c r="I840" s="415"/>
      <c r="J840" s="415"/>
      <c r="K840" s="97"/>
      <c r="L840" s="97"/>
      <c r="M840" s="97"/>
      <c r="N840" s="97"/>
      <c r="O840" s="97"/>
      <c r="P840" s="97"/>
      <c r="Q840" s="97"/>
      <c r="R840" s="97"/>
      <c r="S840" s="97"/>
      <c r="T840" s="423">
        <v>837</v>
      </c>
      <c r="U840" s="424">
        <v>62907361637.599434</v>
      </c>
      <c r="V840" s="426"/>
      <c r="W840" s="97"/>
      <c r="X840" s="97"/>
      <c r="Y840" s="97"/>
      <c r="Z840" s="68"/>
      <c r="AA840" s="68"/>
      <c r="AB840" s="68"/>
      <c r="AC840" s="68"/>
      <c r="AD840" s="68"/>
    </row>
    <row r="841" spans="1:30" ht="17">
      <c r="A841" s="68"/>
      <c r="B841" s="68"/>
      <c r="C841" s="68"/>
      <c r="D841" s="415"/>
      <c r="E841" s="415"/>
      <c r="F841" s="415"/>
      <c r="G841" s="415"/>
      <c r="H841" s="415"/>
      <c r="I841" s="415"/>
      <c r="J841" s="415"/>
      <c r="K841" s="97"/>
      <c r="L841" s="97"/>
      <c r="M841" s="97"/>
      <c r="N841" s="97"/>
      <c r="O841" s="97"/>
      <c r="P841" s="97"/>
      <c r="Q841" s="97"/>
      <c r="R841" s="97"/>
      <c r="S841" s="97"/>
      <c r="T841" s="423">
        <v>838</v>
      </c>
      <c r="U841" s="424">
        <v>61996914061.488495</v>
      </c>
      <c r="V841" s="426"/>
      <c r="W841" s="97"/>
      <c r="X841" s="97"/>
      <c r="Y841" s="97"/>
      <c r="Z841" s="68"/>
      <c r="AA841" s="68"/>
      <c r="AB841" s="68"/>
      <c r="AC841" s="68"/>
      <c r="AD841" s="68"/>
    </row>
    <row r="842" spans="1:30" ht="17">
      <c r="A842" s="68"/>
      <c r="B842" s="68"/>
      <c r="C842" s="68"/>
      <c r="D842" s="415"/>
      <c r="E842" s="415"/>
      <c r="F842" s="415"/>
      <c r="G842" s="415"/>
      <c r="H842" s="415"/>
      <c r="I842" s="415"/>
      <c r="J842" s="415"/>
      <c r="K842" s="97"/>
      <c r="L842" s="97"/>
      <c r="M842" s="97"/>
      <c r="N842" s="97"/>
      <c r="O842" s="97"/>
      <c r="P842" s="97"/>
      <c r="Q842" s="97"/>
      <c r="R842" s="97"/>
      <c r="S842" s="97"/>
      <c r="T842" s="423">
        <v>839</v>
      </c>
      <c r="U842" s="424">
        <v>56808841018.850388</v>
      </c>
      <c r="V842" s="426"/>
      <c r="W842" s="97"/>
      <c r="X842" s="97"/>
      <c r="Y842" s="97"/>
      <c r="Z842" s="68"/>
      <c r="AA842" s="68"/>
      <c r="AB842" s="68"/>
      <c r="AC842" s="68"/>
      <c r="AD842" s="68"/>
    </row>
    <row r="843" spans="1:30" ht="17">
      <c r="A843" s="68"/>
      <c r="B843" s="68"/>
      <c r="C843" s="68"/>
      <c r="D843" s="415"/>
      <c r="E843" s="415"/>
      <c r="F843" s="415"/>
      <c r="G843" s="415"/>
      <c r="H843" s="415"/>
      <c r="I843" s="415"/>
      <c r="J843" s="415"/>
      <c r="K843" s="97"/>
      <c r="L843" s="97"/>
      <c r="M843" s="97"/>
      <c r="N843" s="97"/>
      <c r="O843" s="97"/>
      <c r="P843" s="97"/>
      <c r="Q843" s="97"/>
      <c r="R843" s="97"/>
      <c r="S843" s="97"/>
      <c r="T843" s="423">
        <v>840</v>
      </c>
      <c r="U843" s="424">
        <v>56314304960.736374</v>
      </c>
      <c r="V843" s="426"/>
      <c r="W843" s="97"/>
      <c r="X843" s="97"/>
      <c r="Y843" s="97"/>
      <c r="Z843" s="68"/>
      <c r="AA843" s="68"/>
      <c r="AB843" s="68"/>
      <c r="AC843" s="68"/>
      <c r="AD843" s="68"/>
    </row>
    <row r="844" spans="1:30" ht="17">
      <c r="A844" s="68"/>
      <c r="B844" s="68"/>
      <c r="C844" s="68"/>
      <c r="D844" s="415"/>
      <c r="E844" s="415"/>
      <c r="F844" s="415"/>
      <c r="G844" s="415"/>
      <c r="H844" s="415"/>
      <c r="I844" s="415"/>
      <c r="J844" s="415"/>
      <c r="K844" s="97"/>
      <c r="L844" s="97"/>
      <c r="M844" s="97"/>
      <c r="N844" s="97"/>
      <c r="O844" s="97"/>
      <c r="P844" s="97"/>
      <c r="Q844" s="97"/>
      <c r="R844" s="97"/>
      <c r="S844" s="97"/>
      <c r="T844" s="423">
        <v>841</v>
      </c>
      <c r="U844" s="424">
        <v>56075359067.411209</v>
      </c>
      <c r="V844" s="426"/>
      <c r="W844" s="97"/>
      <c r="X844" s="97"/>
      <c r="Y844" s="97"/>
      <c r="Z844" s="68"/>
      <c r="AA844" s="68"/>
      <c r="AB844" s="68"/>
      <c r="AC844" s="68"/>
      <c r="AD844" s="68"/>
    </row>
    <row r="845" spans="1:30" ht="17">
      <c r="A845" s="68"/>
      <c r="B845" s="68"/>
      <c r="C845" s="68"/>
      <c r="D845" s="415"/>
      <c r="E845" s="415"/>
      <c r="F845" s="415"/>
      <c r="G845" s="415"/>
      <c r="H845" s="415"/>
      <c r="I845" s="415"/>
      <c r="J845" s="415"/>
      <c r="K845" s="97"/>
      <c r="L845" s="97"/>
      <c r="M845" s="97"/>
      <c r="N845" s="97"/>
      <c r="O845" s="97"/>
      <c r="P845" s="97"/>
      <c r="Q845" s="97"/>
      <c r="R845" s="97"/>
      <c r="S845" s="97"/>
      <c r="T845" s="423">
        <v>842</v>
      </c>
      <c r="U845" s="424">
        <v>59156691562.490891</v>
      </c>
      <c r="V845" s="426"/>
      <c r="W845" s="97"/>
      <c r="X845" s="97"/>
      <c r="Y845" s="97"/>
      <c r="Z845" s="68"/>
      <c r="AA845" s="68"/>
      <c r="AB845" s="68"/>
      <c r="AC845" s="68"/>
      <c r="AD845" s="68"/>
    </row>
    <row r="846" spans="1:30" ht="17">
      <c r="A846" s="68"/>
      <c r="B846" s="68"/>
      <c r="C846" s="68"/>
      <c r="D846" s="415"/>
      <c r="E846" s="415"/>
      <c r="F846" s="415"/>
      <c r="G846" s="415"/>
      <c r="H846" s="415"/>
      <c r="I846" s="415"/>
      <c r="J846" s="415"/>
      <c r="K846" s="97"/>
      <c r="L846" s="97"/>
      <c r="M846" s="97"/>
      <c r="N846" s="97"/>
      <c r="O846" s="97"/>
      <c r="P846" s="97"/>
      <c r="Q846" s="97"/>
      <c r="R846" s="97"/>
      <c r="S846" s="97"/>
      <c r="T846" s="423">
        <v>843</v>
      </c>
      <c r="U846" s="424">
        <v>59667627035.261688</v>
      </c>
      <c r="V846" s="426"/>
      <c r="W846" s="97"/>
      <c r="X846" s="97"/>
      <c r="Y846" s="97"/>
      <c r="Z846" s="68"/>
      <c r="AA846" s="68"/>
      <c r="AB846" s="68"/>
      <c r="AC846" s="68"/>
      <c r="AD846" s="68"/>
    </row>
    <row r="847" spans="1:30" ht="17">
      <c r="A847" s="68"/>
      <c r="B847" s="68"/>
      <c r="C847" s="68"/>
      <c r="D847" s="415"/>
      <c r="E847" s="415"/>
      <c r="F847" s="415"/>
      <c r="G847" s="415"/>
      <c r="H847" s="415"/>
      <c r="I847" s="415"/>
      <c r="J847" s="415"/>
      <c r="K847" s="97"/>
      <c r="L847" s="97"/>
      <c r="M847" s="97"/>
      <c r="N847" s="97"/>
      <c r="O847" s="97"/>
      <c r="P847" s="97"/>
      <c r="Q847" s="97"/>
      <c r="R847" s="97"/>
      <c r="S847" s="97"/>
      <c r="T847" s="423">
        <v>844</v>
      </c>
      <c r="U847" s="424">
        <v>56537854737.71669</v>
      </c>
      <c r="V847" s="426"/>
      <c r="W847" s="97"/>
      <c r="X847" s="97"/>
      <c r="Y847" s="97"/>
      <c r="Z847" s="68"/>
      <c r="AA847" s="68"/>
      <c r="AB847" s="68"/>
      <c r="AC847" s="68"/>
      <c r="AD847" s="68"/>
    </row>
    <row r="848" spans="1:30" ht="17">
      <c r="A848" s="68"/>
      <c r="B848" s="68"/>
      <c r="C848" s="68"/>
      <c r="D848" s="415"/>
      <c r="E848" s="415"/>
      <c r="F848" s="415"/>
      <c r="G848" s="415"/>
      <c r="H848" s="415"/>
      <c r="I848" s="415"/>
      <c r="J848" s="415"/>
      <c r="K848" s="97"/>
      <c r="L848" s="97"/>
      <c r="M848" s="97"/>
      <c r="N848" s="97"/>
      <c r="O848" s="97"/>
      <c r="P848" s="97"/>
      <c r="Q848" s="97"/>
      <c r="R848" s="97"/>
      <c r="S848" s="97"/>
      <c r="T848" s="423">
        <v>845</v>
      </c>
      <c r="U848" s="424">
        <v>54230060840.423996</v>
      </c>
      <c r="V848" s="426"/>
      <c r="W848" s="97"/>
      <c r="X848" s="97"/>
      <c r="Y848" s="97"/>
      <c r="Z848" s="68"/>
      <c r="AA848" s="68"/>
      <c r="AB848" s="68"/>
      <c r="AC848" s="68"/>
      <c r="AD848" s="68"/>
    </row>
    <row r="849" spans="1:30" ht="17">
      <c r="A849" s="68"/>
      <c r="B849" s="68"/>
      <c r="C849" s="68"/>
      <c r="D849" s="415"/>
      <c r="E849" s="415"/>
      <c r="F849" s="415"/>
      <c r="G849" s="415"/>
      <c r="H849" s="415"/>
      <c r="I849" s="415"/>
      <c r="J849" s="415"/>
      <c r="K849" s="97"/>
      <c r="L849" s="97"/>
      <c r="M849" s="97"/>
      <c r="N849" s="97"/>
      <c r="O849" s="97"/>
      <c r="P849" s="97"/>
      <c r="Q849" s="97"/>
      <c r="R849" s="97"/>
      <c r="S849" s="97"/>
      <c r="T849" s="423">
        <v>846</v>
      </c>
      <c r="U849" s="424">
        <v>61464189191.083061</v>
      </c>
      <c r="V849" s="426"/>
      <c r="W849" s="97"/>
      <c r="X849" s="97"/>
      <c r="Y849" s="97"/>
      <c r="Z849" s="68"/>
      <c r="AA849" s="68"/>
      <c r="AB849" s="68"/>
      <c r="AC849" s="68"/>
      <c r="AD849" s="68"/>
    </row>
    <row r="850" spans="1:30" ht="17">
      <c r="A850" s="68"/>
      <c r="B850" s="68"/>
      <c r="C850" s="68"/>
      <c r="D850" s="415"/>
      <c r="E850" s="415"/>
      <c r="F850" s="415"/>
      <c r="G850" s="415"/>
      <c r="H850" s="415"/>
      <c r="I850" s="415"/>
      <c r="J850" s="415"/>
      <c r="K850" s="97"/>
      <c r="L850" s="97"/>
      <c r="M850" s="97"/>
      <c r="N850" s="97"/>
      <c r="O850" s="97"/>
      <c r="P850" s="97"/>
      <c r="Q850" s="97"/>
      <c r="R850" s="97"/>
      <c r="S850" s="97"/>
      <c r="T850" s="423">
        <v>847</v>
      </c>
      <c r="U850" s="424">
        <v>61385237331.637527</v>
      </c>
      <c r="V850" s="426"/>
      <c r="W850" s="97"/>
      <c r="X850" s="97"/>
      <c r="Y850" s="97"/>
      <c r="Z850" s="68"/>
      <c r="AA850" s="68"/>
      <c r="AB850" s="68"/>
      <c r="AC850" s="68"/>
      <c r="AD850" s="68"/>
    </row>
    <row r="851" spans="1:30" ht="17">
      <c r="A851" s="68"/>
      <c r="B851" s="68"/>
      <c r="C851" s="68"/>
      <c r="D851" s="415"/>
      <c r="E851" s="415"/>
      <c r="F851" s="415"/>
      <c r="G851" s="415"/>
      <c r="H851" s="415"/>
      <c r="I851" s="415"/>
      <c r="J851" s="415"/>
      <c r="K851" s="97"/>
      <c r="L851" s="97"/>
      <c r="M851" s="97"/>
      <c r="N851" s="97"/>
      <c r="O851" s="97"/>
      <c r="P851" s="97"/>
      <c r="Q851" s="97"/>
      <c r="R851" s="97"/>
      <c r="S851" s="97"/>
      <c r="T851" s="423">
        <v>848</v>
      </c>
      <c r="U851" s="424">
        <v>57321559332.927528</v>
      </c>
      <c r="V851" s="426"/>
      <c r="W851" s="97"/>
      <c r="X851" s="97"/>
      <c r="Y851" s="97"/>
      <c r="Z851" s="68"/>
      <c r="AA851" s="68"/>
      <c r="AB851" s="68"/>
      <c r="AC851" s="68"/>
      <c r="AD851" s="68"/>
    </row>
    <row r="852" spans="1:30" ht="17">
      <c r="A852" s="68"/>
      <c r="B852" s="68"/>
      <c r="C852" s="68"/>
      <c r="D852" s="415"/>
      <c r="E852" s="415"/>
      <c r="F852" s="415"/>
      <c r="G852" s="415"/>
      <c r="H852" s="415"/>
      <c r="I852" s="415"/>
      <c r="J852" s="415"/>
      <c r="K852" s="97"/>
      <c r="L852" s="97"/>
      <c r="M852" s="97"/>
      <c r="N852" s="97"/>
      <c r="O852" s="97"/>
      <c r="P852" s="97"/>
      <c r="Q852" s="97"/>
      <c r="R852" s="97"/>
      <c r="S852" s="97"/>
      <c r="T852" s="423">
        <v>849</v>
      </c>
      <c r="U852" s="424">
        <v>58985125083.36097</v>
      </c>
      <c r="V852" s="426"/>
      <c r="W852" s="97"/>
      <c r="X852" s="97"/>
      <c r="Y852" s="97"/>
      <c r="Z852" s="68"/>
      <c r="AA852" s="68"/>
      <c r="AB852" s="68"/>
      <c r="AC852" s="68"/>
      <c r="AD852" s="68"/>
    </row>
    <row r="853" spans="1:30" ht="17">
      <c r="A853" s="68"/>
      <c r="B853" s="68"/>
      <c r="C853" s="68"/>
      <c r="D853" s="415"/>
      <c r="E853" s="415"/>
      <c r="F853" s="415"/>
      <c r="G853" s="415"/>
      <c r="H853" s="415"/>
      <c r="I853" s="415"/>
      <c r="J853" s="415"/>
      <c r="K853" s="97"/>
      <c r="L853" s="97"/>
      <c r="M853" s="97"/>
      <c r="N853" s="97"/>
      <c r="O853" s="97"/>
      <c r="P853" s="97"/>
      <c r="Q853" s="97"/>
      <c r="R853" s="97"/>
      <c r="S853" s="97"/>
      <c r="T853" s="423">
        <v>850</v>
      </c>
      <c r="U853" s="424">
        <v>55945656318.65062</v>
      </c>
      <c r="V853" s="426"/>
      <c r="W853" s="97"/>
      <c r="X853" s="97"/>
      <c r="Y853" s="97"/>
      <c r="Z853" s="68"/>
      <c r="AA853" s="68"/>
      <c r="AB853" s="68"/>
      <c r="AC853" s="68"/>
      <c r="AD853" s="68"/>
    </row>
    <row r="854" spans="1:30" ht="17">
      <c r="A854" s="68"/>
      <c r="B854" s="68"/>
      <c r="C854" s="68"/>
      <c r="D854" s="415"/>
      <c r="E854" s="415"/>
      <c r="F854" s="415"/>
      <c r="G854" s="415"/>
      <c r="H854" s="415"/>
      <c r="I854" s="415"/>
      <c r="J854" s="415"/>
      <c r="K854" s="97"/>
      <c r="L854" s="97"/>
      <c r="M854" s="97"/>
      <c r="N854" s="97"/>
      <c r="O854" s="97"/>
      <c r="P854" s="97"/>
      <c r="Q854" s="97"/>
      <c r="R854" s="97"/>
      <c r="S854" s="97"/>
      <c r="T854" s="423">
        <v>851</v>
      </c>
      <c r="U854" s="424">
        <v>56012617958.450035</v>
      </c>
      <c r="V854" s="426"/>
      <c r="W854" s="97"/>
      <c r="X854" s="97"/>
      <c r="Y854" s="97"/>
      <c r="Z854" s="68"/>
      <c r="AA854" s="68"/>
      <c r="AB854" s="68"/>
      <c r="AC854" s="68"/>
      <c r="AD854" s="68"/>
    </row>
    <row r="855" spans="1:30" ht="17">
      <c r="A855" s="68"/>
      <c r="B855" s="68"/>
      <c r="C855" s="68"/>
      <c r="D855" s="415"/>
      <c r="E855" s="415"/>
      <c r="F855" s="415"/>
      <c r="G855" s="415"/>
      <c r="H855" s="415"/>
      <c r="I855" s="415"/>
      <c r="J855" s="415"/>
      <c r="K855" s="97"/>
      <c r="L855" s="97"/>
      <c r="M855" s="97"/>
      <c r="N855" s="97"/>
      <c r="O855" s="97"/>
      <c r="P855" s="97"/>
      <c r="Q855" s="97"/>
      <c r="R855" s="97"/>
      <c r="S855" s="97"/>
      <c r="T855" s="423">
        <v>852</v>
      </c>
      <c r="U855" s="424">
        <v>58932771125.170822</v>
      </c>
      <c r="V855" s="426"/>
      <c r="W855" s="97"/>
      <c r="X855" s="97"/>
      <c r="Y855" s="97"/>
      <c r="Z855" s="68"/>
      <c r="AA855" s="68"/>
      <c r="AB855" s="68"/>
      <c r="AC855" s="68"/>
      <c r="AD855" s="68"/>
    </row>
    <row r="856" spans="1:30" ht="17">
      <c r="A856" s="68"/>
      <c r="B856" s="68"/>
      <c r="C856" s="68"/>
      <c r="D856" s="415"/>
      <c r="E856" s="415"/>
      <c r="F856" s="415"/>
      <c r="G856" s="415"/>
      <c r="H856" s="415"/>
      <c r="I856" s="415"/>
      <c r="J856" s="415"/>
      <c r="K856" s="97"/>
      <c r="L856" s="97"/>
      <c r="M856" s="97"/>
      <c r="N856" s="97"/>
      <c r="O856" s="97"/>
      <c r="P856" s="97"/>
      <c r="Q856" s="97"/>
      <c r="R856" s="97"/>
      <c r="S856" s="97"/>
      <c r="T856" s="423">
        <v>853</v>
      </c>
      <c r="U856" s="424">
        <v>56152979301.294167</v>
      </c>
      <c r="V856" s="426"/>
      <c r="W856" s="97"/>
      <c r="X856" s="97"/>
      <c r="Y856" s="97"/>
      <c r="Z856" s="68"/>
      <c r="AA856" s="68"/>
      <c r="AB856" s="68"/>
      <c r="AC856" s="68"/>
      <c r="AD856" s="68"/>
    </row>
    <row r="857" spans="1:30" ht="17">
      <c r="A857" s="68"/>
      <c r="B857" s="68"/>
      <c r="C857" s="68"/>
      <c r="D857" s="415"/>
      <c r="E857" s="415"/>
      <c r="F857" s="415"/>
      <c r="G857" s="415"/>
      <c r="H857" s="415"/>
      <c r="I857" s="415"/>
      <c r="J857" s="415"/>
      <c r="K857" s="97"/>
      <c r="L857" s="97"/>
      <c r="M857" s="97"/>
      <c r="N857" s="97"/>
      <c r="O857" s="97"/>
      <c r="P857" s="97"/>
      <c r="Q857" s="97"/>
      <c r="R857" s="97"/>
      <c r="S857" s="97"/>
      <c r="T857" s="423">
        <v>854</v>
      </c>
      <c r="U857" s="424">
        <v>55201808775.353287</v>
      </c>
      <c r="V857" s="426"/>
      <c r="W857" s="97"/>
      <c r="X857" s="97"/>
      <c r="Y857" s="97"/>
      <c r="Z857" s="68"/>
      <c r="AA857" s="68"/>
      <c r="AB857" s="68"/>
      <c r="AC857" s="68"/>
      <c r="AD857" s="68"/>
    </row>
    <row r="858" spans="1:30" ht="17">
      <c r="A858" s="68"/>
      <c r="B858" s="68"/>
      <c r="C858" s="68"/>
      <c r="D858" s="415"/>
      <c r="E858" s="415"/>
      <c r="F858" s="415"/>
      <c r="G858" s="415"/>
      <c r="H858" s="415"/>
      <c r="I858" s="415"/>
      <c r="J858" s="415"/>
      <c r="K858" s="97"/>
      <c r="L858" s="97"/>
      <c r="M858" s="97"/>
      <c r="N858" s="97"/>
      <c r="O858" s="97"/>
      <c r="P858" s="97"/>
      <c r="Q858" s="97"/>
      <c r="R858" s="97"/>
      <c r="S858" s="97"/>
      <c r="T858" s="423">
        <v>855</v>
      </c>
      <c r="U858" s="424">
        <v>56162488655.466454</v>
      </c>
      <c r="V858" s="426"/>
      <c r="W858" s="97"/>
      <c r="X858" s="97"/>
      <c r="Y858" s="97"/>
      <c r="Z858" s="68"/>
      <c r="AA858" s="68"/>
      <c r="AB858" s="68"/>
      <c r="AC858" s="68"/>
      <c r="AD858" s="68"/>
    </row>
    <row r="859" spans="1:30" ht="17">
      <c r="A859" s="68"/>
      <c r="B859" s="68"/>
      <c r="C859" s="68"/>
      <c r="D859" s="415"/>
      <c r="E859" s="415"/>
      <c r="F859" s="415"/>
      <c r="G859" s="415"/>
      <c r="H859" s="415"/>
      <c r="I859" s="415"/>
      <c r="J859" s="415"/>
      <c r="K859" s="97"/>
      <c r="L859" s="97"/>
      <c r="M859" s="97"/>
      <c r="N859" s="97"/>
      <c r="O859" s="97"/>
      <c r="P859" s="97"/>
      <c r="Q859" s="97"/>
      <c r="R859" s="97"/>
      <c r="S859" s="97"/>
      <c r="T859" s="423">
        <v>856</v>
      </c>
      <c r="U859" s="424">
        <v>59189847687.662666</v>
      </c>
      <c r="V859" s="426"/>
      <c r="W859" s="97"/>
      <c r="X859" s="97"/>
      <c r="Y859" s="97"/>
      <c r="Z859" s="68"/>
      <c r="AA859" s="68"/>
      <c r="AB859" s="68"/>
      <c r="AC859" s="68"/>
      <c r="AD859" s="68"/>
    </row>
    <row r="860" spans="1:30" ht="17">
      <c r="A860" s="68"/>
      <c r="B860" s="68"/>
      <c r="C860" s="68"/>
      <c r="D860" s="415"/>
      <c r="E860" s="415"/>
      <c r="F860" s="415"/>
      <c r="G860" s="415"/>
      <c r="H860" s="415"/>
      <c r="I860" s="415"/>
      <c r="J860" s="415"/>
      <c r="K860" s="97"/>
      <c r="L860" s="97"/>
      <c r="M860" s="97"/>
      <c r="N860" s="97"/>
      <c r="O860" s="97"/>
      <c r="P860" s="97"/>
      <c r="Q860" s="97"/>
      <c r="R860" s="97"/>
      <c r="S860" s="97"/>
      <c r="T860" s="423">
        <v>857</v>
      </c>
      <c r="U860" s="424">
        <v>61589337652.126137</v>
      </c>
      <c r="V860" s="426"/>
      <c r="W860" s="97"/>
      <c r="X860" s="97"/>
      <c r="Y860" s="97"/>
      <c r="Z860" s="68"/>
      <c r="AA860" s="68"/>
      <c r="AB860" s="68"/>
      <c r="AC860" s="68"/>
      <c r="AD860" s="68"/>
    </row>
    <row r="861" spans="1:30" ht="17">
      <c r="A861" s="68"/>
      <c r="B861" s="68"/>
      <c r="C861" s="68"/>
      <c r="D861" s="415"/>
      <c r="E861" s="415"/>
      <c r="F861" s="415"/>
      <c r="G861" s="415"/>
      <c r="H861" s="415"/>
      <c r="I861" s="415"/>
      <c r="J861" s="415"/>
      <c r="K861" s="97"/>
      <c r="L861" s="97"/>
      <c r="M861" s="97"/>
      <c r="N861" s="97"/>
      <c r="O861" s="97"/>
      <c r="P861" s="97"/>
      <c r="Q861" s="97"/>
      <c r="R861" s="97"/>
      <c r="S861" s="97"/>
      <c r="T861" s="423">
        <v>858</v>
      </c>
      <c r="U861" s="424">
        <v>63473752909.440292</v>
      </c>
      <c r="V861" s="426"/>
      <c r="W861" s="97"/>
      <c r="X861" s="97"/>
      <c r="Y861" s="97"/>
      <c r="Z861" s="68"/>
      <c r="AA861" s="68"/>
      <c r="AB861" s="68"/>
      <c r="AC861" s="68"/>
      <c r="AD861" s="68"/>
    </row>
    <row r="862" spans="1:30" ht="17">
      <c r="A862" s="68"/>
      <c r="B862" s="68"/>
      <c r="C862" s="68"/>
      <c r="D862" s="415"/>
      <c r="E862" s="415"/>
      <c r="F862" s="415"/>
      <c r="G862" s="415"/>
      <c r="H862" s="415"/>
      <c r="I862" s="415"/>
      <c r="J862" s="415"/>
      <c r="K862" s="97"/>
      <c r="L862" s="97"/>
      <c r="M862" s="97"/>
      <c r="N862" s="97"/>
      <c r="O862" s="97"/>
      <c r="P862" s="97"/>
      <c r="Q862" s="97"/>
      <c r="R862" s="97"/>
      <c r="S862" s="97"/>
      <c r="T862" s="423">
        <v>859</v>
      </c>
      <c r="U862" s="424">
        <v>60233971834.271484</v>
      </c>
      <c r="V862" s="426"/>
      <c r="W862" s="97"/>
      <c r="X862" s="97"/>
      <c r="Y862" s="97"/>
      <c r="Z862" s="68"/>
      <c r="AA862" s="68"/>
      <c r="AB862" s="68"/>
      <c r="AC862" s="68"/>
      <c r="AD862" s="68"/>
    </row>
    <row r="863" spans="1:30" ht="17">
      <c r="A863" s="68"/>
      <c r="B863" s="68"/>
      <c r="C863" s="68"/>
      <c r="D863" s="415"/>
      <c r="E863" s="415"/>
      <c r="F863" s="415"/>
      <c r="G863" s="415"/>
      <c r="H863" s="415"/>
      <c r="I863" s="415"/>
      <c r="J863" s="415"/>
      <c r="K863" s="97"/>
      <c r="L863" s="97"/>
      <c r="M863" s="97"/>
      <c r="N863" s="97"/>
      <c r="O863" s="97"/>
      <c r="P863" s="97"/>
      <c r="Q863" s="97"/>
      <c r="R863" s="97"/>
      <c r="S863" s="97"/>
      <c r="T863" s="423">
        <v>860</v>
      </c>
      <c r="U863" s="424">
        <v>57468775292.400612</v>
      </c>
      <c r="V863" s="426"/>
      <c r="W863" s="97"/>
      <c r="X863" s="97"/>
      <c r="Y863" s="97"/>
      <c r="Z863" s="68"/>
      <c r="AA863" s="68"/>
      <c r="AB863" s="68"/>
      <c r="AC863" s="68"/>
      <c r="AD863" s="68"/>
    </row>
    <row r="864" spans="1:30" ht="17">
      <c r="A864" s="68"/>
      <c r="B864" s="68"/>
      <c r="C864" s="68"/>
      <c r="D864" s="415"/>
      <c r="E864" s="415"/>
      <c r="F864" s="415"/>
      <c r="G864" s="415"/>
      <c r="H864" s="415"/>
      <c r="I864" s="415"/>
      <c r="J864" s="415"/>
      <c r="K864" s="97"/>
      <c r="L864" s="97"/>
      <c r="M864" s="97"/>
      <c r="N864" s="97"/>
      <c r="O864" s="97"/>
      <c r="P864" s="97"/>
      <c r="Q864" s="97"/>
      <c r="R864" s="97"/>
      <c r="S864" s="97"/>
      <c r="T864" s="423">
        <v>861</v>
      </c>
      <c r="U864" s="424">
        <v>58403638270.616249</v>
      </c>
      <c r="V864" s="426"/>
      <c r="W864" s="97"/>
      <c r="X864" s="97"/>
      <c r="Y864" s="97"/>
      <c r="Z864" s="68"/>
      <c r="AA864" s="68"/>
      <c r="AB864" s="68"/>
      <c r="AC864" s="68"/>
      <c r="AD864" s="68"/>
    </row>
    <row r="865" spans="1:30" ht="17">
      <c r="A865" s="68"/>
      <c r="B865" s="68"/>
      <c r="C865" s="68"/>
      <c r="D865" s="415"/>
      <c r="E865" s="415"/>
      <c r="F865" s="415"/>
      <c r="G865" s="415"/>
      <c r="H865" s="415"/>
      <c r="I865" s="415"/>
      <c r="J865" s="415"/>
      <c r="K865" s="97"/>
      <c r="L865" s="97"/>
      <c r="M865" s="97"/>
      <c r="N865" s="97"/>
      <c r="O865" s="97"/>
      <c r="P865" s="97"/>
      <c r="Q865" s="97"/>
      <c r="R865" s="97"/>
      <c r="S865" s="97"/>
      <c r="T865" s="423">
        <v>862</v>
      </c>
      <c r="U865" s="424">
        <v>60944219805.96904</v>
      </c>
      <c r="V865" s="426"/>
      <c r="W865" s="97"/>
      <c r="X865" s="97"/>
      <c r="Y865" s="97"/>
      <c r="Z865" s="68"/>
      <c r="AA865" s="68"/>
      <c r="AB865" s="68"/>
      <c r="AC865" s="68"/>
      <c r="AD865" s="68"/>
    </row>
    <row r="866" spans="1:30" ht="17">
      <c r="A866" s="68"/>
      <c r="B866" s="68"/>
      <c r="C866" s="68"/>
      <c r="D866" s="415"/>
      <c r="E866" s="415"/>
      <c r="F866" s="415"/>
      <c r="G866" s="415"/>
      <c r="H866" s="415"/>
      <c r="I866" s="415"/>
      <c r="J866" s="415"/>
      <c r="K866" s="97"/>
      <c r="L866" s="97"/>
      <c r="M866" s="97"/>
      <c r="N866" s="97"/>
      <c r="O866" s="97"/>
      <c r="P866" s="97"/>
      <c r="Q866" s="97"/>
      <c r="R866" s="97"/>
      <c r="S866" s="97"/>
      <c r="T866" s="423">
        <v>863</v>
      </c>
      <c r="U866" s="424">
        <v>57938390930.878372</v>
      </c>
      <c r="V866" s="426"/>
      <c r="W866" s="97"/>
      <c r="X866" s="97"/>
      <c r="Y866" s="97"/>
      <c r="Z866" s="68"/>
      <c r="AA866" s="68"/>
      <c r="AB866" s="68"/>
      <c r="AC866" s="68"/>
      <c r="AD866" s="68"/>
    </row>
    <row r="867" spans="1:30" ht="17">
      <c r="A867" s="68"/>
      <c r="B867" s="68"/>
      <c r="C867" s="68"/>
      <c r="D867" s="415"/>
      <c r="E867" s="415"/>
      <c r="F867" s="415"/>
      <c r="G867" s="415"/>
      <c r="H867" s="415"/>
      <c r="I867" s="415"/>
      <c r="J867" s="415"/>
      <c r="K867" s="97"/>
      <c r="L867" s="97"/>
      <c r="M867" s="97"/>
      <c r="N867" s="97"/>
      <c r="O867" s="97"/>
      <c r="P867" s="97"/>
      <c r="Q867" s="97"/>
      <c r="R867" s="97"/>
      <c r="S867" s="97"/>
      <c r="T867" s="423">
        <v>864</v>
      </c>
      <c r="U867" s="424">
        <v>57420457021.763817</v>
      </c>
      <c r="V867" s="426"/>
      <c r="W867" s="97"/>
      <c r="X867" s="97"/>
      <c r="Y867" s="97"/>
      <c r="Z867" s="68"/>
      <c r="AA867" s="68"/>
      <c r="AB867" s="68"/>
      <c r="AC867" s="68"/>
      <c r="AD867" s="68"/>
    </row>
    <row r="868" spans="1:30" ht="17">
      <c r="A868" s="68"/>
      <c r="B868" s="68"/>
      <c r="C868" s="68"/>
      <c r="D868" s="415"/>
      <c r="E868" s="415"/>
      <c r="F868" s="415"/>
      <c r="G868" s="415"/>
      <c r="H868" s="415"/>
      <c r="I868" s="415"/>
      <c r="J868" s="415"/>
      <c r="K868" s="97"/>
      <c r="L868" s="97"/>
      <c r="M868" s="97"/>
      <c r="N868" s="97"/>
      <c r="O868" s="97"/>
      <c r="P868" s="97"/>
      <c r="Q868" s="97"/>
      <c r="R868" s="97"/>
      <c r="S868" s="97"/>
      <c r="T868" s="423">
        <v>865</v>
      </c>
      <c r="U868" s="424">
        <v>56127520406.610901</v>
      </c>
      <c r="V868" s="426"/>
      <c r="W868" s="97"/>
      <c r="X868" s="97"/>
      <c r="Y868" s="97"/>
      <c r="Z868" s="68"/>
      <c r="AA868" s="68"/>
      <c r="AB868" s="68"/>
      <c r="AC868" s="68"/>
      <c r="AD868" s="68"/>
    </row>
    <row r="869" spans="1:30" ht="17">
      <c r="A869" s="68"/>
      <c r="B869" s="68"/>
      <c r="C869" s="68"/>
      <c r="D869" s="415"/>
      <c r="E869" s="415"/>
      <c r="F869" s="415"/>
      <c r="G869" s="415"/>
      <c r="H869" s="415"/>
      <c r="I869" s="415"/>
      <c r="J869" s="415"/>
      <c r="K869" s="97"/>
      <c r="L869" s="97"/>
      <c r="M869" s="97"/>
      <c r="N869" s="97"/>
      <c r="O869" s="97"/>
      <c r="P869" s="97"/>
      <c r="Q869" s="97"/>
      <c r="R869" s="97"/>
      <c r="S869" s="97"/>
      <c r="T869" s="423">
        <v>866</v>
      </c>
      <c r="U869" s="424">
        <v>56918511974.400772</v>
      </c>
      <c r="V869" s="426"/>
      <c r="W869" s="97"/>
      <c r="X869" s="97"/>
      <c r="Y869" s="97"/>
      <c r="Z869" s="68"/>
      <c r="AA869" s="68"/>
      <c r="AB869" s="68"/>
      <c r="AC869" s="68"/>
      <c r="AD869" s="68"/>
    </row>
    <row r="870" spans="1:30" ht="17">
      <c r="A870" s="68"/>
      <c r="B870" s="68"/>
      <c r="C870" s="68"/>
      <c r="D870" s="415"/>
      <c r="E870" s="415"/>
      <c r="F870" s="415"/>
      <c r="G870" s="415"/>
      <c r="H870" s="415"/>
      <c r="I870" s="415"/>
      <c r="J870" s="415"/>
      <c r="K870" s="97"/>
      <c r="L870" s="97"/>
      <c r="M870" s="97"/>
      <c r="N870" s="97"/>
      <c r="O870" s="97"/>
      <c r="P870" s="97"/>
      <c r="Q870" s="97"/>
      <c r="R870" s="97"/>
      <c r="S870" s="97"/>
      <c r="T870" s="423">
        <v>867</v>
      </c>
      <c r="U870" s="424">
        <v>57622037289.570282</v>
      </c>
      <c r="V870" s="426"/>
      <c r="W870" s="97"/>
      <c r="X870" s="97"/>
      <c r="Y870" s="97"/>
      <c r="Z870" s="68"/>
      <c r="AA870" s="68"/>
      <c r="AB870" s="68"/>
      <c r="AC870" s="68"/>
      <c r="AD870" s="68"/>
    </row>
    <row r="871" spans="1:30" ht="17">
      <c r="A871" s="68"/>
      <c r="B871" s="68"/>
      <c r="C871" s="68"/>
      <c r="D871" s="415"/>
      <c r="E871" s="415"/>
      <c r="F871" s="415"/>
      <c r="G871" s="415"/>
      <c r="H871" s="415"/>
      <c r="I871" s="415"/>
      <c r="J871" s="415"/>
      <c r="K871" s="97"/>
      <c r="L871" s="97"/>
      <c r="M871" s="97"/>
      <c r="N871" s="97"/>
      <c r="O871" s="97"/>
      <c r="P871" s="97"/>
      <c r="Q871" s="97"/>
      <c r="R871" s="97"/>
      <c r="S871" s="97"/>
      <c r="T871" s="423">
        <v>868</v>
      </c>
      <c r="U871" s="424">
        <v>57818168382.628174</v>
      </c>
      <c r="V871" s="426"/>
      <c r="W871" s="97"/>
      <c r="X871" s="97"/>
      <c r="Y871" s="97"/>
      <c r="Z871" s="68"/>
      <c r="AA871" s="68"/>
      <c r="AB871" s="68"/>
      <c r="AC871" s="68"/>
      <c r="AD871" s="68"/>
    </row>
    <row r="872" spans="1:30" ht="17">
      <c r="A872" s="68"/>
      <c r="B872" s="68"/>
      <c r="C872" s="68"/>
      <c r="D872" s="415"/>
      <c r="E872" s="415"/>
      <c r="F872" s="415"/>
      <c r="G872" s="415"/>
      <c r="H872" s="415"/>
      <c r="I872" s="415"/>
      <c r="J872" s="415"/>
      <c r="K872" s="97"/>
      <c r="L872" s="97"/>
      <c r="M872" s="97"/>
      <c r="N872" s="97"/>
      <c r="O872" s="97"/>
      <c r="P872" s="97"/>
      <c r="Q872" s="97"/>
      <c r="R872" s="97"/>
      <c r="S872" s="97"/>
      <c r="T872" s="423">
        <v>869</v>
      </c>
      <c r="U872" s="424">
        <v>61378583481.215309</v>
      </c>
      <c r="V872" s="426"/>
      <c r="W872" s="97"/>
      <c r="X872" s="97"/>
      <c r="Y872" s="97"/>
      <c r="Z872" s="68"/>
      <c r="AA872" s="68"/>
      <c r="AB872" s="68"/>
      <c r="AC872" s="68"/>
      <c r="AD872" s="68"/>
    </row>
    <row r="873" spans="1:30" ht="17">
      <c r="A873" s="68"/>
      <c r="B873" s="68"/>
      <c r="C873" s="68"/>
      <c r="D873" s="415"/>
      <c r="E873" s="415"/>
      <c r="F873" s="415"/>
      <c r="G873" s="415"/>
      <c r="H873" s="415"/>
      <c r="I873" s="415"/>
      <c r="J873" s="415"/>
      <c r="K873" s="97"/>
      <c r="L873" s="97"/>
      <c r="M873" s="97"/>
      <c r="N873" s="97"/>
      <c r="O873" s="97"/>
      <c r="P873" s="97"/>
      <c r="Q873" s="97"/>
      <c r="R873" s="97"/>
      <c r="S873" s="97"/>
      <c r="T873" s="423">
        <v>870</v>
      </c>
      <c r="U873" s="424">
        <v>58839504565.868309</v>
      </c>
      <c r="V873" s="426"/>
      <c r="W873" s="97"/>
      <c r="X873" s="97"/>
      <c r="Y873" s="97"/>
      <c r="Z873" s="68"/>
      <c r="AA873" s="68"/>
      <c r="AB873" s="68"/>
      <c r="AC873" s="68"/>
      <c r="AD873" s="68"/>
    </row>
    <row r="874" spans="1:30" ht="17">
      <c r="A874" s="68"/>
      <c r="B874" s="68"/>
      <c r="C874" s="68"/>
      <c r="D874" s="415"/>
      <c r="E874" s="415"/>
      <c r="F874" s="415"/>
      <c r="G874" s="415"/>
      <c r="H874" s="415"/>
      <c r="I874" s="415"/>
      <c r="J874" s="415"/>
      <c r="K874" s="97"/>
      <c r="L874" s="97"/>
      <c r="M874" s="97"/>
      <c r="N874" s="97"/>
      <c r="O874" s="97"/>
      <c r="P874" s="97"/>
      <c r="Q874" s="97"/>
      <c r="R874" s="97"/>
      <c r="S874" s="97"/>
      <c r="T874" s="423">
        <v>871</v>
      </c>
      <c r="U874" s="424">
        <v>58071810274.769157</v>
      </c>
      <c r="V874" s="426"/>
      <c r="W874" s="97"/>
      <c r="X874" s="97"/>
      <c r="Y874" s="97"/>
      <c r="Z874" s="68"/>
      <c r="AA874" s="68"/>
      <c r="AB874" s="68"/>
      <c r="AC874" s="68"/>
      <c r="AD874" s="68"/>
    </row>
    <row r="875" spans="1:30" ht="17">
      <c r="A875" s="68"/>
      <c r="B875" s="68"/>
      <c r="C875" s="68"/>
      <c r="D875" s="415"/>
      <c r="E875" s="415"/>
      <c r="F875" s="415"/>
      <c r="G875" s="415"/>
      <c r="H875" s="415"/>
      <c r="I875" s="415"/>
      <c r="J875" s="415"/>
      <c r="K875" s="97"/>
      <c r="L875" s="97"/>
      <c r="M875" s="97"/>
      <c r="N875" s="97"/>
      <c r="O875" s="97"/>
      <c r="P875" s="97"/>
      <c r="Q875" s="97"/>
      <c r="R875" s="97"/>
      <c r="S875" s="97"/>
      <c r="T875" s="423">
        <v>872</v>
      </c>
      <c r="U875" s="424">
        <v>57076620380.461258</v>
      </c>
      <c r="V875" s="426"/>
      <c r="W875" s="97"/>
      <c r="X875" s="97"/>
      <c r="Y875" s="97"/>
      <c r="Z875" s="68"/>
      <c r="AA875" s="68"/>
      <c r="AB875" s="68"/>
      <c r="AC875" s="68"/>
      <c r="AD875" s="68"/>
    </row>
    <row r="876" spans="1:30" ht="17">
      <c r="A876" s="68"/>
      <c r="B876" s="68"/>
      <c r="C876" s="68"/>
      <c r="D876" s="415"/>
      <c r="E876" s="415"/>
      <c r="F876" s="415"/>
      <c r="G876" s="415"/>
      <c r="H876" s="415"/>
      <c r="I876" s="415"/>
      <c r="J876" s="415"/>
      <c r="K876" s="97"/>
      <c r="L876" s="97"/>
      <c r="M876" s="97"/>
      <c r="N876" s="97"/>
      <c r="O876" s="97"/>
      <c r="P876" s="97"/>
      <c r="Q876" s="97"/>
      <c r="R876" s="97"/>
      <c r="S876" s="97"/>
      <c r="T876" s="423">
        <v>873</v>
      </c>
      <c r="U876" s="424">
        <v>60867484426.362976</v>
      </c>
      <c r="V876" s="426"/>
      <c r="W876" s="97"/>
      <c r="X876" s="97"/>
      <c r="Y876" s="97"/>
      <c r="Z876" s="68"/>
      <c r="AA876" s="68"/>
      <c r="AB876" s="68"/>
      <c r="AC876" s="68"/>
      <c r="AD876" s="68"/>
    </row>
    <row r="877" spans="1:30" ht="17">
      <c r="A877" s="68"/>
      <c r="B877" s="68"/>
      <c r="C877" s="68"/>
      <c r="D877" s="415"/>
      <c r="E877" s="415"/>
      <c r="F877" s="415"/>
      <c r="G877" s="415"/>
      <c r="H877" s="415"/>
      <c r="I877" s="415"/>
      <c r="J877" s="415"/>
      <c r="K877" s="97"/>
      <c r="L877" s="97"/>
      <c r="M877" s="97"/>
      <c r="N877" s="97"/>
      <c r="O877" s="97"/>
      <c r="P877" s="97"/>
      <c r="Q877" s="97"/>
      <c r="R877" s="97"/>
      <c r="S877" s="97"/>
      <c r="T877" s="423">
        <v>874</v>
      </c>
      <c r="U877" s="424">
        <v>57675573055.506287</v>
      </c>
      <c r="V877" s="426"/>
      <c r="W877" s="97"/>
      <c r="X877" s="97"/>
      <c r="Y877" s="97"/>
      <c r="Z877" s="68"/>
      <c r="AA877" s="68"/>
      <c r="AB877" s="68"/>
      <c r="AC877" s="68"/>
      <c r="AD877" s="68"/>
    </row>
    <row r="878" spans="1:30" ht="17">
      <c r="A878" s="68"/>
      <c r="B878" s="68"/>
      <c r="C878" s="68"/>
      <c r="D878" s="415"/>
      <c r="E878" s="415"/>
      <c r="F878" s="415"/>
      <c r="G878" s="415"/>
      <c r="H878" s="415"/>
      <c r="I878" s="415"/>
      <c r="J878" s="415"/>
      <c r="K878" s="97"/>
      <c r="L878" s="97"/>
      <c r="M878" s="97"/>
      <c r="N878" s="97"/>
      <c r="O878" s="97"/>
      <c r="P878" s="97"/>
      <c r="Q878" s="97"/>
      <c r="R878" s="97"/>
      <c r="S878" s="97"/>
      <c r="T878" s="423">
        <v>875</v>
      </c>
      <c r="U878" s="424">
        <v>58717516334.838951</v>
      </c>
      <c r="V878" s="426"/>
      <c r="W878" s="97"/>
      <c r="X878" s="97"/>
      <c r="Y878" s="97"/>
      <c r="Z878" s="68"/>
      <c r="AA878" s="68"/>
      <c r="AB878" s="68"/>
      <c r="AC878" s="68"/>
      <c r="AD878" s="68"/>
    </row>
    <row r="879" spans="1:30" ht="17">
      <c r="A879" s="68"/>
      <c r="B879" s="68"/>
      <c r="C879" s="68"/>
      <c r="D879" s="415"/>
      <c r="E879" s="415"/>
      <c r="F879" s="415"/>
      <c r="G879" s="415"/>
      <c r="H879" s="415"/>
      <c r="I879" s="415"/>
      <c r="J879" s="415"/>
      <c r="K879" s="97"/>
      <c r="L879" s="97"/>
      <c r="M879" s="97"/>
      <c r="N879" s="97"/>
      <c r="O879" s="97"/>
      <c r="P879" s="97"/>
      <c r="Q879" s="97"/>
      <c r="R879" s="97"/>
      <c r="S879" s="97"/>
      <c r="T879" s="423">
        <v>876</v>
      </c>
      <c r="U879" s="424">
        <v>56314471068.553963</v>
      </c>
      <c r="V879" s="426"/>
      <c r="W879" s="97"/>
      <c r="X879" s="97"/>
      <c r="Y879" s="97"/>
      <c r="Z879" s="68"/>
      <c r="AA879" s="68"/>
      <c r="AB879" s="68"/>
      <c r="AC879" s="68"/>
      <c r="AD879" s="68"/>
    </row>
    <row r="880" spans="1:30" ht="17">
      <c r="A880" s="68"/>
      <c r="B880" s="68"/>
      <c r="C880" s="68"/>
      <c r="D880" s="415"/>
      <c r="E880" s="415"/>
      <c r="F880" s="415"/>
      <c r="G880" s="415"/>
      <c r="H880" s="415"/>
      <c r="I880" s="415"/>
      <c r="J880" s="415"/>
      <c r="K880" s="97"/>
      <c r="L880" s="97"/>
      <c r="M880" s="97"/>
      <c r="N880" s="97"/>
      <c r="O880" s="97"/>
      <c r="P880" s="97"/>
      <c r="Q880" s="97"/>
      <c r="R880" s="97"/>
      <c r="S880" s="97"/>
      <c r="T880" s="423">
        <v>877</v>
      </c>
      <c r="U880" s="424">
        <v>58251718497.136322</v>
      </c>
      <c r="V880" s="426"/>
      <c r="W880" s="97"/>
      <c r="X880" s="97"/>
      <c r="Y880" s="97"/>
      <c r="Z880" s="68"/>
      <c r="AA880" s="68"/>
      <c r="AB880" s="68"/>
      <c r="AC880" s="68"/>
      <c r="AD880" s="68"/>
    </row>
    <row r="881" spans="1:30" ht="17">
      <c r="A881" s="68"/>
      <c r="B881" s="68"/>
      <c r="C881" s="68"/>
      <c r="D881" s="415"/>
      <c r="E881" s="415"/>
      <c r="F881" s="415"/>
      <c r="G881" s="415"/>
      <c r="H881" s="415"/>
      <c r="I881" s="415"/>
      <c r="J881" s="415"/>
      <c r="K881" s="97"/>
      <c r="L881" s="97"/>
      <c r="M881" s="97"/>
      <c r="N881" s="97"/>
      <c r="O881" s="97"/>
      <c r="P881" s="97"/>
      <c r="Q881" s="97"/>
      <c r="R881" s="97"/>
      <c r="S881" s="97"/>
      <c r="T881" s="423">
        <v>878</v>
      </c>
      <c r="U881" s="424">
        <v>58094261373.983513</v>
      </c>
      <c r="V881" s="426"/>
      <c r="W881" s="97"/>
      <c r="X881" s="97"/>
      <c r="Y881" s="97"/>
      <c r="Z881" s="68"/>
      <c r="AA881" s="68"/>
      <c r="AB881" s="68"/>
      <c r="AC881" s="68"/>
      <c r="AD881" s="68"/>
    </row>
    <row r="882" spans="1:30" ht="17">
      <c r="A882" s="68"/>
      <c r="B882" s="68"/>
      <c r="C882" s="68"/>
      <c r="D882" s="415"/>
      <c r="E882" s="415"/>
      <c r="F882" s="415"/>
      <c r="G882" s="415"/>
      <c r="H882" s="415"/>
      <c r="I882" s="415"/>
      <c r="J882" s="415"/>
      <c r="K882" s="97"/>
      <c r="L882" s="97"/>
      <c r="M882" s="97"/>
      <c r="N882" s="97"/>
      <c r="O882" s="97"/>
      <c r="P882" s="97"/>
      <c r="Q882" s="97"/>
      <c r="R882" s="97"/>
      <c r="S882" s="97"/>
      <c r="T882" s="423">
        <v>879</v>
      </c>
      <c r="U882" s="424">
        <v>60159942843.939911</v>
      </c>
      <c r="V882" s="426"/>
      <c r="W882" s="97"/>
      <c r="X882" s="97"/>
      <c r="Y882" s="97"/>
      <c r="Z882" s="68"/>
      <c r="AA882" s="68"/>
      <c r="AB882" s="68"/>
      <c r="AC882" s="68"/>
      <c r="AD882" s="68"/>
    </row>
    <row r="883" spans="1:30" ht="17">
      <c r="A883" s="68"/>
      <c r="B883" s="68"/>
      <c r="C883" s="68"/>
      <c r="D883" s="415"/>
      <c r="E883" s="415"/>
      <c r="F883" s="415"/>
      <c r="G883" s="415"/>
      <c r="H883" s="415"/>
      <c r="I883" s="415"/>
      <c r="J883" s="415"/>
      <c r="K883" s="97"/>
      <c r="L883" s="97"/>
      <c r="M883" s="97"/>
      <c r="N883" s="97"/>
      <c r="O883" s="97"/>
      <c r="P883" s="97"/>
      <c r="Q883" s="97"/>
      <c r="R883" s="97"/>
      <c r="S883" s="97"/>
      <c r="T883" s="423">
        <v>880</v>
      </c>
      <c r="U883" s="424">
        <v>60092586178.705521</v>
      </c>
      <c r="V883" s="426"/>
      <c r="W883" s="97"/>
      <c r="X883" s="97"/>
      <c r="Y883" s="97"/>
      <c r="Z883" s="68"/>
      <c r="AA883" s="68"/>
      <c r="AB883" s="68"/>
      <c r="AC883" s="68"/>
      <c r="AD883" s="68"/>
    </row>
    <row r="884" spans="1:30" ht="17">
      <c r="A884" s="68"/>
      <c r="B884" s="68"/>
      <c r="C884" s="68"/>
      <c r="D884" s="415"/>
      <c r="E884" s="415"/>
      <c r="F884" s="415"/>
      <c r="G884" s="415"/>
      <c r="H884" s="415"/>
      <c r="I884" s="415"/>
      <c r="J884" s="415"/>
      <c r="K884" s="97"/>
      <c r="L884" s="97"/>
      <c r="M884" s="97"/>
      <c r="N884" s="97"/>
      <c r="O884" s="97"/>
      <c r="P884" s="97"/>
      <c r="Q884" s="97"/>
      <c r="R884" s="97"/>
      <c r="S884" s="97"/>
      <c r="T884" s="423">
        <v>881</v>
      </c>
      <c r="U884" s="424">
        <v>58434291633.035362</v>
      </c>
      <c r="V884" s="426"/>
      <c r="W884" s="97"/>
      <c r="X884" s="97"/>
      <c r="Y884" s="97"/>
      <c r="Z884" s="68"/>
      <c r="AA884" s="68"/>
      <c r="AB884" s="68"/>
      <c r="AC884" s="68"/>
      <c r="AD884" s="68"/>
    </row>
    <row r="885" spans="1:30" ht="17">
      <c r="A885" s="68"/>
      <c r="B885" s="68"/>
      <c r="C885" s="68"/>
      <c r="D885" s="415"/>
      <c r="E885" s="415"/>
      <c r="F885" s="415"/>
      <c r="G885" s="415"/>
      <c r="H885" s="415"/>
      <c r="I885" s="415"/>
      <c r="J885" s="415"/>
      <c r="K885" s="97"/>
      <c r="L885" s="97"/>
      <c r="M885" s="97"/>
      <c r="N885" s="97"/>
      <c r="O885" s="97"/>
      <c r="P885" s="97"/>
      <c r="Q885" s="97"/>
      <c r="R885" s="97"/>
      <c r="S885" s="97"/>
      <c r="T885" s="423">
        <v>882</v>
      </c>
      <c r="U885" s="424">
        <v>61100576524.854843</v>
      </c>
      <c r="V885" s="426"/>
      <c r="W885" s="97"/>
      <c r="X885" s="97"/>
      <c r="Y885" s="97"/>
      <c r="Z885" s="68"/>
      <c r="AA885" s="68"/>
      <c r="AB885" s="68"/>
      <c r="AC885" s="68"/>
      <c r="AD885" s="68"/>
    </row>
    <row r="886" spans="1:30" ht="17">
      <c r="A886" s="68"/>
      <c r="B886" s="68"/>
      <c r="C886" s="68"/>
      <c r="D886" s="415"/>
      <c r="E886" s="415"/>
      <c r="F886" s="415"/>
      <c r="G886" s="415"/>
      <c r="H886" s="415"/>
      <c r="I886" s="415"/>
      <c r="J886" s="415"/>
      <c r="K886" s="97"/>
      <c r="L886" s="97"/>
      <c r="M886" s="97"/>
      <c r="N886" s="97"/>
      <c r="O886" s="97"/>
      <c r="P886" s="97"/>
      <c r="Q886" s="97"/>
      <c r="R886" s="97"/>
      <c r="S886" s="97"/>
      <c r="T886" s="423">
        <v>883</v>
      </c>
      <c r="U886" s="424">
        <v>58040044684.076889</v>
      </c>
      <c r="V886" s="426"/>
      <c r="W886" s="97"/>
      <c r="X886" s="97"/>
      <c r="Y886" s="97"/>
      <c r="Z886" s="68"/>
      <c r="AA886" s="68"/>
      <c r="AB886" s="68"/>
      <c r="AC886" s="68"/>
      <c r="AD886" s="68"/>
    </row>
    <row r="887" spans="1:30" ht="17">
      <c r="A887" s="68"/>
      <c r="B887" s="68"/>
      <c r="C887" s="68"/>
      <c r="D887" s="415"/>
      <c r="E887" s="415"/>
      <c r="F887" s="415"/>
      <c r="G887" s="415"/>
      <c r="H887" s="415"/>
      <c r="I887" s="415"/>
      <c r="J887" s="415"/>
      <c r="K887" s="97"/>
      <c r="L887" s="97"/>
      <c r="M887" s="97"/>
      <c r="N887" s="97"/>
      <c r="O887" s="97"/>
      <c r="P887" s="97"/>
      <c r="Q887" s="97"/>
      <c r="R887" s="97"/>
      <c r="S887" s="97"/>
      <c r="T887" s="423">
        <v>884</v>
      </c>
      <c r="U887" s="424">
        <v>62274634268.429459</v>
      </c>
      <c r="V887" s="426"/>
      <c r="W887" s="97"/>
      <c r="X887" s="97"/>
      <c r="Y887" s="97"/>
      <c r="Z887" s="68"/>
      <c r="AA887" s="68"/>
      <c r="AB887" s="68"/>
      <c r="AC887" s="68"/>
      <c r="AD887" s="68"/>
    </row>
    <row r="888" spans="1:30" ht="17">
      <c r="A888" s="68"/>
      <c r="B888" s="68"/>
      <c r="C888" s="68"/>
      <c r="D888" s="415"/>
      <c r="E888" s="415"/>
      <c r="F888" s="415"/>
      <c r="G888" s="415"/>
      <c r="H888" s="415"/>
      <c r="I888" s="415"/>
      <c r="J888" s="415"/>
      <c r="K888" s="97"/>
      <c r="L888" s="97"/>
      <c r="M888" s="97"/>
      <c r="N888" s="97"/>
      <c r="O888" s="97"/>
      <c r="P888" s="97"/>
      <c r="Q888" s="97"/>
      <c r="R888" s="97"/>
      <c r="S888" s="97"/>
      <c r="T888" s="423">
        <v>885</v>
      </c>
      <c r="U888" s="424">
        <v>57474309313.789894</v>
      </c>
      <c r="V888" s="426"/>
      <c r="W888" s="97"/>
      <c r="X888" s="97"/>
      <c r="Y888" s="97"/>
      <c r="Z888" s="68"/>
      <c r="AA888" s="68"/>
      <c r="AB888" s="68"/>
      <c r="AC888" s="68"/>
      <c r="AD888" s="68"/>
    </row>
    <row r="889" spans="1:30" ht="17">
      <c r="A889" s="68"/>
      <c r="B889" s="68"/>
      <c r="C889" s="68"/>
      <c r="D889" s="415"/>
      <c r="E889" s="415"/>
      <c r="F889" s="415"/>
      <c r="G889" s="415"/>
      <c r="H889" s="415"/>
      <c r="I889" s="415"/>
      <c r="J889" s="415"/>
      <c r="K889" s="97"/>
      <c r="L889" s="97"/>
      <c r="M889" s="97"/>
      <c r="N889" s="97"/>
      <c r="O889" s="97"/>
      <c r="P889" s="97"/>
      <c r="Q889" s="97"/>
      <c r="R889" s="97"/>
      <c r="S889" s="97"/>
      <c r="T889" s="423">
        <v>886</v>
      </c>
      <c r="U889" s="424">
        <v>61720173005.90242</v>
      </c>
      <c r="V889" s="426"/>
      <c r="W889" s="97"/>
      <c r="X889" s="97"/>
      <c r="Y889" s="97"/>
      <c r="Z889" s="68"/>
      <c r="AA889" s="68"/>
      <c r="AB889" s="68"/>
      <c r="AC889" s="68"/>
      <c r="AD889" s="68"/>
    </row>
    <row r="890" spans="1:30" ht="17">
      <c r="A890" s="68"/>
      <c r="B890" s="68"/>
      <c r="C890" s="68"/>
      <c r="D890" s="415"/>
      <c r="E890" s="415"/>
      <c r="F890" s="415"/>
      <c r="G890" s="415"/>
      <c r="H890" s="415"/>
      <c r="I890" s="415"/>
      <c r="J890" s="415"/>
      <c r="K890" s="97"/>
      <c r="L890" s="97"/>
      <c r="M890" s="97"/>
      <c r="N890" s="97"/>
      <c r="O890" s="97"/>
      <c r="P890" s="97"/>
      <c r="Q890" s="97"/>
      <c r="R890" s="97"/>
      <c r="S890" s="97"/>
      <c r="T890" s="423">
        <v>887</v>
      </c>
      <c r="U890" s="424">
        <v>57692118259.142609</v>
      </c>
      <c r="V890" s="426"/>
      <c r="W890" s="97"/>
      <c r="X890" s="97"/>
      <c r="Y890" s="97"/>
      <c r="Z890" s="68"/>
      <c r="AA890" s="68"/>
      <c r="AB890" s="68"/>
      <c r="AC890" s="68"/>
      <c r="AD890" s="68"/>
    </row>
    <row r="891" spans="1:30" ht="17">
      <c r="A891" s="68"/>
      <c r="B891" s="68"/>
      <c r="C891" s="68"/>
      <c r="D891" s="415"/>
      <c r="E891" s="415"/>
      <c r="F891" s="415"/>
      <c r="G891" s="415"/>
      <c r="H891" s="415"/>
      <c r="I891" s="415"/>
      <c r="J891" s="415"/>
      <c r="K891" s="97"/>
      <c r="L891" s="97"/>
      <c r="M891" s="97"/>
      <c r="N891" s="97"/>
      <c r="O891" s="97"/>
      <c r="P891" s="97"/>
      <c r="Q891" s="97"/>
      <c r="R891" s="97"/>
      <c r="S891" s="97"/>
      <c r="T891" s="423">
        <v>888</v>
      </c>
      <c r="U891" s="424">
        <v>56520254752.937477</v>
      </c>
      <c r="V891" s="426"/>
      <c r="W891" s="97"/>
      <c r="X891" s="97"/>
      <c r="Y891" s="97"/>
      <c r="Z891" s="68"/>
      <c r="AA891" s="68"/>
      <c r="AB891" s="68"/>
      <c r="AC891" s="68"/>
      <c r="AD891" s="68"/>
    </row>
    <row r="892" spans="1:30" ht="17">
      <c r="A892" s="68"/>
      <c r="B892" s="68"/>
      <c r="C892" s="68"/>
      <c r="D892" s="415"/>
      <c r="E892" s="415"/>
      <c r="F892" s="415"/>
      <c r="G892" s="415"/>
      <c r="H892" s="415"/>
      <c r="I892" s="415"/>
      <c r="J892" s="415"/>
      <c r="K892" s="97"/>
      <c r="L892" s="97"/>
      <c r="M892" s="97"/>
      <c r="N892" s="97"/>
      <c r="O892" s="97"/>
      <c r="P892" s="97"/>
      <c r="Q892" s="97"/>
      <c r="R892" s="97"/>
      <c r="S892" s="97"/>
      <c r="T892" s="423">
        <v>889</v>
      </c>
      <c r="U892" s="424">
        <v>59149056526.932068</v>
      </c>
      <c r="V892" s="426"/>
      <c r="W892" s="97"/>
      <c r="X892" s="97"/>
      <c r="Y892" s="97"/>
      <c r="Z892" s="68"/>
      <c r="AA892" s="68"/>
      <c r="AB892" s="68"/>
      <c r="AC892" s="68"/>
      <c r="AD892" s="68"/>
    </row>
    <row r="893" spans="1:30" ht="17">
      <c r="A893" s="68"/>
      <c r="B893" s="68"/>
      <c r="C893" s="68"/>
      <c r="D893" s="415"/>
      <c r="E893" s="415"/>
      <c r="F893" s="415"/>
      <c r="G893" s="415"/>
      <c r="H893" s="415"/>
      <c r="I893" s="415"/>
      <c r="J893" s="415"/>
      <c r="K893" s="97"/>
      <c r="L893" s="97"/>
      <c r="M893" s="97"/>
      <c r="N893" s="97"/>
      <c r="O893" s="97"/>
      <c r="P893" s="97"/>
      <c r="Q893" s="97"/>
      <c r="R893" s="97"/>
      <c r="S893" s="97"/>
      <c r="T893" s="423">
        <v>890</v>
      </c>
      <c r="U893" s="424">
        <v>57374181370.603348</v>
      </c>
      <c r="V893" s="426"/>
      <c r="W893" s="97"/>
      <c r="X893" s="97"/>
      <c r="Y893" s="97"/>
      <c r="Z893" s="68"/>
      <c r="AA893" s="68"/>
      <c r="AB893" s="68"/>
      <c r="AC893" s="68"/>
      <c r="AD893" s="68"/>
    </row>
    <row r="894" spans="1:30" ht="17">
      <c r="A894" s="68"/>
      <c r="B894" s="68"/>
      <c r="C894" s="68"/>
      <c r="D894" s="415"/>
      <c r="E894" s="415"/>
      <c r="F894" s="415"/>
      <c r="G894" s="415"/>
      <c r="H894" s="415"/>
      <c r="I894" s="415"/>
      <c r="J894" s="415"/>
      <c r="K894" s="97"/>
      <c r="L894" s="97"/>
      <c r="M894" s="97"/>
      <c r="N894" s="97"/>
      <c r="O894" s="97"/>
      <c r="P894" s="97"/>
      <c r="Q894" s="97"/>
      <c r="R894" s="97"/>
      <c r="S894" s="97"/>
      <c r="T894" s="423">
        <v>891</v>
      </c>
      <c r="U894" s="424">
        <v>56229167696.486679</v>
      </c>
      <c r="V894" s="426"/>
      <c r="W894" s="97"/>
      <c r="X894" s="97"/>
      <c r="Y894" s="97"/>
      <c r="Z894" s="68"/>
      <c r="AA894" s="68"/>
      <c r="AB894" s="68"/>
      <c r="AC894" s="68"/>
      <c r="AD894" s="68"/>
    </row>
    <row r="895" spans="1:30" ht="17">
      <c r="A895" s="68"/>
      <c r="B895" s="68"/>
      <c r="C895" s="68"/>
      <c r="D895" s="415"/>
      <c r="E895" s="415"/>
      <c r="F895" s="415"/>
      <c r="G895" s="415"/>
      <c r="H895" s="415"/>
      <c r="I895" s="415"/>
      <c r="J895" s="415"/>
      <c r="K895" s="97"/>
      <c r="L895" s="97"/>
      <c r="M895" s="97"/>
      <c r="N895" s="97"/>
      <c r="O895" s="97"/>
      <c r="P895" s="97"/>
      <c r="Q895" s="97"/>
      <c r="R895" s="97"/>
      <c r="S895" s="97"/>
      <c r="T895" s="423">
        <v>892</v>
      </c>
      <c r="U895" s="424">
        <v>58043845031.751289</v>
      </c>
      <c r="V895" s="426"/>
      <c r="W895" s="97"/>
      <c r="X895" s="97"/>
      <c r="Y895" s="97"/>
      <c r="Z895" s="68"/>
      <c r="AA895" s="68"/>
      <c r="AB895" s="68"/>
      <c r="AC895" s="68"/>
      <c r="AD895" s="68"/>
    </row>
    <row r="896" spans="1:30" ht="17">
      <c r="A896" s="68"/>
      <c r="B896" s="68"/>
      <c r="C896" s="68"/>
      <c r="D896" s="415"/>
      <c r="E896" s="415"/>
      <c r="F896" s="415"/>
      <c r="G896" s="415"/>
      <c r="H896" s="415"/>
      <c r="I896" s="415"/>
      <c r="J896" s="415"/>
      <c r="K896" s="97"/>
      <c r="L896" s="97"/>
      <c r="M896" s="97"/>
      <c r="N896" s="97"/>
      <c r="O896" s="97"/>
      <c r="P896" s="97"/>
      <c r="Q896" s="97"/>
      <c r="R896" s="97"/>
      <c r="S896" s="97"/>
      <c r="T896" s="423">
        <v>893</v>
      </c>
      <c r="U896" s="424">
        <v>63018833959.146706</v>
      </c>
      <c r="V896" s="426"/>
      <c r="W896" s="97"/>
      <c r="X896" s="97"/>
      <c r="Y896" s="97"/>
      <c r="Z896" s="68"/>
      <c r="AA896" s="68"/>
      <c r="AB896" s="68"/>
      <c r="AC896" s="68"/>
      <c r="AD896" s="68"/>
    </row>
    <row r="897" spans="1:30" ht="17">
      <c r="A897" s="68"/>
      <c r="B897" s="68"/>
      <c r="C897" s="68"/>
      <c r="D897" s="415"/>
      <c r="E897" s="415"/>
      <c r="F897" s="415"/>
      <c r="G897" s="415"/>
      <c r="H897" s="415"/>
      <c r="I897" s="415"/>
      <c r="J897" s="415"/>
      <c r="K897" s="97"/>
      <c r="L897" s="97"/>
      <c r="M897" s="97"/>
      <c r="N897" s="97"/>
      <c r="O897" s="97"/>
      <c r="P897" s="97"/>
      <c r="Q897" s="97"/>
      <c r="R897" s="97"/>
      <c r="S897" s="97"/>
      <c r="T897" s="423">
        <v>894</v>
      </c>
      <c r="U897" s="424">
        <v>59193741628.519341</v>
      </c>
      <c r="V897" s="426"/>
      <c r="W897" s="97"/>
      <c r="X897" s="97"/>
      <c r="Y897" s="97"/>
      <c r="Z897" s="68"/>
      <c r="AA897" s="68"/>
      <c r="AB897" s="68"/>
      <c r="AC897" s="68"/>
      <c r="AD897" s="68"/>
    </row>
    <row r="898" spans="1:30" ht="17">
      <c r="A898" s="68"/>
      <c r="B898" s="68"/>
      <c r="C898" s="68"/>
      <c r="D898" s="415"/>
      <c r="E898" s="415"/>
      <c r="F898" s="415"/>
      <c r="G898" s="415"/>
      <c r="H898" s="415"/>
      <c r="I898" s="415"/>
      <c r="J898" s="415"/>
      <c r="K898" s="97"/>
      <c r="L898" s="97"/>
      <c r="M898" s="97"/>
      <c r="N898" s="97"/>
      <c r="O898" s="97"/>
      <c r="P898" s="97"/>
      <c r="Q898" s="97"/>
      <c r="R898" s="97"/>
      <c r="S898" s="97"/>
      <c r="T898" s="423">
        <v>895</v>
      </c>
      <c r="U898" s="424">
        <v>58372782121.771194</v>
      </c>
      <c r="V898" s="426"/>
      <c r="W898" s="97"/>
      <c r="X898" s="97"/>
      <c r="Y898" s="97"/>
      <c r="Z898" s="68"/>
      <c r="AA898" s="68"/>
      <c r="AB898" s="68"/>
      <c r="AC898" s="68"/>
      <c r="AD898" s="68"/>
    </row>
    <row r="899" spans="1:30" ht="17">
      <c r="A899" s="68"/>
      <c r="B899" s="68"/>
      <c r="C899" s="68"/>
      <c r="D899" s="415"/>
      <c r="E899" s="415"/>
      <c r="F899" s="415"/>
      <c r="G899" s="415"/>
      <c r="H899" s="415"/>
      <c r="I899" s="415"/>
      <c r="J899" s="415"/>
      <c r="K899" s="97"/>
      <c r="L899" s="97"/>
      <c r="M899" s="97"/>
      <c r="N899" s="97"/>
      <c r="O899" s="97"/>
      <c r="P899" s="97"/>
      <c r="Q899" s="97"/>
      <c r="R899" s="97"/>
      <c r="S899" s="97"/>
      <c r="T899" s="423">
        <v>896</v>
      </c>
      <c r="U899" s="424">
        <v>62711361024.810768</v>
      </c>
      <c r="V899" s="426"/>
      <c r="W899" s="97"/>
      <c r="X899" s="97"/>
      <c r="Y899" s="97"/>
      <c r="Z899" s="68"/>
      <c r="AA899" s="68"/>
      <c r="AB899" s="68"/>
      <c r="AC899" s="68"/>
      <c r="AD899" s="68"/>
    </row>
    <row r="900" spans="1:30" ht="17">
      <c r="A900" s="68"/>
      <c r="B900" s="68"/>
      <c r="C900" s="68"/>
      <c r="D900" s="415"/>
      <c r="E900" s="415"/>
      <c r="F900" s="415"/>
      <c r="G900" s="415"/>
      <c r="H900" s="415"/>
      <c r="I900" s="415"/>
      <c r="J900" s="415"/>
      <c r="K900" s="97"/>
      <c r="L900" s="97"/>
      <c r="M900" s="97"/>
      <c r="N900" s="97"/>
      <c r="O900" s="97"/>
      <c r="P900" s="97"/>
      <c r="Q900" s="97"/>
      <c r="R900" s="97"/>
      <c r="S900" s="97"/>
      <c r="T900" s="423">
        <v>897</v>
      </c>
      <c r="U900" s="424">
        <v>56738757273.801865</v>
      </c>
      <c r="V900" s="426"/>
      <c r="W900" s="97"/>
      <c r="X900" s="97"/>
      <c r="Y900" s="97"/>
      <c r="Z900" s="68"/>
      <c r="AA900" s="68"/>
      <c r="AB900" s="68"/>
      <c r="AC900" s="68"/>
      <c r="AD900" s="68"/>
    </row>
    <row r="901" spans="1:30" ht="17">
      <c r="A901" s="68"/>
      <c r="B901" s="68"/>
      <c r="C901" s="68"/>
      <c r="D901" s="415"/>
      <c r="E901" s="415"/>
      <c r="F901" s="415"/>
      <c r="G901" s="415"/>
      <c r="H901" s="415"/>
      <c r="I901" s="415"/>
      <c r="J901" s="415"/>
      <c r="K901" s="97"/>
      <c r="L901" s="97"/>
      <c r="M901" s="97"/>
      <c r="N901" s="97"/>
      <c r="O901" s="97"/>
      <c r="P901" s="97"/>
      <c r="Q901" s="97"/>
      <c r="R901" s="97"/>
      <c r="S901" s="97"/>
      <c r="T901" s="423">
        <v>898</v>
      </c>
      <c r="U901" s="424">
        <v>59103215055.119034</v>
      </c>
      <c r="V901" s="426"/>
      <c r="W901" s="97"/>
      <c r="X901" s="97"/>
      <c r="Y901" s="97"/>
      <c r="Z901" s="68"/>
      <c r="AA901" s="68"/>
      <c r="AB901" s="68"/>
      <c r="AC901" s="68"/>
      <c r="AD901" s="68"/>
    </row>
    <row r="902" spans="1:30" ht="17">
      <c r="A902" s="68"/>
      <c r="B902" s="68"/>
      <c r="C902" s="68"/>
      <c r="D902" s="415"/>
      <c r="E902" s="415"/>
      <c r="F902" s="415"/>
      <c r="G902" s="415"/>
      <c r="H902" s="415"/>
      <c r="I902" s="415"/>
      <c r="J902" s="415"/>
      <c r="K902" s="97"/>
      <c r="L902" s="97"/>
      <c r="M902" s="97"/>
      <c r="N902" s="97"/>
      <c r="O902" s="97"/>
      <c r="P902" s="97"/>
      <c r="Q902" s="97"/>
      <c r="R902" s="97"/>
      <c r="S902" s="97"/>
      <c r="T902" s="423">
        <v>899</v>
      </c>
      <c r="U902" s="424">
        <v>57227724567.241241</v>
      </c>
      <c r="V902" s="426"/>
      <c r="W902" s="97"/>
      <c r="X902" s="97"/>
      <c r="Y902" s="97"/>
      <c r="Z902" s="68"/>
      <c r="AA902" s="68"/>
      <c r="AB902" s="68"/>
      <c r="AC902" s="68"/>
      <c r="AD902" s="68"/>
    </row>
    <row r="903" spans="1:30" ht="17">
      <c r="A903" s="68"/>
      <c r="B903" s="68"/>
      <c r="C903" s="68"/>
      <c r="D903" s="415"/>
      <c r="E903" s="415"/>
      <c r="F903" s="415"/>
      <c r="G903" s="415"/>
      <c r="H903" s="415"/>
      <c r="I903" s="415"/>
      <c r="J903" s="415"/>
      <c r="K903" s="97"/>
      <c r="L903" s="97"/>
      <c r="M903" s="97"/>
      <c r="N903" s="97"/>
      <c r="O903" s="97"/>
      <c r="P903" s="97"/>
      <c r="Q903" s="97"/>
      <c r="R903" s="97"/>
      <c r="S903" s="97"/>
      <c r="T903" s="423">
        <v>900</v>
      </c>
      <c r="U903" s="424">
        <v>60167482944.697197</v>
      </c>
      <c r="V903" s="426"/>
      <c r="W903" s="97"/>
      <c r="X903" s="97"/>
      <c r="Y903" s="97"/>
      <c r="Z903" s="68"/>
      <c r="AA903" s="68"/>
      <c r="AB903" s="68"/>
      <c r="AC903" s="68"/>
      <c r="AD903" s="68"/>
    </row>
    <row r="904" spans="1:30" ht="17">
      <c r="A904" s="68"/>
      <c r="B904" s="68"/>
      <c r="C904" s="68"/>
      <c r="D904" s="415"/>
      <c r="E904" s="415"/>
      <c r="F904" s="415"/>
      <c r="G904" s="415"/>
      <c r="H904" s="415"/>
      <c r="I904" s="415"/>
      <c r="J904" s="415"/>
      <c r="K904" s="97"/>
      <c r="L904" s="97"/>
      <c r="M904" s="97"/>
      <c r="N904" s="97"/>
      <c r="O904" s="97"/>
      <c r="P904" s="97"/>
      <c r="Q904" s="97"/>
      <c r="R904" s="97"/>
      <c r="S904" s="97"/>
      <c r="T904" s="423">
        <v>901</v>
      </c>
      <c r="U904" s="424">
        <v>60803501556.682884</v>
      </c>
      <c r="V904" s="426"/>
      <c r="W904" s="97"/>
      <c r="X904" s="97"/>
      <c r="Y904" s="97"/>
      <c r="Z904" s="68"/>
      <c r="AA904" s="68"/>
      <c r="AB904" s="68"/>
      <c r="AC904" s="68"/>
      <c r="AD904" s="68"/>
    </row>
    <row r="905" spans="1:30" ht="17">
      <c r="A905" s="68"/>
      <c r="B905" s="68"/>
      <c r="C905" s="68"/>
      <c r="D905" s="415"/>
      <c r="E905" s="415"/>
      <c r="F905" s="415"/>
      <c r="G905" s="415"/>
      <c r="H905" s="415"/>
      <c r="I905" s="415"/>
      <c r="J905" s="415"/>
      <c r="K905" s="97"/>
      <c r="L905" s="97"/>
      <c r="M905" s="97"/>
      <c r="N905" s="97"/>
      <c r="O905" s="97"/>
      <c r="P905" s="97"/>
      <c r="Q905" s="97"/>
      <c r="R905" s="97"/>
      <c r="S905" s="97"/>
      <c r="T905" s="423">
        <v>902</v>
      </c>
      <c r="U905" s="424">
        <v>61185480541.423004</v>
      </c>
      <c r="V905" s="426"/>
      <c r="W905" s="97"/>
      <c r="X905" s="97"/>
      <c r="Y905" s="97"/>
      <c r="Z905" s="68"/>
      <c r="AA905" s="68"/>
      <c r="AB905" s="68"/>
      <c r="AC905" s="68"/>
      <c r="AD905" s="68"/>
    </row>
    <row r="906" spans="1:30" ht="17">
      <c r="A906" s="68"/>
      <c r="B906" s="68"/>
      <c r="C906" s="68"/>
      <c r="D906" s="415"/>
      <c r="E906" s="415"/>
      <c r="F906" s="415"/>
      <c r="G906" s="415"/>
      <c r="H906" s="415"/>
      <c r="I906" s="415"/>
      <c r="J906" s="415"/>
      <c r="K906" s="97"/>
      <c r="L906" s="97"/>
      <c r="M906" s="97"/>
      <c r="N906" s="97"/>
      <c r="O906" s="97"/>
      <c r="P906" s="97"/>
      <c r="Q906" s="97"/>
      <c r="R906" s="97"/>
      <c r="S906" s="97"/>
      <c r="T906" s="423">
        <v>903</v>
      </c>
      <c r="U906" s="424">
        <v>54466107451.040375</v>
      </c>
      <c r="V906" s="426"/>
      <c r="W906" s="97"/>
      <c r="X906" s="97"/>
      <c r="Y906" s="97"/>
      <c r="Z906" s="68"/>
      <c r="AA906" s="68"/>
      <c r="AB906" s="68"/>
      <c r="AC906" s="68"/>
      <c r="AD906" s="68"/>
    </row>
    <row r="907" spans="1:30" ht="17">
      <c r="A907" s="68"/>
      <c r="B907" s="68"/>
      <c r="C907" s="68"/>
      <c r="D907" s="415"/>
      <c r="E907" s="415"/>
      <c r="F907" s="415"/>
      <c r="G907" s="415"/>
      <c r="H907" s="415"/>
      <c r="I907" s="415"/>
      <c r="J907" s="415"/>
      <c r="K907" s="97"/>
      <c r="L907" s="97"/>
      <c r="M907" s="97"/>
      <c r="N907" s="97"/>
      <c r="O907" s="97"/>
      <c r="P907" s="97"/>
      <c r="Q907" s="97"/>
      <c r="R907" s="97"/>
      <c r="S907" s="97"/>
      <c r="T907" s="423">
        <v>904</v>
      </c>
      <c r="U907" s="424">
        <v>58426458873.660492</v>
      </c>
      <c r="V907" s="426"/>
      <c r="W907" s="97"/>
      <c r="X907" s="97"/>
      <c r="Y907" s="97"/>
      <c r="Z907" s="68"/>
      <c r="AA907" s="68"/>
      <c r="AB907" s="68"/>
      <c r="AC907" s="68"/>
      <c r="AD907" s="68"/>
    </row>
    <row r="908" spans="1:30" ht="17">
      <c r="A908" s="68"/>
      <c r="B908" s="68"/>
      <c r="C908" s="68"/>
      <c r="D908" s="415"/>
      <c r="E908" s="415"/>
      <c r="F908" s="415"/>
      <c r="G908" s="415"/>
      <c r="H908" s="415"/>
      <c r="I908" s="415"/>
      <c r="J908" s="415"/>
      <c r="K908" s="97"/>
      <c r="L908" s="97"/>
      <c r="M908" s="97"/>
      <c r="N908" s="97"/>
      <c r="O908" s="97"/>
      <c r="P908" s="97"/>
      <c r="Q908" s="97"/>
      <c r="R908" s="97"/>
      <c r="S908" s="97"/>
      <c r="T908" s="423">
        <v>905</v>
      </c>
      <c r="U908" s="424">
        <v>58737628477.559128</v>
      </c>
      <c r="V908" s="426"/>
      <c r="W908" s="97"/>
      <c r="X908" s="97"/>
      <c r="Y908" s="97"/>
      <c r="Z908" s="68"/>
      <c r="AA908" s="68"/>
      <c r="AB908" s="68"/>
      <c r="AC908" s="68"/>
      <c r="AD908" s="68"/>
    </row>
    <row r="909" spans="1:30" ht="17">
      <c r="A909" s="68"/>
      <c r="B909" s="68"/>
      <c r="C909" s="68"/>
      <c r="D909" s="415"/>
      <c r="E909" s="415"/>
      <c r="F909" s="415"/>
      <c r="G909" s="415"/>
      <c r="H909" s="415"/>
      <c r="I909" s="415"/>
      <c r="J909" s="415"/>
      <c r="K909" s="97"/>
      <c r="L909" s="97"/>
      <c r="M909" s="97"/>
      <c r="N909" s="97"/>
      <c r="O909" s="97"/>
      <c r="P909" s="97"/>
      <c r="Q909" s="97"/>
      <c r="R909" s="97"/>
      <c r="S909" s="97"/>
      <c r="T909" s="423">
        <v>906</v>
      </c>
      <c r="U909" s="424">
        <v>59979789553.087448</v>
      </c>
      <c r="V909" s="426"/>
      <c r="W909" s="97"/>
      <c r="X909" s="97"/>
      <c r="Y909" s="97"/>
      <c r="Z909" s="68"/>
      <c r="AA909" s="68"/>
      <c r="AB909" s="68"/>
      <c r="AC909" s="68"/>
      <c r="AD909" s="68"/>
    </row>
    <row r="910" spans="1:30" ht="17">
      <c r="A910" s="68"/>
      <c r="B910" s="68"/>
      <c r="C910" s="68"/>
      <c r="D910" s="415"/>
      <c r="E910" s="415"/>
      <c r="F910" s="415"/>
      <c r="G910" s="415"/>
      <c r="H910" s="415"/>
      <c r="I910" s="415"/>
      <c r="J910" s="415"/>
      <c r="K910" s="97"/>
      <c r="L910" s="97"/>
      <c r="M910" s="97"/>
      <c r="N910" s="97"/>
      <c r="O910" s="97"/>
      <c r="P910" s="97"/>
      <c r="Q910" s="97"/>
      <c r="R910" s="97"/>
      <c r="S910" s="97"/>
      <c r="T910" s="423">
        <v>907</v>
      </c>
      <c r="U910" s="424">
        <v>58007514452.367447</v>
      </c>
      <c r="V910" s="426"/>
      <c r="W910" s="97"/>
      <c r="X910" s="97"/>
      <c r="Y910" s="97"/>
      <c r="Z910" s="68"/>
      <c r="AA910" s="68"/>
      <c r="AB910" s="68"/>
      <c r="AC910" s="68"/>
      <c r="AD910" s="68"/>
    </row>
    <row r="911" spans="1:30" ht="17">
      <c r="A911" s="68"/>
      <c r="B911" s="68"/>
      <c r="C911" s="68"/>
      <c r="D911" s="415"/>
      <c r="E911" s="415"/>
      <c r="F911" s="415"/>
      <c r="G911" s="415"/>
      <c r="H911" s="415"/>
      <c r="I911" s="415"/>
      <c r="J911" s="415"/>
      <c r="K911" s="97"/>
      <c r="L911" s="97"/>
      <c r="M911" s="97"/>
      <c r="N911" s="97"/>
      <c r="O911" s="97"/>
      <c r="P911" s="97"/>
      <c r="Q911" s="97"/>
      <c r="R911" s="97"/>
      <c r="S911" s="97"/>
      <c r="T911" s="423">
        <v>908</v>
      </c>
      <c r="U911" s="424">
        <v>56830713370.671242</v>
      </c>
      <c r="V911" s="426"/>
      <c r="W911" s="97"/>
      <c r="X911" s="97"/>
      <c r="Y911" s="97"/>
      <c r="Z911" s="68"/>
      <c r="AA911" s="68"/>
      <c r="AB911" s="68"/>
      <c r="AC911" s="68"/>
      <c r="AD911" s="68"/>
    </row>
    <row r="912" spans="1:30" ht="17">
      <c r="A912" s="68"/>
      <c r="B912" s="68"/>
      <c r="C912" s="68"/>
      <c r="D912" s="415"/>
      <c r="E912" s="415"/>
      <c r="F912" s="415"/>
      <c r="G912" s="415"/>
      <c r="H912" s="415"/>
      <c r="I912" s="415"/>
      <c r="J912" s="415"/>
      <c r="K912" s="97"/>
      <c r="L912" s="97"/>
      <c r="M912" s="97"/>
      <c r="N912" s="97"/>
      <c r="O912" s="97"/>
      <c r="P912" s="97"/>
      <c r="Q912" s="97"/>
      <c r="R912" s="97"/>
      <c r="S912" s="97"/>
      <c r="T912" s="423">
        <v>909</v>
      </c>
      <c r="U912" s="424">
        <v>56539960518.435562</v>
      </c>
      <c r="V912" s="426"/>
      <c r="W912" s="97"/>
      <c r="X912" s="97"/>
      <c r="Y912" s="97"/>
      <c r="Z912" s="68"/>
      <c r="AA912" s="68"/>
      <c r="AB912" s="68"/>
      <c r="AC912" s="68"/>
      <c r="AD912" s="68"/>
    </row>
    <row r="913" spans="1:30" ht="17">
      <c r="A913" s="68"/>
      <c r="B913" s="68"/>
      <c r="C913" s="68"/>
      <c r="D913" s="415"/>
      <c r="E913" s="415"/>
      <c r="F913" s="415"/>
      <c r="G913" s="415"/>
      <c r="H913" s="415"/>
      <c r="I913" s="415"/>
      <c r="J913" s="415"/>
      <c r="K913" s="97"/>
      <c r="L913" s="97"/>
      <c r="M913" s="97"/>
      <c r="N913" s="97"/>
      <c r="O913" s="97"/>
      <c r="P913" s="97"/>
      <c r="Q913" s="97"/>
      <c r="R913" s="97"/>
      <c r="S913" s="97"/>
      <c r="T913" s="423">
        <v>910</v>
      </c>
      <c r="U913" s="424">
        <v>61451373542.13414</v>
      </c>
      <c r="V913" s="426"/>
      <c r="W913" s="97"/>
      <c r="X913" s="97"/>
      <c r="Y913" s="97"/>
      <c r="Z913" s="68"/>
      <c r="AA913" s="68"/>
      <c r="AB913" s="68"/>
      <c r="AC913" s="68"/>
      <c r="AD913" s="68"/>
    </row>
    <row r="914" spans="1:30" ht="17">
      <c r="A914" s="68"/>
      <c r="B914" s="68"/>
      <c r="C914" s="68"/>
      <c r="D914" s="415"/>
      <c r="E914" s="415"/>
      <c r="F914" s="415"/>
      <c r="G914" s="415"/>
      <c r="H914" s="415"/>
      <c r="I914" s="415"/>
      <c r="J914" s="415"/>
      <c r="K914" s="97"/>
      <c r="L914" s="97"/>
      <c r="M914" s="97"/>
      <c r="N914" s="97"/>
      <c r="O914" s="97"/>
      <c r="P914" s="97"/>
      <c r="Q914" s="97"/>
      <c r="R914" s="97"/>
      <c r="S914" s="97"/>
      <c r="T914" s="423">
        <v>911</v>
      </c>
      <c r="U914" s="424">
        <v>56336142688.724304</v>
      </c>
      <c r="V914" s="426"/>
      <c r="W914" s="97"/>
      <c r="X914" s="97"/>
      <c r="Y914" s="97"/>
      <c r="Z914" s="68"/>
      <c r="AA914" s="68"/>
      <c r="AB914" s="68"/>
      <c r="AC914" s="68"/>
      <c r="AD914" s="68"/>
    </row>
    <row r="915" spans="1:30" ht="17">
      <c r="A915" s="68"/>
      <c r="B915" s="68"/>
      <c r="C915" s="68"/>
      <c r="D915" s="415"/>
      <c r="E915" s="415"/>
      <c r="F915" s="415"/>
      <c r="G915" s="415"/>
      <c r="H915" s="415"/>
      <c r="I915" s="415"/>
      <c r="J915" s="415"/>
      <c r="K915" s="97"/>
      <c r="L915" s="97"/>
      <c r="M915" s="97"/>
      <c r="N915" s="97"/>
      <c r="O915" s="97"/>
      <c r="P915" s="97"/>
      <c r="Q915" s="97"/>
      <c r="R915" s="97"/>
      <c r="S915" s="97"/>
      <c r="T915" s="423">
        <v>912</v>
      </c>
      <c r="U915" s="424">
        <v>59711428656.744316</v>
      </c>
      <c r="V915" s="426"/>
      <c r="W915" s="97"/>
      <c r="X915" s="97"/>
      <c r="Y915" s="97"/>
      <c r="Z915" s="68"/>
      <c r="AA915" s="68"/>
      <c r="AB915" s="68"/>
      <c r="AC915" s="68"/>
      <c r="AD915" s="68"/>
    </row>
    <row r="916" spans="1:30" ht="17">
      <c r="A916" s="68"/>
      <c r="B916" s="68"/>
      <c r="C916" s="68"/>
      <c r="D916" s="415"/>
      <c r="E916" s="415"/>
      <c r="F916" s="415"/>
      <c r="G916" s="415"/>
      <c r="H916" s="415"/>
      <c r="I916" s="415"/>
      <c r="J916" s="415"/>
      <c r="K916" s="97"/>
      <c r="L916" s="97"/>
      <c r="M916" s="97"/>
      <c r="N916" s="97"/>
      <c r="O916" s="97"/>
      <c r="P916" s="97"/>
      <c r="Q916" s="97"/>
      <c r="R916" s="97"/>
      <c r="S916" s="97"/>
      <c r="T916" s="423">
        <v>913</v>
      </c>
      <c r="U916" s="424">
        <v>58209722274.420952</v>
      </c>
      <c r="V916" s="426"/>
      <c r="W916" s="97"/>
      <c r="X916" s="97"/>
      <c r="Y916" s="97"/>
      <c r="Z916" s="68"/>
      <c r="AA916" s="68"/>
      <c r="AB916" s="68"/>
      <c r="AC916" s="68"/>
      <c r="AD916" s="68"/>
    </row>
    <row r="917" spans="1:30" ht="17">
      <c r="A917" s="68"/>
      <c r="B917" s="68"/>
      <c r="C917" s="68"/>
      <c r="D917" s="415"/>
      <c r="E917" s="415"/>
      <c r="F917" s="415"/>
      <c r="G917" s="415"/>
      <c r="H917" s="415"/>
      <c r="I917" s="415"/>
      <c r="J917" s="415"/>
      <c r="K917" s="97"/>
      <c r="L917" s="97"/>
      <c r="M917" s="97"/>
      <c r="N917" s="97"/>
      <c r="O917" s="97"/>
      <c r="P917" s="97"/>
      <c r="Q917" s="97"/>
      <c r="R917" s="97"/>
      <c r="S917" s="97"/>
      <c r="T917" s="423">
        <v>914</v>
      </c>
      <c r="U917" s="424">
        <v>60993156418.92646</v>
      </c>
      <c r="V917" s="426"/>
      <c r="W917" s="97"/>
      <c r="X917" s="97"/>
      <c r="Y917" s="97"/>
      <c r="Z917" s="68"/>
      <c r="AA917" s="68"/>
      <c r="AB917" s="68"/>
      <c r="AC917" s="68"/>
      <c r="AD917" s="68"/>
    </row>
    <row r="918" spans="1:30" ht="17">
      <c r="A918" s="68"/>
      <c r="B918" s="68"/>
      <c r="C918" s="68"/>
      <c r="D918" s="415"/>
      <c r="E918" s="415"/>
      <c r="F918" s="415"/>
      <c r="G918" s="415"/>
      <c r="H918" s="415"/>
      <c r="I918" s="415"/>
      <c r="J918" s="415"/>
      <c r="K918" s="97"/>
      <c r="L918" s="97"/>
      <c r="M918" s="97"/>
      <c r="N918" s="97"/>
      <c r="O918" s="97"/>
      <c r="P918" s="97"/>
      <c r="Q918" s="97"/>
      <c r="R918" s="97"/>
      <c r="S918" s="97"/>
      <c r="T918" s="423">
        <v>915</v>
      </c>
      <c r="U918" s="424">
        <v>60550948893.874741</v>
      </c>
      <c r="V918" s="426"/>
      <c r="W918" s="97"/>
      <c r="X918" s="97"/>
      <c r="Y918" s="97"/>
      <c r="Z918" s="68"/>
      <c r="AA918" s="68"/>
      <c r="AB918" s="68"/>
      <c r="AC918" s="68"/>
      <c r="AD918" s="68"/>
    </row>
    <row r="919" spans="1:30" ht="17">
      <c r="A919" s="68"/>
      <c r="B919" s="68"/>
      <c r="C919" s="68"/>
      <c r="D919" s="415"/>
      <c r="E919" s="415"/>
      <c r="F919" s="415"/>
      <c r="G919" s="415"/>
      <c r="H919" s="415"/>
      <c r="I919" s="415"/>
      <c r="J919" s="415"/>
      <c r="K919" s="97"/>
      <c r="L919" s="97"/>
      <c r="M919" s="97"/>
      <c r="N919" s="97"/>
      <c r="O919" s="97"/>
      <c r="P919" s="97"/>
      <c r="Q919" s="97"/>
      <c r="R919" s="97"/>
      <c r="S919" s="97"/>
      <c r="T919" s="423">
        <v>916</v>
      </c>
      <c r="U919" s="424">
        <v>61719594923.340637</v>
      </c>
      <c r="V919" s="426"/>
      <c r="W919" s="97"/>
      <c r="X919" s="97"/>
      <c r="Y919" s="97"/>
      <c r="Z919" s="68"/>
      <c r="AA919" s="68"/>
      <c r="AB919" s="68"/>
      <c r="AC919" s="68"/>
      <c r="AD919" s="68"/>
    </row>
    <row r="920" spans="1:30" ht="17">
      <c r="A920" s="68"/>
      <c r="B920" s="68"/>
      <c r="C920" s="68"/>
      <c r="D920" s="415"/>
      <c r="E920" s="415"/>
      <c r="F920" s="415"/>
      <c r="G920" s="415"/>
      <c r="H920" s="415"/>
      <c r="I920" s="415"/>
      <c r="J920" s="415"/>
      <c r="K920" s="97"/>
      <c r="L920" s="97"/>
      <c r="M920" s="97"/>
      <c r="N920" s="97"/>
      <c r="O920" s="97"/>
      <c r="P920" s="97"/>
      <c r="Q920" s="97"/>
      <c r="R920" s="97"/>
      <c r="S920" s="97"/>
      <c r="T920" s="423">
        <v>917</v>
      </c>
      <c r="U920" s="424">
        <v>62446795233.78791</v>
      </c>
      <c r="V920" s="426"/>
      <c r="W920" s="97"/>
      <c r="X920" s="97"/>
      <c r="Y920" s="97"/>
      <c r="Z920" s="68"/>
      <c r="AA920" s="68"/>
      <c r="AB920" s="68"/>
      <c r="AC920" s="68"/>
      <c r="AD920" s="68"/>
    </row>
    <row r="921" spans="1:30" ht="17">
      <c r="A921" s="68"/>
      <c r="B921" s="68"/>
      <c r="C921" s="68"/>
      <c r="D921" s="415"/>
      <c r="E921" s="415"/>
      <c r="F921" s="415"/>
      <c r="G921" s="415"/>
      <c r="H921" s="415"/>
      <c r="I921" s="415"/>
      <c r="J921" s="415"/>
      <c r="K921" s="97"/>
      <c r="L921" s="97"/>
      <c r="M921" s="97"/>
      <c r="N921" s="97"/>
      <c r="O921" s="97"/>
      <c r="P921" s="97"/>
      <c r="Q921" s="97"/>
      <c r="R921" s="97"/>
      <c r="S921" s="97"/>
      <c r="T921" s="423">
        <v>918</v>
      </c>
      <c r="U921" s="424">
        <v>55705451585.315697</v>
      </c>
      <c r="V921" s="426"/>
      <c r="W921" s="97"/>
      <c r="X921" s="97"/>
      <c r="Y921" s="97"/>
      <c r="Z921" s="68"/>
      <c r="AA921" s="68"/>
      <c r="AB921" s="68"/>
      <c r="AC921" s="68"/>
      <c r="AD921" s="68"/>
    </row>
    <row r="922" spans="1:30" ht="17">
      <c r="A922" s="68"/>
      <c r="B922" s="68"/>
      <c r="C922" s="68"/>
      <c r="D922" s="415"/>
      <c r="E922" s="415"/>
      <c r="F922" s="415"/>
      <c r="G922" s="415"/>
      <c r="H922" s="415"/>
      <c r="I922" s="415"/>
      <c r="J922" s="415"/>
      <c r="K922" s="97"/>
      <c r="L922" s="97"/>
      <c r="M922" s="97"/>
      <c r="N922" s="97"/>
      <c r="O922" s="97"/>
      <c r="P922" s="97"/>
      <c r="Q922" s="97"/>
      <c r="R922" s="97"/>
      <c r="S922" s="97"/>
      <c r="T922" s="423">
        <v>919</v>
      </c>
      <c r="U922" s="424">
        <v>58038929355.005157</v>
      </c>
      <c r="V922" s="426"/>
      <c r="W922" s="97"/>
      <c r="X922" s="97"/>
      <c r="Y922" s="97"/>
      <c r="Z922" s="68"/>
      <c r="AA922" s="68"/>
      <c r="AB922" s="68"/>
      <c r="AC922" s="68"/>
      <c r="AD922" s="68"/>
    </row>
    <row r="923" spans="1:30" ht="17">
      <c r="A923" s="68"/>
      <c r="B923" s="68"/>
      <c r="C923" s="68"/>
      <c r="D923" s="415"/>
      <c r="E923" s="415"/>
      <c r="F923" s="415"/>
      <c r="G923" s="415"/>
      <c r="H923" s="415"/>
      <c r="I923" s="415"/>
      <c r="J923" s="415"/>
      <c r="K923" s="97"/>
      <c r="L923" s="97"/>
      <c r="M923" s="97"/>
      <c r="N923" s="97"/>
      <c r="O923" s="97"/>
      <c r="P923" s="97"/>
      <c r="Q923" s="97"/>
      <c r="R923" s="97"/>
      <c r="S923" s="97"/>
      <c r="T923" s="423">
        <v>920</v>
      </c>
      <c r="U923" s="424">
        <v>58579505467.295715</v>
      </c>
      <c r="V923" s="426"/>
      <c r="W923" s="97"/>
      <c r="X923" s="97"/>
      <c r="Y923" s="97"/>
      <c r="Z923" s="68"/>
      <c r="AA923" s="68"/>
      <c r="AB923" s="68"/>
      <c r="AC923" s="68"/>
      <c r="AD923" s="68"/>
    </row>
    <row r="924" spans="1:30" ht="17">
      <c r="A924" s="68"/>
      <c r="B924" s="68"/>
      <c r="C924" s="68"/>
      <c r="D924" s="415"/>
      <c r="E924" s="415"/>
      <c r="F924" s="415"/>
      <c r="G924" s="415"/>
      <c r="H924" s="415"/>
      <c r="I924" s="415"/>
      <c r="J924" s="415"/>
      <c r="K924" s="97"/>
      <c r="L924" s="97"/>
      <c r="M924" s="97"/>
      <c r="N924" s="97"/>
      <c r="O924" s="97"/>
      <c r="P924" s="97"/>
      <c r="Q924" s="97"/>
      <c r="R924" s="97"/>
      <c r="S924" s="97"/>
      <c r="T924" s="423">
        <v>921</v>
      </c>
      <c r="U924" s="424">
        <v>59135731546.775101</v>
      </c>
      <c r="V924" s="426"/>
      <c r="W924" s="97"/>
      <c r="X924" s="97"/>
      <c r="Y924" s="97"/>
      <c r="Z924" s="68"/>
      <c r="AA924" s="68"/>
      <c r="AB924" s="68"/>
      <c r="AC924" s="68"/>
      <c r="AD924" s="68"/>
    </row>
    <row r="925" spans="1:30" ht="17">
      <c r="A925" s="68"/>
      <c r="B925" s="68"/>
      <c r="C925" s="68"/>
      <c r="D925" s="415"/>
      <c r="E925" s="415"/>
      <c r="F925" s="415"/>
      <c r="G925" s="415"/>
      <c r="H925" s="415"/>
      <c r="I925" s="415"/>
      <c r="J925" s="415"/>
      <c r="K925" s="97"/>
      <c r="L925" s="97"/>
      <c r="M925" s="97"/>
      <c r="N925" s="97"/>
      <c r="O925" s="97"/>
      <c r="P925" s="97"/>
      <c r="Q925" s="97"/>
      <c r="R925" s="97"/>
      <c r="S925" s="97"/>
      <c r="T925" s="423">
        <v>922</v>
      </c>
      <c r="U925" s="424">
        <v>62322105360.544907</v>
      </c>
      <c r="V925" s="426"/>
      <c r="W925" s="97"/>
      <c r="X925" s="97"/>
      <c r="Y925" s="97"/>
      <c r="Z925" s="68"/>
      <c r="AA925" s="68"/>
      <c r="AB925" s="68"/>
      <c r="AC925" s="68"/>
      <c r="AD925" s="68"/>
    </row>
    <row r="926" spans="1:30" ht="17">
      <c r="A926" s="68"/>
      <c r="B926" s="68"/>
      <c r="C926" s="68"/>
      <c r="D926" s="415"/>
      <c r="E926" s="415"/>
      <c r="F926" s="415"/>
      <c r="G926" s="415"/>
      <c r="H926" s="415"/>
      <c r="I926" s="415"/>
      <c r="J926" s="415"/>
      <c r="K926" s="97"/>
      <c r="L926" s="97"/>
      <c r="M926" s="97"/>
      <c r="N926" s="97"/>
      <c r="O926" s="97"/>
      <c r="P926" s="97"/>
      <c r="Q926" s="97"/>
      <c r="R926" s="97"/>
      <c r="S926" s="97"/>
      <c r="T926" s="423">
        <v>923</v>
      </c>
      <c r="U926" s="424">
        <v>58607454073.967537</v>
      </c>
      <c r="V926" s="426"/>
      <c r="W926" s="97"/>
      <c r="X926" s="97"/>
      <c r="Y926" s="97"/>
      <c r="Z926" s="68"/>
      <c r="AA926" s="68"/>
      <c r="AB926" s="68"/>
      <c r="AC926" s="68"/>
      <c r="AD926" s="68"/>
    </row>
    <row r="927" spans="1:30" ht="17">
      <c r="A927" s="68"/>
      <c r="B927" s="68"/>
      <c r="C927" s="68"/>
      <c r="D927" s="415"/>
      <c r="E927" s="415"/>
      <c r="F927" s="415"/>
      <c r="G927" s="415"/>
      <c r="H927" s="415"/>
      <c r="I927" s="415"/>
      <c r="J927" s="415"/>
      <c r="K927" s="97"/>
      <c r="L927" s="97"/>
      <c r="M927" s="97"/>
      <c r="N927" s="97"/>
      <c r="O927" s="97"/>
      <c r="P927" s="97"/>
      <c r="Q927" s="97"/>
      <c r="R927" s="97"/>
      <c r="S927" s="97"/>
      <c r="T927" s="423">
        <v>924</v>
      </c>
      <c r="U927" s="424">
        <v>57499509894.619675</v>
      </c>
      <c r="V927" s="426"/>
      <c r="W927" s="97"/>
      <c r="X927" s="97"/>
      <c r="Y927" s="97"/>
      <c r="Z927" s="68"/>
      <c r="AA927" s="68"/>
      <c r="AB927" s="68"/>
      <c r="AC927" s="68"/>
      <c r="AD927" s="68"/>
    </row>
    <row r="928" spans="1:30" ht="17">
      <c r="A928" s="68"/>
      <c r="B928" s="68"/>
      <c r="C928" s="68"/>
      <c r="D928" s="415"/>
      <c r="E928" s="415"/>
      <c r="F928" s="415"/>
      <c r="G928" s="415"/>
      <c r="H928" s="415"/>
      <c r="I928" s="415"/>
      <c r="J928" s="415"/>
      <c r="K928" s="97"/>
      <c r="L928" s="97"/>
      <c r="M928" s="97"/>
      <c r="N928" s="97"/>
      <c r="O928" s="97"/>
      <c r="P928" s="97"/>
      <c r="Q928" s="97"/>
      <c r="R928" s="97"/>
      <c r="S928" s="97"/>
      <c r="T928" s="423">
        <v>925</v>
      </c>
      <c r="U928" s="424">
        <v>55815758016.619415</v>
      </c>
      <c r="V928" s="426"/>
      <c r="W928" s="97"/>
      <c r="X928" s="97"/>
      <c r="Y928" s="97"/>
      <c r="Z928" s="68"/>
      <c r="AA928" s="68"/>
      <c r="AB928" s="68"/>
      <c r="AC928" s="68"/>
      <c r="AD928" s="68"/>
    </row>
    <row r="929" spans="1:30" ht="17">
      <c r="A929" s="68"/>
      <c r="B929" s="68"/>
      <c r="C929" s="68"/>
      <c r="D929" s="415"/>
      <c r="E929" s="415"/>
      <c r="F929" s="415"/>
      <c r="G929" s="415"/>
      <c r="H929" s="415"/>
      <c r="I929" s="415"/>
      <c r="J929" s="415"/>
      <c r="K929" s="97"/>
      <c r="L929" s="97"/>
      <c r="M929" s="97"/>
      <c r="N929" s="97"/>
      <c r="O929" s="97"/>
      <c r="P929" s="97"/>
      <c r="Q929" s="97"/>
      <c r="R929" s="97"/>
      <c r="S929" s="97"/>
      <c r="T929" s="423">
        <v>926</v>
      </c>
      <c r="U929" s="424">
        <v>57461956489.077805</v>
      </c>
      <c r="V929" s="426"/>
      <c r="W929" s="97"/>
      <c r="X929" s="97"/>
      <c r="Y929" s="97"/>
      <c r="Z929" s="68"/>
      <c r="AA929" s="68"/>
      <c r="AB929" s="68"/>
      <c r="AC929" s="68"/>
      <c r="AD929" s="68"/>
    </row>
    <row r="930" spans="1:30" ht="17">
      <c r="A930" s="68"/>
      <c r="B930" s="68"/>
      <c r="C930" s="68"/>
      <c r="D930" s="415"/>
      <c r="E930" s="415"/>
      <c r="F930" s="415"/>
      <c r="G930" s="415"/>
      <c r="H930" s="415"/>
      <c r="I930" s="415"/>
      <c r="J930" s="415"/>
      <c r="K930" s="97"/>
      <c r="L930" s="97"/>
      <c r="M930" s="97"/>
      <c r="N930" s="97"/>
      <c r="O930" s="97"/>
      <c r="P930" s="97"/>
      <c r="Q930" s="97"/>
      <c r="R930" s="97"/>
      <c r="S930" s="97"/>
      <c r="T930" s="423">
        <v>927</v>
      </c>
      <c r="U930" s="424">
        <v>63464170217.077164</v>
      </c>
      <c r="V930" s="426"/>
      <c r="W930" s="97"/>
      <c r="X930" s="97"/>
      <c r="Y930" s="97"/>
      <c r="Z930" s="68"/>
      <c r="AA930" s="68"/>
      <c r="AB930" s="68"/>
      <c r="AC930" s="68"/>
      <c r="AD930" s="68"/>
    </row>
    <row r="931" spans="1:30" ht="17">
      <c r="A931" s="68"/>
      <c r="B931" s="68"/>
      <c r="C931" s="68"/>
      <c r="D931" s="415"/>
      <c r="E931" s="415"/>
      <c r="F931" s="415"/>
      <c r="G931" s="415"/>
      <c r="H931" s="415"/>
      <c r="I931" s="415"/>
      <c r="J931" s="415"/>
      <c r="K931" s="97"/>
      <c r="L931" s="97"/>
      <c r="M931" s="97"/>
      <c r="N931" s="97"/>
      <c r="O931" s="97"/>
      <c r="P931" s="97"/>
      <c r="Q931" s="97"/>
      <c r="R931" s="97"/>
      <c r="S931" s="97"/>
      <c r="T931" s="423">
        <v>928</v>
      </c>
      <c r="U931" s="424">
        <v>58539553936.361328</v>
      </c>
      <c r="V931" s="426"/>
      <c r="W931" s="97"/>
      <c r="X931" s="97"/>
      <c r="Y931" s="97"/>
      <c r="Z931" s="68"/>
      <c r="AA931" s="68"/>
      <c r="AB931" s="68"/>
      <c r="AC931" s="68"/>
      <c r="AD931" s="68"/>
    </row>
    <row r="932" spans="1:30" ht="17">
      <c r="A932" s="68"/>
      <c r="B932" s="68"/>
      <c r="C932" s="68"/>
      <c r="D932" s="415"/>
      <c r="E932" s="415"/>
      <c r="F932" s="415"/>
      <c r="G932" s="415"/>
      <c r="H932" s="415"/>
      <c r="I932" s="415"/>
      <c r="J932" s="415"/>
      <c r="K932" s="97"/>
      <c r="L932" s="97"/>
      <c r="M932" s="97"/>
      <c r="N932" s="97"/>
      <c r="O932" s="97"/>
      <c r="P932" s="97"/>
      <c r="Q932" s="97"/>
      <c r="R932" s="97"/>
      <c r="S932" s="97"/>
      <c r="T932" s="423">
        <v>929</v>
      </c>
      <c r="U932" s="424">
        <v>58266108866.412918</v>
      </c>
      <c r="V932" s="426"/>
      <c r="W932" s="97"/>
      <c r="X932" s="97"/>
      <c r="Y932" s="97"/>
      <c r="Z932" s="68"/>
      <c r="AA932" s="68"/>
      <c r="AB932" s="68"/>
      <c r="AC932" s="68"/>
      <c r="AD932" s="68"/>
    </row>
    <row r="933" spans="1:30" ht="17">
      <c r="A933" s="68"/>
      <c r="B933" s="68"/>
      <c r="C933" s="68"/>
      <c r="D933" s="415"/>
      <c r="E933" s="415"/>
      <c r="F933" s="415"/>
      <c r="G933" s="415"/>
      <c r="H933" s="415"/>
      <c r="I933" s="415"/>
      <c r="J933" s="415"/>
      <c r="K933" s="97"/>
      <c r="L933" s="97"/>
      <c r="M933" s="97"/>
      <c r="N933" s="97"/>
      <c r="O933" s="97"/>
      <c r="P933" s="97"/>
      <c r="Q933" s="97"/>
      <c r="R933" s="97"/>
      <c r="S933" s="97"/>
      <c r="T933" s="423">
        <v>930</v>
      </c>
      <c r="U933" s="424">
        <v>60754962783.241318</v>
      </c>
      <c r="V933" s="426"/>
      <c r="W933" s="97"/>
      <c r="X933" s="97"/>
      <c r="Y933" s="97"/>
      <c r="Z933" s="68"/>
      <c r="AA933" s="68"/>
      <c r="AB933" s="68"/>
      <c r="AC933" s="68"/>
      <c r="AD933" s="68"/>
    </row>
    <row r="934" spans="1:30" ht="17">
      <c r="A934" s="68"/>
      <c r="B934" s="68"/>
      <c r="C934" s="68"/>
      <c r="D934" s="415"/>
      <c r="E934" s="415"/>
      <c r="F934" s="415"/>
      <c r="G934" s="415"/>
      <c r="H934" s="415"/>
      <c r="I934" s="415"/>
      <c r="J934" s="415"/>
      <c r="K934" s="97"/>
      <c r="L934" s="97"/>
      <c r="M934" s="97"/>
      <c r="N934" s="97"/>
      <c r="O934" s="97"/>
      <c r="P934" s="97"/>
      <c r="Q934" s="97"/>
      <c r="R934" s="97"/>
      <c r="S934" s="97"/>
      <c r="T934" s="423">
        <v>931</v>
      </c>
      <c r="U934" s="424">
        <v>61159914936.025101</v>
      </c>
      <c r="V934" s="426"/>
      <c r="W934" s="97"/>
      <c r="X934" s="97"/>
      <c r="Y934" s="97"/>
      <c r="Z934" s="68"/>
      <c r="AA934" s="68"/>
      <c r="AB934" s="68"/>
      <c r="AC934" s="68"/>
      <c r="AD934" s="68"/>
    </row>
    <row r="935" spans="1:30" ht="17">
      <c r="A935" s="68"/>
      <c r="B935" s="68"/>
      <c r="C935" s="68"/>
      <c r="D935" s="415"/>
      <c r="E935" s="415"/>
      <c r="F935" s="415"/>
      <c r="G935" s="415"/>
      <c r="H935" s="415"/>
      <c r="I935" s="415"/>
      <c r="J935" s="415"/>
      <c r="K935" s="97"/>
      <c r="L935" s="97"/>
      <c r="M935" s="97"/>
      <c r="N935" s="97"/>
      <c r="O935" s="97"/>
      <c r="P935" s="97"/>
      <c r="Q935" s="97"/>
      <c r="R935" s="97"/>
      <c r="S935" s="97"/>
      <c r="T935" s="423">
        <v>932</v>
      </c>
      <c r="U935" s="424">
        <v>59010824736.623993</v>
      </c>
      <c r="V935" s="426"/>
      <c r="W935" s="97"/>
      <c r="X935" s="97"/>
      <c r="Y935" s="97"/>
      <c r="Z935" s="68"/>
      <c r="AA935" s="68"/>
      <c r="AB935" s="68"/>
      <c r="AC935" s="68"/>
      <c r="AD935" s="68"/>
    </row>
    <row r="936" spans="1:30" ht="17">
      <c r="A936" s="68"/>
      <c r="B936" s="68"/>
      <c r="C936" s="68"/>
      <c r="D936" s="415"/>
      <c r="E936" s="415"/>
      <c r="F936" s="415"/>
      <c r="G936" s="415"/>
      <c r="H936" s="415"/>
      <c r="I936" s="415"/>
      <c r="J936" s="415"/>
      <c r="K936" s="97"/>
      <c r="L936" s="97"/>
      <c r="M936" s="97"/>
      <c r="N936" s="97"/>
      <c r="O936" s="97"/>
      <c r="P936" s="97"/>
      <c r="Q936" s="97"/>
      <c r="R936" s="97"/>
      <c r="S936" s="97"/>
      <c r="T936" s="423">
        <v>933</v>
      </c>
      <c r="U936" s="424">
        <v>57249373153.665291</v>
      </c>
      <c r="V936" s="426"/>
      <c r="W936" s="97"/>
      <c r="X936" s="97"/>
      <c r="Y936" s="97"/>
      <c r="Z936" s="68"/>
      <c r="AA936" s="68"/>
      <c r="AB936" s="68"/>
      <c r="AC936" s="68"/>
      <c r="AD936" s="68"/>
    </row>
    <row r="937" spans="1:30" ht="17">
      <c r="A937" s="68"/>
      <c r="B937" s="68"/>
      <c r="C937" s="68"/>
      <c r="D937" s="415"/>
      <c r="E937" s="415"/>
      <c r="F937" s="415"/>
      <c r="G937" s="415"/>
      <c r="H937" s="415"/>
      <c r="I937" s="415"/>
      <c r="J937" s="415"/>
      <c r="K937" s="97"/>
      <c r="L937" s="97"/>
      <c r="M937" s="97"/>
      <c r="N937" s="97"/>
      <c r="O937" s="97"/>
      <c r="P937" s="97"/>
      <c r="Q937" s="97"/>
      <c r="R937" s="97"/>
      <c r="S937" s="97"/>
      <c r="T937" s="423">
        <v>934</v>
      </c>
      <c r="U937" s="424">
        <v>57293590226.701149</v>
      </c>
      <c r="V937" s="426"/>
      <c r="W937" s="97"/>
      <c r="X937" s="97"/>
      <c r="Y937" s="97"/>
      <c r="Z937" s="68"/>
      <c r="AA937" s="68"/>
      <c r="AB937" s="68"/>
      <c r="AC937" s="68"/>
      <c r="AD937" s="68"/>
    </row>
    <row r="938" spans="1:30" ht="17">
      <c r="A938" s="68"/>
      <c r="B938" s="68"/>
      <c r="C938" s="68"/>
      <c r="D938" s="415"/>
      <c r="E938" s="415"/>
      <c r="F938" s="415"/>
      <c r="G938" s="415"/>
      <c r="H938" s="415"/>
      <c r="I938" s="415"/>
      <c r="J938" s="415"/>
      <c r="K938" s="97"/>
      <c r="L938" s="97"/>
      <c r="M938" s="97"/>
      <c r="N938" s="97"/>
      <c r="O938" s="97"/>
      <c r="P938" s="97"/>
      <c r="Q938" s="97"/>
      <c r="R938" s="97"/>
      <c r="S938" s="97"/>
      <c r="T938" s="423">
        <v>935</v>
      </c>
      <c r="U938" s="424">
        <v>61416674011.42662</v>
      </c>
      <c r="V938" s="426"/>
      <c r="W938" s="97"/>
      <c r="X938" s="97"/>
      <c r="Y938" s="97"/>
      <c r="Z938" s="68"/>
      <c r="AA938" s="68"/>
      <c r="AB938" s="68"/>
      <c r="AC938" s="68"/>
      <c r="AD938" s="68"/>
    </row>
    <row r="939" spans="1:30" ht="17">
      <c r="A939" s="68"/>
      <c r="B939" s="68"/>
      <c r="C939" s="68"/>
      <c r="D939" s="415"/>
      <c r="E939" s="415"/>
      <c r="F939" s="415"/>
      <c r="G939" s="415"/>
      <c r="H939" s="415"/>
      <c r="I939" s="415"/>
      <c r="J939" s="415"/>
      <c r="K939" s="97"/>
      <c r="L939" s="97"/>
      <c r="M939" s="97"/>
      <c r="N939" s="97"/>
      <c r="O939" s="97"/>
      <c r="P939" s="97"/>
      <c r="Q939" s="97"/>
      <c r="R939" s="97"/>
      <c r="S939" s="97"/>
      <c r="T939" s="423">
        <v>936</v>
      </c>
      <c r="U939" s="424">
        <v>61103438654.077255</v>
      </c>
      <c r="V939" s="426"/>
      <c r="W939" s="97"/>
      <c r="X939" s="97"/>
      <c r="Y939" s="97"/>
      <c r="Z939" s="68"/>
      <c r="AA939" s="68"/>
      <c r="AB939" s="68"/>
      <c r="AC939" s="68"/>
      <c r="AD939" s="68"/>
    </row>
    <row r="940" spans="1:30" ht="17">
      <c r="A940" s="68"/>
      <c r="B940" s="68"/>
      <c r="C940" s="68"/>
      <c r="D940" s="415"/>
      <c r="E940" s="415"/>
      <c r="F940" s="415"/>
      <c r="G940" s="415"/>
      <c r="H940" s="415"/>
      <c r="I940" s="415"/>
      <c r="J940" s="415"/>
      <c r="K940" s="97"/>
      <c r="L940" s="97"/>
      <c r="M940" s="97"/>
      <c r="N940" s="97"/>
      <c r="O940" s="97"/>
      <c r="P940" s="97"/>
      <c r="Q940" s="97"/>
      <c r="R940" s="97"/>
      <c r="S940" s="97"/>
      <c r="T940" s="423">
        <v>937</v>
      </c>
      <c r="U940" s="424">
        <v>59807314610.905777</v>
      </c>
      <c r="V940" s="426"/>
      <c r="W940" s="97"/>
      <c r="X940" s="97"/>
      <c r="Y940" s="97"/>
      <c r="Z940" s="68"/>
      <c r="AA940" s="68"/>
      <c r="AB940" s="68"/>
      <c r="AC940" s="68"/>
      <c r="AD940" s="68"/>
    </row>
    <row r="941" spans="1:30" ht="17">
      <c r="A941" s="68"/>
      <c r="B941" s="68"/>
      <c r="C941" s="68"/>
      <c r="D941" s="415"/>
      <c r="E941" s="415"/>
      <c r="F941" s="415"/>
      <c r="G941" s="415"/>
      <c r="H941" s="415"/>
      <c r="I941" s="415"/>
      <c r="J941" s="415"/>
      <c r="K941" s="97"/>
      <c r="L941" s="97"/>
      <c r="M941" s="97"/>
      <c r="N941" s="97"/>
      <c r="O941" s="97"/>
      <c r="P941" s="97"/>
      <c r="Q941" s="97"/>
      <c r="R941" s="97"/>
      <c r="S941" s="97"/>
      <c r="T941" s="423">
        <v>938</v>
      </c>
      <c r="U941" s="424">
        <v>53554753016.63633</v>
      </c>
      <c r="V941" s="426"/>
      <c r="W941" s="97"/>
      <c r="X941" s="97"/>
      <c r="Y941" s="97"/>
      <c r="Z941" s="68"/>
      <c r="AA941" s="68"/>
      <c r="AB941" s="68"/>
      <c r="AC941" s="68"/>
      <c r="AD941" s="68"/>
    </row>
    <row r="942" spans="1:30" ht="17">
      <c r="A942" s="68"/>
      <c r="B942" s="68"/>
      <c r="C942" s="68"/>
      <c r="D942" s="415"/>
      <c r="E942" s="415"/>
      <c r="F942" s="415"/>
      <c r="G942" s="415"/>
      <c r="H942" s="415"/>
      <c r="I942" s="415"/>
      <c r="J942" s="415"/>
      <c r="K942" s="97"/>
      <c r="L942" s="97"/>
      <c r="M942" s="97"/>
      <c r="N942" s="97"/>
      <c r="O942" s="97"/>
      <c r="P942" s="97"/>
      <c r="Q942" s="97"/>
      <c r="R942" s="97"/>
      <c r="S942" s="97"/>
      <c r="T942" s="423">
        <v>939</v>
      </c>
      <c r="U942" s="424">
        <v>61680189660.223114</v>
      </c>
      <c r="V942" s="426"/>
      <c r="W942" s="97"/>
      <c r="X942" s="97"/>
      <c r="Y942" s="97"/>
      <c r="Z942" s="68"/>
      <c r="AA942" s="68"/>
      <c r="AB942" s="68"/>
      <c r="AC942" s="68"/>
      <c r="AD942" s="68"/>
    </row>
    <row r="943" spans="1:30" ht="17">
      <c r="A943" s="68"/>
      <c r="B943" s="68"/>
      <c r="C943" s="68"/>
      <c r="D943" s="415"/>
      <c r="E943" s="415"/>
      <c r="F943" s="415"/>
      <c r="G943" s="415"/>
      <c r="H943" s="415"/>
      <c r="I943" s="415"/>
      <c r="J943" s="415"/>
      <c r="K943" s="97"/>
      <c r="L943" s="97"/>
      <c r="M943" s="97"/>
      <c r="N943" s="97"/>
      <c r="O943" s="97"/>
      <c r="P943" s="97"/>
      <c r="Q943" s="97"/>
      <c r="R943" s="97"/>
      <c r="S943" s="97"/>
      <c r="T943" s="423">
        <v>940</v>
      </c>
      <c r="U943" s="424">
        <v>56589413645.883163</v>
      </c>
      <c r="V943" s="426"/>
      <c r="W943" s="97"/>
      <c r="X943" s="97"/>
      <c r="Y943" s="97"/>
      <c r="Z943" s="68"/>
      <c r="AA943" s="68"/>
      <c r="AB943" s="68"/>
      <c r="AC943" s="68"/>
      <c r="AD943" s="68"/>
    </row>
    <row r="944" spans="1:30" ht="17">
      <c r="A944" s="68"/>
      <c r="B944" s="68"/>
      <c r="C944" s="68"/>
      <c r="D944" s="415"/>
      <c r="E944" s="415"/>
      <c r="F944" s="415"/>
      <c r="G944" s="415"/>
      <c r="H944" s="415"/>
      <c r="I944" s="415"/>
      <c r="J944" s="415"/>
      <c r="K944" s="97"/>
      <c r="L944" s="97"/>
      <c r="M944" s="97"/>
      <c r="N944" s="97"/>
      <c r="O944" s="97"/>
      <c r="P944" s="97"/>
      <c r="Q944" s="97"/>
      <c r="R944" s="97"/>
      <c r="S944" s="97"/>
      <c r="T944" s="423">
        <v>941</v>
      </c>
      <c r="U944" s="424">
        <v>53132007532.342773</v>
      </c>
      <c r="V944" s="426"/>
      <c r="W944" s="97"/>
      <c r="X944" s="97"/>
      <c r="Y944" s="97"/>
      <c r="Z944" s="68"/>
      <c r="AA944" s="68"/>
      <c r="AB944" s="68"/>
      <c r="AC944" s="68"/>
      <c r="AD944" s="68"/>
    </row>
    <row r="945" spans="1:30" ht="17">
      <c r="A945" s="68"/>
      <c r="B945" s="68"/>
      <c r="C945" s="68"/>
      <c r="D945" s="415"/>
      <c r="E945" s="415"/>
      <c r="F945" s="415"/>
      <c r="G945" s="415"/>
      <c r="H945" s="415"/>
      <c r="I945" s="415"/>
      <c r="J945" s="415"/>
      <c r="K945" s="97"/>
      <c r="L945" s="97"/>
      <c r="M945" s="97"/>
      <c r="N945" s="97"/>
      <c r="O945" s="97"/>
      <c r="P945" s="97"/>
      <c r="Q945" s="97"/>
      <c r="R945" s="97"/>
      <c r="S945" s="97"/>
      <c r="T945" s="423">
        <v>942</v>
      </c>
      <c r="U945" s="424">
        <v>57116094874.406746</v>
      </c>
      <c r="V945" s="426"/>
      <c r="W945" s="97"/>
      <c r="X945" s="97"/>
      <c r="Y945" s="97"/>
      <c r="Z945" s="68"/>
      <c r="AA945" s="68"/>
      <c r="AB945" s="68"/>
      <c r="AC945" s="68"/>
      <c r="AD945" s="68"/>
    </row>
    <row r="946" spans="1:30" ht="17">
      <c r="A946" s="68"/>
      <c r="B946" s="68"/>
      <c r="C946" s="68"/>
      <c r="D946" s="415"/>
      <c r="E946" s="415"/>
      <c r="F946" s="415"/>
      <c r="G946" s="415"/>
      <c r="H946" s="415"/>
      <c r="I946" s="415"/>
      <c r="J946" s="415"/>
      <c r="K946" s="97"/>
      <c r="L946" s="97"/>
      <c r="M946" s="97"/>
      <c r="N946" s="97"/>
      <c r="O946" s="97"/>
      <c r="P946" s="97"/>
      <c r="Q946" s="97"/>
      <c r="R946" s="97"/>
      <c r="S946" s="97"/>
      <c r="T946" s="423">
        <v>943</v>
      </c>
      <c r="U946" s="424">
        <v>61073620252.912155</v>
      </c>
      <c r="V946" s="426"/>
      <c r="W946" s="97"/>
      <c r="X946" s="97"/>
      <c r="Y946" s="97"/>
      <c r="Z946" s="68"/>
      <c r="AA946" s="68"/>
      <c r="AB946" s="68"/>
      <c r="AC946" s="68"/>
      <c r="AD946" s="68"/>
    </row>
    <row r="947" spans="1:30" ht="17">
      <c r="A947" s="68"/>
      <c r="B947" s="68"/>
      <c r="C947" s="68"/>
      <c r="D947" s="415"/>
      <c r="E947" s="415"/>
      <c r="F947" s="415"/>
      <c r="G947" s="415"/>
      <c r="H947" s="415"/>
      <c r="I947" s="415"/>
      <c r="J947" s="415"/>
      <c r="K947" s="97"/>
      <c r="L947" s="97"/>
      <c r="M947" s="97"/>
      <c r="N947" s="97"/>
      <c r="O947" s="97"/>
      <c r="P947" s="97"/>
      <c r="Q947" s="97"/>
      <c r="R947" s="97"/>
      <c r="S947" s="97"/>
      <c r="T947" s="423">
        <v>944</v>
      </c>
      <c r="U947" s="424">
        <v>58722677012.946053</v>
      </c>
      <c r="V947" s="426"/>
      <c r="W947" s="97"/>
      <c r="X947" s="97"/>
      <c r="Y947" s="97"/>
      <c r="Z947" s="68"/>
      <c r="AA947" s="68"/>
      <c r="AB947" s="68"/>
      <c r="AC947" s="68"/>
      <c r="AD947" s="68"/>
    </row>
    <row r="948" spans="1:30" ht="17">
      <c r="A948" s="68"/>
      <c r="B948" s="68"/>
      <c r="C948" s="68"/>
      <c r="D948" s="415"/>
      <c r="E948" s="415"/>
      <c r="F948" s="415"/>
      <c r="G948" s="415"/>
      <c r="H948" s="415"/>
      <c r="I948" s="415"/>
      <c r="J948" s="415"/>
      <c r="K948" s="97"/>
      <c r="L948" s="97"/>
      <c r="M948" s="97"/>
      <c r="N948" s="97"/>
      <c r="O948" s="97"/>
      <c r="P948" s="97"/>
      <c r="Q948" s="97"/>
      <c r="R948" s="97"/>
      <c r="S948" s="97"/>
      <c r="T948" s="423">
        <v>945</v>
      </c>
      <c r="U948" s="424">
        <v>59657636062.927094</v>
      </c>
      <c r="V948" s="426"/>
      <c r="W948" s="97"/>
      <c r="X948" s="97"/>
      <c r="Y948" s="97"/>
      <c r="Z948" s="68"/>
      <c r="AA948" s="68"/>
      <c r="AB948" s="68"/>
      <c r="AC948" s="68"/>
      <c r="AD948" s="68"/>
    </row>
    <row r="949" spans="1:30" ht="17">
      <c r="A949" s="68"/>
      <c r="B949" s="68"/>
      <c r="C949" s="68"/>
      <c r="D949" s="415"/>
      <c r="E949" s="415"/>
      <c r="F949" s="415"/>
      <c r="G949" s="415"/>
      <c r="H949" s="415"/>
      <c r="I949" s="415"/>
      <c r="J949" s="415"/>
      <c r="K949" s="97"/>
      <c r="L949" s="97"/>
      <c r="M949" s="97"/>
      <c r="N949" s="97"/>
      <c r="O949" s="97"/>
      <c r="P949" s="97"/>
      <c r="Q949" s="97"/>
      <c r="R949" s="97"/>
      <c r="S949" s="97"/>
      <c r="T949" s="423">
        <v>946</v>
      </c>
      <c r="U949" s="424">
        <v>58943442539.451218</v>
      </c>
      <c r="V949" s="426"/>
      <c r="W949" s="97"/>
      <c r="X949" s="97"/>
      <c r="Y949" s="97"/>
      <c r="Z949" s="68"/>
      <c r="AA949" s="68"/>
      <c r="AB949" s="68"/>
      <c r="AC949" s="68"/>
      <c r="AD949" s="68"/>
    </row>
    <row r="950" spans="1:30" ht="17">
      <c r="A950" s="68"/>
      <c r="B950" s="68"/>
      <c r="C950" s="68"/>
      <c r="D950" s="415"/>
      <c r="E950" s="415"/>
      <c r="F950" s="415"/>
      <c r="G950" s="415"/>
      <c r="H950" s="415"/>
      <c r="I950" s="415"/>
      <c r="J950" s="415"/>
      <c r="K950" s="97"/>
      <c r="L950" s="97"/>
      <c r="M950" s="97"/>
      <c r="N950" s="97"/>
      <c r="O950" s="97"/>
      <c r="P950" s="97"/>
      <c r="Q950" s="97"/>
      <c r="R950" s="97"/>
      <c r="S950" s="97"/>
      <c r="T950" s="423">
        <v>947</v>
      </c>
      <c r="U950" s="424">
        <v>57533775179.107361</v>
      </c>
      <c r="V950" s="426"/>
      <c r="W950" s="97"/>
      <c r="X950" s="97"/>
      <c r="Y950" s="97"/>
      <c r="Z950" s="68"/>
      <c r="AA950" s="68"/>
      <c r="AB950" s="68"/>
      <c r="AC950" s="68"/>
      <c r="AD950" s="68"/>
    </row>
    <row r="951" spans="1:30" ht="17">
      <c r="A951" s="68"/>
      <c r="B951" s="68"/>
      <c r="C951" s="68"/>
      <c r="D951" s="415"/>
      <c r="E951" s="415"/>
      <c r="F951" s="415"/>
      <c r="G951" s="415"/>
      <c r="H951" s="415"/>
      <c r="I951" s="415"/>
      <c r="J951" s="415"/>
      <c r="K951" s="97"/>
      <c r="L951" s="97"/>
      <c r="M951" s="97"/>
      <c r="N951" s="97"/>
      <c r="O951" s="97"/>
      <c r="P951" s="97"/>
      <c r="Q951" s="97"/>
      <c r="R951" s="97"/>
      <c r="S951" s="97"/>
      <c r="T951" s="423">
        <v>948</v>
      </c>
      <c r="U951" s="424">
        <v>60407890242.903587</v>
      </c>
      <c r="V951" s="426"/>
      <c r="W951" s="97"/>
      <c r="X951" s="97"/>
      <c r="Y951" s="97"/>
      <c r="Z951" s="68"/>
      <c r="AA951" s="68"/>
      <c r="AB951" s="68"/>
      <c r="AC951" s="68"/>
      <c r="AD951" s="68"/>
    </row>
    <row r="952" spans="1:30" ht="17">
      <c r="A952" s="68"/>
      <c r="B952" s="68"/>
      <c r="C952" s="68"/>
      <c r="D952" s="415"/>
      <c r="E952" s="415"/>
      <c r="F952" s="415"/>
      <c r="G952" s="415"/>
      <c r="H952" s="415"/>
      <c r="I952" s="415"/>
      <c r="J952" s="415"/>
      <c r="K952" s="97"/>
      <c r="L952" s="97"/>
      <c r="M952" s="97"/>
      <c r="N952" s="97"/>
      <c r="O952" s="97"/>
      <c r="P952" s="97"/>
      <c r="Q952" s="97"/>
      <c r="R952" s="97"/>
      <c r="S952" s="97"/>
      <c r="T952" s="423">
        <v>949</v>
      </c>
      <c r="U952" s="424">
        <v>59501722534.398705</v>
      </c>
      <c r="V952" s="426"/>
      <c r="W952" s="97"/>
      <c r="X952" s="97"/>
      <c r="Y952" s="97"/>
      <c r="Z952" s="68"/>
      <c r="AA952" s="68"/>
      <c r="AB952" s="68"/>
      <c r="AC952" s="68"/>
      <c r="AD952" s="68"/>
    </row>
    <row r="953" spans="1:30" ht="17">
      <c r="A953" s="68"/>
      <c r="B953" s="68"/>
      <c r="C953" s="68"/>
      <c r="D953" s="415"/>
      <c r="E953" s="415"/>
      <c r="F953" s="415"/>
      <c r="G953" s="415"/>
      <c r="H953" s="415"/>
      <c r="I953" s="415"/>
      <c r="J953" s="415"/>
      <c r="K953" s="97"/>
      <c r="L953" s="97"/>
      <c r="M953" s="97"/>
      <c r="N953" s="97"/>
      <c r="O953" s="97"/>
      <c r="P953" s="97"/>
      <c r="Q953" s="97"/>
      <c r="R953" s="97"/>
      <c r="S953" s="97"/>
      <c r="T953" s="423">
        <v>950</v>
      </c>
      <c r="U953" s="424">
        <v>61574634212.80394</v>
      </c>
      <c r="V953" s="426"/>
      <c r="W953" s="97"/>
      <c r="X953" s="97"/>
      <c r="Y953" s="97"/>
      <c r="Z953" s="68"/>
      <c r="AA953" s="68"/>
      <c r="AB953" s="68"/>
      <c r="AC953" s="68"/>
      <c r="AD953" s="68"/>
    </row>
    <row r="954" spans="1:30" ht="17">
      <c r="A954" s="68"/>
      <c r="B954" s="68"/>
      <c r="C954" s="68"/>
      <c r="D954" s="415"/>
      <c r="E954" s="415"/>
      <c r="F954" s="415"/>
      <c r="G954" s="415"/>
      <c r="H954" s="415"/>
      <c r="I954" s="415"/>
      <c r="J954" s="415"/>
      <c r="K954" s="97"/>
      <c r="L954" s="97"/>
      <c r="M954" s="97"/>
      <c r="N954" s="97"/>
      <c r="O954" s="97"/>
      <c r="P954" s="97"/>
      <c r="Q954" s="97"/>
      <c r="R954" s="97"/>
      <c r="S954" s="97"/>
      <c r="T954" s="423">
        <v>951</v>
      </c>
      <c r="U954" s="424">
        <v>58096475979.534096</v>
      </c>
      <c r="V954" s="426"/>
      <c r="W954" s="97"/>
      <c r="X954" s="97"/>
      <c r="Y954" s="97"/>
      <c r="Z954" s="68"/>
      <c r="AA954" s="68"/>
      <c r="AB954" s="68"/>
      <c r="AC954" s="68"/>
      <c r="AD954" s="68"/>
    </row>
    <row r="955" spans="1:30" ht="17">
      <c r="A955" s="68"/>
      <c r="B955" s="68"/>
      <c r="C955" s="68"/>
      <c r="D955" s="415"/>
      <c r="E955" s="415"/>
      <c r="F955" s="415"/>
      <c r="G955" s="415"/>
      <c r="H955" s="415"/>
      <c r="I955" s="415"/>
      <c r="J955" s="415"/>
      <c r="K955" s="97"/>
      <c r="L955" s="97"/>
      <c r="M955" s="97"/>
      <c r="N955" s="97"/>
      <c r="O955" s="97"/>
      <c r="P955" s="97"/>
      <c r="Q955" s="97"/>
      <c r="R955" s="97"/>
      <c r="S955" s="97"/>
      <c r="T955" s="423">
        <v>952</v>
      </c>
      <c r="U955" s="424">
        <v>61096025241.09639</v>
      </c>
      <c r="V955" s="426"/>
      <c r="W955" s="97"/>
      <c r="X955" s="97"/>
      <c r="Y955" s="97"/>
      <c r="Z955" s="68"/>
      <c r="AA955" s="68"/>
      <c r="AB955" s="68"/>
      <c r="AC955" s="68"/>
      <c r="AD955" s="68"/>
    </row>
    <row r="956" spans="1:30" ht="17">
      <c r="A956" s="68"/>
      <c r="B956" s="68"/>
      <c r="C956" s="68"/>
      <c r="D956" s="415"/>
      <c r="E956" s="415"/>
      <c r="F956" s="415"/>
      <c r="G956" s="415"/>
      <c r="H956" s="415"/>
      <c r="I956" s="415"/>
      <c r="J956" s="415"/>
      <c r="K956" s="97"/>
      <c r="L956" s="97"/>
      <c r="M956" s="97"/>
      <c r="N956" s="97"/>
      <c r="O956" s="97"/>
      <c r="P956" s="97"/>
      <c r="Q956" s="97"/>
      <c r="R956" s="97"/>
      <c r="S956" s="97"/>
      <c r="T956" s="423">
        <v>953</v>
      </c>
      <c r="U956" s="424">
        <v>57911948640.745651</v>
      </c>
      <c r="V956" s="426"/>
      <c r="W956" s="97"/>
      <c r="X956" s="97"/>
      <c r="Y956" s="97"/>
      <c r="Z956" s="68"/>
      <c r="AA956" s="68"/>
      <c r="AB956" s="68"/>
      <c r="AC956" s="68"/>
      <c r="AD956" s="68"/>
    </row>
    <row r="957" spans="1:30" ht="17">
      <c r="A957" s="68"/>
      <c r="B957" s="68"/>
      <c r="C957" s="68"/>
      <c r="D957" s="415"/>
      <c r="E957" s="415"/>
      <c r="F957" s="415"/>
      <c r="G957" s="415"/>
      <c r="H957" s="415"/>
      <c r="I957" s="415"/>
      <c r="J957" s="415"/>
      <c r="K957" s="97"/>
      <c r="L957" s="97"/>
      <c r="M957" s="97"/>
      <c r="N957" s="97"/>
      <c r="O957" s="97"/>
      <c r="P957" s="97"/>
      <c r="Q957" s="97"/>
      <c r="R957" s="97"/>
      <c r="S957" s="97"/>
      <c r="T957" s="423">
        <v>954</v>
      </c>
      <c r="U957" s="424">
        <v>60736056187.924545</v>
      </c>
      <c r="V957" s="426"/>
      <c r="W957" s="97"/>
      <c r="X957" s="97"/>
      <c r="Y957" s="97"/>
      <c r="Z957" s="68"/>
      <c r="AA957" s="68"/>
      <c r="AB957" s="68"/>
      <c r="AC957" s="68"/>
      <c r="AD957" s="68"/>
    </row>
    <row r="958" spans="1:30" ht="17">
      <c r="A958" s="68"/>
      <c r="B958" s="68"/>
      <c r="C958" s="68"/>
      <c r="D958" s="415"/>
      <c r="E958" s="415"/>
      <c r="F958" s="415"/>
      <c r="G958" s="415"/>
      <c r="H958" s="415"/>
      <c r="I958" s="415"/>
      <c r="J958" s="415"/>
      <c r="K958" s="97"/>
      <c r="L958" s="97"/>
      <c r="M958" s="97"/>
      <c r="N958" s="97"/>
      <c r="O958" s="97"/>
      <c r="P958" s="97"/>
      <c r="Q958" s="97"/>
      <c r="R958" s="97"/>
      <c r="S958" s="97"/>
      <c r="T958" s="423">
        <v>955</v>
      </c>
      <c r="U958" s="424">
        <v>58676810168.394257</v>
      </c>
      <c r="V958" s="426"/>
      <c r="W958" s="97"/>
      <c r="X958" s="97"/>
      <c r="Y958" s="97"/>
      <c r="Z958" s="68"/>
      <c r="AA958" s="68"/>
      <c r="AB958" s="68"/>
      <c r="AC958" s="68"/>
      <c r="AD958" s="68"/>
    </row>
    <row r="959" spans="1:30" ht="17">
      <c r="A959" s="68"/>
      <c r="B959" s="68"/>
      <c r="C959" s="68"/>
      <c r="D959" s="415"/>
      <c r="E959" s="415"/>
      <c r="F959" s="415"/>
      <c r="G959" s="415"/>
      <c r="H959" s="415"/>
      <c r="I959" s="415"/>
      <c r="J959" s="415"/>
      <c r="K959" s="97"/>
      <c r="L959" s="97"/>
      <c r="M959" s="97"/>
      <c r="N959" s="97"/>
      <c r="O959" s="97"/>
      <c r="P959" s="97"/>
      <c r="Q959" s="97"/>
      <c r="R959" s="97"/>
      <c r="S959" s="97"/>
      <c r="T959" s="423">
        <v>956</v>
      </c>
      <c r="U959" s="424">
        <v>59108350458.832321</v>
      </c>
      <c r="V959" s="426"/>
      <c r="W959" s="97"/>
      <c r="X959" s="97"/>
      <c r="Y959" s="97"/>
      <c r="Z959" s="68"/>
      <c r="AA959" s="68"/>
      <c r="AB959" s="68"/>
      <c r="AC959" s="68"/>
      <c r="AD959" s="68"/>
    </row>
    <row r="960" spans="1:30" ht="17">
      <c r="A960" s="68"/>
      <c r="B960" s="68"/>
      <c r="C960" s="68"/>
      <c r="D960" s="415"/>
      <c r="E960" s="415"/>
      <c r="F960" s="415"/>
      <c r="G960" s="415"/>
      <c r="H960" s="415"/>
      <c r="I960" s="415"/>
      <c r="J960" s="415"/>
      <c r="K960" s="97"/>
      <c r="L960" s="97"/>
      <c r="M960" s="97"/>
      <c r="N960" s="97"/>
      <c r="O960" s="97"/>
      <c r="P960" s="97"/>
      <c r="Q960" s="97"/>
      <c r="R960" s="97"/>
      <c r="S960" s="97"/>
      <c r="T960" s="423">
        <v>957</v>
      </c>
      <c r="U960" s="424">
        <v>55164539099.813705</v>
      </c>
      <c r="V960" s="426"/>
      <c r="W960" s="97"/>
      <c r="X960" s="97"/>
      <c r="Y960" s="97"/>
      <c r="Z960" s="68"/>
      <c r="AA960" s="68"/>
      <c r="AB960" s="68"/>
      <c r="AC960" s="68"/>
      <c r="AD960" s="68"/>
    </row>
    <row r="961" spans="1:30" ht="17">
      <c r="A961" s="68"/>
      <c r="B961" s="68"/>
      <c r="C961" s="68"/>
      <c r="D961" s="415"/>
      <c r="E961" s="415"/>
      <c r="F961" s="415"/>
      <c r="G961" s="415"/>
      <c r="H961" s="415"/>
      <c r="I961" s="415"/>
      <c r="J961" s="415"/>
      <c r="K961" s="97"/>
      <c r="L961" s="97"/>
      <c r="M961" s="97"/>
      <c r="N961" s="97"/>
      <c r="O961" s="97"/>
      <c r="P961" s="97"/>
      <c r="Q961" s="97"/>
      <c r="R961" s="97"/>
      <c r="S961" s="97"/>
      <c r="T961" s="423">
        <v>958</v>
      </c>
      <c r="U961" s="424">
        <v>59047563167.076904</v>
      </c>
      <c r="V961" s="426"/>
      <c r="W961" s="97"/>
      <c r="X961" s="97"/>
      <c r="Y961" s="97"/>
      <c r="Z961" s="68"/>
      <c r="AA961" s="68"/>
      <c r="AB961" s="68"/>
      <c r="AC961" s="68"/>
      <c r="AD961" s="68"/>
    </row>
    <row r="962" spans="1:30" ht="17">
      <c r="A962" s="68"/>
      <c r="B962" s="68"/>
      <c r="C962" s="68"/>
      <c r="D962" s="415"/>
      <c r="E962" s="415"/>
      <c r="F962" s="415"/>
      <c r="G962" s="415"/>
      <c r="H962" s="415"/>
      <c r="I962" s="415"/>
      <c r="J962" s="415"/>
      <c r="K962" s="97"/>
      <c r="L962" s="97"/>
      <c r="M962" s="97"/>
      <c r="N962" s="97"/>
      <c r="O962" s="97"/>
      <c r="P962" s="97"/>
      <c r="Q962" s="97"/>
      <c r="R962" s="97"/>
      <c r="S962" s="97"/>
      <c r="T962" s="423">
        <v>959</v>
      </c>
      <c r="U962" s="424">
        <v>61201433491.499237</v>
      </c>
      <c r="V962" s="426"/>
      <c r="W962" s="97"/>
      <c r="X962" s="97"/>
      <c r="Y962" s="97"/>
      <c r="Z962" s="68"/>
      <c r="AA962" s="68"/>
      <c r="AB962" s="68"/>
      <c r="AC962" s="68"/>
      <c r="AD962" s="68"/>
    </row>
    <row r="963" spans="1:30" ht="17">
      <c r="A963" s="68"/>
      <c r="B963" s="68"/>
      <c r="C963" s="68"/>
      <c r="D963" s="415"/>
      <c r="E963" s="415"/>
      <c r="F963" s="415"/>
      <c r="G963" s="415"/>
      <c r="H963" s="415"/>
      <c r="I963" s="415"/>
      <c r="J963" s="415"/>
      <c r="K963" s="97"/>
      <c r="L963" s="97"/>
      <c r="M963" s="97"/>
      <c r="N963" s="97"/>
      <c r="O963" s="97"/>
      <c r="P963" s="97"/>
      <c r="Q963" s="97"/>
      <c r="R963" s="97"/>
      <c r="S963" s="97"/>
      <c r="T963" s="423">
        <v>960</v>
      </c>
      <c r="U963" s="424">
        <v>61613134137.864578</v>
      </c>
      <c r="V963" s="426"/>
      <c r="W963" s="97"/>
      <c r="X963" s="97"/>
      <c r="Y963" s="97"/>
      <c r="Z963" s="68"/>
      <c r="AA963" s="68"/>
      <c r="AB963" s="68"/>
      <c r="AC963" s="68"/>
      <c r="AD963" s="68"/>
    </row>
    <row r="964" spans="1:30" ht="17">
      <c r="A964" s="68"/>
      <c r="B964" s="68"/>
      <c r="C964" s="68"/>
      <c r="D964" s="415"/>
      <c r="E964" s="415"/>
      <c r="F964" s="415"/>
      <c r="G964" s="415"/>
      <c r="H964" s="415"/>
      <c r="I964" s="415"/>
      <c r="J964" s="415"/>
      <c r="K964" s="97"/>
      <c r="L964" s="97"/>
      <c r="M964" s="97"/>
      <c r="N964" s="97"/>
      <c r="O964" s="97"/>
      <c r="P964" s="97"/>
      <c r="Q964" s="97"/>
      <c r="R964" s="97"/>
      <c r="S964" s="97"/>
      <c r="T964" s="423">
        <v>961</v>
      </c>
      <c r="U964" s="424">
        <v>55990383975.79512</v>
      </c>
      <c r="V964" s="426"/>
      <c r="W964" s="97"/>
      <c r="X964" s="97"/>
      <c r="Y964" s="97"/>
      <c r="Z964" s="68"/>
      <c r="AA964" s="68"/>
      <c r="AB964" s="68"/>
      <c r="AC964" s="68"/>
      <c r="AD964" s="68"/>
    </row>
    <row r="965" spans="1:30" ht="17">
      <c r="A965" s="68"/>
      <c r="B965" s="68"/>
      <c r="C965" s="68"/>
      <c r="D965" s="415"/>
      <c r="E965" s="415"/>
      <c r="F965" s="415"/>
      <c r="G965" s="415"/>
      <c r="H965" s="415"/>
      <c r="I965" s="415"/>
      <c r="J965" s="415"/>
      <c r="K965" s="97"/>
      <c r="L965" s="97"/>
      <c r="M965" s="97"/>
      <c r="N965" s="97"/>
      <c r="O965" s="97"/>
      <c r="P965" s="97"/>
      <c r="Q965" s="97"/>
      <c r="R965" s="97"/>
      <c r="S965" s="97"/>
      <c r="T965" s="423">
        <v>962</v>
      </c>
      <c r="U965" s="424">
        <v>58032070924.300575</v>
      </c>
      <c r="V965" s="426"/>
      <c r="W965" s="97"/>
      <c r="X965" s="97"/>
      <c r="Y965" s="97"/>
      <c r="Z965" s="68"/>
      <c r="AA965" s="68"/>
      <c r="AB965" s="68"/>
      <c r="AC965" s="68"/>
      <c r="AD965" s="68"/>
    </row>
    <row r="966" spans="1:30" ht="17">
      <c r="A966" s="68"/>
      <c r="B966" s="68"/>
      <c r="C966" s="68"/>
      <c r="D966" s="415"/>
      <c r="E966" s="415"/>
      <c r="F966" s="415"/>
      <c r="G966" s="415"/>
      <c r="H966" s="415"/>
      <c r="I966" s="415"/>
      <c r="J966" s="415"/>
      <c r="K966" s="97"/>
      <c r="L966" s="97"/>
      <c r="M966" s="97"/>
      <c r="N966" s="97"/>
      <c r="O966" s="97"/>
      <c r="P966" s="97"/>
      <c r="Q966" s="97"/>
      <c r="R966" s="97"/>
      <c r="S966" s="97"/>
      <c r="T966" s="423">
        <v>963</v>
      </c>
      <c r="U966" s="424">
        <v>61256947391.174896</v>
      </c>
      <c r="V966" s="426"/>
      <c r="W966" s="97"/>
      <c r="X966" s="97"/>
      <c r="Y966" s="97"/>
      <c r="Z966" s="68"/>
      <c r="AA966" s="68"/>
      <c r="AB966" s="68"/>
      <c r="AC966" s="68"/>
      <c r="AD966" s="68"/>
    </row>
    <row r="967" spans="1:30" ht="17">
      <c r="A967" s="68"/>
      <c r="B967" s="68"/>
      <c r="C967" s="68"/>
      <c r="D967" s="415"/>
      <c r="E967" s="415"/>
      <c r="F967" s="415"/>
      <c r="G967" s="415"/>
      <c r="H967" s="415"/>
      <c r="I967" s="415"/>
      <c r="J967" s="415"/>
      <c r="K967" s="97"/>
      <c r="L967" s="97"/>
      <c r="M967" s="97"/>
      <c r="N967" s="97"/>
      <c r="O967" s="97"/>
      <c r="P967" s="97"/>
      <c r="Q967" s="97"/>
      <c r="R967" s="97"/>
      <c r="S967" s="97"/>
      <c r="T967" s="423">
        <v>964</v>
      </c>
      <c r="U967" s="424">
        <v>57902700057.03241</v>
      </c>
      <c r="V967" s="426"/>
      <c r="W967" s="97"/>
      <c r="X967" s="97"/>
      <c r="Y967" s="97"/>
      <c r="Z967" s="68"/>
      <c r="AA967" s="68"/>
      <c r="AB967" s="68"/>
      <c r="AC967" s="68"/>
      <c r="AD967" s="68"/>
    </row>
    <row r="968" spans="1:30" ht="17">
      <c r="A968" s="68"/>
      <c r="B968" s="68"/>
      <c r="C968" s="68"/>
      <c r="D968" s="415"/>
      <c r="E968" s="415"/>
      <c r="F968" s="415"/>
      <c r="G968" s="415"/>
      <c r="H968" s="415"/>
      <c r="I968" s="415"/>
      <c r="J968" s="415"/>
      <c r="K968" s="97"/>
      <c r="L968" s="97"/>
      <c r="M968" s="97"/>
      <c r="N968" s="97"/>
      <c r="O968" s="97"/>
      <c r="P968" s="97"/>
      <c r="Q968" s="97"/>
      <c r="R968" s="97"/>
      <c r="S968" s="97"/>
      <c r="T968" s="423">
        <v>965</v>
      </c>
      <c r="U968" s="424">
        <v>57384815050.207741</v>
      </c>
      <c r="V968" s="426"/>
      <c r="W968" s="97"/>
      <c r="X968" s="97"/>
      <c r="Y968" s="97"/>
      <c r="Z968" s="68"/>
      <c r="AA968" s="68"/>
      <c r="AB968" s="68"/>
      <c r="AC968" s="68"/>
      <c r="AD968" s="68"/>
    </row>
    <row r="969" spans="1:30" ht="17">
      <c r="A969" s="68"/>
      <c r="B969" s="68"/>
      <c r="C969" s="68"/>
      <c r="D969" s="415"/>
      <c r="E969" s="415"/>
      <c r="F969" s="415"/>
      <c r="G969" s="415"/>
      <c r="H969" s="415"/>
      <c r="I969" s="415"/>
      <c r="J969" s="415"/>
      <c r="K969" s="97"/>
      <c r="L969" s="97"/>
      <c r="M969" s="97"/>
      <c r="N969" s="97"/>
      <c r="O969" s="97"/>
      <c r="P969" s="97"/>
      <c r="Q969" s="97"/>
      <c r="R969" s="97"/>
      <c r="S969" s="97"/>
      <c r="T969" s="423">
        <v>966</v>
      </c>
      <c r="U969" s="424">
        <v>57476744718.380028</v>
      </c>
      <c r="V969" s="426"/>
      <c r="W969" s="97"/>
      <c r="X969" s="97"/>
      <c r="Y969" s="97"/>
      <c r="Z969" s="68"/>
      <c r="AA969" s="68"/>
      <c r="AB969" s="68"/>
      <c r="AC969" s="68"/>
      <c r="AD969" s="68"/>
    </row>
    <row r="970" spans="1:30" ht="17">
      <c r="A970" s="68"/>
      <c r="B970" s="68"/>
      <c r="C970" s="68"/>
      <c r="D970" s="415"/>
      <c r="E970" s="415"/>
      <c r="F970" s="415"/>
      <c r="G970" s="415"/>
      <c r="H970" s="415"/>
      <c r="I970" s="415"/>
      <c r="J970" s="415"/>
      <c r="K970" s="97"/>
      <c r="L970" s="97"/>
      <c r="M970" s="97"/>
      <c r="N970" s="97"/>
      <c r="O970" s="97"/>
      <c r="P970" s="97"/>
      <c r="Q970" s="97"/>
      <c r="R970" s="97"/>
      <c r="S970" s="97"/>
      <c r="T970" s="423">
        <v>967</v>
      </c>
      <c r="U970" s="424">
        <v>58075048025.612778</v>
      </c>
      <c r="V970" s="426"/>
      <c r="W970" s="97"/>
      <c r="X970" s="97"/>
      <c r="Y970" s="97"/>
      <c r="Z970" s="68"/>
      <c r="AA970" s="68"/>
      <c r="AB970" s="68"/>
      <c r="AC970" s="68"/>
      <c r="AD970" s="68"/>
    </row>
    <row r="971" spans="1:30" ht="17">
      <c r="A971" s="68"/>
      <c r="B971" s="68"/>
      <c r="C971" s="68"/>
      <c r="D971" s="415"/>
      <c r="E971" s="415"/>
      <c r="F971" s="415"/>
      <c r="G971" s="415"/>
      <c r="H971" s="415"/>
      <c r="I971" s="415"/>
      <c r="J971" s="415"/>
      <c r="K971" s="97"/>
      <c r="L971" s="97"/>
      <c r="M971" s="97"/>
      <c r="N971" s="97"/>
      <c r="O971" s="97"/>
      <c r="P971" s="97"/>
      <c r="Q971" s="97"/>
      <c r="R971" s="97"/>
      <c r="S971" s="97"/>
      <c r="T971" s="423">
        <v>968</v>
      </c>
      <c r="U971" s="424">
        <v>58873503266.08287</v>
      </c>
      <c r="V971" s="426"/>
      <c r="W971" s="97"/>
      <c r="X971" s="97"/>
      <c r="Y971" s="97"/>
      <c r="Z971" s="68"/>
      <c r="AA971" s="68"/>
      <c r="AB971" s="68"/>
      <c r="AC971" s="68"/>
      <c r="AD971" s="68"/>
    </row>
    <row r="972" spans="1:30" ht="17">
      <c r="A972" s="68"/>
      <c r="B972" s="68"/>
      <c r="C972" s="68"/>
      <c r="D972" s="415"/>
      <c r="E972" s="415"/>
      <c r="F972" s="415"/>
      <c r="G972" s="415"/>
      <c r="H972" s="415"/>
      <c r="I972" s="415"/>
      <c r="J972" s="415"/>
      <c r="K972" s="97"/>
      <c r="L972" s="97"/>
      <c r="M972" s="97"/>
      <c r="N972" s="97"/>
      <c r="O972" s="97"/>
      <c r="P972" s="97"/>
      <c r="Q972" s="97"/>
      <c r="R972" s="97"/>
      <c r="S972" s="97"/>
      <c r="T972" s="423">
        <v>969</v>
      </c>
      <c r="U972" s="424">
        <v>55637621044.53891</v>
      </c>
      <c r="V972" s="426"/>
      <c r="W972" s="97"/>
      <c r="X972" s="97"/>
      <c r="Y972" s="97"/>
      <c r="Z972" s="68"/>
      <c r="AA972" s="68"/>
      <c r="AB972" s="68"/>
      <c r="AC972" s="68"/>
      <c r="AD972" s="68"/>
    </row>
    <row r="973" spans="1:30" ht="17">
      <c r="A973" s="68"/>
      <c r="B973" s="68"/>
      <c r="C973" s="68"/>
      <c r="D973" s="415"/>
      <c r="E973" s="415"/>
      <c r="F973" s="415"/>
      <c r="G973" s="415"/>
      <c r="H973" s="415"/>
      <c r="I973" s="415"/>
      <c r="J973" s="415"/>
      <c r="K973" s="97"/>
      <c r="L973" s="97"/>
      <c r="M973" s="97"/>
      <c r="N973" s="97"/>
      <c r="O973" s="97"/>
      <c r="P973" s="97"/>
      <c r="Q973" s="97"/>
      <c r="R973" s="97"/>
      <c r="S973" s="97"/>
      <c r="T973" s="423">
        <v>970</v>
      </c>
      <c r="U973" s="424">
        <v>60258437747.642441</v>
      </c>
      <c r="V973" s="426"/>
      <c r="W973" s="97"/>
      <c r="X973" s="97"/>
      <c r="Y973" s="97"/>
      <c r="Z973" s="68"/>
      <c r="AA973" s="68"/>
      <c r="AB973" s="68"/>
      <c r="AC973" s="68"/>
      <c r="AD973" s="68"/>
    </row>
    <row r="974" spans="1:30" ht="17">
      <c r="A974" s="68"/>
      <c r="B974" s="68"/>
      <c r="C974" s="68"/>
      <c r="D974" s="415"/>
      <c r="E974" s="415"/>
      <c r="F974" s="415"/>
      <c r="G974" s="415"/>
      <c r="H974" s="415"/>
      <c r="I974" s="415"/>
      <c r="J974" s="415"/>
      <c r="K974" s="97"/>
      <c r="L974" s="97"/>
      <c r="M974" s="97"/>
      <c r="N974" s="97"/>
      <c r="O974" s="97"/>
      <c r="P974" s="97"/>
      <c r="Q974" s="97"/>
      <c r="R974" s="97"/>
      <c r="S974" s="97"/>
      <c r="T974" s="423">
        <v>971</v>
      </c>
      <c r="U974" s="424">
        <v>59404286314.320358</v>
      </c>
      <c r="V974" s="426"/>
      <c r="W974" s="97"/>
      <c r="X974" s="97"/>
      <c r="Y974" s="97"/>
      <c r="Z974" s="68"/>
      <c r="AA974" s="68"/>
      <c r="AB974" s="68"/>
      <c r="AC974" s="68"/>
      <c r="AD974" s="68"/>
    </row>
    <row r="975" spans="1:30" ht="17">
      <c r="A975" s="68"/>
      <c r="B975" s="68"/>
      <c r="C975" s="68"/>
      <c r="D975" s="415"/>
      <c r="E975" s="415"/>
      <c r="F975" s="415"/>
      <c r="G975" s="415"/>
      <c r="H975" s="415"/>
      <c r="I975" s="415"/>
      <c r="J975" s="415"/>
      <c r="K975" s="97"/>
      <c r="L975" s="97"/>
      <c r="M975" s="97"/>
      <c r="N975" s="97"/>
      <c r="O975" s="97"/>
      <c r="P975" s="97"/>
      <c r="Q975" s="97"/>
      <c r="R975" s="97"/>
      <c r="S975" s="97"/>
      <c r="T975" s="423">
        <v>972</v>
      </c>
      <c r="U975" s="424">
        <v>57745502347.564774</v>
      </c>
      <c r="V975" s="426"/>
      <c r="W975" s="97"/>
      <c r="X975" s="97"/>
      <c r="Y975" s="97"/>
      <c r="Z975" s="68"/>
      <c r="AA975" s="68"/>
      <c r="AB975" s="68"/>
      <c r="AC975" s="68"/>
      <c r="AD975" s="68"/>
    </row>
    <row r="976" spans="1:30" ht="17">
      <c r="A976" s="68"/>
      <c r="B976" s="68"/>
      <c r="C976" s="68"/>
      <c r="D976" s="415"/>
      <c r="E976" s="415"/>
      <c r="F976" s="415"/>
      <c r="G976" s="415"/>
      <c r="H976" s="415"/>
      <c r="I976" s="415"/>
      <c r="J976" s="415"/>
      <c r="K976" s="97"/>
      <c r="L976" s="97"/>
      <c r="M976" s="97"/>
      <c r="N976" s="97"/>
      <c r="O976" s="97"/>
      <c r="P976" s="97"/>
      <c r="Q976" s="97"/>
      <c r="R976" s="97"/>
      <c r="S976" s="97"/>
      <c r="T976" s="423">
        <v>973</v>
      </c>
      <c r="U976" s="424">
        <v>61453286993.578857</v>
      </c>
      <c r="V976" s="426"/>
      <c r="W976" s="97"/>
      <c r="X976" s="97"/>
      <c r="Y976" s="97"/>
      <c r="Z976" s="68"/>
      <c r="AA976" s="68"/>
      <c r="AB976" s="68"/>
      <c r="AC976" s="68"/>
      <c r="AD976" s="68"/>
    </row>
    <row r="977" spans="1:30" ht="17">
      <c r="A977" s="68"/>
      <c r="B977" s="68"/>
      <c r="C977" s="68"/>
      <c r="D977" s="415"/>
      <c r="E977" s="415"/>
      <c r="F977" s="415"/>
      <c r="G977" s="415"/>
      <c r="H977" s="415"/>
      <c r="I977" s="415"/>
      <c r="J977" s="415"/>
      <c r="K977" s="97"/>
      <c r="L977" s="97"/>
      <c r="M977" s="97"/>
      <c r="N977" s="97"/>
      <c r="O977" s="97"/>
      <c r="P977" s="97"/>
      <c r="Q977" s="97"/>
      <c r="R977" s="97"/>
      <c r="S977" s="97"/>
      <c r="T977" s="423">
        <v>974</v>
      </c>
      <c r="U977" s="424">
        <v>57133592334.916412</v>
      </c>
      <c r="V977" s="426"/>
      <c r="W977" s="97"/>
      <c r="X977" s="97"/>
      <c r="Y977" s="97"/>
      <c r="Z977" s="68"/>
      <c r="AA977" s="68"/>
      <c r="AB977" s="68"/>
      <c r="AC977" s="68"/>
      <c r="AD977" s="68"/>
    </row>
    <row r="978" spans="1:30" ht="17">
      <c r="A978" s="68"/>
      <c r="B978" s="68"/>
      <c r="C978" s="68"/>
      <c r="D978" s="415"/>
      <c r="E978" s="415"/>
      <c r="F978" s="415"/>
      <c r="G978" s="415"/>
      <c r="H978" s="415"/>
      <c r="I978" s="415"/>
      <c r="J978" s="415"/>
      <c r="K978" s="97"/>
      <c r="L978" s="97"/>
      <c r="M978" s="97"/>
      <c r="N978" s="97"/>
      <c r="O978" s="97"/>
      <c r="P978" s="97"/>
      <c r="Q978" s="97"/>
      <c r="R978" s="97"/>
      <c r="S978" s="97"/>
      <c r="T978" s="423">
        <v>975</v>
      </c>
      <c r="U978" s="424">
        <v>57296177544.503952</v>
      </c>
      <c r="V978" s="426"/>
      <c r="W978" s="97"/>
      <c r="X978" s="97"/>
      <c r="Y978" s="97"/>
      <c r="Z978" s="68"/>
      <c r="AA978" s="68"/>
      <c r="AB978" s="68"/>
      <c r="AC978" s="68"/>
      <c r="AD978" s="68"/>
    </row>
    <row r="979" spans="1:30" ht="17">
      <c r="A979" s="68"/>
      <c r="B979" s="68"/>
      <c r="C979" s="68"/>
      <c r="D979" s="415"/>
      <c r="E979" s="415"/>
      <c r="F979" s="415"/>
      <c r="G979" s="415"/>
      <c r="H979" s="415"/>
      <c r="I979" s="415"/>
      <c r="J979" s="415"/>
      <c r="K979" s="97"/>
      <c r="L979" s="97"/>
      <c r="M979" s="97"/>
      <c r="N979" s="97"/>
      <c r="O979" s="97"/>
      <c r="P979" s="97"/>
      <c r="Q979" s="97"/>
      <c r="R979" s="97"/>
      <c r="S979" s="97"/>
      <c r="T979" s="423">
        <v>976</v>
      </c>
      <c r="U979" s="424">
        <v>59240261737.842316</v>
      </c>
      <c r="V979" s="426"/>
      <c r="W979" s="97"/>
      <c r="X979" s="97"/>
      <c r="Y979" s="97"/>
      <c r="Z979" s="68"/>
      <c r="AA979" s="68"/>
      <c r="AB979" s="68"/>
      <c r="AC979" s="68"/>
      <c r="AD979" s="68"/>
    </row>
    <row r="980" spans="1:30" ht="17">
      <c r="A980" s="68"/>
      <c r="B980" s="68"/>
      <c r="C980" s="68"/>
      <c r="D980" s="415"/>
      <c r="E980" s="415"/>
      <c r="F980" s="415"/>
      <c r="G980" s="415"/>
      <c r="H980" s="415"/>
      <c r="I980" s="415"/>
      <c r="J980" s="415"/>
      <c r="K980" s="97"/>
      <c r="L980" s="97"/>
      <c r="M980" s="97"/>
      <c r="N980" s="97"/>
      <c r="O980" s="97"/>
      <c r="P980" s="97"/>
      <c r="Q980" s="97"/>
      <c r="R980" s="97"/>
      <c r="S980" s="97"/>
      <c r="T980" s="423">
        <v>977</v>
      </c>
      <c r="U980" s="424">
        <v>62359992796.231339</v>
      </c>
      <c r="V980" s="426"/>
      <c r="W980" s="97"/>
      <c r="X980" s="97"/>
      <c r="Y980" s="97"/>
      <c r="Z980" s="68"/>
      <c r="AA980" s="68"/>
      <c r="AB980" s="68"/>
      <c r="AC980" s="68"/>
      <c r="AD980" s="68"/>
    </row>
    <row r="981" spans="1:30" ht="17">
      <c r="A981" s="68"/>
      <c r="B981" s="68"/>
      <c r="C981" s="68"/>
      <c r="D981" s="415"/>
      <c r="E981" s="415"/>
      <c r="F981" s="415"/>
      <c r="G981" s="415"/>
      <c r="H981" s="415"/>
      <c r="I981" s="415"/>
      <c r="J981" s="415"/>
      <c r="K981" s="97"/>
      <c r="L981" s="97"/>
      <c r="M981" s="97"/>
      <c r="N981" s="97"/>
      <c r="O981" s="97"/>
      <c r="P981" s="97"/>
      <c r="Q981" s="97"/>
      <c r="R981" s="97"/>
      <c r="S981" s="97"/>
      <c r="T981" s="423">
        <v>978</v>
      </c>
      <c r="U981" s="424">
        <v>57529193006.086578</v>
      </c>
      <c r="V981" s="426"/>
      <c r="W981" s="97"/>
      <c r="X981" s="97"/>
      <c r="Y981" s="97"/>
      <c r="Z981" s="68"/>
      <c r="AA981" s="68"/>
      <c r="AB981" s="68"/>
      <c r="AC981" s="68"/>
      <c r="AD981" s="68"/>
    </row>
    <row r="982" spans="1:30" ht="17">
      <c r="A982" s="68"/>
      <c r="B982" s="68"/>
      <c r="C982" s="68"/>
      <c r="D982" s="415"/>
      <c r="E982" s="415"/>
      <c r="F982" s="415"/>
      <c r="G982" s="415"/>
      <c r="H982" s="415"/>
      <c r="I982" s="415"/>
      <c r="J982" s="415"/>
      <c r="K982" s="97"/>
      <c r="L982" s="97"/>
      <c r="M982" s="97"/>
      <c r="N982" s="97"/>
      <c r="O982" s="97"/>
      <c r="P982" s="97"/>
      <c r="Q982" s="97"/>
      <c r="R982" s="97"/>
      <c r="S982" s="97"/>
      <c r="T982" s="423">
        <v>979</v>
      </c>
      <c r="U982" s="424">
        <v>57645534696.631851</v>
      </c>
      <c r="V982" s="426"/>
      <c r="W982" s="97"/>
      <c r="X982" s="97"/>
      <c r="Y982" s="97"/>
      <c r="Z982" s="68"/>
      <c r="AA982" s="68"/>
      <c r="AB982" s="68"/>
      <c r="AC982" s="68"/>
      <c r="AD982" s="68"/>
    </row>
    <row r="983" spans="1:30" ht="17">
      <c r="A983" s="68"/>
      <c r="B983" s="68"/>
      <c r="C983" s="68"/>
      <c r="D983" s="415"/>
      <c r="E983" s="415"/>
      <c r="F983" s="415"/>
      <c r="G983" s="415"/>
      <c r="H983" s="415"/>
      <c r="I983" s="415"/>
      <c r="J983" s="415"/>
      <c r="K983" s="97"/>
      <c r="L983" s="97"/>
      <c r="M983" s="97"/>
      <c r="N983" s="97"/>
      <c r="O983" s="97"/>
      <c r="P983" s="97"/>
      <c r="Q983" s="97"/>
      <c r="R983" s="97"/>
      <c r="S983" s="97"/>
      <c r="T983" s="423">
        <v>980</v>
      </c>
      <c r="U983" s="424">
        <v>56600437069.453766</v>
      </c>
      <c r="V983" s="426"/>
      <c r="W983" s="97"/>
      <c r="X983" s="97"/>
      <c r="Y983" s="97"/>
      <c r="Z983" s="68"/>
      <c r="AA983" s="68"/>
      <c r="AB983" s="68"/>
      <c r="AC983" s="68"/>
      <c r="AD983" s="68"/>
    </row>
    <row r="984" spans="1:30" ht="17">
      <c r="A984" s="68"/>
      <c r="B984" s="68"/>
      <c r="C984" s="68"/>
      <c r="D984" s="415"/>
      <c r="E984" s="415"/>
      <c r="F984" s="415"/>
      <c r="G984" s="415"/>
      <c r="H984" s="415"/>
      <c r="I984" s="415"/>
      <c r="J984" s="415"/>
      <c r="K984" s="97"/>
      <c r="L984" s="97"/>
      <c r="M984" s="97"/>
      <c r="N984" s="97"/>
      <c r="O984" s="97"/>
      <c r="P984" s="97"/>
      <c r="Q984" s="97"/>
      <c r="R984" s="97"/>
      <c r="S984" s="97"/>
      <c r="T984" s="423">
        <v>981</v>
      </c>
      <c r="U984" s="424">
        <v>58868736859.128426</v>
      </c>
      <c r="V984" s="426"/>
      <c r="W984" s="97"/>
      <c r="X984" s="97"/>
      <c r="Y984" s="97"/>
      <c r="Z984" s="68"/>
      <c r="AA984" s="68"/>
      <c r="AB984" s="68"/>
      <c r="AC984" s="68"/>
      <c r="AD984" s="68"/>
    </row>
    <row r="985" spans="1:30" ht="17">
      <c r="A985" s="68"/>
      <c r="B985" s="68"/>
      <c r="C985" s="68"/>
      <c r="D985" s="415"/>
      <c r="E985" s="415"/>
      <c r="F985" s="415"/>
      <c r="G985" s="415"/>
      <c r="H985" s="415"/>
      <c r="I985" s="415"/>
      <c r="J985" s="415"/>
      <c r="K985" s="97"/>
      <c r="L985" s="97"/>
      <c r="M985" s="97"/>
      <c r="N985" s="97"/>
      <c r="O985" s="97"/>
      <c r="P985" s="97"/>
      <c r="Q985" s="97"/>
      <c r="R985" s="97"/>
      <c r="S985" s="97"/>
      <c r="T985" s="423">
        <v>982</v>
      </c>
      <c r="U985" s="424">
        <v>57771288401.333817</v>
      </c>
      <c r="V985" s="426"/>
      <c r="W985" s="97"/>
      <c r="X985" s="97"/>
      <c r="Y985" s="97"/>
      <c r="Z985" s="68"/>
      <c r="AA985" s="68"/>
      <c r="AB985" s="68"/>
      <c r="AC985" s="68"/>
      <c r="AD985" s="68"/>
    </row>
    <row r="986" spans="1:30" ht="17">
      <c r="A986" s="68"/>
      <c r="B986" s="68"/>
      <c r="C986" s="68"/>
      <c r="D986" s="415"/>
      <c r="E986" s="415"/>
      <c r="F986" s="415"/>
      <c r="G986" s="415"/>
      <c r="H986" s="415"/>
      <c r="I986" s="415"/>
      <c r="J986" s="415"/>
      <c r="K986" s="97"/>
      <c r="L986" s="97"/>
      <c r="M986" s="97"/>
      <c r="N986" s="97"/>
      <c r="O986" s="97"/>
      <c r="P986" s="97"/>
      <c r="Q986" s="97"/>
      <c r="R986" s="97"/>
      <c r="S986" s="97"/>
      <c r="T986" s="423">
        <v>983</v>
      </c>
      <c r="U986" s="424">
        <v>61093109449.452225</v>
      </c>
      <c r="V986" s="426"/>
      <c r="W986" s="97"/>
      <c r="X986" s="97"/>
      <c r="Y986" s="97"/>
      <c r="Z986" s="68"/>
      <c r="AA986" s="68"/>
      <c r="AB986" s="68"/>
      <c r="AC986" s="68"/>
      <c r="AD986" s="68"/>
    </row>
    <row r="987" spans="1:30" ht="17">
      <c r="A987" s="68"/>
      <c r="B987" s="68"/>
      <c r="C987" s="68"/>
      <c r="D987" s="415"/>
      <c r="E987" s="415"/>
      <c r="F987" s="415"/>
      <c r="G987" s="415"/>
      <c r="H987" s="415"/>
      <c r="I987" s="415"/>
      <c r="J987" s="415"/>
      <c r="K987" s="97"/>
      <c r="L987" s="97"/>
      <c r="M987" s="97"/>
      <c r="N987" s="97"/>
      <c r="O987" s="97"/>
      <c r="P987" s="97"/>
      <c r="Q987" s="97"/>
      <c r="R987" s="97"/>
      <c r="S987" s="97"/>
      <c r="T987" s="423">
        <v>984</v>
      </c>
      <c r="U987" s="424">
        <v>59635280269.647095</v>
      </c>
      <c r="V987" s="426"/>
      <c r="W987" s="97"/>
      <c r="X987" s="97"/>
      <c r="Y987" s="97"/>
      <c r="Z987" s="68"/>
      <c r="AA987" s="68"/>
      <c r="AB987" s="68"/>
      <c r="AC987" s="68"/>
      <c r="AD987" s="68"/>
    </row>
    <row r="988" spans="1:30" ht="17">
      <c r="A988" s="68"/>
      <c r="B988" s="68"/>
      <c r="C988" s="68"/>
      <c r="D988" s="415"/>
      <c r="E988" s="415"/>
      <c r="F988" s="415"/>
      <c r="G988" s="415"/>
      <c r="H988" s="415"/>
      <c r="I988" s="415"/>
      <c r="J988" s="415"/>
      <c r="K988" s="97"/>
      <c r="L988" s="97"/>
      <c r="M988" s="97"/>
      <c r="N988" s="97"/>
      <c r="O988" s="97"/>
      <c r="P988" s="97"/>
      <c r="Q988" s="97"/>
      <c r="R988" s="97"/>
      <c r="S988" s="97"/>
      <c r="T988" s="423">
        <v>985</v>
      </c>
      <c r="U988" s="424">
        <v>59061429220.492874</v>
      </c>
      <c r="V988" s="426"/>
      <c r="W988" s="97"/>
      <c r="X988" s="97"/>
      <c r="Y988" s="97"/>
      <c r="Z988" s="68"/>
      <c r="AA988" s="68"/>
      <c r="AB988" s="68"/>
      <c r="AC988" s="68"/>
      <c r="AD988" s="68"/>
    </row>
    <row r="989" spans="1:30" ht="17">
      <c r="A989" s="68"/>
      <c r="B989" s="68"/>
      <c r="C989" s="68"/>
      <c r="D989" s="415"/>
      <c r="E989" s="415"/>
      <c r="F989" s="415"/>
      <c r="G989" s="415"/>
      <c r="H989" s="415"/>
      <c r="I989" s="415"/>
      <c r="J989" s="415"/>
      <c r="K989" s="97"/>
      <c r="L989" s="97"/>
      <c r="M989" s="97"/>
      <c r="N989" s="97"/>
      <c r="O989" s="97"/>
      <c r="P989" s="97"/>
      <c r="Q989" s="97"/>
      <c r="R989" s="97"/>
      <c r="S989" s="97"/>
      <c r="T989" s="423">
        <v>986</v>
      </c>
      <c r="U989" s="424">
        <v>58917245586.005814</v>
      </c>
      <c r="V989" s="426"/>
      <c r="W989" s="97"/>
      <c r="X989" s="97"/>
      <c r="Y989" s="97"/>
      <c r="Z989" s="68"/>
      <c r="AA989" s="68"/>
      <c r="AB989" s="68"/>
      <c r="AC989" s="68"/>
      <c r="AD989" s="68"/>
    </row>
    <row r="990" spans="1:30" ht="17">
      <c r="A990" s="68"/>
      <c r="B990" s="68"/>
      <c r="C990" s="68"/>
      <c r="D990" s="415"/>
      <c r="E990" s="415"/>
      <c r="F990" s="415"/>
      <c r="G990" s="415"/>
      <c r="H990" s="415"/>
      <c r="I990" s="415"/>
      <c r="J990" s="415"/>
      <c r="K990" s="97"/>
      <c r="L990" s="97"/>
      <c r="M990" s="97"/>
      <c r="N990" s="97"/>
      <c r="O990" s="97"/>
      <c r="P990" s="97"/>
      <c r="Q990" s="97"/>
      <c r="R990" s="97"/>
      <c r="S990" s="97"/>
      <c r="T990" s="423">
        <v>987</v>
      </c>
      <c r="U990" s="424">
        <v>56478898480.924149</v>
      </c>
      <c r="V990" s="426"/>
      <c r="W990" s="97"/>
      <c r="X990" s="97"/>
      <c r="Y990" s="97"/>
      <c r="Z990" s="68"/>
      <c r="AA990" s="68"/>
      <c r="AB990" s="68"/>
      <c r="AC990" s="68"/>
      <c r="AD990" s="68"/>
    </row>
    <row r="991" spans="1:30" ht="17">
      <c r="A991" s="68"/>
      <c r="B991" s="68"/>
      <c r="C991" s="68"/>
      <c r="D991" s="415"/>
      <c r="E991" s="415"/>
      <c r="F991" s="415"/>
      <c r="G991" s="415"/>
      <c r="H991" s="415"/>
      <c r="I991" s="415"/>
      <c r="J991" s="415"/>
      <c r="K991" s="97"/>
      <c r="L991" s="97"/>
      <c r="M991" s="97"/>
      <c r="N991" s="97"/>
      <c r="O991" s="97"/>
      <c r="P991" s="97"/>
      <c r="Q991" s="97"/>
      <c r="R991" s="97"/>
      <c r="S991" s="97"/>
      <c r="T991" s="423">
        <v>988</v>
      </c>
      <c r="U991" s="424">
        <v>62300448904.728668</v>
      </c>
      <c r="V991" s="426"/>
      <c r="W991" s="97"/>
      <c r="X991" s="97"/>
      <c r="Y991" s="97"/>
      <c r="Z991" s="68"/>
      <c r="AA991" s="68"/>
      <c r="AB991" s="68"/>
      <c r="AC991" s="68"/>
      <c r="AD991" s="68"/>
    </row>
    <row r="992" spans="1:30" ht="17">
      <c r="A992" s="68"/>
      <c r="B992" s="68"/>
      <c r="C992" s="68"/>
      <c r="D992" s="415"/>
      <c r="E992" s="415"/>
      <c r="F992" s="415"/>
      <c r="G992" s="415"/>
      <c r="H992" s="415"/>
      <c r="I992" s="415"/>
      <c r="J992" s="415"/>
      <c r="K992" s="97"/>
      <c r="L992" s="97"/>
      <c r="M992" s="97"/>
      <c r="N992" s="97"/>
      <c r="O992" s="97"/>
      <c r="P992" s="97"/>
      <c r="Q992" s="97"/>
      <c r="R992" s="97"/>
      <c r="S992" s="97"/>
      <c r="T992" s="423">
        <v>989</v>
      </c>
      <c r="U992" s="424">
        <v>61712898114.705391</v>
      </c>
      <c r="V992" s="426"/>
      <c r="W992" s="97"/>
      <c r="X992" s="97"/>
      <c r="Y992" s="97"/>
      <c r="Z992" s="68"/>
      <c r="AA992" s="68"/>
      <c r="AB992" s="68"/>
      <c r="AC992" s="68"/>
      <c r="AD992" s="68"/>
    </row>
    <row r="993" spans="1:30" ht="17">
      <c r="A993" s="68"/>
      <c r="B993" s="68"/>
      <c r="C993" s="68"/>
      <c r="D993" s="415"/>
      <c r="E993" s="415"/>
      <c r="F993" s="415"/>
      <c r="G993" s="415"/>
      <c r="H993" s="415"/>
      <c r="I993" s="415"/>
      <c r="J993" s="415"/>
      <c r="K993" s="97"/>
      <c r="L993" s="97"/>
      <c r="M993" s="97"/>
      <c r="N993" s="97"/>
      <c r="O993" s="97"/>
      <c r="P993" s="97"/>
      <c r="Q993" s="97"/>
      <c r="R993" s="97"/>
      <c r="S993" s="97"/>
      <c r="T993" s="423">
        <v>990</v>
      </c>
      <c r="U993" s="424">
        <v>57113640375.886078</v>
      </c>
      <c r="V993" s="426"/>
      <c r="W993" s="97"/>
      <c r="X993" s="97"/>
      <c r="Y993" s="97"/>
      <c r="Z993" s="68"/>
      <c r="AA993" s="68"/>
      <c r="AB993" s="68"/>
      <c r="AC993" s="68"/>
      <c r="AD993" s="68"/>
    </row>
    <row r="994" spans="1:30" ht="17">
      <c r="A994" s="68"/>
      <c r="B994" s="68"/>
      <c r="C994" s="68"/>
      <c r="D994" s="415"/>
      <c r="E994" s="415"/>
      <c r="F994" s="415"/>
      <c r="G994" s="415"/>
      <c r="H994" s="415"/>
      <c r="I994" s="415"/>
      <c r="J994" s="415"/>
      <c r="K994" s="97"/>
      <c r="L994" s="97"/>
      <c r="M994" s="97"/>
      <c r="N994" s="97"/>
      <c r="O994" s="97"/>
      <c r="P994" s="97"/>
      <c r="Q994" s="97"/>
      <c r="R994" s="97"/>
      <c r="S994" s="97"/>
      <c r="T994" s="423">
        <v>991</v>
      </c>
      <c r="U994" s="424">
        <v>58199006580.468048</v>
      </c>
      <c r="V994" s="426"/>
      <c r="W994" s="97"/>
      <c r="X994" s="97"/>
      <c r="Y994" s="97"/>
      <c r="Z994" s="68"/>
      <c r="AA994" s="68"/>
      <c r="AB994" s="68"/>
      <c r="AC994" s="68"/>
      <c r="AD994" s="68"/>
    </row>
    <row r="995" spans="1:30" ht="17">
      <c r="A995" s="68"/>
      <c r="B995" s="68"/>
      <c r="C995" s="68"/>
      <c r="D995" s="415"/>
      <c r="E995" s="415"/>
      <c r="F995" s="415"/>
      <c r="G995" s="415"/>
      <c r="H995" s="415"/>
      <c r="I995" s="415"/>
      <c r="J995" s="415"/>
      <c r="K995" s="97"/>
      <c r="L995" s="97"/>
      <c r="M995" s="97"/>
      <c r="N995" s="97"/>
      <c r="O995" s="97"/>
      <c r="P995" s="97"/>
      <c r="Q995" s="97"/>
      <c r="R995" s="97"/>
      <c r="S995" s="97"/>
      <c r="T995" s="423">
        <v>992</v>
      </c>
      <c r="U995" s="424">
        <v>60365019482.772797</v>
      </c>
      <c r="V995" s="426"/>
      <c r="W995" s="97"/>
      <c r="X995" s="97"/>
      <c r="Y995" s="97"/>
      <c r="Z995" s="68"/>
      <c r="AA995" s="68"/>
      <c r="AB995" s="68"/>
      <c r="AC995" s="68"/>
      <c r="AD995" s="68"/>
    </row>
    <row r="996" spans="1:30" ht="17">
      <c r="A996" s="68"/>
      <c r="B996" s="68"/>
      <c r="C996" s="68"/>
      <c r="D996" s="415"/>
      <c r="E996" s="415"/>
      <c r="F996" s="415"/>
      <c r="G996" s="415"/>
      <c r="H996" s="415"/>
      <c r="I996" s="415"/>
      <c r="J996" s="415"/>
      <c r="K996" s="97"/>
      <c r="L996" s="97"/>
      <c r="M996" s="97"/>
      <c r="N996" s="97"/>
      <c r="O996" s="97"/>
      <c r="P996" s="97"/>
      <c r="Q996" s="97"/>
      <c r="R996" s="97"/>
      <c r="S996" s="97"/>
      <c r="T996" s="423">
        <v>993</v>
      </c>
      <c r="U996" s="424">
        <v>56800719583.353195</v>
      </c>
      <c r="V996" s="426"/>
      <c r="W996" s="97"/>
      <c r="X996" s="97"/>
      <c r="Y996" s="97"/>
      <c r="Z996" s="68"/>
      <c r="AA996" s="68"/>
      <c r="AB996" s="68"/>
      <c r="AC996" s="68"/>
      <c r="AD996" s="68"/>
    </row>
    <row r="997" spans="1:30" ht="17">
      <c r="A997" s="68"/>
      <c r="B997" s="68"/>
      <c r="C997" s="68"/>
      <c r="D997" s="415"/>
      <c r="E997" s="415"/>
      <c r="F997" s="415"/>
      <c r="G997" s="415"/>
      <c r="H997" s="415"/>
      <c r="I997" s="415"/>
      <c r="J997" s="415"/>
      <c r="K997" s="97"/>
      <c r="L997" s="97"/>
      <c r="M997" s="97"/>
      <c r="N997" s="97"/>
      <c r="O997" s="97"/>
      <c r="P997" s="97"/>
      <c r="Q997" s="97"/>
      <c r="R997" s="97"/>
      <c r="S997" s="97"/>
      <c r="T997" s="423">
        <v>994</v>
      </c>
      <c r="U997" s="424">
        <v>58826038577.230911</v>
      </c>
      <c r="V997" s="426"/>
      <c r="W997" s="97"/>
      <c r="X997" s="97"/>
      <c r="Y997" s="97"/>
      <c r="Z997" s="68"/>
      <c r="AA997" s="68"/>
      <c r="AB997" s="68"/>
      <c r="AC997" s="68"/>
      <c r="AD997" s="68"/>
    </row>
    <row r="998" spans="1:30" ht="17">
      <c r="A998" s="68"/>
      <c r="B998" s="68"/>
      <c r="C998" s="68"/>
      <c r="D998" s="415"/>
      <c r="E998" s="415"/>
      <c r="F998" s="415"/>
      <c r="G998" s="415"/>
      <c r="H998" s="415"/>
      <c r="I998" s="415"/>
      <c r="J998" s="415"/>
      <c r="K998" s="97"/>
      <c r="L998" s="97"/>
      <c r="M998" s="97"/>
      <c r="N998" s="97"/>
      <c r="O998" s="97"/>
      <c r="P998" s="97"/>
      <c r="Q998" s="97"/>
      <c r="R998" s="97"/>
      <c r="S998" s="97"/>
      <c r="T998" s="423">
        <v>995</v>
      </c>
      <c r="U998" s="424">
        <v>59103381855.825279</v>
      </c>
      <c r="V998" s="426"/>
      <c r="W998" s="97"/>
      <c r="X998" s="97"/>
      <c r="Y998" s="97"/>
      <c r="Z998" s="68"/>
      <c r="AA998" s="68"/>
      <c r="AB998" s="68"/>
      <c r="AC998" s="68"/>
      <c r="AD998" s="68"/>
    </row>
    <row r="999" spans="1:30" ht="17">
      <c r="A999" s="68"/>
      <c r="B999" s="68"/>
      <c r="C999" s="68"/>
      <c r="D999" s="415"/>
      <c r="E999" s="415"/>
      <c r="F999" s="415"/>
      <c r="G999" s="415"/>
      <c r="H999" s="415"/>
      <c r="I999" s="415"/>
      <c r="J999" s="415"/>
      <c r="K999" s="97"/>
      <c r="L999" s="97"/>
      <c r="M999" s="97"/>
      <c r="N999" s="97"/>
      <c r="O999" s="97"/>
      <c r="P999" s="97"/>
      <c r="Q999" s="97"/>
      <c r="R999" s="97"/>
      <c r="S999" s="97"/>
      <c r="T999" s="423">
        <v>996</v>
      </c>
      <c r="U999" s="424">
        <v>59393086163.542992</v>
      </c>
      <c r="V999" s="426"/>
      <c r="W999" s="97"/>
      <c r="X999" s="97"/>
      <c r="Y999" s="97"/>
      <c r="Z999" s="68"/>
      <c r="AA999" s="68"/>
      <c r="AB999" s="68"/>
      <c r="AC999" s="68"/>
      <c r="AD999" s="68"/>
    </row>
    <row r="1000" spans="1:30" ht="17">
      <c r="A1000" s="68"/>
      <c r="B1000" s="68"/>
      <c r="C1000" s="68"/>
      <c r="D1000" s="415"/>
      <c r="E1000" s="415"/>
      <c r="F1000" s="415"/>
      <c r="G1000" s="415"/>
      <c r="H1000" s="415"/>
      <c r="I1000" s="415"/>
      <c r="J1000" s="415"/>
      <c r="K1000" s="97"/>
      <c r="L1000" s="97"/>
      <c r="M1000" s="97"/>
      <c r="N1000" s="97"/>
      <c r="O1000" s="97"/>
      <c r="P1000" s="97"/>
      <c r="Q1000" s="97"/>
      <c r="R1000" s="97"/>
      <c r="S1000" s="97"/>
      <c r="T1000" s="423">
        <v>997</v>
      </c>
      <c r="U1000" s="424">
        <v>62575483598.654778</v>
      </c>
      <c r="V1000" s="426"/>
      <c r="W1000" s="97"/>
      <c r="X1000" s="97"/>
      <c r="Y1000" s="97"/>
      <c r="Z1000" s="68"/>
      <c r="AA1000" s="68"/>
      <c r="AB1000" s="68"/>
      <c r="AC1000" s="68"/>
      <c r="AD1000" s="68"/>
    </row>
    <row r="1001" spans="1:30" ht="17">
      <c r="A1001" s="68"/>
      <c r="B1001" s="68"/>
      <c r="C1001" s="68"/>
      <c r="D1001" s="415"/>
      <c r="E1001" s="415"/>
      <c r="F1001" s="415"/>
      <c r="G1001" s="415"/>
      <c r="H1001" s="415"/>
      <c r="I1001" s="415"/>
      <c r="J1001" s="415"/>
      <c r="K1001" s="97"/>
      <c r="L1001" s="97"/>
      <c r="M1001" s="97"/>
      <c r="N1001" s="97"/>
      <c r="O1001" s="97"/>
      <c r="P1001" s="97"/>
      <c r="Q1001" s="97"/>
      <c r="R1001" s="97"/>
      <c r="S1001" s="97"/>
      <c r="T1001" s="423">
        <v>998</v>
      </c>
      <c r="U1001" s="424">
        <v>58469031451.992203</v>
      </c>
      <c r="V1001" s="426"/>
      <c r="W1001" s="97"/>
      <c r="X1001" s="97"/>
      <c r="Y1001" s="97"/>
      <c r="Z1001" s="68"/>
      <c r="AA1001" s="68"/>
      <c r="AB1001" s="68"/>
      <c r="AC1001" s="68"/>
      <c r="AD1001" s="68"/>
    </row>
    <row r="1002" spans="1:30" ht="17">
      <c r="A1002" s="68"/>
      <c r="B1002" s="68"/>
      <c r="C1002" s="68"/>
      <c r="D1002" s="415"/>
      <c r="E1002" s="415"/>
      <c r="F1002" s="415"/>
      <c r="G1002" s="415"/>
      <c r="H1002" s="415"/>
      <c r="I1002" s="415"/>
      <c r="J1002" s="415"/>
      <c r="K1002" s="97"/>
      <c r="L1002" s="97"/>
      <c r="M1002" s="97"/>
      <c r="N1002" s="97"/>
      <c r="O1002" s="97"/>
      <c r="P1002" s="97"/>
      <c r="Q1002" s="97"/>
      <c r="R1002" s="97"/>
      <c r="S1002" s="97"/>
      <c r="T1002" s="423">
        <v>999</v>
      </c>
      <c r="U1002" s="424">
        <v>58689840034.968277</v>
      </c>
      <c r="V1002" s="426"/>
      <c r="W1002" s="97"/>
      <c r="X1002" s="97"/>
      <c r="Y1002" s="97"/>
      <c r="Z1002" s="68"/>
      <c r="AA1002" s="68"/>
      <c r="AB1002" s="68"/>
      <c r="AC1002" s="68"/>
      <c r="AD1002" s="68"/>
    </row>
    <row r="1003" spans="1:30" ht="17">
      <c r="A1003" s="68"/>
      <c r="B1003" s="68"/>
      <c r="C1003" s="68"/>
      <c r="D1003" s="415"/>
      <c r="E1003" s="415"/>
      <c r="F1003" s="415"/>
      <c r="G1003" s="415"/>
      <c r="H1003" s="415"/>
      <c r="I1003" s="415"/>
      <c r="J1003" s="415"/>
      <c r="K1003" s="97"/>
      <c r="L1003" s="97"/>
      <c r="M1003" s="97"/>
      <c r="N1003" s="97"/>
      <c r="O1003" s="97"/>
      <c r="P1003" s="97"/>
      <c r="Q1003" s="97"/>
      <c r="R1003" s="97"/>
      <c r="S1003" s="97"/>
      <c r="T1003" s="423">
        <v>1000</v>
      </c>
      <c r="U1003" s="424">
        <v>59598538229.972633</v>
      </c>
      <c r="V1003" s="426"/>
      <c r="W1003" s="97"/>
      <c r="X1003" s="97"/>
      <c r="Y1003" s="97"/>
      <c r="Z1003" s="68"/>
      <c r="AA1003" s="68"/>
      <c r="AB1003" s="68"/>
      <c r="AC1003" s="68"/>
      <c r="AD1003" s="68"/>
    </row>
  </sheetData>
  <mergeCells count="3">
    <mergeCell ref="A2:B2"/>
    <mergeCell ref="A5:B5"/>
    <mergeCell ref="A9: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1. Assumptions </vt:lpstr>
      <vt:lpstr>2. Financial goals </vt:lpstr>
      <vt:lpstr>3. Financial drivers </vt:lpstr>
      <vt:lpstr>4. Balance sheet </vt:lpstr>
      <vt:lpstr>5. Cash Flow</vt:lpstr>
      <vt:lpstr>6. Salary</vt:lpstr>
      <vt:lpstr>7. Human capital &amp; pension valu</vt:lpstr>
      <vt:lpstr>8. Budget Estimate</vt:lpstr>
      <vt:lpstr>9. Child living expense</vt:lpstr>
      <vt:lpstr>10. Mortgage payment </vt:lpstr>
      <vt:lpstr>Car payment</vt:lpstr>
      <vt:lpstr>11. Motorbike insurance</vt:lpstr>
      <vt:lpstr>12. Car insurance </vt:lpstr>
      <vt:lpstr>13. Health insurance </vt:lpstr>
      <vt:lpstr>14. Life insurance</vt:lpstr>
      <vt:lpstr>15. Travel tour</vt:lpstr>
      <vt:lpstr>16. Retirement </vt:lpstr>
      <vt:lpstr>18. Investment assumption</vt:lpstr>
      <vt:lpstr>19. Funds </vt:lpstr>
      <vt:lpstr>20. Balance </vt:lpstr>
      <vt:lpstr>20. Market return </vt:lpstr>
      <vt:lpstr>21. Monte Carlo Simulation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2312345024-Đổ Thị Mỹ Huyền</dc:creator>
  <cp:lastModifiedBy>Huyen Do</cp:lastModifiedBy>
  <dcterms:created xsi:type="dcterms:W3CDTF">2025-06-17T13:17:35Z</dcterms:created>
  <dcterms:modified xsi:type="dcterms:W3CDTF">2026-04-24T03:50:06Z</dcterms:modified>
</cp:coreProperties>
</file>